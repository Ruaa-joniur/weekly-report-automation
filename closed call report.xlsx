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echm_rmahmed\Desktop\"/>
    </mc:Choice>
  </mc:AlternateContent>
  <xr:revisionPtr revIDLastSave="0" documentId="13_ncr:9_{8DF36BE5-5899-4106-BA9E-A22EDFFAE5BA}" xr6:coauthVersionLast="47" xr6:coauthVersionMax="47" xr10:uidLastSave="{00000000-0000-0000-0000-000000000000}"/>
  <bookViews>
    <workbookView xWindow="-110" yWindow="-110" windowWidth="19420" windowHeight="10300" xr2:uid="{96DE613D-FBD1-4A7D-92A5-D485D6A4EE0F}"/>
  </bookViews>
  <sheets>
    <sheet name="closed+call+report_test" sheetId="1" r:id="rId1"/>
  </sheets>
  <definedNames>
    <definedName name="_xlnm._FilterDatabase" localSheetId="0" hidden="1">'closed+call+report_test'!$A$1:$AN$3193</definedName>
  </definedNames>
  <calcPr calcId="0"/>
</workbook>
</file>

<file path=xl/calcChain.xml><?xml version="1.0" encoding="utf-8"?>
<calcChain xmlns="http://schemas.openxmlformats.org/spreadsheetml/2006/main">
  <c r="Y92" i="1" l="1"/>
  <c r="Y137" i="1"/>
  <c r="Y201" i="1"/>
  <c r="Y236" i="1"/>
  <c r="Y248" i="1"/>
  <c r="Y365" i="1"/>
  <c r="Y456" i="1"/>
  <c r="Y471" i="1"/>
  <c r="Y479" i="1"/>
  <c r="Y517" i="1"/>
  <c r="Y533" i="1"/>
  <c r="Y560" i="1"/>
  <c r="Y571" i="1"/>
  <c r="Y587" i="1"/>
  <c r="Y720" i="1"/>
  <c r="Y724" i="1"/>
  <c r="Y906" i="1"/>
  <c r="Y922" i="1"/>
  <c r="Y926" i="1"/>
  <c r="Y936" i="1"/>
  <c r="Y942" i="1"/>
  <c r="Y1050" i="1"/>
  <c r="Y1171" i="1"/>
  <c r="Y1326" i="1"/>
  <c r="Y1340" i="1"/>
  <c r="Y1546" i="1"/>
  <c r="Y1551" i="1"/>
  <c r="Y1554" i="1"/>
  <c r="Y1725" i="1"/>
  <c r="Y1995" i="1"/>
  <c r="Y2011" i="1"/>
  <c r="Y2123" i="1"/>
  <c r="Y2206" i="1"/>
  <c r="Y2215" i="1"/>
  <c r="Y2246" i="1"/>
  <c r="Y2355" i="1"/>
  <c r="Y2515" i="1"/>
  <c r="Y2586" i="1"/>
  <c r="Y2640" i="1"/>
  <c r="Y2641" i="1"/>
  <c r="Y2689" i="1"/>
  <c r="Y2703" i="1"/>
  <c r="Y2705" i="1"/>
  <c r="Y2725" i="1"/>
  <c r="Y2801" i="1"/>
  <c r="Y2808" i="1"/>
  <c r="Y2846" i="1"/>
  <c r="Y2995" i="1"/>
  <c r="Y2998" i="1"/>
  <c r="Y3015" i="1"/>
  <c r="Y3017" i="1"/>
  <c r="Y3021" i="1"/>
  <c r="Y3034" i="1"/>
  <c r="Y3047" i="1"/>
  <c r="Y3055" i="1"/>
  <c r="Y3061" i="1"/>
  <c r="Y3071" i="1"/>
  <c r="Y3081" i="1"/>
  <c r="Y3085" i="1"/>
  <c r="Y3090" i="1"/>
  <c r="Y3111" i="1"/>
  <c r="Y3114" i="1"/>
  <c r="Y3123" i="1"/>
  <c r="Y3130" i="1"/>
  <c r="Y3134" i="1"/>
  <c r="Y3135" i="1"/>
  <c r="Y3160" i="1"/>
  <c r="Y3177" i="1"/>
</calcChain>
</file>

<file path=xl/sharedStrings.xml><?xml version="1.0" encoding="utf-8"?>
<sst xmlns="http://schemas.openxmlformats.org/spreadsheetml/2006/main" count="102857" uniqueCount="12625">
  <si>
    <t>Request Type</t>
  </si>
  <si>
    <t>Incident ID*+</t>
  </si>
  <si>
    <t>Incident Type*</t>
  </si>
  <si>
    <t>First Name+</t>
  </si>
  <si>
    <t>Last Name+</t>
  </si>
  <si>
    <t>Submit Date</t>
  </si>
  <si>
    <t>Department</t>
  </si>
  <si>
    <t>Organization</t>
  </si>
  <si>
    <t>Summary*</t>
  </si>
  <si>
    <t>Assignee+</t>
  </si>
  <si>
    <t>Assigned Group*+</t>
  </si>
  <si>
    <t>Vendor Group+</t>
  </si>
  <si>
    <t>Status Reason</t>
  </si>
  <si>
    <t>Impact*</t>
  </si>
  <si>
    <t>Urgency*</t>
  </si>
  <si>
    <t>Customer Site</t>
  </si>
  <si>
    <t>Operational Categorization Tier 1+</t>
  </si>
  <si>
    <t>Operational Categorization Tier 2</t>
  </si>
  <si>
    <t>Operational Categorization Tier 3</t>
  </si>
  <si>
    <t>Last Resolved Date</t>
  </si>
  <si>
    <t>VIP</t>
  </si>
  <si>
    <t>SLM Real Time Status</t>
  </si>
  <si>
    <t>Reported Source</t>
  </si>
  <si>
    <t>Resolution</t>
  </si>
  <si>
    <t>Status*</t>
  </si>
  <si>
    <t>Submitter*</t>
  </si>
  <si>
    <t>Priority*</t>
  </si>
  <si>
    <t>Resolution Categorization Tier 1</t>
  </si>
  <si>
    <t>Resolution Categorization Tier 2</t>
  </si>
  <si>
    <t>Resolution Categorization Tier 3</t>
  </si>
  <si>
    <t>Corporate ID</t>
  </si>
  <si>
    <t>Approve/Reject Based On</t>
  </si>
  <si>
    <t>GRP System ID</t>
  </si>
  <si>
    <t>Individual Transfers</t>
  </si>
  <si>
    <t>Contact Sensitivity</t>
  </si>
  <si>
    <t>Customer Login ID</t>
  </si>
  <si>
    <t>Internet E-mail</t>
  </si>
  <si>
    <t>Normal</t>
  </si>
  <si>
    <t>INC000001321970</t>
  </si>
  <si>
    <t>User Service Request</t>
  </si>
  <si>
    <t>SOAR</t>
  </si>
  <si>
    <t>Auto Alerts</t>
  </si>
  <si>
    <t>Security &amp; Monitoring</t>
  </si>
  <si>
    <t>RTA\DG, Chairman of the Board Executive Directors</t>
  </si>
  <si>
    <t>1646874_Threat Activity Detected</t>
  </si>
  <si>
    <t>Microland Aswin Krishna</t>
  </si>
  <si>
    <t>SIEM</t>
  </si>
  <si>
    <t>Automated Resolution Reported</t>
  </si>
  <si>
    <t>2-Significant/Large</t>
  </si>
  <si>
    <t>2-High</t>
  </si>
  <si>
    <t>Dubai</t>
  </si>
  <si>
    <t>Application</t>
  </si>
  <si>
    <t>Application Services</t>
  </si>
  <si>
    <t>Application Integration</t>
  </si>
  <si>
    <t>No</t>
  </si>
  <si>
    <t>Within the Service Target</t>
  </si>
  <si>
    <t>Direct Input</t>
  </si>
  <si>
    <t>Based on our analysis, mentioned Threat Match Value is Malicious. Hence we have blocked the same on perimeter devices.</t>
  </si>
  <si>
    <t>Resolved</t>
  </si>
  <si>
    <t>notificationsoar</t>
  </si>
  <si>
    <t>High</t>
  </si>
  <si>
    <t>Standard</t>
  </si>
  <si>
    <t>notificationsoar@rta.ae</t>
  </si>
  <si>
    <t>INC000001321968</t>
  </si>
  <si>
    <t>Suspicious IP to RTA Portal on 25 February 2026, 23:06:49</t>
  </si>
  <si>
    <t>Highly Malicious IPs targeting RTA Portal are blocked on perimeter Firewalls</t>
  </si>
  <si>
    <t>INC000001321967</t>
  </si>
  <si>
    <t>1646807_Threat Activity Detected</t>
  </si>
  <si>
    <t>INC000001321966</t>
  </si>
  <si>
    <t>Omran</t>
  </si>
  <si>
    <t>Almaazmi</t>
  </si>
  <si>
    <t>Customer Happiness</t>
  </si>
  <si>
    <t>RTA\Corporate Administrative Support Services</t>
  </si>
  <si>
    <t>Smart traffic edge configuration request</t>
  </si>
  <si>
    <t>Techm Omer Mohamed</t>
  </si>
  <si>
    <t>Service Desk</t>
  </si>
  <si>
    <t>USER TO CONFIRM</t>
  </si>
  <si>
    <t>4-Minor/Localized</t>
  </si>
  <si>
    <t>4-Low</t>
  </si>
  <si>
    <t>Desktop</t>
  </si>
  <si>
    <t>RTA Standard Application installation Request</t>
  </si>
  <si>
    <t>MS Edge</t>
  </si>
  <si>
    <t>Phone</t>
  </si>
  <si>
    <t>Smart traffic settings has been configured on ms edge as per the request</t>
  </si>
  <si>
    <t>Techm_OFMohamed</t>
  </si>
  <si>
    <t>Low</t>
  </si>
  <si>
    <t>oyalmaazmi</t>
  </si>
  <si>
    <t>Omran.Almaazmi@rta.ae</t>
  </si>
  <si>
    <t>INC000001321965</t>
  </si>
  <si>
    <t>Amna</t>
  </si>
  <si>
    <t>Alameri</t>
  </si>
  <si>
    <t>Safety &amp; Risk Regulation and Planning</t>
  </si>
  <si>
    <t>RTA\Strategy &amp; Corporate Governance</t>
  </si>
  <si>
    <t>Email configuration on cell phone</t>
  </si>
  <si>
    <t>Personal Device Support</t>
  </si>
  <si>
    <t>Personal Smart Phone</t>
  </si>
  <si>
    <t>Email has been configured on Smart phone</t>
  </si>
  <si>
    <t>AARAlameri</t>
  </si>
  <si>
    <t>Amna.AAlameri@rta.ae</t>
  </si>
  <si>
    <t>INC000001321964</t>
  </si>
  <si>
    <t>1646800_Threat Activity Detected</t>
  </si>
  <si>
    <t>INC000001321956</t>
  </si>
  <si>
    <t>User Service Restoration</t>
  </si>
  <si>
    <t>Jalaluddin</t>
  </si>
  <si>
    <t>Jamal</t>
  </si>
  <si>
    <t>Transportation Systems</t>
  </si>
  <si>
    <t>RTA\Public Transport Agency</t>
  </si>
  <si>
    <t>TUM-263047</t>
  </si>
  <si>
    <t>Technical Transport System Support</t>
  </si>
  <si>
    <t>Energy International</t>
  </si>
  <si>
    <t>Muhaisnah - OCC ROOM</t>
  </si>
  <si>
    <t>PTA-Transportation Systems</t>
  </si>
  <si>
    <t>Automated Fare Collection (AFC)</t>
  </si>
  <si>
    <t>Web</t>
  </si>
  <si>
    <t>Reason:- Nol Card Jam in BNA (039 646 4497)  Action:- Card jam Cleared   Name :-Azeez   Attended Time:-22:15</t>
  </si>
  <si>
    <t>ttsystemsupport</t>
  </si>
  <si>
    <t>BTSS-Devices</t>
  </si>
  <si>
    <t>Solar Top-Up Machine (TUM)</t>
  </si>
  <si>
    <t>Card stuck</t>
  </si>
  <si>
    <t>jajamal</t>
  </si>
  <si>
    <t>Jalaluddin.Jamal@rta.ae</t>
  </si>
  <si>
    <t>INC000001321955</t>
  </si>
  <si>
    <t>Suspicious IP to RTA Portal on 25 February 2026, 22:07:24</t>
  </si>
  <si>
    <t>INC000001321954</t>
  </si>
  <si>
    <t>1646711_Threat Activity Detected</t>
  </si>
  <si>
    <t>INC000001321953</t>
  </si>
  <si>
    <t>Faiz</t>
  </si>
  <si>
    <t>Mohamed</t>
  </si>
  <si>
    <t>?????? ??????? ????????</t>
  </si>
  <si>
    <t>Faiz Mohamed</t>
  </si>
  <si>
    <t>E-Traffic L1 Support</t>
  </si>
  <si>
    <t>No Further Action Required</t>
  </si>
  <si>
    <t>E-Traffic Application</t>
  </si>
  <si>
    <t>Bugs Reporting &amp; others</t>
  </si>
  <si>
    <t>Email</t>
  </si>
  <si>
    <t>The plates delivered in another journey  The journey closed</t>
  </si>
  <si>
    <t>avaya_famohamed</t>
  </si>
  <si>
    <t>V0026217</t>
  </si>
  <si>
    <t>Avaya_Faiz.Mohamed@rta.ae</t>
  </si>
  <si>
    <t>INC000001321949</t>
  </si>
  <si>
    <t>1646649_Threat Activity Detected</t>
  </si>
  <si>
    <t>INC000001321948</t>
  </si>
  <si>
    <t>TUM-263050</t>
  </si>
  <si>
    <t>Reason : No Jam found Card No.:   Customer Name:      Action : Fault cleared</t>
  </si>
  <si>
    <t>No Defects Detected</t>
  </si>
  <si>
    <t>INC000001321945</t>
  </si>
  <si>
    <t>Avaya Musab Mubarak</t>
  </si>
  <si>
    <t>Suliman</t>
  </si>
  <si>
    <t>Removing tinting permit</t>
  </si>
  <si>
    <t>Avaya Musab Mubarak Suliman</t>
  </si>
  <si>
    <t>Customer Follow-Up Required</t>
  </si>
  <si>
    <t>The permit was not linked to vehicle on VLS due to data issue The permit update and the customer can try now</t>
  </si>
  <si>
    <t>Avaya_MESuliman</t>
  </si>
  <si>
    <t>V001937</t>
  </si>
  <si>
    <t>Avaya_Musabmubarak.Suliman@rta.ae</t>
  </si>
  <si>
    <t>INC000001321944</t>
  </si>
  <si>
    <t>?????? ????? ??? ????? ????? ??????? ?????</t>
  </si>
  <si>
    <t>???? ?????? ??? ??????? ?????? ?????? ?????? ???? ?????? ??? ??????? ?????? ?????? ??????</t>
  </si>
  <si>
    <t>INC000001321943</t>
  </si>
  <si>
    <t>TUM-263150</t>
  </si>
  <si>
    <t>Reason : Duplicate Ticket (Orig Ticket#: INC000001321948)</t>
  </si>
  <si>
    <t>Others</t>
  </si>
  <si>
    <t>INC000001321934</t>
  </si>
  <si>
    <t>Renewal Vehicle</t>
  </si>
  <si>
    <t>The mortgage was locked for another journey  The journey cancelled and the customer can try now</t>
  </si>
  <si>
    <t>INC000001321933</t>
  </si>
  <si>
    <t>Suspicious IP to RTA Portal on 25 February 2026, 20:06:38</t>
  </si>
  <si>
    <t>INC000001321926</t>
  </si>
  <si>
    <t>Stewart</t>
  </si>
  <si>
    <t>Fernandes</t>
  </si>
  <si>
    <t>Enterprise Command &amp; Control</t>
  </si>
  <si>
    <t>unlock account request</t>
  </si>
  <si>
    <t>Profile</t>
  </si>
  <si>
    <t>Account Lock Out</t>
  </si>
  <si>
    <t>eccddcab account has been unlocked</t>
  </si>
  <si>
    <t>V0029932</t>
  </si>
  <si>
    <t>cns_sffernandes</t>
  </si>
  <si>
    <t>Cns_Stewart.Fernandes@rta.ae</t>
  </si>
  <si>
    <t>INC000001321924</t>
  </si>
  <si>
    <t>1646293_Threat Activity Detected</t>
  </si>
  <si>
    <t>INC000001321918</t>
  </si>
  <si>
    <t>Benhamir</t>
  </si>
  <si>
    <t>Ibrahim-Contractor</t>
  </si>
  <si>
    <t>TVM-264007</t>
  </si>
  <si>
    <t>Reason: No issue found   Action: Checked   Attender Name: Kishor Bangera   Attend Time: 18:15</t>
  </si>
  <si>
    <t>V0027577</t>
  </si>
  <si>
    <t>okool_biibrahim</t>
  </si>
  <si>
    <t>Okool_Benhamir.Ibrahim@rta.ae</t>
  </si>
  <si>
    <t>INC000001321916</t>
  </si>
  <si>
    <t>Suspicious IP to RTA Portal on 25 February 2026, 17:07:32</t>
  </si>
  <si>
    <t>INC000001321914</t>
  </si>
  <si>
    <t>Bassel</t>
  </si>
  <si>
    <t>Hakoum</t>
  </si>
  <si>
    <t>Update contact number</t>
  </si>
  <si>
    <t>Bassel Hakoum</t>
  </si>
  <si>
    <t>Application Bug/Error</t>
  </si>
  <si>
    <t>Other</t>
  </si>
  <si>
    <t>The customer has immigration file type VISTORE on ums profile but now his data is correct on ICA He need to onboard his profile and it will work fine</t>
  </si>
  <si>
    <t>avaya_bfhakoum</t>
  </si>
  <si>
    <t>V0025485</t>
  </si>
  <si>
    <t>Avaya_Bassel.Hakoum@rta.ae</t>
  </si>
  <si>
    <t>INC000001321913</t>
  </si>
  <si>
    <t>Afra</t>
  </si>
  <si>
    <t>Alameemi</t>
  </si>
  <si>
    <t>Development &amp; Corporate Performance</t>
  </si>
  <si>
    <t>VPN Access</t>
  </si>
  <si>
    <t>Vipin Parayil</t>
  </si>
  <si>
    <t>Operation - NOC</t>
  </si>
  <si>
    <t>Network Domain</t>
  </si>
  <si>
    <t>Wide Area Network (WAN)</t>
  </si>
  <si>
    <t>VPN Extension</t>
  </si>
  <si>
    <t>Self Service</t>
  </si>
  <si>
    <t>extension has been provided so we are closing the INC</t>
  </si>
  <si>
    <t>mendix</t>
  </si>
  <si>
    <t>Security</t>
  </si>
  <si>
    <t>VPN</t>
  </si>
  <si>
    <t>VPN Access Extension Request</t>
  </si>
  <si>
    <t>ASAlameemi</t>
  </si>
  <si>
    <t>Afra.Alameemi@rta.ae</t>
  </si>
  <si>
    <t>INC000001321912</t>
  </si>
  <si>
    <t>Omar</t>
  </si>
  <si>
    <t>Andi</t>
  </si>
  <si>
    <t>OKAndi</t>
  </si>
  <si>
    <t>Omar.Andi@rta.ae</t>
  </si>
  <si>
    <t>INC000001321911</t>
  </si>
  <si>
    <t>Maryam</t>
  </si>
  <si>
    <t>Alketbi</t>
  </si>
  <si>
    <t>mhaalketbi</t>
  </si>
  <si>
    <t>Maryam.Alketbi@rta.ae</t>
  </si>
  <si>
    <t>INC000001321905</t>
  </si>
  <si>
    <t>Hassan</t>
  </si>
  <si>
    <t>Al Mansoor</t>
  </si>
  <si>
    <t>Rail Operations</t>
  </si>
  <si>
    <t>RTA\Rail Agency</t>
  </si>
  <si>
    <t>TMS login Issue</t>
  </si>
  <si>
    <t>Mohamed Ghareeb</t>
  </si>
  <si>
    <t>Talent Management System</t>
  </si>
  <si>
    <t>3-Moderate/Limited</t>
  </si>
  <si>
    <t>3-Medium</t>
  </si>
  <si>
    <t>DUBAI POLICE LICENSING</t>
  </si>
  <si>
    <t>Administrative Tasks</t>
  </si>
  <si>
    <t>Dear Hassan,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t>
  </si>
  <si>
    <t>Medium</t>
  </si>
  <si>
    <t>Administrative Task</t>
  </si>
  <si>
    <t>Status Update</t>
  </si>
  <si>
    <t>hhalmansoor</t>
  </si>
  <si>
    <t>Hassan.AlMansoor@rta.ae</t>
  </si>
  <si>
    <t>INC000001321898</t>
  </si>
  <si>
    <t>Salim</t>
  </si>
  <si>
    <t>Alebrahim</t>
  </si>
  <si>
    <t>Buses</t>
  </si>
  <si>
    <t xml:space="preserve">???? ??????? ?? ???? </t>
  </si>
  <si>
    <t>DEIRA -GOLD SOUQ BUS STATION</t>
  </si>
  <si>
    <t>Dear Salim,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</si>
  <si>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sralebrahim</t>
  </si>
  <si>
    <t>Salim.Alebrahim@rta.ae</t>
  </si>
  <si>
    <t>INC000001321897</t>
  </si>
  <si>
    <t>Suspicious IP to RTA Portal on 25 February 2026, 16:08:53</t>
  </si>
  <si>
    <t>INC000001321896</t>
  </si>
  <si>
    <t>Ishaq</t>
  </si>
  <si>
    <t>Alqahtani</t>
  </si>
  <si>
    <t>Human Resources &amp; Development</t>
  </si>
  <si>
    <t>IMAlqahtani</t>
  </si>
  <si>
    <t>Ishaq.Alqahtani@rta.ae</t>
  </si>
  <si>
    <t>INC000001321893</t>
  </si>
  <si>
    <t>Jithesh</t>
  </si>
  <si>
    <t>Thottathil</t>
  </si>
  <si>
    <t>Rail Maintainance</t>
  </si>
  <si>
    <t>jtthottathil</t>
  </si>
  <si>
    <t>Jithesh.Thottathil@rta.ae</t>
  </si>
  <si>
    <t>INC000001321892</t>
  </si>
  <si>
    <t>Senthil</t>
  </si>
  <si>
    <t>Ramasamy</t>
  </si>
  <si>
    <t>Rail Maintenance</t>
  </si>
  <si>
    <t>skramasamy</t>
  </si>
  <si>
    <t>Senthil.Ramasamy@rta.ae</t>
  </si>
  <si>
    <t>INC000001321891</t>
  </si>
  <si>
    <t>Asma</t>
  </si>
  <si>
    <t>Jaberabdallah</t>
  </si>
  <si>
    <t>amjaberabdallah</t>
  </si>
  <si>
    <t>Asma.Jaberabdallah@rta.ae</t>
  </si>
  <si>
    <t>INC000001321890</t>
  </si>
  <si>
    <t>1645961_Threat Activity Detected</t>
  </si>
  <si>
    <t>INC000001321889</t>
  </si>
  <si>
    <t>Avaya Mohamed</t>
  </si>
  <si>
    <t>Mansoor Ahmed</t>
  </si>
  <si>
    <t>Licensing Systems</t>
  </si>
  <si>
    <t>RTA\Licensing Agency</t>
  </si>
  <si>
    <t>applying to add a heavy vehicle license category</t>
  </si>
  <si>
    <t>Avaya Mohamed Mansoor Ahmed</t>
  </si>
  <si>
    <t>Duplicate #301983 Duplicate #301983 Duplicate #301983 Duplicate #301983 Duplicate #301983</t>
  </si>
  <si>
    <t>Avaya_MSMansoorahmed</t>
  </si>
  <si>
    <t>V002125</t>
  </si>
  <si>
    <t>Avaya_Mohamed.Mansoorahmed@rta.ae</t>
  </si>
  <si>
    <t>INC000001321887</t>
  </si>
  <si>
    <t>Khulood</t>
  </si>
  <si>
    <t>Almarri</t>
  </si>
  <si>
    <t>Vehicles Licensing</t>
  </si>
  <si>
    <t>Extension has been done we are closing the INC</t>
  </si>
  <si>
    <t>KMAlmarri</t>
  </si>
  <si>
    <t>Khulood.Almarri@rta.ae</t>
  </si>
  <si>
    <t>INC000001321886</t>
  </si>
  <si>
    <t>Ashraf</t>
  </si>
  <si>
    <t>Ali</t>
  </si>
  <si>
    <t>Passengers Transport Activities Monitoring</t>
  </si>
  <si>
    <t>Incident</t>
  </si>
  <si>
    <t>Self-service</t>
  </si>
  <si>
    <t>Mendix</t>
  </si>
  <si>
    <t>modification has been done so we are closing the INC</t>
  </si>
  <si>
    <t>V0012390</t>
  </si>
  <si>
    <t>experts_amali</t>
  </si>
  <si>
    <t>Experts_Ashraf.Ali@rta.ae</t>
  </si>
  <si>
    <t>INC000001321885</t>
  </si>
  <si>
    <t>Ranjith</t>
  </si>
  <si>
    <t>Rajan</t>
  </si>
  <si>
    <t>Extension has been provide so we are closing the INC</t>
  </si>
  <si>
    <t>V002649</t>
  </si>
  <si>
    <t>Microland_RRRajan</t>
  </si>
  <si>
    <t>Microland_Ranjith.Rajan@rta.ae</t>
  </si>
  <si>
    <t>INC000001321884</t>
  </si>
  <si>
    <t>Fatma</t>
  </si>
  <si>
    <t>Alblooshi</t>
  </si>
  <si>
    <t>fmualblooshi</t>
  </si>
  <si>
    <t>Fatma.MuAlblooshi@rta.ae</t>
  </si>
  <si>
    <t>INC000001321883</t>
  </si>
  <si>
    <t>Mohammad</t>
  </si>
  <si>
    <t>Thalji</t>
  </si>
  <si>
    <t>Buildings &amp; Facilities</t>
  </si>
  <si>
    <t>UMM RAMOOL NEW HQ 3A</t>
  </si>
  <si>
    <t>mthalji</t>
  </si>
  <si>
    <t>Mohammad.Thalji@rta.ae</t>
  </si>
  <si>
    <t>INC000001321881</t>
  </si>
  <si>
    <t>TVM-264010</t>
  </si>
  <si>
    <t>DUPLICATE TICKET Reason:- Please Cancel This Ticket Error Occurred on After Brinks Team Cash Collection Now Device Working Fine Thanks.</t>
  </si>
  <si>
    <t>EXPO Ticket Vending Machine (ETVM)</t>
  </si>
  <si>
    <t>Out of Service</t>
  </si>
  <si>
    <t>INC000001321877</t>
  </si>
  <si>
    <t>??? ???? ??????</t>
  </si>
  <si>
    <t>This traffic file number was for MUHAMMAD BILAL NAZIR AHMAD and the Residency number is 201/2018/7/2619 then the employee rta10026 change the passport number and the Residency number and the emirate id is null then the customer NAZIM HUSSAIN NOOR AHMAD try to onboard on ums and he has the Residency number 201/2018/7/2619 the system find similar on traffic with same Residency number and emirate id is null and same nationality then system decide this is the same person then het take the traffic file number  Image</t>
  </si>
  <si>
    <t>INC000001321876</t>
  </si>
  <si>
    <t>TUM-263072</t>
  </si>
  <si>
    <t>Brinks</t>
  </si>
  <si>
    <t>Active alarm: BNA1 nearly full  Replenished.  16:16 – 02/26/2026</t>
  </si>
  <si>
    <t>Change Cash box</t>
  </si>
  <si>
    <t>INC000001321867</t>
  </si>
  <si>
    <t>Raghd</t>
  </si>
  <si>
    <t>Zahra</t>
  </si>
  <si>
    <t>razahra</t>
  </si>
  <si>
    <t>Raghd.Zahra@rta.ae</t>
  </si>
  <si>
    <t>INC000001321864</t>
  </si>
  <si>
    <t>Suspicious IP to RTA Portal on 25 February 2026, 14:09:51</t>
  </si>
  <si>
    <t>INC000001321863</t>
  </si>
  <si>
    <t>Infrastructure Restoration</t>
  </si>
  <si>
    <t>Mena Kumaravel</t>
  </si>
  <si>
    <t>Gunasekaran</t>
  </si>
  <si>
    <t>Information Technology</t>
  </si>
  <si>
    <t>RTA\Corporate Technology Support Services</t>
  </si>
  <si>
    <t>Salik services are not working in RTA Dubai application w.r.t. SalikTokenGenerationService</t>
  </si>
  <si>
    <t>Tibco Support</t>
  </si>
  <si>
    <t>Enterprise Integration</t>
  </si>
  <si>
    <t>We are receiving the following exception from the Salik endpoint for all requests. Please look into this issue urgently and take the necessary action. Endpoint: http://id.salik.ae:443/core/connect/token</t>
  </si>
  <si>
    <t>tibco_support</t>
  </si>
  <si>
    <t>Bug / Error</t>
  </si>
  <si>
    <t>Services Down</t>
  </si>
  <si>
    <t>V005149</t>
  </si>
  <si>
    <t>Mena_KTGunasekaran</t>
  </si>
  <si>
    <t>Mena_Kumaravel.Gunasekaran@rta.ae</t>
  </si>
  <si>
    <t>INC000001321857</t>
  </si>
  <si>
    <t>Hamada</t>
  </si>
  <si>
    <t>Gebril</t>
  </si>
  <si>
    <t>Leadership Affairs</t>
  </si>
  <si>
    <t>RTA\Executive Affairs</t>
  </si>
  <si>
    <t>hhgebril</t>
  </si>
  <si>
    <t>Hamada.Gebril@rta.ae</t>
  </si>
  <si>
    <t>INC000001321856</t>
  </si>
  <si>
    <t>Rawda</t>
  </si>
  <si>
    <t>Tamim</t>
  </si>
  <si>
    <t>Commercial Transport Activities</t>
  </si>
  <si>
    <t>RKTamim</t>
  </si>
  <si>
    <t>Rawda.Tamim@rta.ae</t>
  </si>
  <si>
    <t>INC000001321855</t>
  </si>
  <si>
    <t>1645740_Threat Activity Detected</t>
  </si>
  <si>
    <t>INC000001321853</t>
  </si>
  <si>
    <t>Infosys Ravi</t>
  </si>
  <si>
    <t>Chalamalasetti</t>
  </si>
  <si>
    <t>Proactive Monitoring - AMX BPM - EMS Errors Observed w.r.t. BPM</t>
  </si>
  <si>
    <t>We observed multiple occurrences of the following error in our AMX BPM – EMS production server logs between 24 02 2026 22:49 and 24 02 2026 23:12. However, the cluster did not shift to the other server. Could you please verify whether any activity happened during this period.</t>
  </si>
  <si>
    <t>V001626</t>
  </si>
  <si>
    <t>Infosys_RKChalamalas</t>
  </si>
  <si>
    <t>Infosys_Ravi.Chalamalasetti@rta.ae</t>
  </si>
  <si>
    <t>INC000001321852</t>
  </si>
  <si>
    <t>Amal</t>
  </si>
  <si>
    <t>Almheiri</t>
  </si>
  <si>
    <t>Innovation &amp; Pioneering</t>
  </si>
  <si>
    <t>Mohamed Alajlani</t>
  </si>
  <si>
    <t>The account has been unlocked successfully as requested.</t>
  </si>
  <si>
    <t>techm_myalajlani</t>
  </si>
  <si>
    <t>aalalmheiri</t>
  </si>
  <si>
    <t>Amal.Almheiri@rta.ae</t>
  </si>
  <si>
    <t>INC000001321849</t>
  </si>
  <si>
    <t>Khulood Ahmed</t>
  </si>
  <si>
    <t>Al Mulla</t>
  </si>
  <si>
    <t>Finance</t>
  </si>
  <si>
    <t>Automation System Request</t>
  </si>
  <si>
    <t>Mhd Mattit</t>
  </si>
  <si>
    <t>RTA Automation System</t>
  </si>
  <si>
    <t>UMM RAMOOL NEW HQ 6A</t>
  </si>
  <si>
    <t>mentioned refund requests have been re-pushed to the GRP as requested</t>
  </si>
  <si>
    <t>techm_maalneil</t>
  </si>
  <si>
    <t>Service Request Update</t>
  </si>
  <si>
    <t>Sensitive</t>
  </si>
  <si>
    <t>kamulla</t>
  </si>
  <si>
    <t>khulood.alamulla@rta.ae</t>
  </si>
  <si>
    <t>INC000001321848</t>
  </si>
  <si>
    <t>Infosys Aabidh</t>
  </si>
  <si>
    <t>Fareed Aslam</t>
  </si>
  <si>
    <t>CaseManagement | int.rta.ae:11052 | Read timed out w.r.t. CRMCaseSynchronizationService</t>
  </si>
  <si>
    <t>Dear Tanveer, We can see timeouts in our logs and could see requests taking about 30-50 seconds to respond. Kindly check this at your end.</t>
  </si>
  <si>
    <t>V003107</t>
  </si>
  <si>
    <t>Infosys_AZFareedasla</t>
  </si>
  <si>
    <t>Infosys_Aabidh.Fareedaslam@rta.ae</t>
  </si>
  <si>
    <t>INC000001321844</t>
  </si>
  <si>
    <t>Sai</t>
  </si>
  <si>
    <t>Goru</t>
  </si>
  <si>
    <t>Proactive Monitoring - Invalid token receiving Bad request  - Production w.r.t. KHDAInquiryService</t>
  </si>
  <si>
    <t>We are receiving Bad request with no client credentials error from your endpoint in production, kindly look into this and resolve it at the earliest.</t>
  </si>
  <si>
    <t>V0031569</t>
  </si>
  <si>
    <t>mena_skgoru</t>
  </si>
  <si>
    <t>Mena_Sai.Goru@rta.ae</t>
  </si>
  <si>
    <t>INC000001321843</t>
  </si>
  <si>
    <t>Fahad</t>
  </si>
  <si>
    <t>Alhamadi</t>
  </si>
  <si>
    <t>Parkin</t>
  </si>
  <si>
    <t>RTA\Parkin</t>
  </si>
  <si>
    <t>Request to extend the account</t>
  </si>
  <si>
    <t>Nagender Kumar</t>
  </si>
  <si>
    <t>IAM</t>
  </si>
  <si>
    <t>As per the below request and approval, we have extended below user till 1 March 2028.   fahalhamad</t>
  </si>
  <si>
    <t>Access Right</t>
  </si>
  <si>
    <t>Update Profile</t>
  </si>
  <si>
    <t>V0031962</t>
  </si>
  <si>
    <t>fahalhamadi</t>
  </si>
  <si>
    <t>Fahad.Alhamadi@rta.ae</t>
  </si>
  <si>
    <t>INC000001321839</t>
  </si>
  <si>
    <t>Ayesha</t>
  </si>
  <si>
    <t>Towainja</t>
  </si>
  <si>
    <t>Intelligent Traffic System</t>
  </si>
  <si>
    <t>RTA\Traffic and Roads Agency</t>
  </si>
  <si>
    <t>Dubai  -</t>
  </si>
  <si>
    <t>aatowainja</t>
  </si>
  <si>
    <t>Ayesha.Towainja@rta.ae</t>
  </si>
  <si>
    <t>INC000001321837</t>
  </si>
  <si>
    <t>Sam</t>
  </si>
  <si>
    <t>George</t>
  </si>
  <si>
    <t>To extend the user AD account</t>
  </si>
  <si>
    <t>Shubhangi Babar</t>
  </si>
  <si>
    <t>UMM RAMOOL - G+2 BUILDING</t>
  </si>
  <si>
    <t>As per the below request and approval, we have extended below user till 1 March 2028.    SGEORGE</t>
  </si>
  <si>
    <t>Techm_NRMohamed</t>
  </si>
  <si>
    <t>sgeorge</t>
  </si>
  <si>
    <t>Sam.George@rta.ae</t>
  </si>
  <si>
    <t>INC000001321833</t>
  </si>
  <si>
    <t>Shamma</t>
  </si>
  <si>
    <t>Mohmmed</t>
  </si>
  <si>
    <t>Drivers Licensing</t>
  </si>
  <si>
    <t>UMM RAMOOL NEW HQ 2C</t>
  </si>
  <si>
    <t>shmohmmed</t>
  </si>
  <si>
    <t>Shamma.Mohmmed@rta.ae</t>
  </si>
  <si>
    <t>INC000001321828</t>
  </si>
  <si>
    <t>Ahmed</t>
  </si>
  <si>
    <t>Abu Eidah</t>
  </si>
  <si>
    <t>agabueidah</t>
  </si>
  <si>
    <t>Ahmed.AbuEidah@RTA.ae</t>
  </si>
  <si>
    <t>INC000001321827</t>
  </si>
  <si>
    <t>Amer</t>
  </si>
  <si>
    <t>Al Bashatli</t>
  </si>
  <si>
    <t>UMM RAMOOL NEW HQ 4C -RAIL AGENCY</t>
  </si>
  <si>
    <t>User already having access  so we are closing this INC and consider this ticket as extention</t>
  </si>
  <si>
    <t>ayalbashatli</t>
  </si>
  <si>
    <t>Amer.Albashatli@rta.ae</t>
  </si>
  <si>
    <t>INC000001321825</t>
  </si>
  <si>
    <t>Sultan</t>
  </si>
  <si>
    <t>Alawadhi</t>
  </si>
  <si>
    <t>snalawadhi</t>
  </si>
  <si>
    <t>Sultan.Alawadhi@rta.ae</t>
  </si>
  <si>
    <t>INC000001321823</t>
  </si>
  <si>
    <t>Kalbat</t>
  </si>
  <si>
    <t>Traffic</t>
  </si>
  <si>
    <t>oabyounus</t>
  </si>
  <si>
    <t>Omar.Kalbat@rta.ae</t>
  </si>
  <si>
    <t>INC000001321822</t>
  </si>
  <si>
    <t>TVM-264005</t>
  </si>
  <si>
    <t>Reason: Nol card stacker disable  Action: Re fixed Nol card magazine tested now ok  Attender name: Mohammed zabir   Attended Time: 15:00</t>
  </si>
  <si>
    <t>Not Issuing NOL Card</t>
  </si>
  <si>
    <t>INC000001321821</t>
  </si>
  <si>
    <t>Moayyad</t>
  </si>
  <si>
    <t>Khleif</t>
  </si>
  <si>
    <t>Administration Services</t>
  </si>
  <si>
    <t>mmkhaleif</t>
  </si>
  <si>
    <t>Moayyad.MKhleif@rta.ae</t>
  </si>
  <si>
    <t>INC000001321819</t>
  </si>
  <si>
    <t>Al Falasi</t>
  </si>
  <si>
    <t>UMM RAMOOL</t>
  </si>
  <si>
    <t>fjalfalasi</t>
  </si>
  <si>
    <t>Fatma.Alfalasi@rta.ae</t>
  </si>
  <si>
    <t>INC000001321818</t>
  </si>
  <si>
    <t>Wissam</t>
  </si>
  <si>
    <t>Baghdadi</t>
  </si>
  <si>
    <t>Marketing &amp; Corporate Communication</t>
  </si>
  <si>
    <t>V0031554</t>
  </si>
  <si>
    <t>trans_wbbaghdadi</t>
  </si>
  <si>
    <t>Trans_Wissam.Baghdadi@rta.ae</t>
  </si>
  <si>
    <t>INC000001321817</t>
  </si>
  <si>
    <t>Ahmad</t>
  </si>
  <si>
    <t>Sabbagh</t>
  </si>
  <si>
    <t>Assets Management</t>
  </si>
  <si>
    <t>afsabbagh</t>
  </si>
  <si>
    <t>Ahmad.Sabbagh@rta.ae</t>
  </si>
  <si>
    <t>INC000001321814</t>
  </si>
  <si>
    <t>Avaya Mohamed Ridda</t>
  </si>
  <si>
    <t>Elkhair</t>
  </si>
  <si>
    <t>Avaya Mohamed Ridda Elkhair</t>
  </si>
  <si>
    <t>There was another journey for same vehicle The journey cancelled and the customer can try now</t>
  </si>
  <si>
    <t>Avaya_MAElkhair</t>
  </si>
  <si>
    <t>V002242</t>
  </si>
  <si>
    <t>Avaya_Mohamedridda.Elkhair@rta.ae</t>
  </si>
  <si>
    <t>INC000001321813</t>
  </si>
  <si>
    <t>Manal</t>
  </si>
  <si>
    <t>Alfugaer</t>
  </si>
  <si>
    <t>MMAlfugaer</t>
  </si>
  <si>
    <t>Manal.Alfugaer@rta.ae</t>
  </si>
  <si>
    <t>INC000001321810</t>
  </si>
  <si>
    <t>Tariq</t>
  </si>
  <si>
    <t>Hafiz</t>
  </si>
  <si>
    <t>Dubai Licensing CEO</t>
  </si>
  <si>
    <t>UMM RAMOOL NEW HQ 5C</t>
  </si>
  <si>
    <t>tzhafiz</t>
  </si>
  <si>
    <t>Tariq.Hafiz@RTA.ae</t>
  </si>
  <si>
    <t>INC000001321807</t>
  </si>
  <si>
    <t xml:space="preserve"> Al Hashemi</t>
  </si>
  <si>
    <t>Roads &amp; Facilities Maintenance</t>
  </si>
  <si>
    <t>MUHAISNAH -MAIN BUILDING</t>
  </si>
  <si>
    <t>asalhashemi</t>
  </si>
  <si>
    <t>Ali.Hashemi@rta.ae</t>
  </si>
  <si>
    <t>INC000001321804</t>
  </si>
  <si>
    <t>Khawla</t>
  </si>
  <si>
    <t>Alansaari</t>
  </si>
  <si>
    <t>Roads Asset Register</t>
  </si>
  <si>
    <t>Murali Anala</t>
  </si>
  <si>
    <t>Archer eGRC</t>
  </si>
  <si>
    <t>Deleted the yellow-colored Assets give in the excel sheet.</t>
  </si>
  <si>
    <t>Delete Records</t>
  </si>
  <si>
    <t>KAAlansaari</t>
  </si>
  <si>
    <t>Khawla.Alansaari@rta.ae</t>
  </si>
  <si>
    <t>INC000001321801</t>
  </si>
  <si>
    <t>Shaikha</t>
  </si>
  <si>
    <t>Outlook issue-Enterprise vault</t>
  </si>
  <si>
    <t>Techm Ghaya Hamad</t>
  </si>
  <si>
    <t>Mail Box Issue</t>
  </si>
  <si>
    <t>Login Issue</t>
  </si>
  <si>
    <t>Old password has been removed from credential manager</t>
  </si>
  <si>
    <t>seali</t>
  </si>
  <si>
    <t>Shaikha.Ali@rta.ae</t>
  </si>
  <si>
    <t>INC000001321792</t>
  </si>
  <si>
    <t>Unable to Return the Vehicle (25065-AUH-16) in TARS</t>
  </si>
  <si>
    <t>TARS L1 Support</t>
  </si>
  <si>
    <t>Dear User,  The reason behind this is return Failed issue ,from TARS end we approved the Email now you will be able to return the vehicle MHKEF8BF6NK025197, kindly verify once</t>
  </si>
  <si>
    <t>INC000001321791</t>
  </si>
  <si>
    <t>TSD</t>
  </si>
  <si>
    <t>Applicaiton Support</t>
  </si>
  <si>
    <t>TVM-262174</t>
  </si>
  <si>
    <t>Conduent</t>
  </si>
  <si>
    <t>TVM 262174 Login page on arrival  Reset cables and restarted the TVM  TVM is operational  Ping back end successfully  Tested with customer</t>
  </si>
  <si>
    <t>ebm_tasamy</t>
  </si>
  <si>
    <t>Ticket Vending Machine (TVM)</t>
  </si>
  <si>
    <t>Out of service</t>
  </si>
  <si>
    <t>TSD_Appsupport</t>
  </si>
  <si>
    <t>TSD_Applicationsupport@rta.ae</t>
  </si>
  <si>
    <t>INC000001321790</t>
  </si>
  <si>
    <t>Mariam</t>
  </si>
  <si>
    <t>myalawadhi</t>
  </si>
  <si>
    <t>Mariam.Alawadhi@rta.ae</t>
  </si>
  <si>
    <t>INC000001321787</t>
  </si>
  <si>
    <t>Cyber Security Center</t>
  </si>
  <si>
    <t>Alerts</t>
  </si>
  <si>
    <t>Information Security</t>
  </si>
  <si>
    <t>CSC Threat Advisory - Retrospective Analysis Reveals CVE-2026-1731 BeyondTrust Exploitation</t>
  </si>
  <si>
    <t>Mohammed Mohammed-Contractor</t>
  </si>
  <si>
    <t>EC3 Managed Services</t>
  </si>
  <si>
    <t>Security Incident</t>
  </si>
  <si>
    <t>Virus Issue</t>
  </si>
  <si>
    <t>Required IP addresses and URLs are blocked on all firewalls.</t>
  </si>
  <si>
    <t>cns_mamohammed</t>
  </si>
  <si>
    <t>socalerts</t>
  </si>
  <si>
    <t>CSC.alert@rta.ae</t>
  </si>
  <si>
    <t>INC000001321782</t>
  </si>
  <si>
    <t>Almheirii</t>
  </si>
  <si>
    <t>Licensing Activities Monitoring</t>
  </si>
  <si>
    <t>fmalmheirii</t>
  </si>
  <si>
    <t>Fatma.Almheirii@rta.ae</t>
  </si>
  <si>
    <t>INC000001321779</t>
  </si>
  <si>
    <t>Jassim</t>
  </si>
  <si>
    <t>Haji</t>
  </si>
  <si>
    <t>Roopesh Ettummel</t>
  </si>
  <si>
    <t>As per the process user after raised a extension ticket user profile will automatically removed from _VPN DISABLE GROUP , now VPN profile is extended till the mention expiry</t>
  </si>
  <si>
    <t>jaabdullah</t>
  </si>
  <si>
    <t>Jassim.Abdullah@RTA.ae</t>
  </si>
  <si>
    <t>INC000001321777</t>
  </si>
  <si>
    <t>Suresh</t>
  </si>
  <si>
    <t>Somasundaram</t>
  </si>
  <si>
    <t>Archer BCM</t>
  </si>
  <si>
    <t>Deleted the highlighted Assets mentioned in the sheet.</t>
  </si>
  <si>
    <t>techm_maalhammadi</t>
  </si>
  <si>
    <t>V0033662</t>
  </si>
  <si>
    <t>transguard_sksomasun</t>
  </si>
  <si>
    <t>Transguard_Suresh.Somasundaram@rta.ae</t>
  </si>
  <si>
    <t>INC000001321774</t>
  </si>
  <si>
    <t>Adnan</t>
  </si>
  <si>
    <t>Asaad</t>
  </si>
  <si>
    <t>??? ????? ?????</t>
  </si>
  <si>
    <t>Adnan Asaad</t>
  </si>
  <si>
    <t>The customer case solved and he can now pay the journey fees only permanent solution will be applied with next vls deployment</t>
  </si>
  <si>
    <t>avaya_ayasaad</t>
  </si>
  <si>
    <t>V0024640</t>
  </si>
  <si>
    <t>Avaya_Adnan.Asaad@rta.ae</t>
  </si>
  <si>
    <t>INC000001321772</t>
  </si>
  <si>
    <t>????? ????? ???? ?? ???? ????</t>
  </si>
  <si>
    <t>Dear User,  The Admin Employee has been onboarded to TARS system. Kindly verify now</t>
  </si>
  <si>
    <t>INC000001321771</t>
  </si>
  <si>
    <t>Abdolaziz</t>
  </si>
  <si>
    <t>AlHammadi</t>
  </si>
  <si>
    <t>Roads</t>
  </si>
  <si>
    <t>AAliAlhammadi</t>
  </si>
  <si>
    <t>Abdolaziz.Alhammadi@rta.ae</t>
  </si>
  <si>
    <t>INC000001321767</t>
  </si>
  <si>
    <t>Latifa</t>
  </si>
  <si>
    <t>Al-Falasi</t>
  </si>
  <si>
    <t>laalfalasi</t>
  </si>
  <si>
    <t>Latifa.AlFalasi@rta.ae</t>
  </si>
  <si>
    <t>INC000001321766</t>
  </si>
  <si>
    <t>Hind</t>
  </si>
  <si>
    <t>Monitor Issue</t>
  </si>
  <si>
    <t>Peripherals</t>
  </si>
  <si>
    <t>Monitor</t>
  </si>
  <si>
    <t>User said it works properly. no need support</t>
  </si>
  <si>
    <t>Techm_GAHamad</t>
  </si>
  <si>
    <t>hsohassan</t>
  </si>
  <si>
    <t>Hind.Hassan@rta.ae</t>
  </si>
  <si>
    <t>INC000001321765</t>
  </si>
  <si>
    <t>Suspicious IP to RTA Portal on 25 February 2026, 12:10:33</t>
  </si>
  <si>
    <t>INC000001321764</t>
  </si>
  <si>
    <t>Nasser</t>
  </si>
  <si>
    <t>Bashir</t>
  </si>
  <si>
    <t>NABashir</t>
  </si>
  <si>
    <t>Nasser.Bashir@rta.ae</t>
  </si>
  <si>
    <t>INC000001321763</t>
  </si>
  <si>
    <t>Infrastructure Event</t>
  </si>
  <si>
    <t>Techm Mahir</t>
  </si>
  <si>
    <t>Sadiq</t>
  </si>
  <si>
    <t>UDC &amp; UDC Extn Generator PM work Visit 2 for feb 2026</t>
  </si>
  <si>
    <t>Techm Mahir Sadiq</t>
  </si>
  <si>
    <t>Operation - Data Center</t>
  </si>
  <si>
    <t>Infrastructure Services</t>
  </si>
  <si>
    <t>Datacenter Facilities</t>
  </si>
  <si>
    <t>Preventive Maintenance</t>
  </si>
  <si>
    <t>DG PM work has completed and found all systems are working normal condition.</t>
  </si>
  <si>
    <t>Techm_MSSadiq</t>
  </si>
  <si>
    <t>Datacenter &amp; Facilities</t>
  </si>
  <si>
    <t>V004713</t>
  </si>
  <si>
    <t>Techm_Mahir.Sadiq@rta.ae</t>
  </si>
  <si>
    <t>INC000001321762</t>
  </si>
  <si>
    <t>Alya</t>
  </si>
  <si>
    <t>Al-Ali</t>
  </si>
  <si>
    <t>AIBALALI</t>
  </si>
  <si>
    <t>Alya.Alali@rta.ae</t>
  </si>
  <si>
    <t>INC000001321760</t>
  </si>
  <si>
    <t>Mohanad</t>
  </si>
  <si>
    <t>Mohamed Sorkatti-Contractor</t>
  </si>
  <si>
    <t>CTA request follow up</t>
  </si>
  <si>
    <t>Mohanad Mohamed Sorkatti-Contractor</t>
  </si>
  <si>
    <t>E TRAFFIC ISSUE</t>
  </si>
  <si>
    <t>Fixed and will be deployed in next release 01-03-2026</t>
  </si>
  <si>
    <t>Avaya_MMSorkatti</t>
  </si>
  <si>
    <t>V005395</t>
  </si>
  <si>
    <t>Avaya_Mohanad.Sorkatti@rta.ae</t>
  </si>
  <si>
    <t>INC000001321758</t>
  </si>
  <si>
    <t>Kanaan</t>
  </si>
  <si>
    <t>Alwathaifi</t>
  </si>
  <si>
    <t>Planning &amp; Business Development</t>
  </si>
  <si>
    <t>kaalwathaifi</t>
  </si>
  <si>
    <t>Kanaan.Alwathaifi@rta.ae</t>
  </si>
  <si>
    <t>INC000001321757</t>
  </si>
  <si>
    <t>Thribuvandas</t>
  </si>
  <si>
    <t>Thrilogen</t>
  </si>
  <si>
    <t>MS Teams Issue</t>
  </si>
  <si>
    <t>Ismael Ismael</t>
  </si>
  <si>
    <t>RTA Non standard application  Incidents</t>
  </si>
  <si>
    <t>MS Teams</t>
  </si>
  <si>
    <t>techm_iaismael</t>
  </si>
  <si>
    <t>tvthrilogen</t>
  </si>
  <si>
    <t>Thribuvandas.Thrilogen@rta.ae</t>
  </si>
  <si>
    <t>INC000001321749</t>
  </si>
  <si>
    <t>1645452_Threat Activity Detected</t>
  </si>
  <si>
    <t>INC000001321747</t>
  </si>
  <si>
    <t>Faten</t>
  </si>
  <si>
    <t>AlShamsi</t>
  </si>
  <si>
    <t>Request to configure MS edge in IE mode to use E-traffic</t>
  </si>
  <si>
    <t>Techm Abdalbagee Hamed</t>
  </si>
  <si>
    <t>Configured system URL on Microsoft Edge as below steps :  1/  In Edge settings.  2/  Go to default browser.  3/ Then go to Internet Explorer compatibility.  4/  Then add " Smart  Traffic Link" to internet Explorer mode pages.  5/ Enabled internet Explorer mode and chose it allow.  6/  Restart the browser to take effects.</t>
  </si>
  <si>
    <t>Techm_AMHamed</t>
  </si>
  <si>
    <t>FHAlshamsi</t>
  </si>
  <si>
    <t>Faten.AlShamsi@RTA.ae</t>
  </si>
  <si>
    <t>INC000001321746</t>
  </si>
  <si>
    <t>Hussein</t>
  </si>
  <si>
    <t>AlShahabi</t>
  </si>
  <si>
    <t>??? ?????? ??? ?????? ??????</t>
  </si>
  <si>
    <t>Dear Hussein,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</si>
  <si>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HAAlshahabi</t>
  </si>
  <si>
    <t>Hussein.Alshahabi@rta.ae</t>
  </si>
  <si>
    <t>INC000001321742</t>
  </si>
  <si>
    <t>Ihab Badie</t>
  </si>
  <si>
    <t>Alsalamin</t>
  </si>
  <si>
    <t>Technology Strategy &amp; Governance</t>
  </si>
  <si>
    <t>Generic ID Configuration Request "AGF@rta.ae"</t>
  </si>
  <si>
    <t>Zain Alabedein Skheih</t>
  </si>
  <si>
    <t>Request for Generic ID Creation(RE)</t>
  </si>
  <si>
    <t>we accessed the device and mapped the Generic ID successfully in the user outlook</t>
  </si>
  <si>
    <t>techm_ziskheih</t>
  </si>
  <si>
    <t>Re -Map Share Folder</t>
  </si>
  <si>
    <t>IBAlSalamin</t>
  </si>
  <si>
    <t>Ihab.AlSalamin@rta.ae</t>
  </si>
  <si>
    <t>INC000001321738</t>
  </si>
  <si>
    <t>Zeinab</t>
  </si>
  <si>
    <t>Elgamal</t>
  </si>
  <si>
    <t>Corporate Technology Support Services CEO</t>
  </si>
  <si>
    <t>user profile has been updated, the user should be able to proceed with the VPN request</t>
  </si>
  <si>
    <t>zselgamal</t>
  </si>
  <si>
    <t>Zeinab.Elgamal@rta.ae</t>
  </si>
  <si>
    <t>INC000001321737</t>
  </si>
  <si>
    <t>Abdulrahman</t>
  </si>
  <si>
    <t>Zughbi</t>
  </si>
  <si>
    <t>Ajay Mengu</t>
  </si>
  <si>
    <t>As per the service request, we added the requested IPs/Ports of application/services to the user VPN profile. Sent Mail to the user to check the same by reconnecting to the VPN. Since user already have VPN access &amp; it is just a Modification request (adding or removing applications / services). Hence we are resolving this ticket. Attached email below.</t>
  </si>
  <si>
    <t>V0032361</t>
  </si>
  <si>
    <t>bahwan_azzughbi</t>
  </si>
  <si>
    <t>Bahwan_Abdulrahman.ZZughbi@rta.ae</t>
  </si>
  <si>
    <t>INC000001321731</t>
  </si>
  <si>
    <t>Mohammed</t>
  </si>
  <si>
    <t>Moosa</t>
  </si>
  <si>
    <t>??? ?? ??????? ????? 2</t>
  </si>
  <si>
    <t>Alaa F Lazen-Contractor</t>
  </si>
  <si>
    <t>SYS Support</t>
  </si>
  <si>
    <t>The reported issue occurred because another vehicle was blocking this car from the rear.  RCA: Another vehicle was blocking this car from the rear</t>
  </si>
  <si>
    <t>mamoosa</t>
  </si>
  <si>
    <t>Mohammed.Moosa@rta.ae</t>
  </si>
  <si>
    <t>INC000001321729</t>
  </si>
  <si>
    <t>Yousef</t>
  </si>
  <si>
    <t>Alali</t>
  </si>
  <si>
    <t>YRAlali</t>
  </si>
  <si>
    <t>Yousef.Alali@rta.ae</t>
  </si>
  <si>
    <t>INC000001321727</t>
  </si>
  <si>
    <t>Sameer</t>
  </si>
  <si>
    <t>Abdul Azeem-Contractor</t>
  </si>
  <si>
    <t>TUM-263021</t>
  </si>
  <si>
    <t>Reason: No issue found   Action: Device working fine   Attender name: Mohammed zabir   Attended Time: 13:30</t>
  </si>
  <si>
    <t>V0026429</t>
  </si>
  <si>
    <t>okool_saabdulazeem</t>
  </si>
  <si>
    <t>Okool_Sameerahmed.Abdulazeem@rta.ae</t>
  </si>
  <si>
    <t>INC000001321726</t>
  </si>
  <si>
    <t>Nitasha</t>
  </si>
  <si>
    <t>Khan</t>
  </si>
  <si>
    <t>Commercial &amp; Investment</t>
  </si>
  <si>
    <t>Secure File Transfer</t>
  </si>
  <si>
    <t>Application Access Right</t>
  </si>
  <si>
    <t>As per the BMC note and approval, we have assigned access to nitasha.khan@rta.ae for Secure file transfer with “secure mail” group, please check.</t>
  </si>
  <si>
    <t>Grant Access</t>
  </si>
  <si>
    <t>NZAFKhan</t>
  </si>
  <si>
    <t>Nitasha.Khan@rta.ae</t>
  </si>
  <si>
    <t>INC000001321724</t>
  </si>
  <si>
    <t>Saleh</t>
  </si>
  <si>
    <t>Browser issue - keep asking for sign in</t>
  </si>
  <si>
    <t>Internet/Intranet Issues</t>
  </si>
  <si>
    <t>Unable to access a specific URL(RE)</t>
  </si>
  <si>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</si>
  <si>
    <t>Internet / Intranet Issues</t>
  </si>
  <si>
    <t>Unable To Access Specific URL</t>
  </si>
  <si>
    <t>HSSaleh</t>
  </si>
  <si>
    <t>Hussein.Saleh@rta.ae</t>
  </si>
  <si>
    <t>INC000001321723</t>
  </si>
  <si>
    <t>TUM-263106</t>
  </si>
  <si>
    <t>Reason: No issue found   Action: Device working fine   Attended Time: 13.01</t>
  </si>
  <si>
    <t>INC000001321722</t>
  </si>
  <si>
    <t>Hamza</t>
  </si>
  <si>
    <t>Smart Services</t>
  </si>
  <si>
    <t>Operations Management Coordination - Transfer Ownership on Automation.</t>
  </si>
  <si>
    <t>the role as process coordinator for the AI office is already granted to Ruba Hamdi Abdulla Qassim Dhaifalla</t>
  </si>
  <si>
    <t>amhamza</t>
  </si>
  <si>
    <t>Ahmad.Hamza@rta.ae</t>
  </si>
  <si>
    <t>INC000001321721</t>
  </si>
  <si>
    <t>Fatima</t>
  </si>
  <si>
    <t>Almarzooqi</t>
  </si>
  <si>
    <t>FAAlmarzooqi</t>
  </si>
  <si>
    <t>Fatima.Almarzooqi@rta.ae</t>
  </si>
  <si>
    <t>INC000001321719</t>
  </si>
  <si>
    <t>1645387_Threat Activity Detected</t>
  </si>
  <si>
    <t>INC000001321718</t>
  </si>
  <si>
    <t>Almutawwa</t>
  </si>
  <si>
    <t>DG, Chairman of the Board of Executive Directors Office</t>
  </si>
  <si>
    <t>mhalmutawwa</t>
  </si>
  <si>
    <t>Mohamed.Almutawwa@rta.ae</t>
  </si>
  <si>
    <t>INC000001321717</t>
  </si>
  <si>
    <t>Special Plate Sell Plate Journey</t>
  </si>
  <si>
    <t>The plate is Wanted to Dubai Police The customer must check with Dubai Police</t>
  </si>
  <si>
    <t>INC000001321714</t>
  </si>
  <si>
    <t>Al Shamsi</t>
  </si>
  <si>
    <t>Parking Fines System request</t>
  </si>
  <si>
    <t>TRA PRK Support (PFSS)</t>
  </si>
  <si>
    <t>Parking Fines System</t>
  </si>
  <si>
    <t>UMM RAMOOL - NEW HQ</t>
  </si>
  <si>
    <t>Application Access &amp; Permission</t>
  </si>
  <si>
    <t>Needful done as requested, pls check and confirm</t>
  </si>
  <si>
    <t>ahshamsi</t>
  </si>
  <si>
    <t>Ahmad.AlShamsi@rta.ae</t>
  </si>
  <si>
    <t>INC000001321712</t>
  </si>
  <si>
    <t>Hamda</t>
  </si>
  <si>
    <t>Hattawi</t>
  </si>
  <si>
    <t>Automatic Collection Systems</t>
  </si>
  <si>
    <t>RTA-1891598-V8L5 - Nol card Top up balance not reflected</t>
  </si>
  <si>
    <t>Harish Potluri</t>
  </si>
  <si>
    <t>NOL</t>
  </si>
  <si>
    <t>WORK AROUND PROVIDED</t>
  </si>
  <si>
    <t>ACS</t>
  </si>
  <si>
    <t>Customer top up the reported nol card 0348622572 from RTA MobileApp On 29-NOV-2025 with the amount of aed 30 as payment is accepted by DeG and pending whitelist file was created on the same day with the expiry date as 28-MAY-2026 but the top up amount aed 30 is not reflected on the nol card as customer not used the card after the top up till 27-JAN-2026 and started using the card from 28-JAN-2026 onwards.  Due to whitelist quota full the top up amount will not reflect in the nol card even if customer used.  As requested, uploaded the data patch in BMC#1321712 &amp; Mantis#953 tickets. Kindly execute the provided data patch in OCHS Production DB and advise the customer as per RTA Internal Operational Process.  Tag Id: 0348622572 Card Id: 1240576384464768 Top-up Amount: Aed 30 Top-up Date: 29-NOV-2025 12:21:28 SP Transaction No: E2145652285E8530003916985(EPAY_MOBILE) Whitelist Id: 6 Whitelist Created Time: 29-NOV-2025 12:23:00 Whitelist Expiry Date: 28-MAY-2026 12:22:59 Whitelist Status: PEN</t>
  </si>
  <si>
    <t>HAHattawi</t>
  </si>
  <si>
    <t>User Clarification</t>
  </si>
  <si>
    <t>Hamda.Hattawi@rta.ae</t>
  </si>
  <si>
    <t>INC000001321710</t>
  </si>
  <si>
    <t>Amar</t>
  </si>
  <si>
    <t>Tewari</t>
  </si>
  <si>
    <t>shared folder mapping request</t>
  </si>
  <si>
    <t>Re -map a share folder(RE)</t>
  </si>
  <si>
    <t>shared folder has been successfully mapped</t>
  </si>
  <si>
    <t>antewari</t>
  </si>
  <si>
    <t>Amar.Tewari@rta.ae</t>
  </si>
  <si>
    <t>INC000001321709</t>
  </si>
  <si>
    <t>RTA-1888290-J0J9 - Nol card Top up balance not reflected</t>
  </si>
  <si>
    <t>Customer top up the reported nol card 0348685264 from RTA_PORTAL On 12-JUN-2025 with the amount of aed 30 as payment is accepted by DeG and pending whitelist file was created on the same day with the expiry date as 09-DEC-2025 but the top up amount aed 30 is not reflected on the nol card as customer not used the card after the top up till 07-FEB-2026 and used the card on 08-FEB-2026 in "BUS" &amp; "Metro".  Due to whitelist expired the top up amount will not reflect in the nol card even if customer used. Kindly inform the customer as per RTA Internal Operational Process.  Tag Id: 0348685264  Card Id: 1149526701733760 Top-up Amount: Aed 30 Top-up Date: 12-JUN-2025 12:17:04 SP Transaction No: E2145652285E8530003562274(EPAY_RTA_PORTAL) Whitelist Id: 1 Whitelist Created Time: 12-JUN-2025 12:18:58 Whitelist Expiry Date: 09-DEC-2025 12:18:58 Whitelist Status: PEN   As the reported incident is addressed kindly verify and close the ticket.</t>
  </si>
  <si>
    <t>INC000001321708</t>
  </si>
  <si>
    <t>???????? ??? ????? ?? ????? ??? ???????? ??? ????? ?? ????? ??? ???????? ??? ????? ?? ????? ??? ???????? ??? ????? ?? ????? ???</t>
  </si>
  <si>
    <t>INC000001321707</t>
  </si>
  <si>
    <t>RTA-1888299-B3S9 - Nol card Top up balance not reflected</t>
  </si>
  <si>
    <t>Customer top up the reported nol card 0339737637 from RTA MobileApp On 26-NOV-2025 with the amount of aed 150 as payment is accepted by DeG and pending whitelist file was created on the same day with the expiry date as 25-MAY-2026 but the top up amount aed 150 is not reflected on the nol card as customer not used the card after the top up till 07-JAN-2026 and started using the card from 08-JAN-2026 onwards in "BUS" &amp; "Metro".  Due to whitelist quota full the top up amount will not reflect in the nol card even if customer used.  As requested, uploaded the data patch in BMC#1321707 &amp; Mantis#951 tickets. Kindly execute the provided data patch in OCHS Production DB and advise the customer as per RTA Internal Operational Process.  Tag Id: 0339737637 Card Id: 1221781473359744 Top-up Amount: Aed 150 Top-up Date: 26-NOV-2025 14:03:28 SP Transaction No: E2145652285E8530003911128(EPAY_MOBILE) Whitelist Id: 7 Whitelist Created Time: 26-NOV-2025 14:03:57 Whitelist Expiry Date: 25-MAY-2026 14:03:57 Whitelist Status: PEN   As the reported incident is addressed kindly verify and close the ticket.</t>
  </si>
  <si>
    <t>INC000001321703</t>
  </si>
  <si>
    <t>Aisha</t>
  </si>
  <si>
    <t>Al Muhairi</t>
  </si>
  <si>
    <t>Right Of Way</t>
  </si>
  <si>
    <t>UMM RAMOOL NEW HQ 9C</t>
  </si>
  <si>
    <t>aimalmuhairi</t>
  </si>
  <si>
    <t>Aisha.AlMuhairi@rta.ae</t>
  </si>
  <si>
    <t>INC000001321701</t>
  </si>
  <si>
    <t>1645323_1024 | Possible Network Scanning</t>
  </si>
  <si>
    <t>INC000001321700</t>
  </si>
  <si>
    <t>????? ???? ??????</t>
  </si>
  <si>
    <t>the renew process in RTA as you know its only one year.  So the corporate should come each year and apply NOC for renew to take RTA permit for one year until 2029</t>
  </si>
  <si>
    <t>INC000001321698</t>
  </si>
  <si>
    <t>RTA-1891364-B2D9 - Nol card Top up balance not reflected</t>
  </si>
  <si>
    <t>Customer top up the reported nol card 0354691180 from RTA MobileApp On 16-DEC-2025 with the amount of aed 100 as payment is accepted by DeG and pending whitelist file was created on the same day with the expiry date as 14-JUN-2026 but the top up amount aed 100 is not reflected on the nol card as customer not used the card after the top up till 11-FEB-2026 and started using the card 12-FEB-2026 onwards in "BUS" &amp; "Metro".  Due to whitelist quota full the top up amount will not reflect in the nol card even if customer used. Kindly inform the customer as per RTA Internal Operational Process.  As requested, uploaded the data patch in BMC#1321698 &amp; Mantis#949 tickets. Kindly execute the provided data patch in OCHS Production DB and advise the customer as per RTA Internal Operational Process.  Tag Id: 0354691180 Card Id: 1239519010453376 Top-up Amount: Aed 100 Top-up Date: 16-DEC-2025 20:24:43 SP Transaction No: E2145652285E8530003950146(EPAY_MOBILE) Whitelist Id: 2 Whitelist Created Time: 16-DEC-2025 21:00:07 Whitelist Expiry Date: 14-JUN-2026 21:00:06 Whitelist Status: PEN   As the reported incident is addressed kindly verify and close the ticket.</t>
  </si>
  <si>
    <t>INC000001321696</t>
  </si>
  <si>
    <t>Poyraz</t>
  </si>
  <si>
    <t>Sagtekin</t>
  </si>
  <si>
    <t>V0033831</t>
  </si>
  <si>
    <t>bahwan_pssagtekin</t>
  </si>
  <si>
    <t>Bahwan_Poyraz.Sagtekin@rta.ae</t>
  </si>
  <si>
    <t>INC000001321695</t>
  </si>
  <si>
    <t>TARS ERROR mostafa.rezk@sixt-uae.ae</t>
  </si>
  <si>
    <t>Dear User,  The mentioned contract : did:50032433:9608235762 has been closed in TARS system for the vehicle : W1N4M4HB0SW383806 Kindly verify</t>
  </si>
  <si>
    <t>INC000001321694</t>
  </si>
  <si>
    <t>Kaa Hossam</t>
  </si>
  <si>
    <t>Nour Eldin</t>
  </si>
  <si>
    <t>V001188</t>
  </si>
  <si>
    <t>Kaa_HENoureldin</t>
  </si>
  <si>
    <t>Kaa_Hossam.Noureldin@rta.ae</t>
  </si>
  <si>
    <t>INC000001321691</t>
  </si>
  <si>
    <t>Suspicious IP to RTA Portal on 25 February 2026, 11:09:56</t>
  </si>
  <si>
    <t>INC000001321690</t>
  </si>
  <si>
    <t>RTA-1891256-R1M3 - Nol card Top up balance not reflected</t>
  </si>
  <si>
    <t>Customer top up the reported nol card 0381580927 from MBME On 06-DEC-2025 with the amount of aed 30 as payment is accepted by DeG and pending whitelist file was created on the same day with the expiry date as 30-APR-2030 but the top up amount aed 30 is not reflected on the nol card as customer not used the card after the top up in "BUS" on 07-DEC-2025 and later started using the card on 20-FEB-2026 in "METRO".  Due to whitelist quota full the top up amount will not reflect in the nol card even if customer used. Kindly inform the customer as per RTA Internal Operational Process.  As requested, uploaded the data patch in BMC#1321690 &amp; Mantis#948 tickets. Kindly execute the provided data patch in OCHS Production DB and advise the customer as per RTA Internal Operational Process.  Tag Id: 0381580927 Card Id: 1209743624271488 Top-up Amount: Aed 30 Top-up Date: 06-DEC-2025 18:13:04 SP Transaction No: G30381580927b21f5d44af(MBME) Whitelist Id: 1 Whitelist Created Time: 06-DEC-2025 18:13:05 Whitelist Expiry Date: 30-APR-2030 00:00:00 Whitelist Status: PEN   As the reported incident is addressed kindly verify and close the ticket.</t>
  </si>
  <si>
    <t>INC000001321689</t>
  </si>
  <si>
    <t>RTA-1890068-T2D9 - Nol card Top up balance not reflected</t>
  </si>
  <si>
    <t>Customer top up the reported nol card 0251066106 from RTA MobileAPP On 20-SEP-2025 with the amount of aed 30 as payment is accepted by DeG and pending whitelist file was created on the same day with the expiry date as 19-MAR-2026 but the top up amount aed 30 is not reflected on the nol card as customer not used the card after the top up till date.  Due to whitelist quota full the top up amount will not reflected in the nol card even if customer used. Kindly inform the customer as per RTA Internal Operational Process.  As requested, uploaded the data patch in BMC#1321689 &amp; Mantis#947 tickets. Kindly execute the provided data patch in OCHS Production DB and advise the customer as per RTA Internal Operational Process.  Tag Id: 0251066106 Card Id: 1164530495549312 Top-up Amount: Aed 30 Top-up Date: 20-SEP-2025 09:37:15 SP Transaction No: E2145652285E8530003757584(EPAY_MOBILE) Whitelist Id: 1 Whitelist Created Time: 20-SEP-2025 09:37:43 Whitelist Expiry Date: 19-MAR-2026 09:37:42 Whitelist Status: PEN   As the reported incident is addressed kindly verify and close the ticket.</t>
  </si>
  <si>
    <t>INC000001321687</t>
  </si>
  <si>
    <t>??? ????? ????? ?????</t>
  </si>
  <si>
    <t>????? ?????? ??????? ??????? ??? ???? ????? ?????? ??????? ??????? ??? ???? ????? ?????? ??????? ??????? ??? ????</t>
  </si>
  <si>
    <t>INC000001321685</t>
  </si>
  <si>
    <t>RTA-1888791-Z1C1 - Nol card Top up balance not reflected</t>
  </si>
  <si>
    <t>Customer top up the reported nol card 2018648226 from RTA MobileApp On 30-NOV-2025 with the amount of aed 50 as payment is accepted by DeG and pending whitelist file was created on the same day with the expiry date as 29-MAY-2026 but the top up amount aed 50 is not reflected on the nol card as customer not used the card after the top up till 17-FEB-2026 and started using the card from 18-FEB-2026 onwards.  Due to whitelist quota full the top up amount will not reflect in the nol card even if customer used.  As requested, uploaded the data patch in BMC#1321685 &amp; Mantis#946 tickets. Kindly execute the provided data patch in OCHS Production DB and advise the customer as per RTA Internal Operational Process.  Tag Id: 2018648226 Card Id: 1142651930436736 Top-up Amount: Aed 50 Top-up Date: 30-NOV-2025 13:07:41 SP Transaction No: E2145652285E8530003919012(EPAY_MOBILE) Whitelist Id: 1 Whitelist Created Time: 30-NOV-2025 14:00:04 Whitelist Expiry Date: 29-MAY-2026 14:00:03 Whitelist Status: PEN   As the reported incident is addressed kindly verify and close the ticket.</t>
  </si>
  <si>
    <t>INC000001321684</t>
  </si>
  <si>
    <t>Al Jafreh</t>
  </si>
  <si>
    <t>Chanjal Panicker</t>
  </si>
  <si>
    <t>Modification performed on the VPN Profile. Kindly reconnect to the VPN for the policy to come into effect.</t>
  </si>
  <si>
    <t>Access Control</t>
  </si>
  <si>
    <t>V0031188</t>
  </si>
  <si>
    <t>avertra_amaljafreh</t>
  </si>
  <si>
    <t>Avertra_Ahmad.Aljafreh@rta.ae</t>
  </si>
  <si>
    <t>INC000001321683</t>
  </si>
  <si>
    <t>request 2522003 is already approved and a BMC ticket has been created, for future requests we have updated the user profile and it will go to the line manager as requested</t>
  </si>
  <si>
    <t>INC000001321680</t>
  </si>
  <si>
    <t>Alrais</t>
  </si>
  <si>
    <t>okalrais</t>
  </si>
  <si>
    <t>Omar.Alrais@rta.ae</t>
  </si>
  <si>
    <t>INC000001321673</t>
  </si>
  <si>
    <t>Aramex Arjun</t>
  </si>
  <si>
    <t>Khanal</t>
  </si>
  <si>
    <t>Procurement</t>
  </si>
  <si>
    <t>Activate account Request</t>
  </si>
  <si>
    <t>We have enabled the account in IAM system and in all downstream system, please ask user to reset password and try to login with new password today otherwise based on 90 days login and reset password policy, system automatically disable user account in AD application.    User Login: Aramex_akkhanal</t>
  </si>
  <si>
    <t>V005565</t>
  </si>
  <si>
    <t>Aramex_AKKhanal</t>
  </si>
  <si>
    <t>Aramex_Arjun.Khanal@rta.ae</t>
  </si>
  <si>
    <t>INC000001321670</t>
  </si>
  <si>
    <t>request 2522003 is already approved and a BMC ticket has been created, for new requests we have updated the user profile and it will go to the line manager as requested</t>
  </si>
  <si>
    <t>INC000001321669</t>
  </si>
  <si>
    <t>Yacob Saleh-Contractor</t>
  </si>
  <si>
    <t>As per the service request, we added the requested IPs of application/services to the user VPN profile. Sent Mail to check &amp; confirm the same. Since user already have VPN access &amp; It is a modification request (adding or removing applications / services). Hence we are resolving this ticket. Attached email below.</t>
  </si>
  <si>
    <t>V0032541</t>
  </si>
  <si>
    <t>trans_amsaleh</t>
  </si>
  <si>
    <t>Trans_Ahmed.Saleh@rta.ae</t>
  </si>
  <si>
    <t>INC000001321667</t>
  </si>
  <si>
    <t>Transfer to Other Emirates Cancellation</t>
  </si>
  <si>
    <t>Isoft Esam Otaibi</t>
  </si>
  <si>
    <t>E-Traffic L2 Support</t>
  </si>
  <si>
    <t>request rejected as requested request rejected as requested request rejected as requested</t>
  </si>
  <si>
    <t>INC000001321666</t>
  </si>
  <si>
    <t>Meera</t>
  </si>
  <si>
    <t>Dawood</t>
  </si>
  <si>
    <t>Outlook Issue - keep asking username and password</t>
  </si>
  <si>
    <t>Mail Client Issue</t>
  </si>
  <si>
    <t>Outlook Configuration Issue(RE)</t>
  </si>
  <si>
    <t>Old Password saved in “password vault” of user’s profile has been removed and restart outlook to take effects.</t>
  </si>
  <si>
    <t>Outlook Configuration Issue</t>
  </si>
  <si>
    <t>madawood</t>
  </si>
  <si>
    <t>Meera.Dawood@rta.ae</t>
  </si>
  <si>
    <t>INC000001321664</t>
  </si>
  <si>
    <t>Sherif</t>
  </si>
  <si>
    <t>Aboutaleb</t>
  </si>
  <si>
    <t>SOAboutaleb</t>
  </si>
  <si>
    <t>Sherif.Aboutaleb@rta.ae</t>
  </si>
  <si>
    <t>INC000001321662</t>
  </si>
  <si>
    <t>Ahli</t>
  </si>
  <si>
    <t>Laptop voice/audio issues</t>
  </si>
  <si>
    <t>Ali Adam</t>
  </si>
  <si>
    <t>OnSite  EUS</t>
  </si>
  <si>
    <t>Audio and Video</t>
  </si>
  <si>
    <t>Request for AV Devices (LED/LCD TVs &amp; audio)</t>
  </si>
  <si>
    <t>Techm_WAHassan</t>
  </si>
  <si>
    <t>OS Issue</t>
  </si>
  <si>
    <t>Device Driver Issue</t>
  </si>
  <si>
    <t>falahli</t>
  </si>
  <si>
    <t>Fatma.AlAhli@rta.ae</t>
  </si>
  <si>
    <t>INC000001321658</t>
  </si>
  <si>
    <t>Arun</t>
  </si>
  <si>
    <t>Kumar</t>
  </si>
  <si>
    <t>Changing the artifact type</t>
  </si>
  <si>
    <t>Arun Kumar</t>
  </si>
  <si>
    <t>IBM ELM DoorsNG</t>
  </si>
  <si>
    <t>Updated the artifact types and informed the user</t>
  </si>
  <si>
    <t>gbm_akkumar</t>
  </si>
  <si>
    <t>Configuration</t>
  </si>
  <si>
    <t>Application Mapping</t>
  </si>
  <si>
    <t>V0024178</t>
  </si>
  <si>
    <t>Gbm_Arun.Kumar@rta.ae</t>
  </si>
  <si>
    <t>INC000001321656</t>
  </si>
  <si>
    <t>Assil</t>
  </si>
  <si>
    <t>Bittar</t>
  </si>
  <si>
    <t>Outlook configuration - migrated user</t>
  </si>
  <si>
    <t>Mail</t>
  </si>
  <si>
    <t>Outlook Reconfiguration(RE)</t>
  </si>
  <si>
    <t>Educate user how to use MS authenticator app to open outlook.</t>
  </si>
  <si>
    <t>asbittar</t>
  </si>
  <si>
    <t>Assil.Bittar@rta.ae</t>
  </si>
  <si>
    <t>INC000001321655</t>
  </si>
  <si>
    <t>Marwan</t>
  </si>
  <si>
    <t>Obaid</t>
  </si>
  <si>
    <t>MSObaid</t>
  </si>
  <si>
    <t>Marwan.Obaid@rta.ae</t>
  </si>
  <si>
    <t>INC000001321653</t>
  </si>
  <si>
    <t>Benson</t>
  </si>
  <si>
    <t>Mathew</t>
  </si>
  <si>
    <t>Request for the Data center Access -</t>
  </si>
  <si>
    <t>Request for Datacenter/IDF Room Access</t>
  </si>
  <si>
    <t>Communicated with site security and access will be provided as per the list.</t>
  </si>
  <si>
    <t>V0022248</t>
  </si>
  <si>
    <t>techm_bjmathew</t>
  </si>
  <si>
    <t>Techm_Benson.Mathew@rta.ae</t>
  </si>
  <si>
    <t>INC000001321652</t>
  </si>
  <si>
    <t>INC000001321650</t>
  </si>
  <si>
    <t>Updating KPI on personal dashboard</t>
  </si>
  <si>
    <t>Custom Reports for Applications</t>
  </si>
  <si>
    <t>Created the KPI on updated on the personal dashboard</t>
  </si>
  <si>
    <t>Reports</t>
  </si>
  <si>
    <t>Application Report</t>
  </si>
  <si>
    <t>INC000001321648</t>
  </si>
  <si>
    <t>Bakrawy</t>
  </si>
  <si>
    <t>Ahmed Abdalrahman-Contractor</t>
  </si>
  <si>
    <t>V0026632</t>
  </si>
  <si>
    <t>okool_bmabdalrahman</t>
  </si>
  <si>
    <t>Okool_Bakrawy.Abdalrahman@rta.ae</t>
  </si>
  <si>
    <t>INC000001321646</t>
  </si>
  <si>
    <t>Elshiref</t>
  </si>
  <si>
    <t>MEElshiref</t>
  </si>
  <si>
    <t>Mohamed.Elshiref@rta.ae</t>
  </si>
  <si>
    <t>INC000001321643</t>
  </si>
  <si>
    <t>Avaya Amanda</t>
  </si>
  <si>
    <t>Rebello</t>
  </si>
  <si>
    <t>MS Office 365 activation Request</t>
  </si>
  <si>
    <t>Techm Wahbaelrahman Hassan</t>
  </si>
  <si>
    <t>RTA Non standard application  Request</t>
  </si>
  <si>
    <t>MS office professional(RE)</t>
  </si>
  <si>
    <t>MS Office 365 has been activated on the user machine successfully</t>
  </si>
  <si>
    <t>MS Office Professional</t>
  </si>
  <si>
    <t>V001296</t>
  </si>
  <si>
    <t>Avaya_AVRebello</t>
  </si>
  <si>
    <t>Avaya_Amanda.Rebello@rta.ae</t>
  </si>
  <si>
    <t>INC000001321642</t>
  </si>
  <si>
    <t>??? ????? ?? ???? ??????? ??? ??????? ??????? ???  ????? ????? ?????? ??? ??? ?? ??? ????? ???????</t>
  </si>
  <si>
    <t>INC000001321637</t>
  </si>
  <si>
    <t>Configure Smart Traffic URL on Microsoft Edge</t>
  </si>
  <si>
    <t>UMM RAMOOL -CUSTOMER SERVICE CENTER BLDG</t>
  </si>
  <si>
    <t>Profile Configuration</t>
  </si>
  <si>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</si>
  <si>
    <t>fmalblooshi</t>
  </si>
  <si>
    <t>Fatma.Alblooshi@rta.ae</t>
  </si>
  <si>
    <t>INC000001321635</t>
  </si>
  <si>
    <t>Hiba</t>
  </si>
  <si>
    <t>Falaknaz</t>
  </si>
  <si>
    <t>hmofalaknaz</t>
  </si>
  <si>
    <t>Hiba.MFalaknaz@rta.ae</t>
  </si>
  <si>
    <t>INC000001321634</t>
  </si>
  <si>
    <t>Samera</t>
  </si>
  <si>
    <t>Alshabebi</t>
  </si>
  <si>
    <t>Corporate Administrative Support Services CEO</t>
  </si>
  <si>
    <t>SAAlshabebi</t>
  </si>
  <si>
    <t>Samera.Alshabebi@rta.ae</t>
  </si>
  <si>
    <t>INC000001321633</t>
  </si>
  <si>
    <t>Rohana</t>
  </si>
  <si>
    <t>Abegunawardana</t>
  </si>
  <si>
    <t>Not able to access to TMS system</t>
  </si>
  <si>
    <t>Dear Rohana,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</si>
  <si>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V0031907</t>
  </si>
  <si>
    <t>trans_rsabegunawarda</t>
  </si>
  <si>
    <t>Trans_Rohana.Abegunawardana@rta.ae</t>
  </si>
  <si>
    <t>INC000001321632</t>
  </si>
  <si>
    <t>Outlook configuration</t>
  </si>
  <si>
    <t>The Outlook has been configured successfully as requested.</t>
  </si>
  <si>
    <t>INC000001321630</t>
  </si>
  <si>
    <t>Balram</t>
  </si>
  <si>
    <t>Devraj</t>
  </si>
  <si>
    <t>GAL Modification</t>
  </si>
  <si>
    <t>Jeetpal Singh</t>
  </si>
  <si>
    <t>As per the below request, mobile number has been updated, please check and confirm.</t>
  </si>
  <si>
    <t>V0034733</t>
  </si>
  <si>
    <t>techm_bddevraj</t>
  </si>
  <si>
    <t>Techm_Balram.Devraj@rta.ae</t>
  </si>
  <si>
    <t>INC000001321628</t>
  </si>
  <si>
    <t>Hashim</t>
  </si>
  <si>
    <t>SKHashim</t>
  </si>
  <si>
    <t>Shaikha.Hashim@rta.ae</t>
  </si>
  <si>
    <t>INC000001321625</t>
  </si>
  <si>
    <t>Suspicious IP to RTA Portal on 25 February 2026, 10:09:03</t>
  </si>
  <si>
    <t>INC000001321622</t>
  </si>
  <si>
    <t>Halloush</t>
  </si>
  <si>
    <t>VPN Configuration Request</t>
  </si>
  <si>
    <t>VPN Configuration</t>
  </si>
  <si>
    <t>We accessed remotely and configured the VPN for the user. Successfully connected.</t>
  </si>
  <si>
    <t>mzhalloush</t>
  </si>
  <si>
    <t>Mohammad.Halloush@rta.ae</t>
  </si>
  <si>
    <t>INC000001321617</t>
  </si>
  <si>
    <t>Oracle Configuration Request "Automation"</t>
  </si>
  <si>
    <t>User Education</t>
  </si>
  <si>
    <t>We accessed remotely and guided the user on how to configure the Oracle for Automation system accessing.</t>
  </si>
  <si>
    <t>INC000001321616</t>
  </si>
  <si>
    <t>Awadi</t>
  </si>
  <si>
    <t>kymohammed</t>
  </si>
  <si>
    <t>Khawla.Ymohammed@rta.ae</t>
  </si>
  <si>
    <t>INC000001321614</t>
  </si>
  <si>
    <t>Abeer</t>
  </si>
  <si>
    <t>Al Bannai</t>
  </si>
  <si>
    <t>User education</t>
  </si>
  <si>
    <t>UMM RAMOOL NEW HQ 3C</t>
  </si>
  <si>
    <t>Guided user with resetting Adobe account password using self-service features Successfully</t>
  </si>
  <si>
    <t>aaalbannai</t>
  </si>
  <si>
    <t>Abeer.AlBannai@RTA.ae</t>
  </si>
  <si>
    <t>INC000001321613</t>
  </si>
  <si>
    <t>Karam</t>
  </si>
  <si>
    <t>Dubai Traffic &amp; Roads CEO</t>
  </si>
  <si>
    <t xml:space="preserve">Authorized dep coordinator not configured yet </t>
  </si>
  <si>
    <t>vendor profile has been updated, and the user submitted the request 2516401 successfully</t>
  </si>
  <si>
    <t>AKAKaram</t>
  </si>
  <si>
    <t>Ahmad.Karam@rta.ae</t>
  </si>
  <si>
    <t>INC000001321612</t>
  </si>
  <si>
    <t>Sohail</t>
  </si>
  <si>
    <t xml:space="preserve">Mohammed Tahat   </t>
  </si>
  <si>
    <t>UMM RAMOOL NEW HQ 10C</t>
  </si>
  <si>
    <t>SMTahat</t>
  </si>
  <si>
    <t>Sohail.Tahat@rta.ae</t>
  </si>
  <si>
    <t>INC000001321609</t>
  </si>
  <si>
    <t>Minaas</t>
  </si>
  <si>
    <t>Mailbox Issue "Always Full"</t>
  </si>
  <si>
    <t>Mail Box Full(RE)</t>
  </si>
  <si>
    <t>We did manual archive and rasied a ticket for Data Archival team to enable EV access.</t>
  </si>
  <si>
    <t>Mail Box Full</t>
  </si>
  <si>
    <t>V0033895</t>
  </si>
  <si>
    <t>trans_mbalali</t>
  </si>
  <si>
    <t>Trans_Minaas.Alali@rta.ae</t>
  </si>
  <si>
    <t>INC000001321608</t>
  </si>
  <si>
    <t>Abdalla</t>
  </si>
  <si>
    <t>Alhosani</t>
  </si>
  <si>
    <t>Legal Affairs</t>
  </si>
  <si>
    <t>AKAlhosani</t>
  </si>
  <si>
    <t>Abdalla.Alhosani@rta.ae</t>
  </si>
  <si>
    <t>INC000001321604</t>
  </si>
  <si>
    <t>Marwa</t>
  </si>
  <si>
    <t>Marzooqi</t>
  </si>
  <si>
    <t>Browser Issue "Can not open Security Awarness"</t>
  </si>
  <si>
    <t>RTA Standard application Incidents</t>
  </si>
  <si>
    <t>we disabled the Ivanti VPN as long as the user is connected through RTA Network then the issue got solved.</t>
  </si>
  <si>
    <t>Google Chrome Issue</t>
  </si>
  <si>
    <t>mamarzooqi</t>
  </si>
  <si>
    <t>Marwa.Marzooqi@rta.ae</t>
  </si>
  <si>
    <t>INC000001321602</t>
  </si>
  <si>
    <t>Afaneh</t>
  </si>
  <si>
    <t>The PST for calendar archiving has been created successfully.</t>
  </si>
  <si>
    <t>smafaneh</t>
  </si>
  <si>
    <t>Suliman.Afaneh@rta.ae</t>
  </si>
  <si>
    <t>INC000001321601</t>
  </si>
  <si>
    <t>Fine Double Payment</t>
  </si>
  <si>
    <t>The journey was in sent for payment phase then the customer call move phase in this case the journey changed to ready for payment then called confirmed, the confirm check if the journey not in phase sent for payment it will fire exception and it's what is happened. we proceed with refund amount</t>
  </si>
  <si>
    <t>INC000001321597</t>
  </si>
  <si>
    <t>Jawaharali</t>
  </si>
  <si>
    <t>Mohaideen</t>
  </si>
  <si>
    <t>Unlock  VPN Request</t>
  </si>
  <si>
    <t>UMM RAMOOL NEW HQ 7C</t>
  </si>
  <si>
    <t>VPN has been configured on user machine successfully</t>
  </si>
  <si>
    <t>jmmohaideen</t>
  </si>
  <si>
    <t>Jawaharali.Mohaideen@rta.ae</t>
  </si>
  <si>
    <t>INC000001321596</t>
  </si>
  <si>
    <t>Ibrahim</t>
  </si>
  <si>
    <t>Mubarak</t>
  </si>
  <si>
    <t>ismubarak</t>
  </si>
  <si>
    <t>Ibrahim.Mubarak@rta.ae</t>
  </si>
  <si>
    <t>INC000001321594</t>
  </si>
  <si>
    <t>Syed</t>
  </si>
  <si>
    <t>Hussain-Contractor</t>
  </si>
  <si>
    <t>V0026873</t>
  </si>
  <si>
    <t>llc_sshussain</t>
  </si>
  <si>
    <t>Llc_Syed.Hussain@rta.ae</t>
  </si>
  <si>
    <t>INC000001321593</t>
  </si>
  <si>
    <t>Khalfan</t>
  </si>
  <si>
    <t>Al-ali</t>
  </si>
  <si>
    <t>KSAlali</t>
  </si>
  <si>
    <t>Khalfan.Alali@rta.ae</t>
  </si>
  <si>
    <t>INC000001321592</t>
  </si>
  <si>
    <t>RTA-1889394-J1X7 - Nol card Top up balance not reflected</t>
  </si>
  <si>
    <t>Customer top up the reported nol card 0275331841 from RTA MobileApp On 28-DEC-2025 with the amount of aed 30 as payment is accepted by DeG and pending whitelist file was created on the same day with the expiry date as 26-JUN-2026 but the top up amount aed 30 is not reflected on the nol card as customer not used the card after the top up till 18-FEB-2026 and started using the card from 19-FEB-2026 onwards.  Due to whitelist quota full the top up amount will not reflect in the nol card even if customer used.   As requested, uploaded the data patch in BMC#1321592 &amp; Mantis#945 tickets. Kindly execute the provided data patch in OCHS Production DB and advise the customer as per RTA Internal Operational Process.  Tag Id: 0275331841 Card Id: 1220796846732928 Top-up Amount: Aed 30 Top-up Date: 28-DEC-2025 19:07:22 SP Transaction No: E2145652285E8530003971393(EPAY_MOBILE) Whitelist Id: 1 Whitelist Created Time: 28-DEC-2025 20:00:15 Whitelist Expiry Date: 26-JUN-2026 20:00:15 Whitelist Status: PEN   As the reported incident is addressed kindly verify and close the ticket.</t>
  </si>
  <si>
    <t>INC000001321590</t>
  </si>
  <si>
    <t>Dhoha</t>
  </si>
  <si>
    <t>daahli</t>
  </si>
  <si>
    <t>Dhoha.Ahli@rta.ae</t>
  </si>
  <si>
    <t>INC000001321589</t>
  </si>
  <si>
    <t>RTA-1891775-H1V1 - ENBD Bank promotional Top up balance not reflected</t>
  </si>
  <si>
    <t>For card TagId: 0236302188, ENBD Bank has sent a promotional top-up for AED 269/- on 29-DEC-25 with an expiry date 23-MAR-2026 in Promotional top-up file PR291225.001. Per the promotional top-up functionality, customer has to use the card at Metro/Parking L1 in order to get the promotional amount given by bank. However, in this case after the promotional top-up whitelist for AED 269/- created on 29-DEC-2025, customer not used his card in any Metro/Parking L1 till 11-FEB-2026 and used the nol card on 12-FEB-2026 in "Metro" but not reflected in the nol card due to whitelist quota full.   However, promotional top-ups are not eligible to refund as promotional top-ups are complimentary topups given by Bank with set expiry to receive on to the cards. Hence, it cannot be refunded.   No OCHS issue. Hope this helps you to clarify the issue to customer.  Tag Id: 0236302188 Card Id: 1258331903452288 Top-up Amount: Aed 269 Top-up Date: 29-DEC-25 15:01:22 Promotional Top up File name: PR291225.001 Reference Number: BANKNET-2025-12-27-2176927 Whitelist Id: 7 Whitelist Created Time: 29-DEC-2025 16:04:16 Whitelist Expiry Date: 23-MAR-2026 00:00:00 Whitelist Status: PEN   As the reported incident is addressed kindly verify and close the ticket.</t>
  </si>
  <si>
    <t>INC000001321587</t>
  </si>
  <si>
    <t>Abbas</t>
  </si>
  <si>
    <t>MS Office Activation Request</t>
  </si>
  <si>
    <t>,NEW HQ UMM RAMOOL</t>
  </si>
  <si>
    <t>We accessed remotely and configured the MS Office 365</t>
  </si>
  <si>
    <t>afabbas</t>
  </si>
  <si>
    <t>Abbas.Abbas@rta.ae</t>
  </si>
  <si>
    <t>INC000001321585</t>
  </si>
  <si>
    <t>Abuhabel</t>
  </si>
  <si>
    <t>V0012823</t>
  </si>
  <si>
    <t>okool_mjabuhabel</t>
  </si>
  <si>
    <t>Okool_Mohammed.Abuhabel@rta.ae</t>
  </si>
  <si>
    <t>INC000001321582</t>
  </si>
  <si>
    <t>Prakash</t>
  </si>
  <si>
    <t>Network Folder Change Access</t>
  </si>
  <si>
    <t>Fayazahmed Rafi-Contractor</t>
  </si>
  <si>
    <t>Operation - Wintel Systems</t>
  </si>
  <si>
    <t>Hello Team,  Share Folder Access has been provided as per the request.</t>
  </si>
  <si>
    <t>System Domain</t>
  </si>
  <si>
    <t>System Management</t>
  </si>
  <si>
    <t>DFS - Network Folder Access New</t>
  </si>
  <si>
    <t>V0034741</t>
  </si>
  <si>
    <t>techm_prramasamy</t>
  </si>
  <si>
    <t>Techm_Prakash.Ramasamy@rta.ae</t>
  </si>
  <si>
    <t>INC000001321581</t>
  </si>
  <si>
    <t>Guide user to Reset Password through Self services portal.</t>
  </si>
  <si>
    <t>As per the request, SMS with Reset Password self-services URL has been shared with the user.</t>
  </si>
  <si>
    <t>AEAhli</t>
  </si>
  <si>
    <t>Ali.EAhli@rta.ae</t>
  </si>
  <si>
    <t>INC000001321579</t>
  </si>
  <si>
    <t>Jiji</t>
  </si>
  <si>
    <t>Kumar-Contractor</t>
  </si>
  <si>
    <t xml:space="preserve">Not able to log in to TMS system </t>
  </si>
  <si>
    <t>Dear Jijil,  You don't have access to the TMS system. Please send this request to the HR team.   Regards</t>
  </si>
  <si>
    <t>V0031908</t>
  </si>
  <si>
    <t>trans_jskumar</t>
  </si>
  <si>
    <t>Trans_Jiji.Kumar@rta.ae</t>
  </si>
  <si>
    <t>INC000001321578</t>
  </si>
  <si>
    <t>Gopinathan</t>
  </si>
  <si>
    <t>Gopinathan Gopalakrishnan-Contractor</t>
  </si>
  <si>
    <t>V0030645</t>
  </si>
  <si>
    <t>ebm_gggopalakrishnan</t>
  </si>
  <si>
    <t>Ebm_Gopinathan.Gopalakrishnan@rta.ae</t>
  </si>
  <si>
    <t>INC000001321576</t>
  </si>
  <si>
    <t>Khadija</t>
  </si>
  <si>
    <t>Abdulla</t>
  </si>
  <si>
    <t>Strategic Planning</t>
  </si>
  <si>
    <t>UMM RAMOOL NEW HQ 8A</t>
  </si>
  <si>
    <t>kasabdulla</t>
  </si>
  <si>
    <t>Khadija.Abdulla@RTA.ae</t>
  </si>
  <si>
    <t>INC000001321575</t>
  </si>
  <si>
    <t>Distribution List Modification</t>
  </si>
  <si>
    <t>As per the bmc note, we have added user (falahli) in _CustomerCare@rta.ae group please check.</t>
  </si>
  <si>
    <t>INC000001321574</t>
  </si>
  <si>
    <t>Bashar</t>
  </si>
  <si>
    <t>Alazzam</t>
  </si>
  <si>
    <t>BRAlazzam</t>
  </si>
  <si>
    <t>Bashar.Alazzam@rta.ae</t>
  </si>
  <si>
    <t>INC000001321573</t>
  </si>
  <si>
    <t>Sumiya</t>
  </si>
  <si>
    <t>Alshehhi</t>
  </si>
  <si>
    <t>SDAlshehhi</t>
  </si>
  <si>
    <t>Sumiya.Alshehhi@rta.ae</t>
  </si>
  <si>
    <t>INC000001321572</t>
  </si>
  <si>
    <t>Salem</t>
  </si>
  <si>
    <t>Alheraini</t>
  </si>
  <si>
    <t>The Outlook has been configured successfully.</t>
  </si>
  <si>
    <t>V0026362</t>
  </si>
  <si>
    <t>isoft_smalheraini</t>
  </si>
  <si>
    <t>Isoft_Salem.Alheraini@rta.ae</t>
  </si>
  <si>
    <t>INC000001321571</t>
  </si>
  <si>
    <t>Selwyn</t>
  </si>
  <si>
    <t>Rodrigues-Contractor</t>
  </si>
  <si>
    <t>V0032097</t>
  </si>
  <si>
    <t>mentz_sjrodrigues</t>
  </si>
  <si>
    <t>Mentz_Selwyn.Rodrigues@rta.ae</t>
  </si>
  <si>
    <t>INC000001321570</t>
  </si>
  <si>
    <t>Almulla</t>
  </si>
  <si>
    <t>Rail Planning &amp; Projects Development</t>
  </si>
  <si>
    <t>Guide user to Unlock Account through Self services portal.</t>
  </si>
  <si>
    <t>The account has been unlocked successfully.</t>
  </si>
  <si>
    <t>fmohalmulla</t>
  </si>
  <si>
    <t>Fatima.MAlmulla@rta.ae</t>
  </si>
  <si>
    <t>INC000001321569</t>
  </si>
  <si>
    <t>Deep</t>
  </si>
  <si>
    <t>Thampan</t>
  </si>
  <si>
    <t>I am unable to login to TMS system to complete IPP</t>
  </si>
  <si>
    <t>Dear Deep,  You don't have access to the TMS system. Please send this request to the HR team.   Regards</t>
  </si>
  <si>
    <t>V0031695</t>
  </si>
  <si>
    <t>trans_dtthampan</t>
  </si>
  <si>
    <t>Trans_Deep.Thampan@rta.ae</t>
  </si>
  <si>
    <t>INC000001321568</t>
  </si>
  <si>
    <t>Hamdan</t>
  </si>
  <si>
    <t>Internal Audit</t>
  </si>
  <si>
    <t>adobe acrobat pro log in issue</t>
  </si>
  <si>
    <t>Adobe Acrobat Professional</t>
  </si>
  <si>
    <t>issue got resolved after resetting the adobe acrobat reader password</t>
  </si>
  <si>
    <t>afhamdan</t>
  </si>
  <si>
    <t>Ahmed.Hamdan@rta.ae</t>
  </si>
  <si>
    <t>INC000001321567</t>
  </si>
  <si>
    <t>INC000001321566</t>
  </si>
  <si>
    <t>Abhishek Pal</t>
  </si>
  <si>
    <t>As per the bmc note, we have added user (falahli) in _CustomerCareTeamMembers@rta.ae group please check.</t>
  </si>
  <si>
    <t>INC000001321565</t>
  </si>
  <si>
    <t>Lana</t>
  </si>
  <si>
    <t>Al-fraihat</t>
  </si>
  <si>
    <t>Outlook Issue - keep asking for password</t>
  </si>
  <si>
    <t>Old Passwordsaved in “password vault” of user’s profile from  windows credential option</t>
  </si>
  <si>
    <t>V0017130</t>
  </si>
  <si>
    <t>reach_lbalfraihat</t>
  </si>
  <si>
    <t>Reach_Lana.Alfraihat@rta.ae</t>
  </si>
  <si>
    <t>INC000001321563</t>
  </si>
  <si>
    <t>Jerick</t>
  </si>
  <si>
    <t>Pizarra</t>
  </si>
  <si>
    <t>PAM access added to the VPN Profile. Please reconnect to the VPN to access PAM https://pam.rta.ae/PasswordVault .  If facing issue in opening the PAM URL, then please have a host file entry performed as below:  10.11.125.14        pam.rta.ae        psmgw.rta.ae</t>
  </si>
  <si>
    <t>V0032583</t>
  </si>
  <si>
    <t>conduent_jgpizarra</t>
  </si>
  <si>
    <t>Conduent_Jerick.Pizarra@rta.ae</t>
  </si>
  <si>
    <t>INC000001321562</t>
  </si>
  <si>
    <t>1645019_Threat Activity Detected</t>
  </si>
  <si>
    <t>INC000001321561</t>
  </si>
  <si>
    <t>Najla</t>
  </si>
  <si>
    <t>Al Kabe</t>
  </si>
  <si>
    <t>Right of Way</t>
  </si>
  <si>
    <t>New Email Account Creation request</t>
  </si>
  <si>
    <t>UMM RAMOOL -OLD STORE</t>
  </si>
  <si>
    <t>As per the below request, we have activated below user for the Email ID Activation please check and try to login now.  Employee Number: 15982 User Login: HAALVI E-mail: Haider.Alvi@rta.ae Display Name: Haider Abdul Mannan Alvi</t>
  </si>
  <si>
    <t>nakabe</t>
  </si>
  <si>
    <t>najla.alkabe@rta.ae</t>
  </si>
  <si>
    <t>INC000001321560</t>
  </si>
  <si>
    <t>?????????</t>
  </si>
  <si>
    <t>????</t>
  </si>
  <si>
    <t>As per the subjected service request, we added the requested IPs of application/services to your VPN profile. Sent Mail to the user to Kindly check the same by reconnecting to the VPN. Attached email below. Hence we are resolving this ticket.</t>
  </si>
  <si>
    <t>V004202</t>
  </si>
  <si>
    <t>Energy_ASSaleh</t>
  </si>
  <si>
    <t>Energy_Abdulwahab.Saleh@rta.ae</t>
  </si>
  <si>
    <t>INC000001321557</t>
  </si>
  <si>
    <t>Alharith</t>
  </si>
  <si>
    <t>As per the service request, VPN access is successfully extended for the user - aahmohammad . Hence resolving the incident.</t>
  </si>
  <si>
    <t>aahmohammad</t>
  </si>
  <si>
    <t>Alharith.Mohammad@rta.ae</t>
  </si>
  <si>
    <t>INC000001321555</t>
  </si>
  <si>
    <t>Suspicious IP to RTA Portal on 25 February 2026, 09:07:23</t>
  </si>
  <si>
    <t>INC000001321554</t>
  </si>
  <si>
    <t>Isoft Portal</t>
  </si>
  <si>
    <t>Support</t>
  </si>
  <si>
    <t>Staging Deployment request</t>
  </si>
  <si>
    <t>Techm Ranjith Tamilselvan</t>
  </si>
  <si>
    <t>Portal Ops - WebSphere</t>
  </si>
  <si>
    <t>1C,New HQ, Umm Ramool</t>
  </si>
  <si>
    <t>Portal</t>
  </si>
  <si>
    <t>WebSphere Portal Server</t>
  </si>
  <si>
    <t>Deployment</t>
  </si>
  <si>
    <t>We have completed the deployment.</t>
  </si>
  <si>
    <t>Isoft_Portalsupport</t>
  </si>
  <si>
    <t>Request for Deployment – Non production</t>
  </si>
  <si>
    <t>Isoft_Portalsupport@rta.ae</t>
  </si>
  <si>
    <t>INC000001321553</t>
  </si>
  <si>
    <t>Staging Deployment</t>
  </si>
  <si>
    <t>INC000001321552</t>
  </si>
  <si>
    <t>??? ???</t>
  </si>
  <si>
    <t>knowledge test already passed and not cancelled due to not complete 2 years transaction cancelled yard test due to it complete more than 1 year as a business</t>
  </si>
  <si>
    <t>INC000001321551</t>
  </si>
  <si>
    <t>Ghada</t>
  </si>
  <si>
    <t>AlShaiba</t>
  </si>
  <si>
    <t>External Monitor Issue</t>
  </si>
  <si>
    <t>Techm Elsayed Mohamed</t>
  </si>
  <si>
    <t>Yes</t>
  </si>
  <si>
    <t>PC Hardware Issue</t>
  </si>
  <si>
    <t>Docking Station Issue</t>
  </si>
  <si>
    <t>GAAlshaiba</t>
  </si>
  <si>
    <t>Ghada.Alshaiba@rta.ae</t>
  </si>
  <si>
    <t>INC000001321549</t>
  </si>
  <si>
    <t>1644961_Threat Activity Detected</t>
  </si>
  <si>
    <t>INC000001321545</t>
  </si>
  <si>
    <t>Najla Abdulqader</t>
  </si>
  <si>
    <t>Sabyani</t>
  </si>
  <si>
    <t>As per the service request, VPN access is successfully extended for the user - nasabyani. Hence resolving the incident.</t>
  </si>
  <si>
    <t>nasabyani</t>
  </si>
  <si>
    <t>najla.sabyani@rta.ae</t>
  </si>
  <si>
    <t>INC000001321539</t>
  </si>
  <si>
    <t>Imad</t>
  </si>
  <si>
    <t>Khochman</t>
  </si>
  <si>
    <t>Request to activate office 365 license</t>
  </si>
  <si>
    <t>MS Office Installation Request</t>
  </si>
  <si>
    <t>Request to activate office 365 license in excel app: - Go to file. - Office account. - Sign in. - Enter username@rta.ae - Enter password. - click option to sign in to all MS apps.</t>
  </si>
  <si>
    <t>V0033310</t>
  </si>
  <si>
    <t>tms_ikkhochman</t>
  </si>
  <si>
    <t>Tms_Imad.Khochman@rta.ae</t>
  </si>
  <si>
    <t>INC000001321535</t>
  </si>
  <si>
    <t>Jalal</t>
  </si>
  <si>
    <t>Bshart</t>
  </si>
  <si>
    <t>Dubai Transport CEO</t>
  </si>
  <si>
    <t>Browser issue - not able to open automation</t>
  </si>
  <si>
    <t>jabshart</t>
  </si>
  <si>
    <t>Jalal.Bshart@rta.ae</t>
  </si>
  <si>
    <t>INC000001321534</t>
  </si>
  <si>
    <t>Ameera</t>
  </si>
  <si>
    <t>Sorouri</t>
  </si>
  <si>
    <t>UMM RAMOOL NEW HQ 1A</t>
  </si>
  <si>
    <t>Dear Ameera,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</si>
  <si>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aasorouri</t>
  </si>
  <si>
    <t>Ameera.Sorouri@RTA.ae</t>
  </si>
  <si>
    <t>INC000001321532</t>
  </si>
  <si>
    <t>TVM-262241</t>
  </si>
  <si>
    <t>Our team found the amount jammed in the BNA and kept inside the machine, Claim is valid for 20 AED. See the ticket INC000001321338 for more details</t>
  </si>
  <si>
    <t>Ind-Task</t>
  </si>
  <si>
    <t>INC000001321530</t>
  </si>
  <si>
    <t>Avinash</t>
  </si>
  <si>
    <t>Dsouza</t>
  </si>
  <si>
    <t>MDC DG PM visit2 for the month of Feb26</t>
  </si>
  <si>
    <t>Avinash Dsouza</t>
  </si>
  <si>
    <t>Pm work has been completed found al system has working in normal condition.</t>
  </si>
  <si>
    <t>techm_apdsouza</t>
  </si>
  <si>
    <t>V0012518</t>
  </si>
  <si>
    <t>Techm_Avinash.Dsouza@rta.ae</t>
  </si>
  <si>
    <t>INC000001321526</t>
  </si>
  <si>
    <t>Okool Ahmed</t>
  </si>
  <si>
    <t>Rashwan</t>
  </si>
  <si>
    <t>As per the request, SMS with Unlock Account self-services URL has been shared with the user.</t>
  </si>
  <si>
    <t>V0010984</t>
  </si>
  <si>
    <t>okool_aarashwan</t>
  </si>
  <si>
    <t>Okool_Ahmed.Rashwan@rta.ae</t>
  </si>
  <si>
    <t>INC000001321525</t>
  </si>
  <si>
    <t>1644900_Threat Activity Detected</t>
  </si>
  <si>
    <t>INC000001321524</t>
  </si>
  <si>
    <t>1644904_Threat Activity Detected</t>
  </si>
  <si>
    <t>INC000001321523</t>
  </si>
  <si>
    <t>1644911_Threat Activity Detected</t>
  </si>
  <si>
    <t>INC000001321522</t>
  </si>
  <si>
    <t>Upon checking, we found that student had removed the seatbelt immediately &amp; before the exam end process is completed.   RCA: The student had removed the seatbelt immediately &amp; before the exam end process is completed.</t>
  </si>
  <si>
    <t>INC000001321521</t>
  </si>
  <si>
    <t>Bus Supervisor Permit</t>
  </si>
  <si>
    <t>check now  check now  check now  check now  check now  check now  check now  check now</t>
  </si>
  <si>
    <t>INC000001321519</t>
  </si>
  <si>
    <t>Zeyada</t>
  </si>
  <si>
    <t>Saeed</t>
  </si>
  <si>
    <t>Guide user to unlock through Self services portal.</t>
  </si>
  <si>
    <t>As per the request, SMS with Unlock self-services URL has been shared with the user.</t>
  </si>
  <si>
    <t>zbsaeed</t>
  </si>
  <si>
    <t>Zeyada.Saeed@rta.ae</t>
  </si>
  <si>
    <t>INC000001321518</t>
  </si>
  <si>
    <t>UNABLE TO ENTER DUE TO OWNERCHANGE Sidath.DeSilva-External@alfuttaim.com</t>
  </si>
  <si>
    <t>Dear user,we have observed like the mentioned vehicle 38492/B is having an active borrowing and active contract, kindly close the rental contract and then try to return the vehicle,post that you will be able to add the new agreements</t>
  </si>
  <si>
    <t>INC000001321517</t>
  </si>
  <si>
    <t>1644892_Threat Activity Detected</t>
  </si>
  <si>
    <t>INC000001321514</t>
  </si>
  <si>
    <t>??? ?? ??????? ??? 1</t>
  </si>
  <si>
    <t>We had adjusted the car points.  RCA: Car points adjustment.</t>
  </si>
  <si>
    <t>INC000001321512</t>
  </si>
  <si>
    <t>Alzarooni</t>
  </si>
  <si>
    <t>GIS Data Update And Import Request</t>
  </si>
  <si>
    <t>Techm Harshad Darji</t>
  </si>
  <si>
    <t>Enterprise Geographical Is(GIS)</t>
  </si>
  <si>
    <t xml:space="preserve">GIS Data Update &amp; Import Request Request Information 2518592 INC000001321512 Project Name / Purpose * GIS update for MParking and Parking Lots for below community Business Requirements * International City Phase – 1- WARSAN FIRST PL-96 Nos, POD -2- 621-Q 1. Updated data for Parking lots and MParking is available in below mentioned versions. M parking –  change implemented </t>
  </si>
  <si>
    <t>haalzarooni</t>
  </si>
  <si>
    <t>Hind.AAlzarooni@rta.ae</t>
  </si>
  <si>
    <t>INC000001321511</t>
  </si>
  <si>
    <t>Mustafa</t>
  </si>
  <si>
    <t xml:space="preserve">GIS Data Update &amp; Import Request Request Information 2509800 INC000001321511 Project Name / Purpose * Truck Ban Business Requirements * Update the : 1) TRUCK_BAN_ROUTES 2) TRUCK_BAN_AREAS The updated data is now available in the GIS database “FM_18Nov2025” version change implemented </t>
  </si>
  <si>
    <t>mabdomar</t>
  </si>
  <si>
    <t>Mustafa.AOmar@rta.ae</t>
  </si>
  <si>
    <t>INC000001321510</t>
  </si>
  <si>
    <t>Suspicious IP to RTA Portal on 25 February 2026, 08:05:55</t>
  </si>
  <si>
    <t>INC000001321508</t>
  </si>
  <si>
    <t>Rolta Essameldin</t>
  </si>
  <si>
    <t>Eldakak</t>
  </si>
  <si>
    <t>GIS Web Service Request</t>
  </si>
  <si>
    <t xml:space="preserve">GIS Web Service Request Request Information 2517480 INC000001321508 Project Name / Purpose * TES / Traffic Engineering System , staging TES TIS Final Study Work Area ESRI Map Service ESRI Feature Service  Business Requirements * publish the basemap service change implemented </t>
  </si>
  <si>
    <t>V006973</t>
  </si>
  <si>
    <t>Rolta_EYEldakak</t>
  </si>
  <si>
    <t>Rolta_Essameldin.Eldakak@rta.ae</t>
  </si>
  <si>
    <t>INC000001321505</t>
  </si>
  <si>
    <t>Nihad</t>
  </si>
  <si>
    <t>Thiyyakandy</t>
  </si>
  <si>
    <t>Software Installing Request</t>
  </si>
  <si>
    <t>user was informed that he was already added to the MS office 365 incense group</t>
  </si>
  <si>
    <t>V0034622</t>
  </si>
  <si>
    <t>alsahra_nmthiyyakand</t>
  </si>
  <si>
    <t>Alsahra_Nihad.Thiyyakandy@rta.ae</t>
  </si>
  <si>
    <t>INC000001321502</t>
  </si>
  <si>
    <t>Ibrar</t>
  </si>
  <si>
    <t>Sher</t>
  </si>
  <si>
    <t>Aryam Juma Mohammad Albasata Albasata</t>
  </si>
  <si>
    <t>checked with the user User is already having an O365 license assigned</t>
  </si>
  <si>
    <t>MS Office 2013 Professional</t>
  </si>
  <si>
    <t>V0034087</t>
  </si>
  <si>
    <t>srsl_iasher</t>
  </si>
  <si>
    <t>Srsl_Ibrar.Sher@rta.ae</t>
  </si>
  <si>
    <t>INC000001321501</t>
  </si>
  <si>
    <t>MDC access to Emircom team for ABT project</t>
  </si>
  <si>
    <t>Datacenter/IDF Room Access</t>
  </si>
  <si>
    <t>Communicated with site security and access will be provided as per the list</t>
  </si>
  <si>
    <t>INC000001321500</t>
  </si>
  <si>
    <t>Muftah</t>
  </si>
  <si>
    <t>issue date</t>
  </si>
  <si>
    <t>Affan Ahmad</t>
  </si>
  <si>
    <t>EA-BPM</t>
  </si>
  <si>
    <t>Issue has been resolved communicated to user</t>
  </si>
  <si>
    <t>Create / Update Records</t>
  </si>
  <si>
    <t>nmmuftah</t>
  </si>
  <si>
    <t>Nasser.Muftah@rta.ae</t>
  </si>
  <si>
    <t>INC000001321499</t>
  </si>
  <si>
    <t>??? ?? ??????? ????? 5</t>
  </si>
  <si>
    <t>INC000001321498</t>
  </si>
  <si>
    <t>INC000001321496</t>
  </si>
  <si>
    <t>1644787_Threat Activity Detected</t>
  </si>
  <si>
    <t>INC000001321495</t>
  </si>
  <si>
    <t>Suspicious IP to RTA Portal on 25 February 2026, 07:04:49</t>
  </si>
  <si>
    <t>INC000001321494</t>
  </si>
  <si>
    <t>STS</t>
  </si>
  <si>
    <t>Request 16731846</t>
  </si>
  <si>
    <t>Motaz Kijaera</t>
  </si>
  <si>
    <t>STS L1 Support</t>
  </si>
  <si>
    <t>The requested test video record link shared by email</t>
  </si>
  <si>
    <t>dubait_makijaera</t>
  </si>
  <si>
    <t>STSSupport</t>
  </si>
  <si>
    <t>STSSupport@rta.ae</t>
  </si>
  <si>
    <t>INC000001321493</t>
  </si>
  <si>
    <t>Request 16695506</t>
  </si>
  <si>
    <t>INC000001321492</t>
  </si>
  <si>
    <t>Request 17172007</t>
  </si>
  <si>
    <t>INC000001321490</t>
  </si>
  <si>
    <t>Request 16974377</t>
  </si>
  <si>
    <t>INC000001321488</t>
  </si>
  <si>
    <t>Request 17121340</t>
  </si>
  <si>
    <t>INC000001321487</t>
  </si>
  <si>
    <t>Kamal</t>
  </si>
  <si>
    <t>Idris</t>
  </si>
  <si>
    <t>Booting Issue</t>
  </si>
  <si>
    <t>1-Extensive/Widespread</t>
  </si>
  <si>
    <t>1-Critical</t>
  </si>
  <si>
    <t>techm_mbsiragelnour</t>
  </si>
  <si>
    <t>Critical</t>
  </si>
  <si>
    <t>V0013246</t>
  </si>
  <si>
    <t>okool_kyidris</t>
  </si>
  <si>
    <t>Okool_Kamal.Idris@rta.ae</t>
  </si>
  <si>
    <t>INC000001321486</t>
  </si>
  <si>
    <t>Request 17183828</t>
  </si>
  <si>
    <t>INC000001321485</t>
  </si>
  <si>
    <t>1644722_Threat Activity Detected</t>
  </si>
  <si>
    <t>INC000001321484</t>
  </si>
  <si>
    <t>1644697_Threat Activity Detected</t>
  </si>
  <si>
    <t>INC000001321483</t>
  </si>
  <si>
    <t>Akshay</t>
  </si>
  <si>
    <t>Eesarapu</t>
  </si>
  <si>
    <t>VPN Reset Request</t>
  </si>
  <si>
    <t>Mohamed Siragelnour</t>
  </si>
  <si>
    <t>Closed as per user confirmation.</t>
  </si>
  <si>
    <t>V0031111</t>
  </si>
  <si>
    <t>electronic_aeeesarap</t>
  </si>
  <si>
    <t>Electronic_Akshay.Eesarapu@rta.ae</t>
  </si>
  <si>
    <t>INC000001321482</t>
  </si>
  <si>
    <t>Anji</t>
  </si>
  <si>
    <t>Alghafeer</t>
  </si>
  <si>
    <t>The account "BSMaintenance" has been unlocked successfully.</t>
  </si>
  <si>
    <t>V0025357</t>
  </si>
  <si>
    <t>srsl_ahalghafeer</t>
  </si>
  <si>
    <t>Srsl_Anji.Alghafeer@rta.ae</t>
  </si>
  <si>
    <t>INC000001321481</t>
  </si>
  <si>
    <t>Suspicious IP to RTA Portal on 25 February 2026, 06:04:38</t>
  </si>
  <si>
    <t>INC000001321479</t>
  </si>
  <si>
    <t>1644645_Threat Activity Detected</t>
  </si>
  <si>
    <t>INC000001321478</t>
  </si>
  <si>
    <t>1644608_Threat Activity Detected</t>
  </si>
  <si>
    <t>INC000001321477</t>
  </si>
  <si>
    <t>Omer</t>
  </si>
  <si>
    <t>Masaad</t>
  </si>
  <si>
    <t>BUS-2523</t>
  </si>
  <si>
    <t>Our intervention completed  No issue found  All cico operational  Tested</t>
  </si>
  <si>
    <t>Electronic Validator (EVD)</t>
  </si>
  <si>
    <t>ommasaad</t>
  </si>
  <si>
    <t>Omer.Masaad@rta.ae</t>
  </si>
  <si>
    <t>INC000001321476</t>
  </si>
  <si>
    <t>Suspicious IP to RTA Portal on 25 February 2026, 05:04:21</t>
  </si>
  <si>
    <t>INC000001321475</t>
  </si>
  <si>
    <t>Fathima</t>
  </si>
  <si>
    <t>Binth Salam</t>
  </si>
  <si>
    <t>Gudied user to unlock account via self-service</t>
  </si>
  <si>
    <t>V0030591</t>
  </si>
  <si>
    <t>trans_fsbinthsalam</t>
  </si>
  <si>
    <t>Trans_Fathima.Binthsalam@rta.ae</t>
  </si>
  <si>
    <t>INC000001321474</t>
  </si>
  <si>
    <t>CSC Alert - Scan Failure Detected - 24022026-02</t>
  </si>
  <si>
    <t>Techm Osama Abdullatif</t>
  </si>
  <si>
    <t>Proactive Monitoring</t>
  </si>
  <si>
    <t>Proactive Action</t>
  </si>
  <si>
    <t>INC000001321473</t>
  </si>
  <si>
    <t>- C Partition has been freed by 50+ GB, Full scan started.</t>
  </si>
  <si>
    <t>Disk Space</t>
  </si>
  <si>
    <t>Low Disk Space(RE)</t>
  </si>
  <si>
    <t>INC000001321472</t>
  </si>
  <si>
    <t>Suspicious IP to RTA Portal on 25 February 2026, 04:04:19</t>
  </si>
  <si>
    <t>INC000001321471</t>
  </si>
  <si>
    <t>Suspicious IP to RTA Portal on 25 February 2026, 03:04:29</t>
  </si>
  <si>
    <t>INC000001321470</t>
  </si>
  <si>
    <t>BUS-2733</t>
  </si>
  <si>
    <t>Our intervention completed  Cico 3 hang Replaced cico All cico operational  Tested</t>
  </si>
  <si>
    <t>EVD Out of Service</t>
  </si>
  <si>
    <t>INC000001321469</t>
  </si>
  <si>
    <t>BUS-2730</t>
  </si>
  <si>
    <t>Intervetion completed  Tested with NOL card  No issue found All cico operational</t>
  </si>
  <si>
    <t>INC000001321468</t>
  </si>
  <si>
    <t>BUS-2723</t>
  </si>
  <si>
    <t>INC000001321467</t>
  </si>
  <si>
    <t>TVM-262240</t>
  </si>
  <si>
    <t>Preventive Maintenance completed,Cleaned and check TVM functionality,No issue found,Ping back end successfully,TVM operational.</t>
  </si>
  <si>
    <t>INC000001321466</t>
  </si>
  <si>
    <t>TVM-262208</t>
  </si>
  <si>
    <t>Preventive Maintenance completed on 21/02/26,Cleaned and check TVM functionality,No issue found,Ping back end successfully,TVM operational.</t>
  </si>
  <si>
    <t>INC000001321465</t>
  </si>
  <si>
    <t>BAY-46L1-2020-1090</t>
  </si>
  <si>
    <t>Real Time Passenger Information (RTPI)</t>
  </si>
  <si>
    <t>Service Targets Breached</t>
  </si>
  <si>
    <t>Reason:- Preventive Maintenance   Action:- Done   Name :-Azeez   Attended Time:-21:28</t>
  </si>
  <si>
    <t>EXPO RTPI Screens</t>
  </si>
  <si>
    <t>INC000001321463</t>
  </si>
  <si>
    <t>BAY-G6-46P1-FS-2020-1075</t>
  </si>
  <si>
    <t>Reason:- Preventive Maintenance   Action:- Done   Name :-Azeez   Attended Time:-21:15</t>
  </si>
  <si>
    <t>INC000001321462</t>
  </si>
  <si>
    <t>OUM-75P1-FS-2020-1066</t>
  </si>
  <si>
    <t>Reason: PM   Action: PM Done   Attender Name: Kishor Bangera   Attend Time: 23:20</t>
  </si>
  <si>
    <t>INC000001321461</t>
  </si>
  <si>
    <t>OUM-446P1-FS-2020-1076</t>
  </si>
  <si>
    <t>Reason: PM  Action: PM Done   Attender Name: Kishor Bangera   Attend Time: 23:10</t>
  </si>
  <si>
    <t>INC000001321458</t>
  </si>
  <si>
    <t>JAF-46P1-FS-2020-1074</t>
  </si>
  <si>
    <t>Reason :Pm  Action  : done  Attend Time :12:00</t>
  </si>
  <si>
    <t>INC000001321457</t>
  </si>
  <si>
    <t>JAF-46L1-WM-2020-1098</t>
  </si>
  <si>
    <t>Reason :Pm  Action  : done  Attend Time :12:20</t>
  </si>
  <si>
    <t>INC000001321456</t>
  </si>
  <si>
    <t>JAF-46L1-WM-2020-1099</t>
  </si>
  <si>
    <t>Reason :Pm  Action  : done  Attend Time :11:50</t>
  </si>
  <si>
    <t>INC000001321455</t>
  </si>
  <si>
    <t>JAF-46L1-WM-2020-1089</t>
  </si>
  <si>
    <t>Reason :Pm  Action  : done  Attend Time :12:10</t>
  </si>
  <si>
    <t>INC000001321454</t>
  </si>
  <si>
    <t>JAF-46L1-WM-2020-1088</t>
  </si>
  <si>
    <t>Reason :Pm  Action  : Done  Attend Time :11:45</t>
  </si>
  <si>
    <t>INC000001321453</t>
  </si>
  <si>
    <t>Suspicious IP to RTA Portal on 25 February 2026, 02:04:51</t>
  </si>
  <si>
    <t>INC000001321452</t>
  </si>
  <si>
    <t>BUS-2390</t>
  </si>
  <si>
    <t>Intervetion completed  No issue found  Tested with NOL card  All cico operational</t>
  </si>
  <si>
    <t>INC000001321449</t>
  </si>
  <si>
    <t>Suspicious IP to RTA Portal on 25 February 2026, 01:05:24</t>
  </si>
  <si>
    <t>INC000001321432</t>
  </si>
  <si>
    <t>1644232_Threat Activity Detected</t>
  </si>
  <si>
    <t>INC000001321431</t>
  </si>
  <si>
    <t>1644240_Threat Activity Detected</t>
  </si>
  <si>
    <t>INC000001321429</t>
  </si>
  <si>
    <t>Saravana</t>
  </si>
  <si>
    <t>Manimuthu</t>
  </si>
  <si>
    <t>Week4 Weekly health check in RTAHQ &amp; Remote locations - February 2026</t>
  </si>
  <si>
    <t>Edwin Daria</t>
  </si>
  <si>
    <t>AMC</t>
  </si>
  <si>
    <t>Proactive Health check</t>
  </si>
  <si>
    <t>The Week 4 weekly health check for the Transport Museum, peformed by Aesthetix has been completed.</t>
  </si>
  <si>
    <t>Proactive Health Check/Event Support</t>
  </si>
  <si>
    <t>V0030254</t>
  </si>
  <si>
    <t>aesthetix_skmanimuth</t>
  </si>
  <si>
    <t>Aesthetix_Saravana.Manimuthu@rta.ae</t>
  </si>
  <si>
    <t>INC000001321428</t>
  </si>
  <si>
    <t>The Week 4 weekly health check for the Hoylu in 4IR Mobility Lab, peformed by Aesthetix has been completed.</t>
  </si>
  <si>
    <t>INC000001321427</t>
  </si>
  <si>
    <t>The Week 4 weekly health check for the Dome in 4IR Mobility Lab, peformed by Aesthetix has been completed.</t>
  </si>
  <si>
    <t>INC000001321426</t>
  </si>
  <si>
    <t>Week4 Day3 Daily &amp; weekly health check in RTAHQ &amp; Remote locations - February 2026</t>
  </si>
  <si>
    <t>The Week 4 Day 3 Daily health check for Customer Happiness Center Umm Ramool has been completed.</t>
  </si>
  <si>
    <t>INC000001321425</t>
  </si>
  <si>
    <t>The Week 4 Day 3 Daily health check for 8B, 8C &amp; 9B Critical Area has been completed.</t>
  </si>
  <si>
    <t>INC000001321424</t>
  </si>
  <si>
    <t>The Week 4 Day 3 Daily health check for Al Wasl Auditorium has been completed.</t>
  </si>
  <si>
    <t>INC000001321423</t>
  </si>
  <si>
    <t>Surjeet</t>
  </si>
  <si>
    <t>Samanta</t>
  </si>
  <si>
    <t>Nexthink: Device error 0X133</t>
  </si>
  <si>
    <t>Surjeet Samanta</t>
  </si>
  <si>
    <t>SCCM-Nexthink Support</t>
  </si>
  <si>
    <t>Required registry fix has been applied to the affected PC.  No further action require</t>
  </si>
  <si>
    <t>V0024624</t>
  </si>
  <si>
    <t>techm_sjsamanta</t>
  </si>
  <si>
    <t>Techm_Surjeet.Samanta@rta.ae</t>
  </si>
  <si>
    <t>INC000001321422</t>
  </si>
  <si>
    <t>?????? ????? ????? ?? ????</t>
  </si>
  <si>
    <t>The journey was pending confirmation  The journey confirmed and the customer can try now</t>
  </si>
  <si>
    <t>INC000001321421</t>
  </si>
  <si>
    <t>BUS-2136</t>
  </si>
  <si>
    <t>Our intervention completed  Recommissioned all cico due to repeated  All cico Operational  Tested</t>
  </si>
  <si>
    <t>INC000001321420</t>
  </si>
  <si>
    <t>The journey cancelled The journeys deleted from the Transaction history</t>
  </si>
  <si>
    <t>INC000001321418</t>
  </si>
  <si>
    <t>The account "ec3 itservicedesk" has been unlocked successfully.</t>
  </si>
  <si>
    <t>INC000001321417</t>
  </si>
  <si>
    <t>The fines was locked for another journey The locking released and the customer can try now</t>
  </si>
  <si>
    <t>INC000001321416</t>
  </si>
  <si>
    <t>Avaya Mohammed</t>
  </si>
  <si>
    <t>Aziez</t>
  </si>
  <si>
    <t>renew vehicle issue</t>
  </si>
  <si>
    <t>Avaya Mohammed Aziez</t>
  </si>
  <si>
    <t>The plates delivered in another transactions The journey closed</t>
  </si>
  <si>
    <t>Avaya_MHOUAziez</t>
  </si>
  <si>
    <t>V004265</t>
  </si>
  <si>
    <t>Avaya_Mohammed.HoAziez@rta.ae</t>
  </si>
  <si>
    <t>INC000001321415</t>
  </si>
  <si>
    <t>Suspicious IP to RTA Portal on 24 February 2026, 23:06:54</t>
  </si>
  <si>
    <t>INC000001321414</t>
  </si>
  <si>
    <t>TVM-262198</t>
  </si>
  <si>
    <t>Intervention completed  No issue found  TVM operational</t>
  </si>
  <si>
    <t>INC000001321412</t>
  </si>
  <si>
    <t>1644029_Threat Activity Detected</t>
  </si>
  <si>
    <t>INC000001321411</t>
  </si>
  <si>
    <t>1644044_Threat Activity Detected</t>
  </si>
  <si>
    <t>INC000001321410</t>
  </si>
  <si>
    <t>1644053_Threat Activity Detected</t>
  </si>
  <si>
    <t>INC000001321409</t>
  </si>
  <si>
    <t>1644054_Threat Activity Detected</t>
  </si>
  <si>
    <t>INC000001321408</t>
  </si>
  <si>
    <t>Gary</t>
  </si>
  <si>
    <t>Osorio</t>
  </si>
  <si>
    <t>Surya Murugesan</t>
  </si>
  <si>
    <t>As per the process user after raised a extention ticket user profile will automatically removed from _VPN DISABLE GROUP , now VPN profile is extended till the mention expiry date on this incident</t>
  </si>
  <si>
    <t>V0024442</t>
  </si>
  <si>
    <t>esolutions_gjosorio</t>
  </si>
  <si>
    <t>Esolutions_Gary.Osorio@rta.ae</t>
  </si>
  <si>
    <t>INC000001321407</t>
  </si>
  <si>
    <t>AFC</t>
  </si>
  <si>
    <t>TUM-263033</t>
  </si>
  <si>
    <t>Reason : Nol Card Jam Card No.:  027 979 0612 (4.50aed) Customer Name:      Action : Card cleared</t>
  </si>
  <si>
    <t>afcalerts</t>
  </si>
  <si>
    <t>afcalerts@rta.ae</t>
  </si>
  <si>
    <t>INC000001321404</t>
  </si>
  <si>
    <t>TVM-262176</t>
  </si>
  <si>
    <t>TVM 262176 BNA malfunction  Reset BNA and restarted the TVM  TVM is operational  Tested with customer</t>
  </si>
  <si>
    <t>BNA JAM</t>
  </si>
  <si>
    <t>INC000001321403</t>
  </si>
  <si>
    <t>TUM-263067</t>
  </si>
  <si>
    <t>Reason : Nol Card Jam Card No.:  033 110 3135 (4.50aed) Customer Name:      Action : Card cleared</t>
  </si>
  <si>
    <t>INC000001321402</t>
  </si>
  <si>
    <t>RTA</t>
  </si>
  <si>
    <t>TOCC</t>
  </si>
  <si>
    <t>Information Technology Department</t>
  </si>
  <si>
    <t>TOCC-Alert-warning-260233006|OPEN|Failure rate increase</t>
  </si>
  <si>
    <t>Email Integration</t>
  </si>
  <si>
    <t>this ticket consider as duplicate ticket   INC000001321401   so we are closing this INC</t>
  </si>
  <si>
    <t>RTA.TOCC</t>
  </si>
  <si>
    <t>WebSphere Application Server</t>
  </si>
  <si>
    <t>Web Service</t>
  </si>
  <si>
    <t>RTA.TOCC@rta.ae</t>
  </si>
  <si>
    <t>INC000001321400</t>
  </si>
  <si>
    <t>TUM-263030</t>
  </si>
  <si>
    <t>Reason : Printer paper jam Card No.:   Customer Name:      Action : Jam cleared</t>
  </si>
  <si>
    <t>Paper Jam</t>
  </si>
  <si>
    <t>INC000001321399</t>
  </si>
  <si>
    <t>TUM-263082</t>
  </si>
  <si>
    <t>Reason:- Nol Card Jam (034 794 5070)  Action:- Card jam Cleared   Name :-Azeez   Attended Time:-19:26  Remarks:-</t>
  </si>
  <si>
    <t>INC000001321398</t>
  </si>
  <si>
    <t>TUM-263112</t>
  </si>
  <si>
    <t>Reason : Note Jam (10aed) Card No.:   Customer Name:      Action : Note cleared  Attendee Name:  Jasper Attended Time : 20:01</t>
  </si>
  <si>
    <t>INC000001321397</t>
  </si>
  <si>
    <t>TUM-263069</t>
  </si>
  <si>
    <t>Reason: Cannot clear BNA jam error   Action: Need to change NBX inform brinks   Attender Name: Kishor Bangera   Attend Time: waiting for brinks</t>
  </si>
  <si>
    <t>INC000001321396</t>
  </si>
  <si>
    <t>TUM-263037</t>
  </si>
  <si>
    <t>Reason : NBX Jam Card No.:   Customer Name:      Action : Kindly arrange Brinx to change cashbox  Attendee Name:  Jasper Attended Time : Waiting for Brinx</t>
  </si>
  <si>
    <t>INC000001321395</t>
  </si>
  <si>
    <t>TUM-263053</t>
  </si>
  <si>
    <t>BNA1 nearly full  Replenished  25/02/2026   17:30</t>
  </si>
  <si>
    <t>Almost Full</t>
  </si>
  <si>
    <t>INC000001321394</t>
  </si>
  <si>
    <t>TUM-263107</t>
  </si>
  <si>
    <t>Reason: AED 10 Note jam   Action: Cleared   Attender Name: Kishor Bangera   Attend Time: 18:20</t>
  </si>
  <si>
    <t>INC000001321393</t>
  </si>
  <si>
    <t>TUM-263093</t>
  </si>
  <si>
    <t>Reason: NOL CARD JAM   Action: Removed jammed card(038 079 2515)  Attender Name: Kishor Bangera   Attend Time: 17:57</t>
  </si>
  <si>
    <t>INC000001321392</t>
  </si>
  <si>
    <t>TUM-263008</t>
  </si>
  <si>
    <t>BNA1 nearly full  Replenished  25/02/2026   17:57</t>
  </si>
  <si>
    <t>INC000001321389</t>
  </si>
  <si>
    <t>eNOC</t>
  </si>
  <si>
    <t>Dubai Traffic &amp; Roads Information Technology Team</t>
  </si>
  <si>
    <t>Request to Reactivate the  Timed-Out RTA NOC – NOC-14112025-2163 (Construction NOC - Digit</t>
  </si>
  <si>
    <t>Kareem Sayed Morsy Marzouk Mohamed-Contractor</t>
  </si>
  <si>
    <t>e-NOC</t>
  </si>
  <si>
    <t>NOC is reactivated as per business approval.</t>
  </si>
  <si>
    <t>eNOCSupport</t>
  </si>
  <si>
    <t>eNOC.Support@rta.ae</t>
  </si>
  <si>
    <t>INC000001321388</t>
  </si>
  <si>
    <t>Reactivation Auto Cancelled NOC Request Applications NOC-13102025-2046 &amp; NOC-15102025-2454</t>
  </si>
  <si>
    <t>INC000001321387</t>
  </si>
  <si>
    <t>Reason:- NBX Jam   Action:- Cashbox Changed with Brinks Team Fault Cleared   Name :-Azeez   Attended Time:-16:12</t>
  </si>
  <si>
    <t>INC000001321386</t>
  </si>
  <si>
    <t>Request For NOC reactivation NOC-26112025-2021DEWA Ref. 100748187</t>
  </si>
  <si>
    <t>INC000001321385</t>
  </si>
  <si>
    <t>Construction of Roads and Infrastructure at Dubai South- NOC LOG Status</t>
  </si>
  <si>
    <t>INC000001321384</t>
  </si>
  <si>
    <t>P-260232515 | OPEN | Network problem w.r.t. Generic Support</t>
  </si>
  <si>
    <t>Dear Team, Thank you for reaching out to EIP Support team. We checked our services and overall, we did not find any issues with any of our services. Please let us know exactly in which of the below nodes this issue is seen for us to examine this further.</t>
  </si>
  <si>
    <t>Application Log Report</t>
  </si>
  <si>
    <t>INC000001321382</t>
  </si>
  <si>
    <t>Infosys Karthikeyan</t>
  </si>
  <si>
    <t>Thirunavukkarasu</t>
  </si>
  <si>
    <t>Request to share the EIP service specification document w.r.t. UAEPassIntegrationService</t>
  </si>
  <si>
    <t>Please find the specs of UAE Pass attached. For IAM, the use case is for authentication or user management? (EIP is not involved in SSO)  Since a new chatbot is being built, it is better to create new credentials to separate it out from the existing one. Please reach out to us when you are ready after connectivity establishment, and we will share the credentials.</t>
  </si>
  <si>
    <t>V00420</t>
  </si>
  <si>
    <t>Infosys_kpthiru</t>
  </si>
  <si>
    <t>Infosys_Karthikeyan.Thirunavukkarasu@rta.ae</t>
  </si>
  <si>
    <t>INC000001321380</t>
  </si>
  <si>
    <t>INC000001321379</t>
  </si>
  <si>
    <t>Mahboub 2.0 Project - Request to share the EIP service specification doc w.r.t. ePayService</t>
  </si>
  <si>
    <t>Please find attached the respective EIP Service specification document.</t>
  </si>
  <si>
    <t>INC000001321377</t>
  </si>
  <si>
    <t>Endpoint consumed - Request to share the Parking endpoint w.r.t. PSSPermitsApplication</t>
  </si>
  <si>
    <t>Please find below the respective Parking endpoint.  https://ptss.rta.global/PSSTSPSService/PSSTSPSService</t>
  </si>
  <si>
    <t>INC000001321373</t>
  </si>
  <si>
    <t>Alarm text: The note vault is almost full.  Replenished.  15:15 – 02/25/2026</t>
  </si>
  <si>
    <t>INC000001321372</t>
  </si>
  <si>
    <t>The subsequent call to the createBETopupRequest API is still failing w.r.t. eWalletTopUpService</t>
  </si>
  <si>
    <t>Dear Goudappa,  We have not received the request for createBETopupRequest operation for the provided list of transaction numbers.  Could you please also share the exact timestamps so that our network team can verify on their end.  @_RTA Network Support Team Al Ansari is still experiencing the same issue with the createBETopupRequest operation, even after our troubleshooting session. Please verify on your end and share your feedback.</t>
  </si>
  <si>
    <t>INC000001321370</t>
  </si>
  <si>
    <t>Infosys Siva</t>
  </si>
  <si>
    <t>Katta</t>
  </si>
  <si>
    <t>Request to share the EIP service specification document w.r.t. LASpecialPermitInquiryService</t>
  </si>
  <si>
    <t>Please find the attached specification document for this integration.</t>
  </si>
  <si>
    <t>V001627</t>
  </si>
  <si>
    <t>Infosys_SSKatta</t>
  </si>
  <si>
    <t>Infosys_Siva.Katta@rta.ae</t>
  </si>
  <si>
    <t>INC000001321368</t>
  </si>
  <si>
    <t>Support Required: Bank Guarantee Not Reflected in System w.r.t. GuaranteeManagementService</t>
  </si>
  <si>
    <t>During the troubleshooting session, our network team resolved the connectivity issue in both the staging and production environments.  Could you please verify on your end and confirm whether the service is now working as expected.</t>
  </si>
  <si>
    <t>INC000001321366</t>
  </si>
  <si>
    <t>RTA TIBCO not received the reported web service requests w.r.t. eWalletTopUpService</t>
  </si>
  <si>
    <t>Based on the troubleshooting session we conducted, our network team made some changes on their end in the firewall and requested you to monitor the service for two days.  As requested by the network team, please monitor the service for the next two days and provide your confirmation.</t>
  </si>
  <si>
    <t>INC000001321364</t>
  </si>
  <si>
    <t>Unable to fetch details of Ejari - Request to share endpoint w.r.t. PSSEjariIntegrationService</t>
  </si>
  <si>
    <t>Dear Mukhthar, The issue is in production https://integration.dubailand.gov.ae/EjariContracts/GSBEjariService.svc</t>
  </si>
  <si>
    <t>INC000001321362</t>
  </si>
  <si>
    <t>P2405 - Design &amp; Construction NOC-25092025-2489  old files  email 2\2</t>
  </si>
  <si>
    <t>Old Documents are swapped with new documents as per business approval.</t>
  </si>
  <si>
    <t>INC000001321361</t>
  </si>
  <si>
    <t>TVM-262217</t>
  </si>
  <si>
    <t>Intervention completed malfunction 5 Aed jammed in bna Removed jam and kept inside tvm Restarted tvm TVM operational.</t>
  </si>
  <si>
    <t>INC000001321359</t>
  </si>
  <si>
    <t>TVM-262201</t>
  </si>
  <si>
    <t>Our intervention done  No issue found  TVM is operational</t>
  </si>
  <si>
    <t>INC000001321358</t>
  </si>
  <si>
    <t>TUM-263095</t>
  </si>
  <si>
    <t>Reason: Nol Card Stuck In BNA   Action: Removed Jam, card no: 038 468 5012  Attended Time: 12:51  Name : NOUSHAD</t>
  </si>
  <si>
    <t>INC000001321357</t>
  </si>
  <si>
    <t>Abdelaty-Contractor</t>
  </si>
  <si>
    <t>Please share report for OPMS,EDMS : Tickets , Changes, Problems starting September 2025 till 20 Feb</t>
  </si>
  <si>
    <t>Quintica Prashant Saindane</t>
  </si>
  <si>
    <t>BMC Support</t>
  </si>
  <si>
    <t>Incident, Change and Problem ticket reports of RTA OPMS and EDMS groups from 1st September 2025 till 20th February 2026 has been shared.  Note: There is no Problem ticket logged for EDMS.</t>
  </si>
  <si>
    <t>Quintica_PMSaindane</t>
  </si>
  <si>
    <t>V0029120</t>
  </si>
  <si>
    <t>okool_arfelous</t>
  </si>
  <si>
    <t>Okool_Ahmed.Felous@rta.ae</t>
  </si>
  <si>
    <t>INC000001321355</t>
  </si>
  <si>
    <t>Reach Saber</t>
  </si>
  <si>
    <t>LUXURY MOTOR VEHICLE L.L.C</t>
  </si>
  <si>
    <t>Bahwan Seraj Bakeer</t>
  </si>
  <si>
    <t>Maximo Enterprise Solution</t>
  </si>
  <si>
    <t>Request for Maximo record data modification. The record has been modified as required.</t>
  </si>
  <si>
    <t>bahwan_ssbakeer</t>
  </si>
  <si>
    <t>V00554</t>
  </si>
  <si>
    <t>Reach_smhussein</t>
  </si>
  <si>
    <t>Reach_Saber.Hussein@rta.ae</t>
  </si>
  <si>
    <t>INC000001321354</t>
  </si>
  <si>
    <t>TUM-263014</t>
  </si>
  <si>
    <t>DUPLICATE TICKET  Reason :Duplicate  ticket original ticket 1320865  Action  : cancel this ticket</t>
  </si>
  <si>
    <t>Nothing Sold</t>
  </si>
  <si>
    <t>INC000001321353</t>
  </si>
  <si>
    <t>TVM-262149</t>
  </si>
  <si>
    <t>Intervention completed out of service no power from battery cleaned and reset battery terminals restarted tvm tvm operational.</t>
  </si>
  <si>
    <t>INC000001321351</t>
  </si>
  <si>
    <t>TUM-263051</t>
  </si>
  <si>
    <t>Reason :10Aed jam   Action  : clear the jam   Attend Time :12:15</t>
  </si>
  <si>
    <t>INC000001321350</t>
  </si>
  <si>
    <t>TUM-263086</t>
  </si>
  <si>
    <t>Active alarm: BNA1 nearly full  Replenished.  16:25– 02/26/2026.</t>
  </si>
  <si>
    <t>INC000001321349</t>
  </si>
  <si>
    <t>Noor</t>
  </si>
  <si>
    <t>Alsaeed</t>
  </si>
  <si>
    <t>Could you please share with me the ticket statistics for ARM and CPM application.</t>
  </si>
  <si>
    <t>Incident, Change ticket report of ERM application and Incident Report of CPM application from 1st January 2026 till today has been shared.  There is no RFC created for CPM and also no Problem ticket logged against both of these application since Q1 2026 till today.</t>
  </si>
  <si>
    <t>V0030770</t>
  </si>
  <si>
    <t>okool_njalsaeed</t>
  </si>
  <si>
    <t>Okool_Noor.Alsaeed@rta.ae</t>
  </si>
  <si>
    <t>INC000001321348</t>
  </si>
  <si>
    <t>Ucmc Shoaib</t>
  </si>
  <si>
    <t>Qureshi</t>
  </si>
  <si>
    <t>Update the User in TARS L2 Support</t>
  </si>
  <si>
    <t>Quintica Santosh Krishnagoudar</t>
  </si>
  <si>
    <t>Below users have been added to the group as per request. UCMC_KHBANKAPUR UCMC_SVCHEBROLU UCMC_SNNIRANJAN  Others do not have access to BMC.</t>
  </si>
  <si>
    <t>Quintica_SKKrishnago</t>
  </si>
  <si>
    <t>V004162</t>
  </si>
  <si>
    <t>Ucmc_SAQureshi</t>
  </si>
  <si>
    <t>Ucmc_Shoaib.Qureshi@rta.ae</t>
  </si>
  <si>
    <t>INC000001321345</t>
  </si>
  <si>
    <t>TVM-262183</t>
  </si>
  <si>
    <t>Intervention completed  Bna communication  Restarted tvm TVM operational</t>
  </si>
  <si>
    <t>BNA Malfunction</t>
  </si>
  <si>
    <t>INC000001321344</t>
  </si>
  <si>
    <t>Active alarm: BNA1 nearly full  Replenished.  10:18 – 02/25/2026</t>
  </si>
  <si>
    <t>INC000001321343</t>
  </si>
  <si>
    <t>TUM-263041</t>
  </si>
  <si>
    <t>Reason :Bna malfunction   Action  : clear the alarm   Attend Time :10:50</t>
  </si>
  <si>
    <t>INC000001321339</t>
  </si>
  <si>
    <t>Active alarm: BNA1 nearly full  Replenished.  10:32 – 02/25/2026</t>
  </si>
  <si>
    <t>INC000001321338</t>
  </si>
  <si>
    <t>Intervention completed BNA malfunction 1*10 Aed and 2*5 Aed jammed in bna Removed jam and kept inside tvm break in. Restarted tvm TVM operational.</t>
  </si>
  <si>
    <t>INC000001321335</t>
  </si>
  <si>
    <t>Firas</t>
  </si>
  <si>
    <t>Barham</t>
  </si>
  <si>
    <t>GIS Staging and Pre production findings</t>
  </si>
  <si>
    <t>Enterprise GIS</t>
  </si>
  <si>
    <t>Hello Team,  As agreed during the meeting, the GISTEC team will proceed with rebooting the servers where Windows patches have been successfully installed. In cases where patches are still pending, the Server Team will review and complete the patch installation accordingly.</t>
  </si>
  <si>
    <t>techm_fabarham</t>
  </si>
  <si>
    <t>Service Packs &amp; Hotfixes</t>
  </si>
  <si>
    <t>V0024574</t>
  </si>
  <si>
    <t>Techm_Firas.Barham@rta.ae</t>
  </si>
  <si>
    <t>INC000001321333</t>
  </si>
  <si>
    <t>Reason: paper low  Action: changed   Attender Name: Amjad  Attended Time: 13:07</t>
  </si>
  <si>
    <t>Paper Low</t>
  </si>
  <si>
    <t>INC000001321331</t>
  </si>
  <si>
    <t>TUM-263099</t>
  </si>
  <si>
    <t>Reason: Cutter Jam   Action: Changed Printer   Attended Time: 9:04  Name : NOUSHAD</t>
  </si>
  <si>
    <t>Cutter Jam</t>
  </si>
  <si>
    <t>INC000001321330</t>
  </si>
  <si>
    <t>TUM-263062</t>
  </si>
  <si>
    <t>Reason: AED 10 note jam  Action: Cleared note jam  Attender name: Mohammed zabir   Attended Time: 8:11  Remarks:</t>
  </si>
  <si>
    <t>INC000001321329</t>
  </si>
  <si>
    <t>TUM-263028</t>
  </si>
  <si>
    <t>Active alarm: BNA1 nearly full  Replenished.  12:32 – 02/25/2026.</t>
  </si>
  <si>
    <t>INC000001321328</t>
  </si>
  <si>
    <t>TUM-263001</t>
  </si>
  <si>
    <t>Reason: Paper jam  Action: Cleared   Attender name: Mohammed zabir   Attended Time: 8:20  Remarks:</t>
  </si>
  <si>
    <t>INC000001321327</t>
  </si>
  <si>
    <t>Reason: duplicate INC000001321333  Action:  Attender Name: Amjad  Attended Time:  Remarks:</t>
  </si>
  <si>
    <t>INC000001321326</t>
  </si>
  <si>
    <t>TUM-263090</t>
  </si>
  <si>
    <t>Active alarm: BNA1 nearly full  Replenished.  17:02 – 02/26/2026.</t>
  </si>
  <si>
    <t>INC000001321325</t>
  </si>
  <si>
    <t>Reason: Nol card jam and found AED 10 note out side BNA ( 039 581 9592 )  Action: Removed Nol card jam  Attender name: Mohammed zabir  Attended Time: 7:08  Remarks:</t>
  </si>
  <si>
    <t>INC000001321324</t>
  </si>
  <si>
    <t>TUM-263002</t>
  </si>
  <si>
    <t>Reason: Nol Card Stuck In BNA   Action: Removed Jam, card no: 035 307 3885  Attended Time: 8:00  Name : NOUSHAD</t>
  </si>
  <si>
    <t>INC000001321323</t>
  </si>
  <si>
    <t>Reason: AED 5 note jam  Action: Removed note jam  Attender name: Mohammed zabir   Attended Time: 9:13  Remarks:</t>
  </si>
  <si>
    <t>INC000001321322</t>
  </si>
  <si>
    <t>Intervention completed  No issue found  Tvm operational</t>
  </si>
  <si>
    <t>INC000001321321</t>
  </si>
  <si>
    <t>TOCC-Alert-Warning!-P-260231642|OPEN|Host or monitoring unavailable</t>
  </si>
  <si>
    <t>Techm Navas Makkar</t>
  </si>
  <si>
    <t>Projects</t>
  </si>
  <si>
    <t>Deployed the agent through SCCM</t>
  </si>
  <si>
    <t>Software installation</t>
  </si>
  <si>
    <t>INC000001321320</t>
  </si>
  <si>
    <t>TUM-263066</t>
  </si>
  <si>
    <t>Active alarm: BNA1 nearly full  Replenished.  09:26 – 02/25/2026.</t>
  </si>
  <si>
    <t>INC000001321319</t>
  </si>
  <si>
    <t>TUM-263031</t>
  </si>
  <si>
    <t>Reason :  Duplicate Ticket (Orig Ticket#: INC000001321317   Card No.:   Customer Name:      Action : Kindly cancel this ticket. Thanks  Attendee Name:  Jasper Attended Time :</t>
  </si>
  <si>
    <t>INC000001321318</t>
  </si>
  <si>
    <t>TVM-262178</t>
  </si>
  <si>
    <t>INC000001321317</t>
  </si>
  <si>
    <t>Reason : Paper low Card No.:   Customer Name:      Action : Paper roll changed   Attendee Name:  Jasper Attended Time : 23:35  Reason : Paper low Card No.:   Customer Name:      Action : Paper roll changed   Attendee Name:  Jasper Attended Time : 23:35</t>
  </si>
  <si>
    <t>INC000001321316</t>
  </si>
  <si>
    <t>TUM-263078</t>
  </si>
  <si>
    <t>Reason: NBX Jam 10aed   Action: Changed NBX With Brinks &amp; Cleared Alarm   Attended Time: 14:44  Name : NOUSHAD</t>
  </si>
  <si>
    <t>INC000001321315</t>
  </si>
  <si>
    <t>TVM-262158</t>
  </si>
  <si>
    <t>INC000001321314</t>
  </si>
  <si>
    <t>264006 - Auto Alert</t>
  </si>
  <si>
    <t>Reason: Bank note system out of service   Action: Restarted TVM   Attender Name: Kishor Bangera   Attend Time: 20:34</t>
  </si>
  <si>
    <t>INC000001321313</t>
  </si>
  <si>
    <t>TVM-262177</t>
  </si>
  <si>
    <t>INC000001321312</t>
  </si>
  <si>
    <t>TUM-263040</t>
  </si>
  <si>
    <t>Reason:- Bank Note jam 20dh   Action:- Note jam Cleared  Name :-Azeez   Attended Time:-19:23</t>
  </si>
  <si>
    <t>INC000001321311</t>
  </si>
  <si>
    <t>EXPO RTPI-FOC-ENE-2025-002-D021 (Alert ID: '252341')</t>
  </si>
  <si>
    <t>Reason: E I Testing device   Action: Cancel this ticket   Attender Name: Kishor Bangera   Attend Time:</t>
  </si>
  <si>
    <t>INC000001321310</t>
  </si>
  <si>
    <t>TUM-263081</t>
  </si>
  <si>
    <t>Reason : Nol Card Jam  Card No.:  037 165 8311 (0aed) Customer Name:      Action : Card cleared   Attendee Name:  Jasper Attended Time : 19:51</t>
  </si>
  <si>
    <t>INC000001321308</t>
  </si>
  <si>
    <t>TUM- 263089</t>
  </si>
  <si>
    <t>Reason: note jam 5 dh  Action: cleared  Attended Time: 20:30</t>
  </si>
  <si>
    <t>INC000001321307</t>
  </si>
  <si>
    <t>Reshma</t>
  </si>
  <si>
    <t>as per the requested PAM VPN access has been provided</t>
  </si>
  <si>
    <t>V0032474</t>
  </si>
  <si>
    <t>bahwan_rasyed</t>
  </si>
  <si>
    <t>Bahwan_Reshma.Syed@rta.ae</t>
  </si>
  <si>
    <t>INC000001321306</t>
  </si>
  <si>
    <t>AV Update request ( VPN )</t>
  </si>
  <si>
    <t>AV Update ( Antivirus)</t>
  </si>
  <si>
    <t>AV Definition Update</t>
  </si>
  <si>
    <t>Antivirus has been updated and VPN connected and working fine .</t>
  </si>
  <si>
    <t>AHAAlmheiri</t>
  </si>
  <si>
    <t>Ayesha.HaAlmheiri@rta.ae</t>
  </si>
  <si>
    <t>INC000001321305</t>
  </si>
  <si>
    <t>Jumaa</t>
  </si>
  <si>
    <t>Request to reset and reconfigure Oracle Authenticator</t>
  </si>
  <si>
    <t>Oracle Authenticator reset and reconfigured .</t>
  </si>
  <si>
    <t>amjumaa</t>
  </si>
  <si>
    <t>Abdulrahman.Jumaa@rta.ae</t>
  </si>
  <si>
    <t>INC000001321304</t>
  </si>
  <si>
    <t>Abdallah</t>
  </si>
  <si>
    <t>Intranet pop up issue</t>
  </si>
  <si>
    <t>Internet POP UP(RE)</t>
  </si>
  <si>
    <t>Internet POP UP</t>
  </si>
  <si>
    <t>V0031559</t>
  </si>
  <si>
    <t>okool_aialhamadi</t>
  </si>
  <si>
    <t>Okool_Abdallah.Alhamadi@rta.ae</t>
  </si>
  <si>
    <t>INC000001321303</t>
  </si>
  <si>
    <t>Mussa</t>
  </si>
  <si>
    <t>GIS Video Wall issue</t>
  </si>
  <si>
    <t>Christy Mathew</t>
  </si>
  <si>
    <t>EC3 Systems</t>
  </si>
  <si>
    <t>EC3 Application - Critical</t>
  </si>
  <si>
    <t>GIS</t>
  </si>
  <si>
    <t>“When we checked, the application was loading normally. After clearing the user system cache, the issue was resolved.</t>
  </si>
  <si>
    <t>AMMussa</t>
  </si>
  <si>
    <t>Ali.Mussa@rta.ae</t>
  </si>
  <si>
    <t>INC000001321299</t>
  </si>
  <si>
    <t>Vehicles Not yet Updated in TARS</t>
  </si>
  <si>
    <t>Dear User, The mentioned vehicle with vin  WP1AA2AY4RDA00332 is  updated in TARS . Kindly verify</t>
  </si>
  <si>
    <t>INC000001321298</t>
  </si>
  <si>
    <t>Albarashdi</t>
  </si>
  <si>
    <t>Automation system issue</t>
  </si>
  <si>
    <t>user profile has been updated, the user should be able to proceed with his VPN request</t>
  </si>
  <si>
    <t>afalbarashdi</t>
  </si>
  <si>
    <t>Ahmed.Albarashdi@rta.ae</t>
  </si>
  <si>
    <t>INC000001321296</t>
  </si>
  <si>
    <t>Pay Fines</t>
  </si>
  <si>
    <t>the customer has journey sent for payment but didn't paid or cancel  we reject the journey and now working fine</t>
  </si>
  <si>
    <t>INC000001321293</t>
  </si>
  <si>
    <t>1643863_Threat Activity Detected</t>
  </si>
  <si>
    <t>INC000001321289</t>
  </si>
  <si>
    <t>Ali Abdulrahman Al Shehi</t>
  </si>
  <si>
    <t>Parking</t>
  </si>
  <si>
    <t>AAShehi</t>
  </si>
  <si>
    <t>Ahmed.AlShehi@rta.ae</t>
  </si>
  <si>
    <t>INC000001321288</t>
  </si>
  <si>
    <t>INC000001321284</t>
  </si>
  <si>
    <t>Baghoum</t>
  </si>
  <si>
    <t>mabaghoum</t>
  </si>
  <si>
    <t>Meera.Baghoum@rta.ae</t>
  </si>
  <si>
    <t>INC000001321283</t>
  </si>
  <si>
    <t>Taher</t>
  </si>
  <si>
    <t>Jamel</t>
  </si>
  <si>
    <t>As per the BMC note and approval, we have assigned access to taher.jamel@rta.ae for Secure file transfer with “secure mail” group, please check.</t>
  </si>
  <si>
    <t>tijamel</t>
  </si>
  <si>
    <t>Taher.Jamel@rta.ae</t>
  </si>
  <si>
    <t>INC000001321282</t>
  </si>
  <si>
    <t>Al Mourad</t>
  </si>
  <si>
    <t>Marine</t>
  </si>
  <si>
    <t>malmourad</t>
  </si>
  <si>
    <t>mohamed.almourad@rta.ae</t>
  </si>
  <si>
    <t>INC000001321281</t>
  </si>
  <si>
    <t>INC000001321278</t>
  </si>
  <si>
    <t>There was old Tinting Permit for same chassis and different traffic file The permit status updated and the customer can check now</t>
  </si>
  <si>
    <t>INC000001321277</t>
  </si>
  <si>
    <t>Mahmoud</t>
  </si>
  <si>
    <t>Mohammed Ahmed</t>
  </si>
  <si>
    <t>USER already having  VPN access so we are closing this INC</t>
  </si>
  <si>
    <t>MMAhmed</t>
  </si>
  <si>
    <t>Mahmoud.Ahmed@rta.ae</t>
  </si>
  <si>
    <t>INC000001321276</t>
  </si>
  <si>
    <t>Amr</t>
  </si>
  <si>
    <t>as per the requested VPN access has been provided</t>
  </si>
  <si>
    <t>amahali</t>
  </si>
  <si>
    <t>Amr.Ali@rta.ae</t>
  </si>
  <si>
    <t>INC000001321273</t>
  </si>
  <si>
    <t>Alahmed</t>
  </si>
  <si>
    <t>ayalahmed</t>
  </si>
  <si>
    <t>Amna.Alahmed@rta.ae</t>
  </si>
  <si>
    <t>INC000001321272</t>
  </si>
  <si>
    <t>Drivers Affairs</t>
  </si>
  <si>
    <t>UMM RAMOOL NEW HQ 5C -LICENSING CEO OFFICE  and  LICENSING Q</t>
  </si>
  <si>
    <t>fmmubarak</t>
  </si>
  <si>
    <t>Fatma.Mubarak@rta.ae</t>
  </si>
  <si>
    <t>INC000001321271</t>
  </si>
  <si>
    <t>pilla</t>
  </si>
  <si>
    <t>mskm</t>
  </si>
  <si>
    <t>mohammed.km@rta.ae</t>
  </si>
  <si>
    <t>INC000001321270</t>
  </si>
  <si>
    <t>Modification has been provided so we are closing the INC</t>
  </si>
  <si>
    <t>INC000001321268</t>
  </si>
  <si>
    <t>Haamid</t>
  </si>
  <si>
    <t>Nalim-Contractor</t>
  </si>
  <si>
    <t>MODIFIFACTION HAS BEEN PROVIDED SO we are closing the INC</t>
  </si>
  <si>
    <t>V0029072</t>
  </si>
  <si>
    <t>okool_hmnalim</t>
  </si>
  <si>
    <t>Okool_Haamid.Nalim@rta.ae</t>
  </si>
  <si>
    <t>INC000001321267</t>
  </si>
  <si>
    <t>Jyotsana</t>
  </si>
  <si>
    <t>V0027572</t>
  </si>
  <si>
    <t>techm_jrkumar</t>
  </si>
  <si>
    <t>Techm_Jyotsana.Kumar@rta.ae</t>
  </si>
  <si>
    <t>INC000001321266</t>
  </si>
  <si>
    <t>Fahed</t>
  </si>
  <si>
    <t>Abdulrazak Mohammed</t>
  </si>
  <si>
    <t>famohammed</t>
  </si>
  <si>
    <t>fahed.mohammed@rta.ae</t>
  </si>
  <si>
    <t>INC000001321265</t>
  </si>
  <si>
    <t>Mustapha</t>
  </si>
  <si>
    <t>Farran</t>
  </si>
  <si>
    <t>New VPN Access</t>
  </si>
  <si>
    <t>V0034477</t>
  </si>
  <si>
    <t>proxym_mhfarran</t>
  </si>
  <si>
    <t>Proxym_Mustapha.Farran@rta.ae</t>
  </si>
  <si>
    <t>INC000001321264</t>
  </si>
  <si>
    <t>Umm</t>
  </si>
  <si>
    <t>Habieba</t>
  </si>
  <si>
    <t>V0030904</t>
  </si>
  <si>
    <t>okool_uehabieba</t>
  </si>
  <si>
    <t>Okool_Umm.Habieba@rta.ae</t>
  </si>
  <si>
    <t>INC000001321262</t>
  </si>
  <si>
    <t>Mohammad Shoaib</t>
  </si>
  <si>
    <t>Shaikh</t>
  </si>
  <si>
    <t>Activate the user profile in Automation system</t>
  </si>
  <si>
    <t>We have activated requested user account in automation system, please inform user to login today otherwise based on 90 days login policy system automatically disable his account in automation system.   User login: SYNECHRON_MZSHAIKH</t>
  </si>
  <si>
    <t>V0029176</t>
  </si>
  <si>
    <t>synechron_mzshaikh</t>
  </si>
  <si>
    <t>Synechron_Mohammadshoaib.Shaikh@rta.ae</t>
  </si>
  <si>
    <t>INC000001321261</t>
  </si>
  <si>
    <t>TARS ERROR - 9608354876</t>
  </si>
  <si>
    <t>Dear user, We have noticed that the contract  "did:50032433:9607759286" has not been closed with the correct time zone,  the end date time doesnt have the UTC format, kindly pass the correct time format while closing any contract. Kindly give the start date time greater than close time of the previous contract, kindly verify once</t>
  </si>
  <si>
    <t>INC000001321260</t>
  </si>
  <si>
    <t>Abhishek</t>
  </si>
  <si>
    <t>Shakti</t>
  </si>
  <si>
    <t>MOM Access request</t>
  </si>
  <si>
    <t>Tarek Rahmo</t>
  </si>
  <si>
    <t>MOM Support</t>
  </si>
  <si>
    <t>Kindly note the MOM account has been activated.</t>
  </si>
  <si>
    <t>Create Profile</t>
  </si>
  <si>
    <t>V0033801</t>
  </si>
  <si>
    <t>tms_akshakti</t>
  </si>
  <si>
    <t>Tms_Abhishek.Shakti@rta.ae</t>
  </si>
  <si>
    <t>INC000001321259</t>
  </si>
  <si>
    <t>Smart empployee  issue</t>
  </si>
  <si>
    <t>Samar Abdulfattah</t>
  </si>
  <si>
    <t>GRP System</t>
  </si>
  <si>
    <t>kindly note the issue has been solved</t>
  </si>
  <si>
    <t>mabbasmohammed</t>
  </si>
  <si>
    <t>Mohammed.AbbasMohammed@rta.ae</t>
  </si>
  <si>
    <t>INC000001321258</t>
  </si>
  <si>
    <t>Zakarya</t>
  </si>
  <si>
    <t xml:space="preserve">?? ???? ????? ??????? </t>
  </si>
  <si>
    <t>Dear Zakarya,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</si>
  <si>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zwahmed</t>
  </si>
  <si>
    <t>Zakarya.Ahmed@rta.ae</t>
  </si>
  <si>
    <t>INC000001321257</t>
  </si>
  <si>
    <t>TUM-263014 Change cash box,  Cash box changed.  11:37 -02/25/2026</t>
  </si>
  <si>
    <t>INC000001321256</t>
  </si>
  <si>
    <t>Unable to Return Plate AUH4966150</t>
  </si>
  <si>
    <t>Dear user, The mentioned vehicles AUH6876010 /  AUH4966150 the  return Email approval is done, kindly verify now</t>
  </si>
  <si>
    <t>INC000001321255</t>
  </si>
  <si>
    <t>United Mengxia</t>
  </si>
  <si>
    <t>Wang</t>
  </si>
  <si>
    <t>CRM1891797 MBME phone recharge issue</t>
  </si>
  <si>
    <t>United Mengxia Wang</t>
  </si>
  <si>
    <t>NOL Pay</t>
  </si>
  <si>
    <t>Monitoring Incident</t>
  </si>
  <si>
    <t>Data Management</t>
  </si>
  <si>
    <t>It's an issue with the MBME service; we are checking with them. The amount is already refunded to the user's nol card.</t>
  </si>
  <si>
    <t>United_MWWang</t>
  </si>
  <si>
    <t>V006613</t>
  </si>
  <si>
    <t>United_Mengxia.Wang@rta.ae</t>
  </si>
  <si>
    <t>INC000001321254</t>
  </si>
  <si>
    <t>CRM1876634 digital card issue</t>
  </si>
  <si>
    <t>Please find the details for the card below: Card Number: 0303096887 RTA Account: raphikrta Registered Email: raphiksalmani@gmail.com Registered Mobile Number: +971 54 534 2294 Associated Device: Galaxy S23 Ultra (SM-S918B) Regarding the Z Fold 6 device provided by the user, there have been no access logs in the past 7 days for the account. Kindly confirm the user’s specific request. If the issue is related to an abnormality on the Z Fold 6 device, please ask the user to perform the action again and provide the relevant details so we can capture the logs for further investigation?Please help to confirm with the user whether the Z Fold 6 device is new?Based on the error message, it appears that there is already a digital card provisioned on this device. We need to verify this with the user before proceeding with further troubleshooting.?</t>
  </si>
  <si>
    <t>INC000001321253</t>
  </si>
  <si>
    <t>there was old request rejected try now</t>
  </si>
  <si>
    <t>INC000001321251</t>
  </si>
  <si>
    <t>Raisi</t>
  </si>
  <si>
    <t>VPN configuration Request</t>
  </si>
  <si>
    <t>Licensing</t>
  </si>
  <si>
    <t>VPN has been configured and connected successfully</t>
  </si>
  <si>
    <t>nsraisi</t>
  </si>
  <si>
    <t>Nasser.Raisi@rta.ae</t>
  </si>
  <si>
    <t>INC000001321250</t>
  </si>
  <si>
    <t>Registration Issue</t>
  </si>
  <si>
    <t>data issue resolved data issue resolved</t>
  </si>
  <si>
    <t>INC000001321249</t>
  </si>
  <si>
    <t>TVM-262148</t>
  </si>
  <si>
    <t>Systems Management</t>
  </si>
  <si>
    <t>As we checked the transaction of TVM#262148 in our system we found that the transaction encountered a payment_error. Claim is valid for 30 AED  Transaction Details: * TRANSACTION_ID: 4453831399 * RECORD_TIMESTAMP: 2026-02-22 13:02:03 * USER_ID: 262148 * VALUE: 0 * STATUS: payment_error * DETAILS:   + Complaint.AcceptedAmt: 3000   + Complaint.ComplaintID: C26214800027   + Complaint.InvalidAmt: 3000   + Complaint.Note: 0   + Complaint.Notes: 1000,1000,1000   + Complaint.RefundAmt: 0   + Complaint.TagID: 0212906382   + Receipt Number: S262148260222130200</t>
  </si>
  <si>
    <t>INC000001321247</t>
  </si>
  <si>
    <t>Essa Al Rowaished</t>
  </si>
  <si>
    <t>Request  to deactivate his accounts in the E-Tendering</t>
  </si>
  <si>
    <t>Bahwan Ramesh Kommavarapu</t>
  </si>
  <si>
    <t>eTendering</t>
  </si>
  <si>
    <t>AL AWEER DEPOT</t>
  </si>
  <si>
    <t>The user doesn't have access to eTendering systerm</t>
  </si>
  <si>
    <t>MERowaished</t>
  </si>
  <si>
    <t>Mohamed.AlRowaished@Rta.ae</t>
  </si>
  <si>
    <t>INC000001321246</t>
  </si>
  <si>
    <t>?????? ????? ??????</t>
  </si>
  <si>
    <t>?? ????? ?????? ?? ??????? ??????? ????? ???? ??? ???????? The journey closed as request by the customer</t>
  </si>
  <si>
    <t>INC000001321244</t>
  </si>
  <si>
    <t>Request  to deactivate his accounts in the MAXIMO</t>
  </si>
  <si>
    <t>Dear IT Support,  As per the below request and approval, we have Deactivated Maximo application access to below user.  Reach_Mahmoud.Oraiqat@rta.ae</t>
  </si>
  <si>
    <t>Delete / Revoke Access</t>
  </si>
  <si>
    <t>INC000001321243</t>
  </si>
  <si>
    <t>Request  to deactivate his accounts in the EPQ</t>
  </si>
  <si>
    <t>Hussein Abdelfattah</t>
  </si>
  <si>
    <t>ePre-Qualification</t>
  </si>
  <si>
    <t>Dear Bu Hamad,  Kindly note that, the user Mahmoud Maher Oraiqat has been deactivated from the EPQ system.  Best regards, Hussein Abdellatif</t>
  </si>
  <si>
    <t>INC000001321242</t>
  </si>
  <si>
    <t>??? ??? ??????? ?????? ????? ?????</t>
  </si>
  <si>
    <t>&lt;S:Envelope xmlns:S="http://schemas.xmlsoap.org/soap/envelope/" xmlns:env="http://schemas.xmlsoap.org/soap/envelope/"&gt;  &lt;env:Header/&gt;  &lt;S:Body&gt;  &lt;ns0:createOrderDetail xmlns:ns0="http://www.rta.ae/ActiveMatrix/ESB/IDeExternalOrders/1_0" xmlns:ns1="http://www.rta.ae/EIP/Fault/Fault"&gt;  &lt;orderID&gt;294905461&lt;/orderID&gt;  &lt;formatID&gt;DUB18_008&lt;/formatID&gt;  &lt;licenseNumber&gt;P 88144&lt;/licenseNumber&gt;  &lt;priority&gt;10&lt;/priority&gt;  &lt;/ns0:createOrderDetail&gt;  &lt;/S:Body&gt;  &lt;/S:Envelope&gt;    -----------------response--------------------------  identifier = [orderID.value = 294905461, plateFormatId = DUB18_008, plateInfo = P 88144]  faultCode = [RTA-ESB-IDeExternalOrders-ERROR-10010]  faultString = [Error occurred while invoking the IDeExternalOrders-createOrderData Operation. Kindly try again later]  faultDetail = []  message = [could not execute statement; SQL [n/a]; constraint [assignment_jobs_job_id_key]; nested exception is org.hibernate.exception.ConstraintViolationException: could not execute statement]</t>
  </si>
  <si>
    <t>INC000001321238</t>
  </si>
  <si>
    <t>1643378_Threat Activity Detected</t>
  </si>
  <si>
    <t>INC000001321236</t>
  </si>
  <si>
    <t>Aysha</t>
  </si>
  <si>
    <t>?? ???? ???? ????????</t>
  </si>
  <si>
    <t>Dear Aysha,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</si>
  <si>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amahli</t>
  </si>
  <si>
    <t>aysha.ahli@rta.ae</t>
  </si>
  <si>
    <t>INC000001321234</t>
  </si>
  <si>
    <t>Reema</t>
  </si>
  <si>
    <t>Wadhawan</t>
  </si>
  <si>
    <t>Provide ARM access to Nazim Saeed as ERM Champion for TRA-RFM</t>
  </si>
  <si>
    <t>Amir Rauf</t>
  </si>
  <si>
    <t>ERM - Enterprise Risk Management</t>
  </si>
  <si>
    <t>ERM Champion access for TRA-RFM risk register has been enabled now for Mr Nazim</t>
  </si>
  <si>
    <t>protiviti_aarauf</t>
  </si>
  <si>
    <t>Create / Update Access</t>
  </si>
  <si>
    <t>rrwadhawan</t>
  </si>
  <si>
    <t>Reema.Wadhawan@rta.ae</t>
  </si>
  <si>
    <t>INC000001321233</t>
  </si>
  <si>
    <t>?????? ???? ????? ????? ???? ?????? ?? ???? ??????</t>
  </si>
  <si>
    <t>INC000001321232</t>
  </si>
  <si>
    <t>Suspicious IP to RTA Portal on 24 February 2026, 15:10:01</t>
  </si>
  <si>
    <t>INC000001321231</t>
  </si>
  <si>
    <t>????? ????</t>
  </si>
  <si>
    <t>when you put payment clearance it should issue with automated jobs when job try to issued it we found  User has no valid medical test to proceed</t>
  </si>
  <si>
    <t>INC000001321229</t>
  </si>
  <si>
    <t>cancel LP request</t>
  </si>
  <si>
    <t>??? ?????? ????? ???? ??????? ??? ?????? ??? ??? ???? ?????? ???? ?????? ???  DLD</t>
  </si>
  <si>
    <t>INC000001321228</t>
  </si>
  <si>
    <t>Techm Omer</t>
  </si>
  <si>
    <t>Change tickets type Infra event</t>
  </si>
  <si>
    <t>Incident Type has been updated to Infrastructure Event for below tickets:  Incident Number INC000001321197  INC000001321199</t>
  </si>
  <si>
    <t>V004686</t>
  </si>
  <si>
    <t>Techm_Omer.Mohamed@rta.ae</t>
  </si>
  <si>
    <t>INC000001321227</t>
  </si>
  <si>
    <t>??? ????? ????? ??????</t>
  </si>
  <si>
    <t>The  application was rejected by comparison because old push of data was with old expiry date.  After pushing updated data and try to recreate the comparison it is failed due to un-mapped activity pushed from DET side. which is not defined in RTA services.  Activity DET Code :100312  Activity Name En : Passenger transportation service via phone, electronic platforms or smart applications Activity Name Ar : ???? ??? ?????? ?? ???? ??????? ?? ??????? ??????????? ?? ????????? ?????? For business team please provide the mapping of this activity (RTA Code of mapped activity) to be mapped in RTA services. To use it in E-traffic and CLS both without any failure.  And also to be able to recreate the comparison.</t>
  </si>
  <si>
    <t>INC000001321226</t>
  </si>
  <si>
    <t>Unable to Return Plate AUH4319210 Muhammad.Atif-External@alfuttaim.com</t>
  </si>
  <si>
    <t>Dear user, The Email has been approved for the mentioned borrowing id 1704268050315, kindly verify</t>
  </si>
  <si>
    <t>INC000001321224</t>
  </si>
  <si>
    <t>Mona</t>
  </si>
  <si>
    <t>Alamari</t>
  </si>
  <si>
    <t>CRM login Issue</t>
  </si>
  <si>
    <t>Guide user to login RTA email Mona.Alamari@RTA.ae</t>
  </si>
  <si>
    <t>mmalamari</t>
  </si>
  <si>
    <t>Mona.Alamari@RTA.ae</t>
  </si>
  <si>
    <t>INC000001321222</t>
  </si>
  <si>
    <t>Abdelhalim Elghannam</t>
  </si>
  <si>
    <t>Unlock generic account Request</t>
  </si>
  <si>
    <t>Unlocked generic account (BSMaintenance) has been done</t>
  </si>
  <si>
    <t>V0025214</t>
  </si>
  <si>
    <t>srsl_miabdelhalimelg</t>
  </si>
  <si>
    <t>Srsl_Mohamed.Abdelhalimelghannam@rta.ae</t>
  </si>
  <si>
    <t>INC000001321221</t>
  </si>
  <si>
    <t>Driving License Issuance Delay (17148587)</t>
  </si>
  <si>
    <t>when job trying to issue license we found  =?? ???? ????? ??????? ???? ???? ???? ????? ?????., en='You cannot issue the license as you already has an active driving license  due to UTS return active license for EID 784199549271080  request  &lt;S:Body&gt; &lt;ns3:getLicenseInfo xmlns:ns3="http://www.rta.ae/EIP/Reports/Reports_Schema" xmlns:ns2="http://www.rta.ae/EIP/Fault/FaultSchema"&gt; &lt;ns3:request&gt; &lt;ns3:nationalNo&gt;784199549271080&lt;/ns3:nationalNo&gt; &lt;ns3:unifiedId&gt;0&lt;/ns3:unifiedId&gt; &lt;ns3:trafficProfileNo&gt;0&lt;/ns3:trafficProfileNo&gt; &lt;/ns3:request&gt; &lt;/ns3:getLicenseInfo&gt; &lt;/S:Body&gt;  response  &lt;SOAP-ENV:Body&gt; &lt;ns:getLicenseInfoResponse xmlns:ns="http://www.rta.ae/EIP/Reports/Reports_Schema" xmlns:ns2="http://www.rta.ae/EIP/Fault/FaultSchema" xmlns:tns="http://www.rta.ae/EIP/Reports/Reports_WSDL" xmlns:tns1="http://schemas.tibco.com/amsb/rt/exceptions" xmlns:tns2="http://www.adpolice.gov.ae/" xmlns:xsi="http://www.w3.org/2001/XMLSchema-instance"&gt; &lt;ns:getLicenseInfoResult&gt; &lt;ns:responseCode&gt;2000&lt;/ns:responseCode&gt; &lt;ns:responseLevel&gt;INFO&lt;/ns:responseLevel&gt; &lt;ns:responseDesc&gt;Report generated successfully&lt;/ns:responseDesc&gt; &lt;ns:trafficProfileNo&gt;3190028989&lt;/ns:trafficProfileNo&gt; &lt;ns:drivingLicense&gt; &lt;ns:licenseNo&gt;703424&lt;/ns:licenseNo&gt; &lt;ns:licenseSource&gt;3&lt;/ns:licenseSource&gt; &lt;/ns:drivingLicense&gt; &lt;ns:licenseIssueDate&gt;2019-09-20T00:00:00Z&lt;/ns:licenseIssueDate&gt; &lt;ns:licenseExpiryDate&gt;2026-12-14T00:00:00Z&lt;/ns:licenseExpiryDate&gt; &lt;ns:arabicName&gt;???????? ???????????? ?????????? ??????????&lt;/ns:arabicName&gt; &lt;ns:englishName&gt;KHURAM SHAHZAD SHAHID MEHMOOD&lt;/ns:englishName&gt; &lt;ns:unifiedID&gt;55624386&lt;/ns:unifiedID&gt; &lt;ns:nationalNo&gt;784199549271080&lt;/ns:nationalNo&gt; &lt;ns:licenseStatus&gt;Active&lt;/ns:licenseStatus&gt; &lt;ns:gender&gt;M&lt;/ns:gender&gt; &lt;ns:birthDate&gt;1995-12-01T00:00:00Z&lt;/ns:birthDate&gt; &lt;ns:nationalityCode&gt;203&lt;/ns:nationalityCode&gt; &lt;ns:passportNo&gt;5151162&lt;/ns:passportNo&gt; &lt;ns:passportIssueDate&gt;2021-02-20T00:00:00Z&lt;/ns:passportIssueDate&gt; &lt;ns:passportExpiryDate&gt;2026-02-19T00:00:00Z&lt;/ns:passportExpiryDate&gt; &lt;ns:residenceNo&gt;2025 - 5001010102 - 71980&lt;/ns:residenceNo&gt; &lt;ns:residenceEmirateCode&gt;3&lt;/ns:residenceEmirateCode&gt; &lt;ns:residenceExpiryDate&gt;2027-03-03T00:00:00Z&lt;/ns:residenceExpiryDate&gt; &lt;ns:homeAddress&gt;0&lt;/ns:homeAddress&gt; &lt;ns:homeTelephoneNo&gt;060000000&lt;/ns:homeTelephoneNo&gt; &lt;ns:workAddress&gt;0&lt;/ns:workAddress&gt; &lt;ns:workTelephoneNo&gt;060000000&lt;/ns:workTelephoneNo&gt; &lt;ns:mobile&gt;0521177365&lt;/ns:mobile&gt; &lt;ns:email&gt;alsurah100@gmail.com&lt;/ns:email&gt; &lt;ns:LicenseTypes&gt; &lt;ns:LicenseType&gt; &lt;ns:licenseTypeCode&gt;1&lt;/ns:licenseTypeCode&gt; &lt;ns:gearCode&gt;1&lt;/ns:gearCode&gt; &lt;ns:issueDate&gt;2019-09-20T00:00:00Z&lt;/ns:issueDate&gt; &lt;ns:cancelDate xsi:nil="true"/&gt; &lt;/ns:LicenseType&gt; &lt;/ns:LicenseTypes&gt; &lt;/ns:getLicenseInfoResult&gt; &lt;/ns:getLicenseInfoResponse&gt; &lt;/SOAP-ENV:Body&gt;</t>
  </si>
  <si>
    <t>INC000001321219</t>
  </si>
  <si>
    <t>Enable location setting Request</t>
  </si>
  <si>
    <t>Application Modification / Enhancement Request</t>
  </si>
  <si>
    <t>Location has been enabled &amp; user is able to punch out</t>
  </si>
  <si>
    <t>V0025011</t>
  </si>
  <si>
    <t>epic_mamali</t>
  </si>
  <si>
    <t>Epic_Mohamed.Ali@rta.ae</t>
  </si>
  <si>
    <t>INC000001321218</t>
  </si>
  <si>
    <t>Khochman-Contractor</t>
  </si>
  <si>
    <t>Application Access Request</t>
  </si>
  <si>
    <t>Enosh Rao</t>
  </si>
  <si>
    <t>RTA OPMS</t>
  </si>
  <si>
    <t>access has been provided as per the request</t>
  </si>
  <si>
    <t>V0029724</t>
  </si>
  <si>
    <t>ultimate_ikkhochman</t>
  </si>
  <si>
    <t>Ultimate_Imad.Khochman@rta.ae</t>
  </si>
  <si>
    <t>INC000001321216</t>
  </si>
  <si>
    <t>This old journey since 2023  The journey closed and the customer can renew the vehicle successfully</t>
  </si>
  <si>
    <t>INC000001321215</t>
  </si>
  <si>
    <t>Obtain Driving Licence</t>
  </si>
  <si>
    <t>request {"applicationReferenceNo":"OLJ-8596753"} response  {"personaId":2952,"numberOfTheoryClasses":0,"numberOfPracticalClasses":0,"knowledgeTestRequired":false,"yardTestRequired":false,"roadTestRequired":true,"responseCode":"200","responseDescription":"Success","referenceNumber":"OLJ-8596753","personaVersion":"V1.0","minimumPrice":1299.0,"goldenChanceEligibility":false,"eligibleForCollection":false,"selectedDrivingLicense":{"previousLicenseCategory":"HB","previousLicenseCountry":"ARE"},"drivingInstituteList":[{"partnerNameEn":"Belhasa Driving Center","partnerNameAr":"???? ?????? ?????? ????? ????????","website":"https://www.bdc.ae","mainBranchName":"Al Quoz 4","yardPassRate":32.0,"roadPassRate":37.0,"facilities":[{"facilityNameEn":"Vip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???","facilityCode":"EYE_TEST"}],"branchesList":[{"branchName":"Nad Al Hamar","branchNameAr":"?? ?????","yardPassRate":29.0,"roadPassRate":36.0,"tradeLicense":"528447","rateYear":2025,"quarter":"fourthQuarter"},{"branchName":"Jebel Ali","branchNameAr":"??? ???","yardPassRate":28.0,"roadPassRate":30.0,"tradeLicense":"3403","rateYear":2025,"quarter":"fourthQuarter"},{"branchName":"Al Quoz 4","branchNameAr":"????? 4","yardPassRate":31.0,"roadPassRate":38.0,"tradeLicense":"726175","rateYear":2025,"quarter":"fourthQuarter"},{"branchName":"Al Wasl","branchNameAr":"?????","yardPassRate":37.0,"roadPassRate":45.0,"tradeLicense":"556579","rateYear":2025,"quarter":"fourthQuarter"},{"branchName":"Al Qusais","branchNameAr":"??????","contactNumber":"+97142108333","email":"info@bdc.ae","yardPassRate":35.0,"roadPassRate":35.0,"tradeLicense":"912842","rateYear":2025,"quarter":"fourthQuarter"}],"startFrom":1551.0,"tradeLicense":"726175","rateYear":2025,"quarter":"fourthQuarter"},{"partnerNameEn":"Emirates Driving Institute","partnerNameAr":"???? ???????? ?????? ????? ????????","website":"https://edi-uae.com","mainBranchName":"Al Qusais","yardPassRate":33.0,"roadPassRate":39.0,"facilities":[{"facilityNameEn":"Vip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???","facilityCode":"EYE_TEST"}],"branchesList":[{"branchName":"Al Quoz","branchNameAr":"?????","yardPassRate":29.0,"roadPassRate":39.0,"tradeLicense":"531765","rateYear":2025,"quarter":"fourthQuarter"},{"branchName":"Al Qusais","branchNameAr":"??????","yardPassRate":31.0,"roadPassRate":38.0,"tradeLicense":"122541","rateYear":2025,"quarter":"fourthQuarter"},{"branchName":"Jimerah branch   ","branchNameAr":"??? ???????","tradeLicense":"834730"},{"branchName":"Hatta","branchNameAr":"???","contactNumber":"0555566794","email":"occ.support@edi.ae","yardPassRate":56.0,"roadPassRate":56.0,"tradeLicense":"1419929","rateYear":2025,"quarter":"fourthQuarter"}],"startFrom":1299.0,"tradeLicense":"122541","packages":[{"dIPackageID":6341,"price":1299,"packageNameEn":"Expert Road Test Only","packageNameAr":"Expert Road Test Only"},{"dIPackageID":6281,"price":1881,"packageNameEn":"Expert Road Test Only","packageNameAr":"Expert Road Test Only"}],"rateYear":2025,"quarter":"fourthQuarter"},{"partnerNameEn":"Dubai Driving Center","partnerNameAr":"???? ??? ?????? ????? ????????","website":"https://www.dubaidrivingcenter.net","mainBranchName":"Port Rashid","yardPassRate":33.0,"roadPassRate":38.0,"facilities":[{"facilityNameEn":"Vip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???","facilityCode":"EYE_TEST"}],"branchesList":[{"branchName":"Dubai Investments Park","branchNameAr":"???? ??? ?????????","yardPassRate":37.0,"roadPassRate":33.0,"tradeLicense":"557782","rateYear":2025,"quarter":"fourthQuarter"},{"branchName":"Al Quoz","branchNameAr":"?????","yardPassRate":52.0,"roadPassRate":45.0,"tradeLicense":"628280","rateYear":2025,"quarter":"fourthQuarter"},{"branchName":"Al Qusais","branchNameAr":"??????","yardPassRate":25.0,"roadPassRate":37.0,"tradeLicense":"701652","rateYear":2025,"quarter":"fourthQuarter"},{"branchName":"Al Khail","branchNameAr":"?????","yardPassRate":30.0,"roadPassRate":46.0,"tradeLicense":"669953","rateYear":2025,"quarter":"fourthQuarter"},{"branchName":"Port Rashid","branchNameAr":"????? ????","yardPassRate":28.0,"roadPassRate":30.0,"tradeLicense":"537489","rateYear":2025,"quarter":"fourthQuarter"}],"startFrom":1600.0,"tradeLicense":"537489","rateYear":2025,"quarter":"fourthQuarter"},{"partnerNameEn":"Galadari Motor Driving Center","partnerNameAr":"???? ?????? ?????? ????? ????????","website":"https://www.gmdc.ae","mainBranchName":"Al Qusais","yardPassRate":12.0,"roadPassRate":36.0,"facilities":[{"facilityNameEn":"Vip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???","facilityCode":"EYE_TEST"}],"branchesList":[{"branchName":"Al Quoz","branchNameAr":"?????","yardPassRate":13.0,"roadPassRate":42.0,"tradeLicense":"722641","rateYear":2025,"quarter":"fourthQuarter"},{"branchName":"Al Qusais","branchNameAr":"??????","yardPassRate":11.0,"roadPassRate":32.0,"tradeLicense":"524664","rateYear":2025,"quarter":"fourthQuarter"}],"startFrom":869.0,"tradeLicense":"524664","rateYear":2025,"quarter":"fourthQuarter"},{"partnerNameEn":"Al Ahli Driving Center","partnerNameAr":"?????? ?????? ????? ????????","website":"https://alahlidubai.ae","mainBranchName":"Al Quoz","yardPassRate":15.0,"roadPassRate":28.0,"facilities":[{"facilityNameEn":"Vip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???","facilityCode":"EYE_TEST"}],"branchesList":[{"branchName":"Al Quoz","branchNameAr":"?????","yardPassRate":12.0,"roadPassRate":29.0,"tradeLicense":"107481","rateYear":2025,"quarter":"fourthQuarter"},{"branchName":"Jebel Ali","branchNameAr":"??? ???","yardPassRate":51.0,"roadPassRate":26.0,"tradeLicense":"597862","rateYear":2025,"quarter":"fourthQuarter"}],"startFrom":2000.0,"tradeLicense":"107481","rateYear":2025,"quarter":"fourthQuarter"},{"partnerNameEn":"Dubai International Driving Center","partnerNameAr":"???? ??? ?????? ???????","website":"https://drivedubai.ae","mainBranchName":"Dubai Investments Park 2","yardPassRate":27.0,"roadPassRate":36.0,"facilities":[{"facilityNameEn":"Vip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???","facilityCode":"EYE_TEST"}],"branchesList":[{"branchName":"Dubai Investments Park 2","branchNameAr":"???? ??? ????????? 2","yardPassRate":27.0,"roadPassRate":36.0,"tradeLicense":"579641","rateYear":2025,"quarter":"fourthQuarter"}],"startFrom":2000.0,"tradeLicense":"579641","rateYear":2025,"quarter":"fourthQuarter"},{"partnerNameEn":"Emirates Transport Driving Institute","partnerNameAr":"???? ??????? ???????? ?????? ??????? ","website":"https://etdi.gov.ae","mainBranchName":"Warsan","yardPassRate":31.0,"roadPassRate":36.0,"facilities":[{"facilityNameEn":"Vip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Warsan","branchNameAr":"?????","yardPassRate":31.0,"roadPassRate":36.0,"tradeLicense":"663474","rateYear":2025,"quarter":"fourthQuarter"}],"startFrom":2000.0,"tradeLicense":"663474","rateYear":2025,"quarter":"fourthQuarter"},{"partnerNameEn":"Bin Yaber Driving Center","partnerNameAr":"???? ?? ???? ?????? ????? ????????","website":"https://binyaber.com","mainBranchName":"Bin Yaber Driving Institute","yardPassRate":21.0,"roadPassRate":37.0,"facilities":[{"facilityNameEn":"Transportation","facilityNameAr":"??????","facilityCode":"TRANSPORTATION"},{"facilityNameEn":"Food Court","facilityNameAr":"???? ???????","facilityCode":"FOOD_COURT"},{"facilityNameEn":"Free Internet","facilityNameAr":"??????","facilityCode":"FREE_INTERNET"},{"facilityNameEn":"Mosque","facilityNameAr":"????","facilityCode":"MOSQUE"},{"facilityNameEn":"Play Area For Children","facilityNameAr":"????? ????? ???????","facilityCode":"PLAY_AREA_FOR_CHILDREN"},{"facilityNameEn":"Nursery","facilityNameAr":"?????","facilityCode":"NURSERY"},{"facilityNameEn":"Driving Simulator","facilityNameAr":"????? ???????","facilityCode":"DRIVING_SIMULATOR"},{"facilityNameEn":"Solo Training","facilityNameAr":"???? ????","facilityCode":"SOLO_TRAINING"},{"facilityNameEn":"Loyalty Program","facilityNameAr":"?????? ??????","facilityCode":"LOYALTY_PROGRAM"},{"facilityNameEn":"ATM","facilityNameAr":"?????? ???? ???","facilityCode":"ATM"},{"facilityNameEn":"Driving Simulator","facilityNameAr":"????? ???????","facilityCode":"DRIVING_SIMULATOR"},{"facilityNameEn":"Eye Test","facilityNameAr":"???? ??? ???","facilityCode":"EYE_TEST"}],"branchesList":[{"branchName":"Bin Yaber Driving Institute","branchNameAr":"Bin Yaber Driving Institute Branch","email":"Mustafa.ghulam@binyaber.com","locationLink":"25.0934293,55.4074683","yardPassRate":21.0,"roadPassRate":40.0,"tradeLicense":"765313","rateYear":2025,"quarter":"fourthQuarter"},{"branchName":"Bin Yaber Driving Institute (Jebel Ali)","branchNameAr":"???? ?? ???? ?????? ????? ???????? (???)","contactNumber":"0529968882","email":"Mustafa.ghulam@binyaber.com","locationLink":"24.9984462,55.1001217","yardPassRate":25.0,"roadPassRate":32.0,"tradeLicense":"1054962","rateYear":2025,"quarter":"fourthQuarter"},{"branchName":"Bin Yaber Driving Institute (Oud Mehta)","branchNameAr":"???? ?? ???? ?????? ????? ???????? (???)","contactNumber":"0529968882","email":"Mustafa.ghulam@binyaber.com","locationLink":"25.2326899,55.3152551","roadPassRate":27.0,"tradeLicense":"902548","rateYear":2025,"quarter":"fourthQuarter"}],"startFrom":1441.0,"tradeLicense":"765313","packages":[{"dIPackageID":6461,"price":1441,"packageNameEn":"Expert Road Test Only - Direct Road test","packageNameAr":"Expert Road Test Only - ?????? ?????? ???????"}],"rateYear":2025,"quarter":"fourthQuarter"},{"partnerNameEn":"Excellence Driving Center","partnerNameAr":"???? ?????? ?????? ????? ????????","website":"https://www.excellencedriving.com","mainBranchName":"Excellence Driving Center","yardPassRate":18.0,"roadPassRate":35.0,"facilities":[{"facilityNameEn":"Transportation","facilityNameAr":"??????","facilityCode":"TRANSPORTATION"},{"facilityNameEn":"Vip Training","facilityNameAr":"????? ???? ????????","facilityCode":"VIP_TRAINING"},{"facilityNameEn":"ATM","facilityNameAr":"?????? ???? ???","facilityCode":"ATM"},{"facilityNameEn":"Loyalty Program","facilityNameAr":"?????? ??????","facilityCode":"LOYALTY_PROGRAM"},{"facilityNameEn":"Solo Training","facilityNameAr":"???? ????","facilityCode":"SOLO_TRAINING"},{"facilityNameEn":"Eye Test","facilityNameAr":"???? ??? ???","facilityCode":"EYE_TEST"},{"facilityNameEn":"Nursery","facilityNameAr":"?????","facilityCode":"NURSERY"},{"facilityNameEn":"Play Area For Children","facilityNameAr":"????? ????? ???????","facilityCode":"PLAY_AREA_FOR_CHILDREN"},{"facilityNameEn":"Mosque","facilityNameAr":"????","facilityCode":"MOSQUE"},{"facilityNameEn":"Free Internet","facilityNameAr":"??????","facilityCode":"FREE_INTERNET"},{"facilityNameEn":"Driving Simulator","facilityNameAr":"????? ???????","facilityCode":"DRIVING_SIMULATOR"},{"facilityNameEn":"Eye Test","facilityNameAr":"???? ??? ???","facilityCode":"EYE_TEST"}],"branchesList":[{"branchName":"Excellence Driving Center","branchNameAr":"???? ?????? ?????? ????? ????????","yardPassRate":17.0,"roadPassRate":33.0,"tradeLicense":"814677","rateYear":2025,"quarter":"fourthQuarter"},{"branchName":"Al Quoz 4","branchNameAr":"????? 4","yardPassRate":20.0,"roadPassRate":41.0,"tradeLicense":"1262075","rateYear":2025,"quarter":"fourthQuarter"},{"branchName":"Excellence Driving Center (Port View)","branchNameAr":"???? ?????? ?????? ????? ????????(??? ??????)","roadPassRate":35.0,"tradeLicense":"1119200","rateYear":2025,"quarter":"fourthQuarter"}],"startFrom":2000.0,"tradeLicense":"814677","rateYear":2025,"quarter":"fourthQuarter"},{"partnerNameEn":"First Driving Centre","partnerNameAr":"???? ????? ???????","website":"https://firstdrivingcenter.ae","mainBranchName":"Al Ruwayyah 3","yardPassRate":30.0,"roadPassRate":42.0,"facilities":[{"facilityNameEn":"Loyalty Program","facilityNameAr":"?????? ??????","facilityCode":"LOYALTY_PROGRAM"},{"facilityNameEn":"Solo Training","facilityNameAr":"???? ????","facilityCode":"SOLO_TRAINING"},{"facilityNameEn":"Driving Simulator","facilityNameAr":"????? ???????","facilityCode":"DRIVING_SIMULATOR"},{"facilityNameEn":"Mosque","facilityNameAr":"????","facilityCode":"MOSQUE"},{"facilityNameEn":"Free Internet","facilityNameAr":"??????","facilityCode":"FREE_INTERNET"},{"facilityNameEn":"Nursery","facilityNameAr":"?????","facilityCode":"NURSERY"},{"facilityNameEn":"Vip Training","facilityNameAr":"????? ???? ????????","facilityCode":"VIP_TRAINING"},{"facilityNameEn":"ATM","facilityNameAr":"?????? ???? ???","facilityCode":"ATM"},{"facilityNameEn":"Play Area For Children","facilityNameAr":"????? ????? ???????","facilityCode":"PLAY_AREA_FOR_CHILDREN"},{"facilityNameEn":"Food Court","facilityNameAr":"???? ???????","facilityCode":"FOOD_COURT"},{"facilityNameEn":"Transportation","facilityNameAr":"??????","facilityCode":"TRANSPORTATION"},{"facilityNameEn":"Eye Test","facilityNameAr":"???? ??? ???","facilityCode":"EYE_TEST"}],"branchesList":[{"branchName":"Al Ruwayyah 3","branchNameAr":"?????? 3","contactNumber":"800 178 378","email":"ask@firstdriving.ae","yardPassRate":30.0,"roadPassRate":42.0,"tradeLicense":"570264","rateYear":2025,"quarter":"fourthQuarter"}],"startFrom":0.0,"tradeLicense":"570264","rateYear":2025,"quarter":"fourthQuarter"},{"partnerNameEn":"ECO Drive Automobile Driving School","partnerNameAr":"???? ????? ?????? ????? ????????","website":"https://ecodrive.ae/","mainBranchName":"Dubai Industrial City","yardPassRate":21.0,"roadPassRate":40.0,"facilities":[{"facilityNameEn":"Vip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???????","facilityCode":"FOOD_COURT"},{"facilityNameEn":"Transportation","facilityNameAr":"??????","facilityCode":"TRANSPORTATION"},{"facilityNameEn":"Nursery","facilityNameAr":"?????","facilityCode":"NURSERY"}],"branchesList":[{"branchName":"Dubai Industrial City","branchNameAr":"???? ??? ???????? - ???? ???? ?????","contactNumber":"600595959","yardPassRate":20.0,"roadPassRate":40.0,"tradeLicense":"812492","rateYear":2025,"quarter":"fourthQuarter"},{"branchName":"ECO DRIVE AUTOMOBILE DRIVING SCHOOL - Al Qouz","branchNameAr":"???? ????? ?????? ????? ???????? ?.?.?.? ? ??? ?????","contactNumber":"600595959","email":"ahmed.s@ecodrive.ae","yardPassRate":23.0,"tradeLicense":"1449154","rateYear":2025,"quarter":"fourthQuarter"}],"startFrom":2000.0,"tradeLicense":"812492","rateYear":2025,"quarter":"fourthQuarter"}]}</t>
  </si>
  <si>
    <t>INC000001321214</t>
  </si>
  <si>
    <t>Muhammad</t>
  </si>
  <si>
    <t>Asghar</t>
  </si>
  <si>
    <t>Share DS Report for H2 2025</t>
  </si>
  <si>
    <t>Report has been shared for H2 2025</t>
  </si>
  <si>
    <t>Custom Report</t>
  </si>
  <si>
    <t>maasghar</t>
  </si>
  <si>
    <t>Muhammad.Asghar@rta.ae</t>
  </si>
  <si>
    <t>INC000001321213</t>
  </si>
  <si>
    <t>??? ?? ????? ?????</t>
  </si>
  <si>
    <t>?? ????? ????????  ?? ????? ????????  ?? ????? ????????  ?? ????? ????????  ?? ????? ????????</t>
  </si>
  <si>
    <t>INC000001321211</t>
  </si>
  <si>
    <t>EV Issue</t>
  </si>
  <si>
    <t>Enterprise Vault</t>
  </si>
  <si>
    <t>Enable EV in outlook add-ins setting</t>
  </si>
  <si>
    <t>asaiali</t>
  </si>
  <si>
    <t>Aisha.SAli@rta.ae</t>
  </si>
  <si>
    <t>INC000001321209</t>
  </si>
  <si>
    <t>Malik</t>
  </si>
  <si>
    <t>We have activated requested user account in automation system, please inform user to login today otherwise based on 90 days login policy system automatically disable his account in automation system.  User login: AHASMalik</t>
  </si>
  <si>
    <t>AHASMalik</t>
  </si>
  <si>
    <t>Ali.HMalik@rta.ae</t>
  </si>
  <si>
    <t>INC000001321208</t>
  </si>
  <si>
    <t>Locked account Issue</t>
  </si>
  <si>
    <t>INC000001321206</t>
  </si>
  <si>
    <t>Sara</t>
  </si>
  <si>
    <t>Marzooq</t>
  </si>
  <si>
    <t>Unlock account Request</t>
  </si>
  <si>
    <t>DEIRA -ITS DEIRA</t>
  </si>
  <si>
    <t>Unlocked account has been done. User faced multiply times locked account</t>
  </si>
  <si>
    <t>symarzooq</t>
  </si>
  <si>
    <t>Sara.Marzooq@rta.ae</t>
  </si>
  <si>
    <t>INC000001321205</t>
  </si>
  <si>
    <t>?????? ??? ????? ?? ?????</t>
  </si>
  <si>
    <t>the fine is changed from UTS but the sync didn't start on it  we try to re sync from our side and now working fine</t>
  </si>
  <si>
    <t>INC000001321204</t>
  </si>
  <si>
    <t>Moamin</t>
  </si>
  <si>
    <t>Hameed Alsaleem</t>
  </si>
  <si>
    <t>UMM RAMOOL NEW HQ 8C</t>
  </si>
  <si>
    <t>mhAlsaleem</t>
  </si>
  <si>
    <t>Moamin.Alsaleem@rta.ae</t>
  </si>
  <si>
    <t>INC000001321203</t>
  </si>
  <si>
    <t>samohammed</t>
  </si>
  <si>
    <t>Shaikha.Mohammed@RTA.ae</t>
  </si>
  <si>
    <t>INC000001321202</t>
  </si>
  <si>
    <t>Al Hammadi</t>
  </si>
  <si>
    <t>System Performance Issue</t>
  </si>
  <si>
    <t>Startup Error Message</t>
  </si>
  <si>
    <t>The issue was resolved after removing the temporary files, running the disk cleanup process, and fixing the OS issue using the command DISM /Online /Cleanup-Image /RestoreHealth.</t>
  </si>
  <si>
    <t>fahalhammadi</t>
  </si>
  <si>
    <t>fatima.alhammadi@rta.ae</t>
  </si>
  <si>
    <t>INC000001321201</t>
  </si>
  <si>
    <t>Malek</t>
  </si>
  <si>
    <t>Rayyan</t>
  </si>
  <si>
    <t>V0025865</t>
  </si>
  <si>
    <t>marayyan</t>
  </si>
  <si>
    <t>Malek.Rayyan@rta.ae</t>
  </si>
  <si>
    <t>INC000001321200</t>
  </si>
  <si>
    <t>Elokda</t>
  </si>
  <si>
    <t>V0029221</t>
  </si>
  <si>
    <t>maelokda</t>
  </si>
  <si>
    <t>Mohamed.Elokda@rta.ae</t>
  </si>
  <si>
    <t>INC000001321199</t>
  </si>
  <si>
    <t>Indranil</t>
  </si>
  <si>
    <t>Chakraborty</t>
  </si>
  <si>
    <t>MALWARE/ANTIVIRUS installation evidence required.</t>
  </si>
  <si>
    <t>Techm Junaiz Karumarakkal</t>
  </si>
  <si>
    <t>The Tibco server details reporting Symantec server has been shared to Mr Indranil and Team</t>
  </si>
  <si>
    <t>Common Services - Reports</t>
  </si>
  <si>
    <t>Request for Reports / Information</t>
  </si>
  <si>
    <t>V0029069</t>
  </si>
  <si>
    <t>okool_inchakraborty</t>
  </si>
  <si>
    <t>Okool_Indranil.Chakraborty@rta.ae</t>
  </si>
  <si>
    <t>INC000001321198</t>
  </si>
  <si>
    <t>Samer</t>
  </si>
  <si>
    <t>Younes</t>
  </si>
  <si>
    <t>.Meeting for UI/UX Design review</t>
  </si>
  <si>
    <t>Nisha Mammen</t>
  </si>
  <si>
    <t>TSD DataCenter</t>
  </si>
  <si>
    <t>Documents &amp; Reports</t>
  </si>
  <si>
    <t>Meeting</t>
  </si>
  <si>
    <t>Meeting conducted to review the design of proposed system</t>
  </si>
  <si>
    <t>ebm_nmmammen</t>
  </si>
  <si>
    <t>MobilePlan</t>
  </si>
  <si>
    <t>Create Driver ID</t>
  </si>
  <si>
    <t>Application Task</t>
  </si>
  <si>
    <t>syyounes</t>
  </si>
  <si>
    <t>Samer.Younes@rta.ae</t>
  </si>
  <si>
    <t>INC000001321197</t>
  </si>
  <si>
    <t>Backup Evidence required for EIP (TIBCO ) for 2025</t>
  </si>
  <si>
    <t>Techm Mohammad Ahmed</t>
  </si>
  <si>
    <t>Operation - Storage and Backup</t>
  </si>
  <si>
    <t>Backup evidence has been provided. Hence closing the ticket.</t>
  </si>
  <si>
    <t>INC000001321196</t>
  </si>
  <si>
    <t>Saleem</t>
  </si>
  <si>
    <t>.Update- Specifications</t>
  </si>
  <si>
    <t>Documents</t>
  </si>
  <si>
    <t>Updated and shared with Mustafa for review and he concluded</t>
  </si>
  <si>
    <t>sbibrahim</t>
  </si>
  <si>
    <t>Musthafa.ibrahim@rta.ae</t>
  </si>
  <si>
    <t>INC000001321195</t>
  </si>
  <si>
    <t>1643201_Threat Activity Detected</t>
  </si>
  <si>
    <t>INC000001321194</t>
  </si>
  <si>
    <t>- The laptop is already restarted automatically after the update and it's working fine now.</t>
  </si>
  <si>
    <t>INC000001321193</t>
  </si>
  <si>
    <t>Bin tamim</t>
  </si>
  <si>
    <t>.. Enquire about System Retirement Form for RTPI old System</t>
  </si>
  <si>
    <t>Enquired with TSG and got the details of the form</t>
  </si>
  <si>
    <t>askbintamim</t>
  </si>
  <si>
    <t>Asma.Bintamim@rta.ae</t>
  </si>
  <si>
    <t>INC000001321192</t>
  </si>
  <si>
    <t xml:space="preserve">Hassan Al Haj </t>
  </si>
  <si>
    <t>GHUBAIBA - Car PARKING</t>
  </si>
  <si>
    <t>AHHaj</t>
  </si>
  <si>
    <t>Abdulla.AlHaj@rta.ae</t>
  </si>
  <si>
    <t>INC000001321191</t>
  </si>
  <si>
    <t>Proactive Monitoring - Trade license subscription failures in Production w.r.t. DEG_TradeLicense</t>
  </si>
  <si>
    <t>We observed E-Traffic subscription failures for the below mentioned trade licences, kindly look into this and let us know the reason for the failures. Database URL : https://wstraffic.rta.ae/wstraffic/services/ReceiveTlSyncDataService</t>
  </si>
  <si>
    <t>INC000001321190</t>
  </si>
  <si>
    <t>ROWPS</t>
  </si>
  <si>
    <t>Needful done as requested, pls check and confirm.</t>
  </si>
  <si>
    <t>ROWPSSupport</t>
  </si>
  <si>
    <t>ROWPS.Support@rta.ae</t>
  </si>
  <si>
    <t>INC000001321189</t>
  </si>
  <si>
    <t>Tvs Hani</t>
  </si>
  <si>
    <t>V0010732</t>
  </si>
  <si>
    <t>tvs_hamahmoud</t>
  </si>
  <si>
    <t>Tvs_Hani.Mahmoud@rta.ae</t>
  </si>
  <si>
    <t>INC000001321187</t>
  </si>
  <si>
    <t>Noora</t>
  </si>
  <si>
    <t>naalmulla</t>
  </si>
  <si>
    <t>Noora.Almulla@rta.ae</t>
  </si>
  <si>
    <t>INC000001321186</t>
  </si>
  <si>
    <t>Open file for Singapore license</t>
  </si>
  <si>
    <t>request  {   "header" : {     "sourceSystemType" : "RTA",     "sourceSystemId" : "E-TRAFFIC",     "transactionId" : "OLJ-8604976",     "transactionDateTime" : "2026-02-24 12:47:56"   },   "requestBody" : {     "referenceNumber" : "OLJ-8604976",     "licenseCategory" : "LMVM",     "nationalityCode" : "USA",     "sponsorCode" : "NONE",     "professionCode" : "NONE",     "fileType" : "STANDARD",     "serviceType" : "STANDARD",     "gender" : "MALE",     "previousLicenses" : [ {       "previousLicenseCategory" : "LMVM",       "previousLicenseStatus" : "ACTIVE",       "licenseSource" : "SGP",       "drivingExperienceInMonth" : 58     }, {       "previousLicenseCategory" : "MC",       "previousLicenseStatus" : "ACTIVE",       "licenseSource" : "SGP",       "drivingExperienceInMonth" : 58     } ],     "goldenChanceSelected" : false,     "applyDirectTest" : false,     "requestType" : "INITIAL",     "visaType" : "STANDARD"   } } response  {"personaId":6528,"numberOfTheoryClasses":0,"numberOfPracticalClasses":0,"knowledgeTestRequired":true,"yardTestRequired":false,"roadTestRequired":true,"responseCode":"200","responseDescription":"Success","referenceNumber":"OLJ-8604976","personaVersion":"V1.0","minimumPrice":1859.0,"mainPackage":"Direct Test","ruleNumber":"LMVM-1281","goldenChanceEligibility":false,"eligibleForCollection":false}</t>
  </si>
  <si>
    <t>INC000001321185</t>
  </si>
  <si>
    <t>Avaya Karuppaiah</t>
  </si>
  <si>
    <t>Periyasamy</t>
  </si>
  <si>
    <t>DNS Entry</t>
  </si>
  <si>
    <t>Techm Al Ameen</t>
  </si>
  <si>
    <t>Domain Name Service</t>
  </si>
  <si>
    <t>Internal DNS Entry</t>
  </si>
  <si>
    <t>As per the request DNS entry has been updated</t>
  </si>
  <si>
    <t>V00507</t>
  </si>
  <si>
    <t>Avaya_kgperiyasamy</t>
  </si>
  <si>
    <t>Avaya_Karuppaiah.Periyasamy@RTA.ae</t>
  </si>
  <si>
    <t>INC000001321184</t>
  </si>
  <si>
    <t>Ownership change AUH 58313 16 Mitsubishi Attrage 1990044705</t>
  </si>
  <si>
    <t>Dear user, The mentioned vehicle MMDAFT6J9MH009499 is now deleted from TARS, kindly verify now</t>
  </si>
  <si>
    <t>INC000001321183</t>
  </si>
  <si>
    <t>1643160_Threat Activity Detected</t>
  </si>
  <si>
    <t>INC000001321182</t>
  </si>
  <si>
    <t>Bin Hindi</t>
  </si>
  <si>
    <t>Qmatic system issue</t>
  </si>
  <si>
    <t>Khaja Subhani-Contractor</t>
  </si>
  <si>
    <t>Qmatic – Customer Flow</t>
  </si>
  <si>
    <t>Deira (Licensing ) Customer Service Center</t>
  </si>
  <si>
    <t>The issue has not clearrly described and sepcific details were proived. Without proper information we are unable to provide support.   It is not recommende to raise a critical ticket unless the issue is clearly specified.</t>
  </si>
  <si>
    <t>Clear Logs</t>
  </si>
  <si>
    <t>nsbinhindi</t>
  </si>
  <si>
    <t>Najla.BinHindi@RTA.ae</t>
  </si>
  <si>
    <t>INC000001321180</t>
  </si>
  <si>
    <t>Ahmad Yousef</t>
  </si>
  <si>
    <t>Al Khatib</t>
  </si>
  <si>
    <t>As per the request, VPN access is successfully extended for the user - ayalkhatib. Hence resolving the incident.</t>
  </si>
  <si>
    <t>ayalkhatib</t>
  </si>
  <si>
    <t>Ahmad.Alkhatib@rta.ae</t>
  </si>
  <si>
    <t>INC000001321179</t>
  </si>
  <si>
    <t>Almakrani</t>
  </si>
  <si>
    <t>????? ????? ????? ???????</t>
  </si>
  <si>
    <t>Dear Fatima,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</si>
  <si>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Browser Cache Issue</t>
  </si>
  <si>
    <t>fhalmakrani</t>
  </si>
  <si>
    <t>Fatima.Almakrani@rta.ae</t>
  </si>
  <si>
    <t>INC000001321176</t>
  </si>
  <si>
    <t>Okool Mohamad Shavasil</t>
  </si>
  <si>
    <t>Nalakathkalingal Backer</t>
  </si>
  <si>
    <t>RPA _Vendor Account _Renewal.</t>
  </si>
  <si>
    <t>As per the below request and approval, we have extended below users till 10 March 2027.</t>
  </si>
  <si>
    <t>V0010971</t>
  </si>
  <si>
    <t>okool_mnnalakathkali</t>
  </si>
  <si>
    <t>Okool_Mohamadshavasil.Nalakathkalingalbacker@rta.ae</t>
  </si>
  <si>
    <t>INC000001321175</t>
  </si>
  <si>
    <t>Hasa</t>
  </si>
  <si>
    <t>Albalushi</t>
  </si>
  <si>
    <t>Intranet Browse Issue</t>
  </si>
  <si>
    <t>Intranet issues(RE)</t>
  </si>
  <si>
    <t>Intranet Issues</t>
  </si>
  <si>
    <t>haalbalushi</t>
  </si>
  <si>
    <t>Hasa.Albalushi@rta.ae</t>
  </si>
  <si>
    <t>INC000001321174</t>
  </si>
  <si>
    <t>Sulaiman</t>
  </si>
  <si>
    <t>Almasalheh</t>
  </si>
  <si>
    <t>PC Slowness Issue</t>
  </si>
  <si>
    <t>- Run disk cleanup utility / cleared all temporary files and temporary internet files and cookies. - Check event viewer logs. - C Drive is having free space and functioning well - Deleted Tepm files  - %tepm%</t>
  </si>
  <si>
    <t>sahalmasalheh</t>
  </si>
  <si>
    <t>Sulaiman.AAlmasalheh@rta.ae</t>
  </si>
  <si>
    <t>INC000001321173</t>
  </si>
  <si>
    <t>Intervention completed  Nol card not issueing, CTU faulty, need to replace CTU module, schdule for CTU module replacement</t>
  </si>
  <si>
    <t>Technical Issue</t>
  </si>
  <si>
    <t>INC000001321171</t>
  </si>
  <si>
    <t>1643154_Threat Activity Detected</t>
  </si>
  <si>
    <t>INC000001321169</t>
  </si>
  <si>
    <t>Lanien</t>
  </si>
  <si>
    <t>Inbaraj</t>
  </si>
  <si>
    <t>Request to change AI Director in Archer.</t>
  </si>
  <si>
    <t>‘Artificial Intelligence and Data Science Center’ Department Director and Section Manager has been updated to Mr. @Raj Kishore Kamalana Thsharma in Archer for BCM.</t>
  </si>
  <si>
    <t>lkinbaraj</t>
  </si>
  <si>
    <t>Lanien.Inbaraj@rta.ae</t>
  </si>
  <si>
    <t>INC000001321168</t>
  </si>
  <si>
    <t>Please accept AUH 58313 16 Mitsubishi Attrage 1990044705</t>
  </si>
  <si>
    <t>Dear User, There is an active borrowing for the vehicle with did:1990044705:1634830326547. KIndly initiate the return from your end FYI please find  the lender tfn 1990044705 the borrower tfn 50029747</t>
  </si>
  <si>
    <t>INC000001321167</t>
  </si>
  <si>
    <t>TVM-262146</t>
  </si>
  <si>
    <t>Intervention completed Printer not working properly,Adjust printer shutter,printer test successful,tvm operational,tested with customers successfully.</t>
  </si>
  <si>
    <t>Printer Issues</t>
  </si>
  <si>
    <t>INC000001321163</t>
  </si>
  <si>
    <t xml:space="preserve">Alhaj Nasser </t>
  </si>
  <si>
    <t>UMM RAMOOL NEW HQ 2A</t>
  </si>
  <si>
    <t>As per the request, VPN access is successfully extended for the user - lkalhajnasser. Hence resolving the incident.</t>
  </si>
  <si>
    <t>lkalhajnasser</t>
  </si>
  <si>
    <t>Latifa.Alhajnasser@rta.ae</t>
  </si>
  <si>
    <t>INC000001321162</t>
  </si>
  <si>
    <t>Ayman</t>
  </si>
  <si>
    <t>Mohamed Ali-Contractor</t>
  </si>
  <si>
    <t>New EMS Account - RTA Managers</t>
  </si>
  <si>
    <t>As per below request, we have assigned EMS application access to below user, please check.  User login: rkthsharma</t>
  </si>
  <si>
    <t>V0025127</t>
  </si>
  <si>
    <t>epic_ammohamedali</t>
  </si>
  <si>
    <t>Epic_Ayman.Mohamedali@rta.ae</t>
  </si>
  <si>
    <t>INC000001321159</t>
  </si>
  <si>
    <t>Shahdad</t>
  </si>
  <si>
    <t>As per the request, VPN access is successfully extended for the user - akshahdad. Hence resolving the incident.</t>
  </si>
  <si>
    <t>akshahdad</t>
  </si>
  <si>
    <t>Asma.Shahdad@rta.ae</t>
  </si>
  <si>
    <t>INC000001321158</t>
  </si>
  <si>
    <t>Hanan</t>
  </si>
  <si>
    <t>Alraeesi</t>
  </si>
  <si>
    <t>Qmatic issue</t>
  </si>
  <si>
    <t>the issue has not been clearly specified and no specific detail were added. without proper information, we are unable to provide support.   It is not recommended to raise a critical ticket unless the issue is clearly specified and justified.</t>
  </si>
  <si>
    <t>haalraeesi</t>
  </si>
  <si>
    <t>Hanan.Alraeesi@rta.ae</t>
  </si>
  <si>
    <t>INC000001321154</t>
  </si>
  <si>
    <t>1643134_Threat Activity Detected</t>
  </si>
  <si>
    <t>INC000001321151</t>
  </si>
  <si>
    <t>Maymona</t>
  </si>
  <si>
    <t>As per the service request, VPN access is successfully extended for the user - mahahmad. Hence resolving the incident.</t>
  </si>
  <si>
    <t>MAhAhmad</t>
  </si>
  <si>
    <t>Maymona.Ahmad@rta.ae</t>
  </si>
  <si>
    <t>INC000001321149</t>
  </si>
  <si>
    <t>Techm Ahmed</t>
  </si>
  <si>
    <t>Elboshy</t>
  </si>
  <si>
    <t>Request to bulk cancel tickets</t>
  </si>
  <si>
    <t>Below tickets has been bulk cancelled.  Incident Number INC000001321008 INC000001320605 INC000001320601 INC000001320209 INC000001319255 INC000001318328 INC000001317727 INC000001315733 INC000001321090</t>
  </si>
  <si>
    <t>Techm_AMElboshy</t>
  </si>
  <si>
    <t>V004679</t>
  </si>
  <si>
    <t>Techm_Ahmed.Elboshy@rta.ae</t>
  </si>
  <si>
    <t>INC000001321147</t>
  </si>
  <si>
    <t>Maisa</t>
  </si>
  <si>
    <t>Daina</t>
  </si>
  <si>
    <t>mjdaina</t>
  </si>
  <si>
    <t>Maisa.Daina@rta.ae</t>
  </si>
  <si>
    <t>INC000001321146</t>
  </si>
  <si>
    <t>Can't checkin after changing phone</t>
  </si>
  <si>
    <t>Elrayan Ismail-Contractor</t>
  </si>
  <si>
    <t>Time &amp; Attendance System</t>
  </si>
  <si>
    <t>Activation Request</t>
  </si>
  <si>
    <t>aalialali</t>
  </si>
  <si>
    <t>Amna.Alali@rta.ae</t>
  </si>
  <si>
    <t>INC000001321145</t>
  </si>
  <si>
    <t>1643119_Threat Activity Detected</t>
  </si>
  <si>
    <t>INC000001321140</t>
  </si>
  <si>
    <t>Apply for Inspecting Driving Tests Sites for Vehicles of Special Nature</t>
  </si>
  <si>
    <t>there was no slots available till 20/04/2026  already generated now</t>
  </si>
  <si>
    <t>INC000001321138</t>
  </si>
  <si>
    <t>Almazrouei</t>
  </si>
  <si>
    <t>OPMS request</t>
  </si>
  <si>
    <t>The below stage 6 approval has been resolved, kindly check and confirm the same.</t>
  </si>
  <si>
    <t>aabalmazrouei</t>
  </si>
  <si>
    <t>Aisha.Almazrouei@rta.ae</t>
  </si>
  <si>
    <t>INC000001321137</t>
  </si>
  <si>
    <t>Mokhtar</t>
  </si>
  <si>
    <t>To check the network connectivity issue</t>
  </si>
  <si>
    <t>Jay Mehta</t>
  </si>
  <si>
    <t>Operation - Network and Security</t>
  </si>
  <si>
    <t>Resource Utilisation</t>
  </si>
  <si>
    <t>We have validated the issue and found that the link utilization was high during that time when the issue was reported we have already raised a bandwidth upgrade request for the site which is under progress same has been informed to user.</t>
  </si>
  <si>
    <t>Resource Utilization</t>
  </si>
  <si>
    <t>aimokhtar</t>
  </si>
  <si>
    <t>Ahmed.Mokhtar@RTA.ae</t>
  </si>
  <si>
    <t>INC000001321136</t>
  </si>
  <si>
    <t>aiabdallah</t>
  </si>
  <si>
    <t>ahmed.abdallah@rta.ae</t>
  </si>
  <si>
    <t>INC000001321134</t>
  </si>
  <si>
    <t>OPMS Issue</t>
  </si>
  <si>
    <t>Dear Meera,  Please note that the Stage 6 approval screen has been configured and resolved in line with today’s discussion regarding the concern raised by @Suhaib Abdulla Darwish. Kindly review and confirm. If you need any further assistance or guidance, feel free to let us know.</t>
  </si>
  <si>
    <t>Application Configuration</t>
  </si>
  <si>
    <t>INC000001321131</t>
  </si>
  <si>
    <t>Bahij</t>
  </si>
  <si>
    <t>Daniel</t>
  </si>
  <si>
    <t>Archer - Updating the List of Authority Delegations</t>
  </si>
  <si>
    <t>Activated Section Managers accounts mentioned in email.</t>
  </si>
  <si>
    <t>BDDaniel</t>
  </si>
  <si>
    <t>Bahij.Daniel@rta.ae</t>
  </si>
  <si>
    <t>INC000001321127</t>
  </si>
  <si>
    <t>Unable to punch in after changing phone</t>
  </si>
  <si>
    <t>INC000001321120</t>
  </si>
  <si>
    <t>Dear Abhishek,  I hope this mail finds you well. Kindly follow the attached document to view the projects under your department since you have the DPMO access. And let us know if you need any further assistance or guidance.</t>
  </si>
  <si>
    <t>Training</t>
  </si>
  <si>
    <t>User Guidance</t>
  </si>
  <si>
    <t>INC000001321118</t>
  </si>
  <si>
    <t>Samar</t>
  </si>
  <si>
    <t>Sahmani-Contractor</t>
  </si>
  <si>
    <t>Case No: RTA-1861691-F7G9- RTA-1887947-B7W3-- Manage parking vehicle</t>
  </si>
  <si>
    <t>Samar Walid Sahmani-Contractor</t>
  </si>
  <si>
    <t>RTA Dubai App</t>
  </si>
  <si>
    <t>Case No: RTA-1861691-F7G9- RTA-1887947-B7W3-- Manage parking vehicle  The vehicle under the traffic file is incorrectly shown as a parking  vehicle in the PPPF layout. The issue was reported on iOS,  JIRA - RTA1-4232 - will added to next release during march 2026 RCA  As per our investigation, we received the pale code 700 from the mParking end point : /mParkingSmartPhoneWS/smartPhoneWS      Please find below request/response.     Time: 2026-01-13 07:42:38.569 GMT      Operation name: getVehicleWS     endpoint: /mParkingSmartPhoneWS/smartPhoneWS     Request:  &lt;SOAP-ENV:Envelope xmlns:SOAP-ENV="http://schemas.xmlsoap.org/soap/envelope/"&gt;    &lt;SOAP-ENV:Header&gt;      &lt;wsse:Security xmlns:wsse="http://docs.oasis-open.org/wss/2004/01/oasis-200401-wss-wssecurity-secext-1.0.xsd" xmlns:wsu="http://docs.oasis-open.org/wss/2004/01/oasis-200401-wss-wssecurity-utility-1.0.xsd" mustUnderstand="1"&gt;        &lt;wsse:UsernameToken wsu:Id="UsernameToken-64"&gt;          &lt;wsse:Username&gt;*******&lt;/wsse:Username&gt;          &lt;wsse:Password Type="http://docs.oasis-open.org/wss/2004/01/oasis-200401-wss-username-token-profile-1.0#PasswordText"&gt;*******&lt;/wsse:Password&gt;        &lt;/wsse:UsernameToken&gt;      &lt;/wsse:Security&gt;    &lt;/SOAP-ENV:Header&gt;    &lt;SOAP-ENV:Body&gt;      &lt;ns3:getVehicleWS xmlns:ns3="http://ws.smartphone.infocomm.com/"&gt;        &lt;username&gt;971507576755&lt;/username&gt;        &lt;userId&gt;wi********in&lt;/userId&gt;        &lt;pwd&gt;*******&lt;/pwd&gt;      &lt;/ns3:getVehicleWS&gt;    &lt;/SOAP-ENV:Body&gt;  &lt;/SOAP-ENV:Envelope&gt;     Response:  &lt;S:Envelope xmlns:S="http://schemas.xmlsoap.org/soap/envelope/"&gt;    &lt;S:Body&gt;      &lt;ns2:getVehicleWSResponse xmlns:ns2="http://ws.smartphone.infocomm.com/"&gt;        &lt;return&gt;          &lt;amount&gt;0&lt;/amount&gt;          &lt;errorMsg/&gt;          &lt;listResult xmlns:xsi="http://www.w3.org/2001/XMLSchema-instance" xsi:type="ns2:registeredVehicle"&gt;            &lt;plateColor&gt;DD&lt;/plateColor&gt;            &lt;plateColorId&gt;149&lt;/plateColorId&gt;            &lt;plateNo&gt;40234&lt;/plateNo&gt;            &lt;plateSource&gt;Dubai,???  &lt;/plateSource&gt;            &lt;plateSourceId&gt;2&lt;/plateSourceId&gt;            &lt;plateType&gt;Private&lt;/plateType&gt;            &lt;plateTypeId&gt;1&lt;/plateTypeId&gt;            &lt;prefLang&gt;0&lt;/prefLang&gt;            &lt;registeredVehiclePK&gt;              &lt;msisdn&gt;971507576755&lt;/msisdn&gt;              &lt;nickName&gt;BABOOSHI&lt;/nickName&gt;            &lt;/registeredVehiclePK&gt;            &lt;reqSrcId&gt;0&lt;/reqSrcId&gt;            &lt;vehicleColor&gt;None&lt;/vehicleColor&gt;            &lt;vehicleMake&gt;None&lt;/vehicleMake&gt;            &lt;vehicleType&gt;None&lt;/vehicleType&gt;          &lt;/listResult&gt;          &lt;listResult xmlns:xsi="http://www.w3.org/2001/XMLSchema-instance" xsi:type="ns2:registeredVehicle"&gt;            &lt;plateColor&gt;AA&lt;/plateColor&gt;            &lt;plateColorId&gt;135&lt;/plateColorId&gt;            &lt;plateNo&gt;30015&lt;/plateNo&gt;            &lt;plateSource&gt;Dubai,???  &lt;/plateSource&gt;            &lt;plateSourceId&gt;2&lt;/plateSourceId&gt;            &lt;plateType&gt;Private&lt;/plateType&gt;            &lt;plateTypeId&gt;1&lt;/plateTypeId&gt;            &lt;prefLang&gt;0&lt;/prefLang&gt;            &lt;registeredVehiclePK&gt;              &lt;msisdn&gt;971507576755&lt;/msisdn&gt;              &lt;nickName&gt;BMW&lt;/nickName&gt;            &lt;/registeredVehiclePK&gt;            &lt;reqSrcId&gt;0&lt;/reqSrcId&gt;            &lt;vehicleColor&gt;None&lt;/vehicleColor&gt;            &lt;vehicleMake&gt;None&lt;/vehicleMake&gt;            &lt;vehicleType&gt;None&lt;/vehicleType&gt;          &lt;/listResult&gt;          &lt;listResult xmlns:xsi="http://www.w3.org/2001/XMLSchema-instance" xsi:type="ns2:registeredVehicle"&gt;            &lt;plateColor&gt;BB&lt;/plateColor&gt;            &lt;plateColorId&gt;147&lt;/plateColorId&gt;            &lt;plateNo&gt;90193&lt;/plateNo&gt;            &lt;plateSource&gt;Dubai,???  &lt;/plateSource&gt;            &lt;plateSourceId&gt;2&lt;/plateSourceId&gt;            &lt;plateType&gt;Private&lt;/plateType&gt;            &lt;plateTypeId&gt;1&lt;/plateTypeId&gt;            &lt;prefLang&gt;0&lt;/prefLang&gt;            &lt;registeredVehiclePK&gt;              &lt;msisdn&gt;971507576755&lt;/msisdn&gt;              &lt;nickName&gt;JAGUAR&lt;/nickName&gt;            &lt;/registeredVehiclePK&gt;            &lt;reqSrcId&gt;0&lt;/reqSrcId&gt;            &lt;vehicleColor&gt;None&lt;/vehicleColor&gt;            &lt;vehicleMake&gt;None&lt;/vehicleMake&gt;            &lt;vehicleType&gt;None&lt;/vehicleType&gt;          &lt;/listResult&gt;          &lt;listResult xmlns:xsi="http://www.w3.org/2001/XMLSchema-instance" xsi:type="ns2:registeredVehicle"&gt;            &lt;plateColor&gt;700&lt;/plateColor&gt;            &lt;plateColorId&gt;135&lt;/plateColorId&gt;            &lt;plateNo&gt;30015&lt;/plateNo&gt;            &lt;plateSource&gt;DXB,???  &lt;/plateSource&gt;            &lt;plateSourceId&gt;2&lt;/plateSourceId&gt;            &lt;plateType&gt;Private&lt;/plateType&gt;            &lt;plateTypeId&gt;1&lt;/plateTypeId&gt;            &lt;prefLang&gt;0&lt;/prefLang&gt;            &lt;registeredVehiclePK&gt;              &lt;msisdn&gt;971507576755&lt;/msisdn&gt;              &lt;nickName&gt;PRIVATE_30015_5445467&lt;/nickName&gt;            &lt;/registeredVehiclePK&gt;            &lt;reqSrcId&gt;0&lt;/reqSrcId&gt;            &lt;vehicleColor&gt;None&lt;/vehicleColor&gt;            &lt;vehicleMake&gt;None&lt;/vehicleMake&gt;            &lt;vehicleType&gt;None&lt;/vehicleType&gt;          &lt;/listResult&gt;          &lt;listResult xmlns:xsi="http://www.w3.org/2001/XMLSchema-instance" xsi:type="ns2:registeredVehicle"&gt;            &lt;paymentMethod&gt;?&lt;/paymentMethod&gt;            &lt;plateColor&gt;O&lt;/plateColor&gt;            &lt;plateColorId&gt;60&lt;/plateColorId&gt;            &lt;plateNo&gt;71166&lt;/plateNo&gt;            &lt;plateSource&gt;Dubai,???  &lt;/plateSource&gt;            &lt;plateSourceId&gt;2&lt;/plateSourceId&gt;            &lt;plateType&gt;Private&lt;/plateType&gt;            &lt;plateTypeId&gt;1&lt;/plateTypeId&gt;            &lt;prefLang&gt;0&lt;/prefLang&gt;            &lt;registeredVehiclePK&gt;              &lt;msisdn&gt;971507576755&lt;/msisdn&gt;              &lt;nickName&gt;RANGE12&lt;/nickName&gt;            &lt;/registeredVehiclePK&gt;            &lt;reqSrcId&gt;0&lt;/reqSrcId&gt;            &lt;vehicleColor&gt;None&lt;/vehicleColor&gt;            &lt;vehicleMake&gt;None&lt;/vehicleMake&gt;            &lt;vehicleType&gt;None&lt;/vehicleType&gt;          &lt;/listResult&gt;          &lt;listResult xmlns:xsi="http://www.w3.org/2001/XMLSchema-instance" xsi:type="ns2:registeredVehicle"&gt;            &lt;paymentMethod&gt;?&lt;/paymentMethod&gt;            &lt;plateColor&gt;C&lt;/plateColor&gt;            &lt;plateColorId&gt;7&lt;/plateColorId&gt;            &lt;plateNo&gt;8651&lt;/plateNo&gt;            &lt;plateSource&gt;Dubai,???  &lt;/plateSource&gt;            &lt;plateSourceId&gt;2&lt;/plateSourceId&gt;            &lt;plateType&gt;Private&lt;/plateType&gt;            &lt;plateTypeId&gt;1&lt;/plateTypeId&gt;            &lt;prefLang&gt;0&lt;/prefLang&gt;            &lt;registeredVehiclePK&gt;              &lt;msisdn&gt;971507576755&lt;/msisdn&gt;              &lt;nickName&gt;RANGE19&lt;/nickName&gt;            &lt;/registeredVehiclePK&gt;            &lt;reqSrcId&gt;0&lt;/reqSrcId&gt;            &lt;vehicleColor&gt;None&lt;/vehicleColor&gt;            &lt;vehicleMake&gt;None&lt;/vehicleMake&gt;            &lt;vehicleType&gt;None&lt;/vehicleType&gt;          &lt;/listResult&gt;          &lt;requestType&gt;VIEWVEHICLE&lt;/requestType&gt;          &lt;sessionID&gt;1088&lt;/sessionID&gt;          &lt;statusCode&gt;0&lt;/statusCode&gt;          &lt;totalAmount&gt;0&lt;/totalAmount&gt;          &lt;webUser&gt;            &lt;email&gt;fadilat@et.ae&lt;/email&gt;            &lt;firstName&gt;Fadil&lt;/firstName&gt;            &lt;lastName&gt;Ataalla&lt;/lastName&gt;            &lt;lastUpdated&gt;2020-07-13T20:25:19+04:00&lt;/lastUpdated&gt;            &lt;msisdn&gt;971507576755&lt;/msisdn&gt;            &lt;nationality&gt;Russia&lt;/nationality&gt;            &lt;password&gt;827ccb0eea8a706c4c34a16891f84e7b&lt;/password&gt;            &lt;portalUserId&gt;fadilat&lt;/portalUserId&gt;            &lt;pwdChangeRequired&gt;Y&lt;/pwdChangeRequired&gt;            &lt;registeredBy&gt;RTA_SMART_PHONE_APP&lt;/registeredBy&gt;            &lt;registrationDate&gt;2020-07-13T20:25:19+04:00&lt;/registrationDate&gt;            &lt;reqSrcId&gt;0&lt;/reqSrcId&gt;            &lt;securityCode&gt;12345&lt;/securityCode&gt;            &lt;sendMktAlerts&gt;N&lt;/sendMktAlerts&gt;            &lt;smartPhoneAppId&gt;srpnzsqoma97150757675515946575194849f671b305d15443b95d57ebbe17fba5ejqpmqdbwwvvgbfvrisopvhitfczkaxoyo&lt;/smartPhoneAppId&gt;            &lt;status&gt;Y&lt;/status&gt;          &lt;/webUser&gt;        &lt;/return&gt;      &lt;/ns2:getVehicleWSResponse&gt;    &lt;/S:Body&gt;  &lt;/S:Envelope&gt;</t>
  </si>
  <si>
    <t>proxym_swsahmani</t>
  </si>
  <si>
    <t>V0010690</t>
  </si>
  <si>
    <t>Proxym_Samar.Sahmani@rta.ae</t>
  </si>
  <si>
    <t>INC000001321114</t>
  </si>
  <si>
    <t>Mai</t>
  </si>
  <si>
    <t>Al Neyadi</t>
  </si>
  <si>
    <t>MOM Issue</t>
  </si>
  <si>
    <t>UMM RAMOOL NEW HQ 9A</t>
  </si>
  <si>
    <t>mjalneyadi</t>
  </si>
  <si>
    <t>Mai.Alneyadi@rta.ae</t>
  </si>
  <si>
    <t>INC000001321113</t>
  </si>
  <si>
    <t xml:space="preserve">question marks in the report </t>
  </si>
  <si>
    <t>Issue has been resolved refresh your workspace and confirm</t>
  </si>
  <si>
    <t>INC000001321110</t>
  </si>
  <si>
    <t>Zadegan</t>
  </si>
  <si>
    <t>MOM Request</t>
  </si>
  <si>
    <t>AAZadegan</t>
  </si>
  <si>
    <t>Ayesha.Zadegan@rta.ae</t>
  </si>
  <si>
    <t>INC000001321109</t>
  </si>
  <si>
    <t>IT</t>
  </si>
  <si>
    <t>CSC Threat Advisory - Critical Path Traversal Vulnerability in Node.js Experimental Permission Model</t>
  </si>
  <si>
    <t>Kannan Krishnaiya</t>
  </si>
  <si>
    <t>EC3 Application - Medium</t>
  </si>
  <si>
    <t>GIS - Bluetooth Vector</t>
  </si>
  <si>
    <t>We are not using the Node.js versions mentioned in the advisory. For all other Node.js versions in use, we are maintained at their latest security patched levels.</t>
  </si>
  <si>
    <t>cns_aahassanein</t>
  </si>
  <si>
    <t>Backend Software Upgrade</t>
  </si>
  <si>
    <t>Software Version Upgraded</t>
  </si>
  <si>
    <t>itsupport</t>
  </si>
  <si>
    <t>itsupport@rta.ae</t>
  </si>
  <si>
    <t>INC000001321107</t>
  </si>
  <si>
    <t>Dana</t>
  </si>
  <si>
    <t>Khoory</t>
  </si>
  <si>
    <t>Shared folder access has been granted to the user  Folder Path: \\rta.global\fileserver001\Share6$\CASS\HRD\Employee Relations Folder Owner: kkalbalooshi Folder Access:  User Name	Type Of Access dakhoory	         Modify</t>
  </si>
  <si>
    <t>dakhoory</t>
  </si>
  <si>
    <t>Dana.Khoory@rta.ae</t>
  </si>
  <si>
    <t>INC000001321103</t>
  </si>
  <si>
    <t>Yasmine</t>
  </si>
  <si>
    <t>Mohamed Mostafa Abdullah</t>
  </si>
  <si>
    <t>As per the service request, VPN access is successfully extended for the user - trans_yamohamedmosta. Hence resolving the incident.</t>
  </si>
  <si>
    <t>V0030344</t>
  </si>
  <si>
    <t>trans_yamohamedmosta</t>
  </si>
  <si>
    <t>Trans_Yasmine.Mohamedmostafaabdullah@rta.ae</t>
  </si>
  <si>
    <t>INC000001321102</t>
  </si>
  <si>
    <t>Request to configure sudo access on AI search staging server.</t>
  </si>
  <si>
    <t>Techm Akash Pradeep</t>
  </si>
  <si>
    <t>Portal Ops - Linux</t>
  </si>
  <si>
    <t>Linux</t>
  </si>
  <si>
    <t>Sudo access configuration completed on AI search staging server and communicated to the team.</t>
  </si>
  <si>
    <t>INC000001321100</t>
  </si>
  <si>
    <t>INC000001321097</t>
  </si>
  <si>
    <t>Hamda Mohammad</t>
  </si>
  <si>
    <t>GRP Access</t>
  </si>
  <si>
    <t>Kindly note the vacation role has already been extended to 25-02-2026.</t>
  </si>
  <si>
    <t>hmalmuharia</t>
  </si>
  <si>
    <t>hamda.almuhairi@rta.ae</t>
  </si>
  <si>
    <t>INC000001321096</t>
  </si>
  <si>
    <t>Maximo request</t>
  </si>
  <si>
    <t>User, Delegation has been applied as requested.</t>
  </si>
  <si>
    <t>INC000001321095</t>
  </si>
  <si>
    <t>Request Cancelation Required</t>
  </si>
  <si>
    <t>there was request under ref DLF-15531626 approved from DTS  sent to DTS to reject it first then back to us</t>
  </si>
  <si>
    <t>INC000001321094</t>
  </si>
  <si>
    <t>BUS-1115</t>
  </si>
  <si>
    <t>INC000001321093</t>
  </si>
  <si>
    <t>Yousuf</t>
  </si>
  <si>
    <t>Alyahya</t>
  </si>
  <si>
    <t>E traffic Issue</t>
  </si>
  <si>
    <t>E TRAFFIC Issue</t>
  </si>
  <si>
    <t>- After checking found the issue is with Java. - Reset Java settings, - Cleared the IE / Edge history. - Reinstalled Java. - Reconfigured IE mode. checked and works fine.</t>
  </si>
  <si>
    <t>Techm_OFAbdullatif</t>
  </si>
  <si>
    <t>E-Traffic Issue</t>
  </si>
  <si>
    <t>yaalyahya</t>
  </si>
  <si>
    <t>Yousuf.Alyahya@rta.ae</t>
  </si>
  <si>
    <t>INC000001321092</t>
  </si>
  <si>
    <t>Tahera</t>
  </si>
  <si>
    <t>Al Jasmi</t>
  </si>
  <si>
    <t xml:space="preserve">Request for Windows profile configuration </t>
  </si>
  <si>
    <t>Configured the user's profile as requested.</t>
  </si>
  <si>
    <t>V0031254</t>
  </si>
  <si>
    <t>align_taaljasmi</t>
  </si>
  <si>
    <t>Align_Tahera.Aljasmi@rta.ae</t>
  </si>
  <si>
    <t>INC000001321091</t>
  </si>
  <si>
    <t>Jasim</t>
  </si>
  <si>
    <t>Kashwani</t>
  </si>
  <si>
    <t>Printer configuration request</t>
  </si>
  <si>
    <t>Printer</t>
  </si>
  <si>
    <t>Printer  re-configuration(RE)</t>
  </si>
  <si>
    <t>configured the paper printer as a default printer for the user.</t>
  </si>
  <si>
    <t>Printer Re-Configuration(RE)</t>
  </si>
  <si>
    <t>jmkashwani</t>
  </si>
  <si>
    <t>Jasim.Kashwani@rta.ae</t>
  </si>
  <si>
    <t>INC000001321089</t>
  </si>
  <si>
    <t>????? ???? ???</t>
  </si>
  <si>
    <t>Backoffice Technical issue, the issue has been resolved and will deploy it soon</t>
  </si>
  <si>
    <t>INC000001321085</t>
  </si>
  <si>
    <t>Sarah</t>
  </si>
  <si>
    <t>que system issue  (alkifaf)</t>
  </si>
  <si>
    <t>UNDER OBSERVATION</t>
  </si>
  <si>
    <t>Report IT Incidents</t>
  </si>
  <si>
    <t>Server room does not have the AC. Temperature is not optimum for the Signage Player.  Request to site manager to resolve the Temperature issue.</t>
  </si>
  <si>
    <t>sahsaeed</t>
  </si>
  <si>
    <t>Sarah.Saeed@rta.ae</t>
  </si>
  <si>
    <t>INC000001321084</t>
  </si>
  <si>
    <t>Rashed</t>
  </si>
  <si>
    <t>Alshaibani</t>
  </si>
  <si>
    <t>As per the request, VPN access is successfully extended for the user - rhalshaibani. Hence resolving the incident.</t>
  </si>
  <si>
    <t>rhalshaibani</t>
  </si>
  <si>
    <t>Rashed.Alshaibani@rta.ae</t>
  </si>
  <si>
    <t>INC000001321083</t>
  </si>
  <si>
    <t>Al Wazani</t>
  </si>
  <si>
    <t>Adobe Acrobat Pro Issue</t>
  </si>
  <si>
    <t>RTA HQ Main BUilding, Second floor</t>
  </si>
  <si>
    <t>we set the Adobe Acrobat as a default app and we installed the latest updates for it.</t>
  </si>
  <si>
    <t>ykalwazani</t>
  </si>
  <si>
    <t>yousef.alwazani@rta.ae</t>
  </si>
  <si>
    <t>INC000001321082</t>
  </si>
  <si>
    <t>The vehicle locked for Lost/Damage Transaction from traffic 266734155 and the EPS still active ???? ??? ???? ??? ???? ???? ?? ????? ?????</t>
  </si>
  <si>
    <t>INC000001321081</t>
  </si>
  <si>
    <t>As per the request, VPN access is successfully extended for the user - aoali. Hence resolving the incident.</t>
  </si>
  <si>
    <t>aoali</t>
  </si>
  <si>
    <t>Abeer.Ali@rta.ae</t>
  </si>
  <si>
    <t>INC000001321069</t>
  </si>
  <si>
    <t>Salahuddin</t>
  </si>
  <si>
    <t>Removing Risk from Archer System</t>
  </si>
  <si>
    <t>Removed the ARM Risks 24512 and 25997 from the respective Business Processes.  ARM Risk	Related Process 24512	•	Manage Enterprise Command and Control Department Incidents Handling •	Manage EC3 Systems 25997	•	Manage Enterprise Command and Control Department Incidents Handling</t>
  </si>
  <si>
    <t>Data Update</t>
  </si>
  <si>
    <t>saahmed</t>
  </si>
  <si>
    <t>Salahuddin.Ahmed@rta.ae</t>
  </si>
  <si>
    <t>INC000001321064</t>
  </si>
  <si>
    <t>Suspicious IP to RTA Portal on 24 February 2026, 11:10:12</t>
  </si>
  <si>
    <t>INC000001321063</t>
  </si>
  <si>
    <t>Shaya</t>
  </si>
  <si>
    <t>laptop is not charging</t>
  </si>
  <si>
    <t>Solaiman Alhussni</t>
  </si>
  <si>
    <t>Laptop Charger</t>
  </si>
  <si>
    <t>The laptop and charger have been tested and are working properly. After connecting the charger to another socket, it functioned without any issues.  The user will open a separate ticket with the Building and Facilities team to repair the faulty electrical socket.</t>
  </si>
  <si>
    <t>techm_ajalbasata</t>
  </si>
  <si>
    <t>SALAlali</t>
  </si>
  <si>
    <t>Shaya.Alali@rta.ae</t>
  </si>
  <si>
    <t>INC000001321062</t>
  </si>
  <si>
    <t>Najim</t>
  </si>
  <si>
    <t>As per the request, VPN access is successfully extended for the user - annajim. Hence resolving the incident.</t>
  </si>
  <si>
    <t>annajim</t>
  </si>
  <si>
    <t>Ashraf.Najim@rta.ae</t>
  </si>
  <si>
    <t>INC000001321060</t>
  </si>
  <si>
    <t>Elhadi</t>
  </si>
  <si>
    <t>Issue with ARCHER user</t>
  </si>
  <si>
    <t>Ahmed.Elhadi@rta.ae account has been activated as per the request</t>
  </si>
  <si>
    <t>AIElhadi</t>
  </si>
  <si>
    <t>Ahmed.Elhadi@rta.ae</t>
  </si>
  <si>
    <t>INC000001321057</t>
  </si>
  <si>
    <t>EVDs Not Reported</t>
  </si>
  <si>
    <t>Dear TTSS,  Please see below comments for not reported evd's;</t>
  </si>
  <si>
    <t>EVD Not Reporting</t>
  </si>
  <si>
    <t>INC000001321054</t>
  </si>
  <si>
    <t>Al Mazmi</t>
  </si>
  <si>
    <t>???? ????? ??? ???? ?????? ????? ????? ??? ??????: ??? ???? ???? ???????? ???????? ??????? ???????: ???? ????? ?? ?????? ????? ??????? ??? ?????? ???? ???? ?????? ??????? ???? ????? ?????? ?????? ?? ?????? ???????</t>
  </si>
  <si>
    <t>mialmazmi</t>
  </si>
  <si>
    <t>Maryam.Almazmi@rta.ae</t>
  </si>
  <si>
    <t>INC000001321050</t>
  </si>
  <si>
    <t>Attia</t>
  </si>
  <si>
    <t>Laptop</t>
  </si>
  <si>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</si>
  <si>
    <t>Hardware Request</t>
  </si>
  <si>
    <t>V0011783</t>
  </si>
  <si>
    <t>avaya_maattia</t>
  </si>
  <si>
    <t>Avaya_Mohamed.Attia@rta.ae</t>
  </si>
  <si>
    <t>INC000001321048</t>
  </si>
  <si>
    <t>RTA-1891836-Q9N1 - Refund Case(s) require manual approval email notification not received</t>
  </si>
  <si>
    <t>The reported incident is the duplicate ticket of INC000001318696</t>
  </si>
  <si>
    <t>INC000001321047</t>
  </si>
  <si>
    <t>Contract Cancellation</t>
  </si>
  <si>
    <t>application rejected as request application rejected as request application rejected as request application rejected as request</t>
  </si>
  <si>
    <t>INC000001321038</t>
  </si>
  <si>
    <t>Request top reset adobe acrobat password.</t>
  </si>
  <si>
    <t>Adobe Acrobat Professional(RE)</t>
  </si>
  <si>
    <t>From sign in option click in reset password then enter the verification code and create new account password.</t>
  </si>
  <si>
    <t>aabdulmohammad</t>
  </si>
  <si>
    <t>Ali.AMohammad@rta.ae</t>
  </si>
  <si>
    <t>INC000001321034</t>
  </si>
  <si>
    <t>Riham</t>
  </si>
  <si>
    <t>Abu Khater</t>
  </si>
  <si>
    <t>As per the request, VPN access is successfully extended for the user - rmakhater. Hence resolving the incident.</t>
  </si>
  <si>
    <t>rmakhater</t>
  </si>
  <si>
    <t>Riham.AbuKhater@RTA.ae</t>
  </si>
  <si>
    <t>INC000001321033</t>
  </si>
  <si>
    <t>Hyperion - Unable to import data ( JAN 26 )</t>
  </si>
  <si>
    <t>Constellation Jayesh Wagle</t>
  </si>
  <si>
    <t>Hyperion Planning &amp; Budgeting</t>
  </si>
  <si>
    <t>The Period Jan-26 has been assigned to the source period mapping and data was loaded</t>
  </si>
  <si>
    <t>constellation_jgwagl</t>
  </si>
  <si>
    <t>INC000001321030</t>
  </si>
  <si>
    <t>Defining Program in Hyperion</t>
  </si>
  <si>
    <t>The Program has been defined in Hyperion Planning application</t>
  </si>
  <si>
    <t>INC000001321028</t>
  </si>
  <si>
    <t>Khalid</t>
  </si>
  <si>
    <t>Al Abdoli</t>
  </si>
  <si>
    <t>Request to reset smart employee app as user change his mobile.</t>
  </si>
  <si>
    <t>kaalabdoli</t>
  </si>
  <si>
    <t>Khalid.Alabdoli@rta.ae</t>
  </si>
  <si>
    <t>INC000001321027</t>
  </si>
  <si>
    <t>Mahendhiran</t>
  </si>
  <si>
    <t>Vadivelu</t>
  </si>
  <si>
    <t>As per the request, VPN access is successfully extended for the user - mvvadivelu. Hence resolving the incident.</t>
  </si>
  <si>
    <t>mvvadivelu</t>
  </si>
  <si>
    <t>Mahendhiran.Vadivelu@rta.ae</t>
  </si>
  <si>
    <t>INC000001321026</t>
  </si>
  <si>
    <t>Urgent : Defining JAN 26 in Hyperion</t>
  </si>
  <si>
    <t>Defined Jan-26 period in Hyperion Data Management</t>
  </si>
  <si>
    <t>INC000001321024</t>
  </si>
  <si>
    <t>Hyperion Data Management Access</t>
  </si>
  <si>
    <t>Required Access has been provided to the user to Data Management</t>
  </si>
  <si>
    <t>INC000001321022</t>
  </si>
  <si>
    <t>Shaaban-Contractor</t>
  </si>
  <si>
    <t>Adjust the working hours of Finance Department in the IVR for 5858</t>
  </si>
  <si>
    <t>Arun Kumar-Contractor</t>
  </si>
  <si>
    <t>Voice</t>
  </si>
  <si>
    <t>The working hours of Finance Department during the Ramdan Period is reconfigured in the IVR for 5858 as follows:  Monday to Thursday : 07:00 AM to 12:30 PM Friday : 7:30 AM to 10:30 AM.</t>
  </si>
  <si>
    <t>V0010799</t>
  </si>
  <si>
    <t>apex_aashaaban</t>
  </si>
  <si>
    <t>Apex_Ahmed.Shaaban@rta.ae</t>
  </si>
  <si>
    <t>INC000001321021</t>
  </si>
  <si>
    <t>Aljaziri</t>
  </si>
  <si>
    <t>- Run disk cleanup utility / cleared all temporary files and temporary internet files and cookies. - Check event viewer logs. - Deleted Tepm files  - %tepm% - Run SFC /Scannow  , found corrupt files and successfully repaired them.</t>
  </si>
  <si>
    <t>omaljaziri</t>
  </si>
  <si>
    <t>Omar.Aljaziri@rta.ae</t>
  </si>
  <si>
    <t>INC000001321020</t>
  </si>
  <si>
    <t>Defining Account in Hyperion</t>
  </si>
  <si>
    <t>The Account has been defined in Hyperion Planning application</t>
  </si>
  <si>
    <t>INC000001321017</t>
  </si>
  <si>
    <t>INC000001321014</t>
  </si>
  <si>
    <t>Define Accounts in Hyperion</t>
  </si>
  <si>
    <t>INC000001321012</t>
  </si>
  <si>
    <t>??? ?? ????? ????? ??? ???????</t>
  </si>
  <si>
    <t>due to updated in maneuver result it solved try now</t>
  </si>
  <si>
    <t>INC000001321010</t>
  </si>
  <si>
    <t>VPN reconfiguration Request</t>
  </si>
  <si>
    <t>Reconfigured VPN successfully through LogMeIn</t>
  </si>
  <si>
    <t>INC000001321009</t>
  </si>
  <si>
    <t>Girish</t>
  </si>
  <si>
    <t>Thimmegowda</t>
  </si>
  <si>
    <t>Shared folder access has been granted to the user.  Folder Path: \\rta.global\fileserver001\ITISOperation$\ITIS Operations\OpenShift Folder Owner: svvettuvaliljacob Folder Access:  User Name	Type Of Access techm_gkthimmegowda	Read And Write</t>
  </si>
  <si>
    <t>V0032366</t>
  </si>
  <si>
    <t>techm_gkthimmegowda</t>
  </si>
  <si>
    <t>Techm_Girish.Thimmegowda@rta.ae</t>
  </si>
  <si>
    <t>INC000001321005</t>
  </si>
  <si>
    <t>Intranet credential Issue</t>
  </si>
  <si>
    <t>Clear cache browser has been done Reset &amp; update browser  GPupdate /force</t>
  </si>
  <si>
    <t>shalali</t>
  </si>
  <si>
    <t>Shaikha.Alali@rta.ae</t>
  </si>
  <si>
    <t>INC000001321004</t>
  </si>
  <si>
    <t xml:space="preserve">Diagram issue </t>
  </si>
  <si>
    <t>INC000001321001</t>
  </si>
  <si>
    <t>Juma</t>
  </si>
  <si>
    <t>Fikri</t>
  </si>
  <si>
    <t>MS Office 365 has been activated on user machine Successfully</t>
  </si>
  <si>
    <t>JHFikri</t>
  </si>
  <si>
    <t>Juma.Fikri@rta.ae</t>
  </si>
  <si>
    <t>INC000001321000</t>
  </si>
  <si>
    <t>Hasan</t>
  </si>
  <si>
    <t>Outlook credential Issue</t>
  </si>
  <si>
    <t>amhasan</t>
  </si>
  <si>
    <t>Abdulla.Hasan@rta.ae</t>
  </si>
  <si>
    <t>INC000001320998</t>
  </si>
  <si>
    <t>Anwar</t>
  </si>
  <si>
    <t>Kutty</t>
  </si>
  <si>
    <t>PDF Architect installation pop up</t>
  </si>
  <si>
    <t>ASKutty</t>
  </si>
  <si>
    <t>Anwar.Kutty@rta.ae</t>
  </si>
  <si>
    <t>INC000001320996</t>
  </si>
  <si>
    <t>Techm Ranjith</t>
  </si>
  <si>
    <t>Tamilselvan</t>
  </si>
  <si>
    <t>Suspicious IP to RTA Portal on 24th Feb 2026</t>
  </si>
  <si>
    <t>Monzer Elnasri</t>
  </si>
  <si>
    <t>Security Request</t>
  </si>
  <si>
    <t>Malicious traffic has been block by soar</t>
  </si>
  <si>
    <t>Firewall</t>
  </si>
  <si>
    <t>Request to Block IP</t>
  </si>
  <si>
    <t>V004701</t>
  </si>
  <si>
    <t>Techm_RKTamilselvan</t>
  </si>
  <si>
    <t>Techm_Ranjith.Tamilselvan@rta.ae</t>
  </si>
  <si>
    <t>INC000001320993</t>
  </si>
  <si>
    <t>Almadani</t>
  </si>
  <si>
    <t>VPN has been configured and connected.</t>
  </si>
  <si>
    <t>NSAlmadani</t>
  </si>
  <si>
    <t>Noora.Almadani@rta.ae</t>
  </si>
  <si>
    <t>INC000001320991</t>
  </si>
  <si>
    <t>approval error</t>
  </si>
  <si>
    <t>application already rejected  application already rejected  re request again</t>
  </si>
  <si>
    <t>INC000001320989</t>
  </si>
  <si>
    <t>INC000001320987</t>
  </si>
  <si>
    <t>TUM-263016</t>
  </si>
  <si>
    <t>Device ID: 263016 Reason: CRM Action: Analysis Details: A banknote system error occurred during the customer’s attempt. AED 50 was found by our technician</t>
  </si>
  <si>
    <t>INC000001320984</t>
  </si>
  <si>
    <t>Abdo</t>
  </si>
  <si>
    <t>Al Absy</t>
  </si>
  <si>
    <t>VPN Request</t>
  </si>
  <si>
    <t>Licensing Department - Deira</t>
  </si>
  <si>
    <t>configured vpn for the user successfully</t>
  </si>
  <si>
    <t>amalabsy</t>
  </si>
  <si>
    <t>Abdo.AlAbsy@RTA.ae</t>
  </si>
  <si>
    <t>INC000001320980</t>
  </si>
  <si>
    <t>Alkhuroosi</t>
  </si>
  <si>
    <t>ssalkhuroosi</t>
  </si>
  <si>
    <t>Saeed.Alkhuroosi@rta.ae</t>
  </si>
  <si>
    <t>INC000001320979</t>
  </si>
  <si>
    <t>Elmina</t>
  </si>
  <si>
    <t>Soliman Fajut</t>
  </si>
  <si>
    <t>Microstation Line Style</t>
  </si>
  <si>
    <t>Ahmed Almeldeen</t>
  </si>
  <si>
    <t>UMM RAMOOL NEW HQ 6C</t>
  </si>
  <si>
    <t>The data has been copied through Section Shared folder</t>
  </si>
  <si>
    <t>Copy / Transfer Data</t>
  </si>
  <si>
    <t>efajut</t>
  </si>
  <si>
    <t>Elmina.fajut@rta.ae</t>
  </si>
  <si>
    <t>INC000001320976</t>
  </si>
  <si>
    <t>account has been successfully unlocked</t>
  </si>
  <si>
    <t>KMAlshehhi</t>
  </si>
  <si>
    <t>Khalid.Alshehhi@rta.ae</t>
  </si>
  <si>
    <t>INC000001320974</t>
  </si>
  <si>
    <t>TVM-262228</t>
  </si>
  <si>
    <t>Dear TTSS,  As we checked the transaction of TVM#262228 in our system we found that the transaction encountered a payment_error. Claim is valid for 20 AED</t>
  </si>
  <si>
    <t>INC000001320973</t>
  </si>
  <si>
    <t>account unlocking issue</t>
  </si>
  <si>
    <t>We have unlocked user account in AD system, please ask user try to login now.  KMAlshehhi</t>
  </si>
  <si>
    <t>INC000001320968</t>
  </si>
  <si>
    <t xml:space="preserve">Request to delete ticket#2520855 </t>
  </si>
  <si>
    <t>request 2520855 has been cancelled as requested</t>
  </si>
  <si>
    <t>Service Request Cancellation</t>
  </si>
  <si>
    <t>INC000001320967</t>
  </si>
  <si>
    <t>Fatema</t>
  </si>
  <si>
    <t>Aljirjawi</t>
  </si>
  <si>
    <t>MOM Access Request</t>
  </si>
  <si>
    <t>Kindly note the MOM account has been created.</t>
  </si>
  <si>
    <t>V0034706</t>
  </si>
  <si>
    <t>alsahra_fzaljirjawi</t>
  </si>
  <si>
    <t>Alsahra_Fatema.Aljirjawi@rta.ae</t>
  </si>
  <si>
    <t>INC000001320965</t>
  </si>
  <si>
    <t>Sumaya</t>
  </si>
  <si>
    <t>Browser issue - not able to access EMS</t>
  </si>
  <si>
    <t>SJSaeed</t>
  </si>
  <si>
    <t>Sumaya.Saeed@rta.ae</t>
  </si>
  <si>
    <t>INC000001320963</t>
  </si>
  <si>
    <t>Archer system request</t>
  </si>
  <si>
    <t>Shaima.Almansoori@rta.ae has been added as SPOC for ‘Planning and Business Development’. Ridab has been removed.</t>
  </si>
  <si>
    <t>INC000001320962</t>
  </si>
  <si>
    <t>Majid</t>
  </si>
  <si>
    <t>Alhawai</t>
  </si>
  <si>
    <t>VPN account unlock request</t>
  </si>
  <si>
    <t>VPN profile was successfully unlocked</t>
  </si>
  <si>
    <t>maalhawai</t>
  </si>
  <si>
    <t>Majid.Alhawai@rta.ae</t>
  </si>
  <si>
    <t>INC000001320961</t>
  </si>
  <si>
    <t>1642758_Threat Activity Detected</t>
  </si>
  <si>
    <t>INC000001320960</t>
  </si>
  <si>
    <t>Techm Siji</t>
  </si>
  <si>
    <t>Verghese</t>
  </si>
  <si>
    <t>Request to sync 50 new assets received from Maximo to BMC CMDB.</t>
  </si>
  <si>
    <t>Below 50 new assets has been added to BMC CMDB  Serial Number SerialNumber PF60FAQA PF60EXXQ PF60FAP3 PF60FAQQ PF60EXT6 PF60EXTH PF60EXY7 PF60FE7E PF60FAPL PF60ESZP PF60EXTB PF60ESY8 PF60EXV3 PF60FE73 PF60FAS9 PF60FARY PF60FANP PF60EXY2 PF60EXVP PF60FAS4 PF60FE79 PF60FARC PF60FAQ1 PF60FARP PF60FAPR PF60FAPF PF60EXX9 PF60EXV8 PF60FAR5 PF60FAQ5 PF60FARJ PF60ET0F PF60FANH PF60EXWT PF60EXS8 PF60EXS2 PF60ET0A PF60ESZR PF60EXYG PF60ESZZ PF60FAP8 PF60ET07 PF60EXRH PF60EXSY PF60EXX2 PF60FASN PF60EXTP PF60EXYX PF60FASV PF60FAQY</t>
  </si>
  <si>
    <t>Asset Sync</t>
  </si>
  <si>
    <t>V004675</t>
  </si>
  <si>
    <t>Techm_SKVerghese</t>
  </si>
  <si>
    <t>Techm_Siji.Verghese@rta.ae</t>
  </si>
  <si>
    <t>INC000001320958</t>
  </si>
  <si>
    <t>Activate Automation Account</t>
  </si>
  <si>
    <t>user account has been activated, user should log in the Automation today ( 24/2/2026 ) before (00:00), or the system will deactivate the account again automatically. log in link : https://direct.rta.ae/</t>
  </si>
  <si>
    <t>INC000001320957</t>
  </si>
  <si>
    <t>Adobe acrobat language Issue</t>
  </si>
  <si>
    <t>- Change in Preferences (Acrobat/Desktop Apps):  - Go to Edit &gt; Preferences &gt; Language (or International in some versions) and selected preferred application language.</t>
  </si>
  <si>
    <t>assulaiman</t>
  </si>
  <si>
    <t>Amna.Sulaiman@rta.ae</t>
  </si>
  <si>
    <t>INC000001320956</t>
  </si>
  <si>
    <t>Abegail</t>
  </si>
  <si>
    <t>Cruz Villarta</t>
  </si>
  <si>
    <t>User, update contract coordinator , for provided records</t>
  </si>
  <si>
    <t>acvillarta</t>
  </si>
  <si>
    <t>abegail.villarta@rta.ae</t>
  </si>
  <si>
    <t>INC000001320954</t>
  </si>
  <si>
    <t>1642736_Threat Activity Detected</t>
  </si>
  <si>
    <t>INC000001320953</t>
  </si>
  <si>
    <t>1642743_Threat Activity Detected</t>
  </si>
  <si>
    <t>INC000001320952</t>
  </si>
  <si>
    <t>??? ?? ????? ????? ???????</t>
  </si>
  <si>
    <t>INC000001320951</t>
  </si>
  <si>
    <t>Access has been provided, kindly check and confirm the same.</t>
  </si>
  <si>
    <t>INC000001320950</t>
  </si>
  <si>
    <t>Rumeza</t>
  </si>
  <si>
    <t>I am unable to access BMC portal</t>
  </si>
  <si>
    <t>Application Training</t>
  </si>
  <si>
    <t>As discussed, the url used was not correct. After using the below url, BMC was accessible: https://itsupport.rtaservicedesk.ae/arsys</t>
  </si>
  <si>
    <t>V0034696</t>
  </si>
  <si>
    <t>canon_rffatima</t>
  </si>
  <si>
    <t>Canon_Rumeza.Fatima@rta.ae</t>
  </si>
  <si>
    <t>INC000001320949</t>
  </si>
  <si>
    <t>Aldhubiea</t>
  </si>
  <si>
    <t xml:space="preserve">???? ?????? ????????? </t>
  </si>
  <si>
    <t>AMAldhubiea</t>
  </si>
  <si>
    <t>Asma.Aldhubiea@rta.ae</t>
  </si>
  <si>
    <t>INC000001320948</t>
  </si>
  <si>
    <t>Techm Pradeep</t>
  </si>
  <si>
    <t>Rajanna</t>
  </si>
  <si>
    <t>CRQ60155 - Maximo Tram Interim Upgrade - Go-Live</t>
  </si>
  <si>
    <t>Techm Pradeep Rajanna</t>
  </si>
  <si>
    <t>Portal Ops - Database</t>
  </si>
  <si>
    <t>Database</t>
  </si>
  <si>
    <t>Database - Oracle</t>
  </si>
  <si>
    <t>Upgrade</t>
  </si>
  <si>
    <t>The MAXIMO schema has been migrated from 12c TMPMXDB (staging) to 19c MXTRMPRD production database.</t>
  </si>
  <si>
    <t>Techm_PRRajanna</t>
  </si>
  <si>
    <t>V004698</t>
  </si>
  <si>
    <t>Techm_Pradeep.Rajanna@rta.ae</t>
  </si>
  <si>
    <t>INC000001320947</t>
  </si>
  <si>
    <t>Dhana</t>
  </si>
  <si>
    <t>Abellana Libores</t>
  </si>
  <si>
    <t>New Network Folder Creation</t>
  </si>
  <si>
    <t>We have created the new folder access as per the request and provided access only for requested users.  \\rta.global\fileserver001\Share1$\Corporate Support Services Folder\Human Resources\Manpower Planning &amp; Recruitment\2026 Vacancies Budget</t>
  </si>
  <si>
    <t>DFS - Network Folder Creation (RE)</t>
  </si>
  <si>
    <t>V0030412</t>
  </si>
  <si>
    <t>trans_dsabellanalibo</t>
  </si>
  <si>
    <t>Trans_Dhana.Abellanalibores@rta.ae</t>
  </si>
  <si>
    <t>INC000001320946</t>
  </si>
  <si>
    <t>Kreishan</t>
  </si>
  <si>
    <t>mmkreishan</t>
  </si>
  <si>
    <t>Mahmoud.Kreishan@rta.ae</t>
  </si>
  <si>
    <t>INC000001320944</t>
  </si>
  <si>
    <t>Hussain</t>
  </si>
  <si>
    <t>Saheb</t>
  </si>
  <si>
    <t>Adobe Acrobat Issue</t>
  </si>
  <si>
    <t>Public transport agency</t>
  </si>
  <si>
    <t>We uninstalled the existing Adobe Acrobat PRO and installed another version and updated it.</t>
  </si>
  <si>
    <t>hlsaheb</t>
  </si>
  <si>
    <t>Hussain.Saheb@rta.ae</t>
  </si>
  <si>
    <t>INC000001320943</t>
  </si>
  <si>
    <t>Rahahleh</t>
  </si>
  <si>
    <t>google chrome issue</t>
  </si>
  <si>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t>
  </si>
  <si>
    <t>AARahahleh</t>
  </si>
  <si>
    <t>Ahmad.Rahahleh@rta.ae</t>
  </si>
  <si>
    <t>INC000001320942</t>
  </si>
  <si>
    <t>1642705_Threat Activity Detected</t>
  </si>
  <si>
    <t>INC000001320941</t>
  </si>
  <si>
    <t>1642707_Threat Activity Detected</t>
  </si>
  <si>
    <t>INC000001320940</t>
  </si>
  <si>
    <t>Essa</t>
  </si>
  <si>
    <t>AlAmiri</t>
  </si>
  <si>
    <t>Guide the user to login to Automation system with Oracle Authenticator</t>
  </si>
  <si>
    <t>Guide the user to login to Automation system with Oracle Authenticator.</t>
  </si>
  <si>
    <t>eaalamiri</t>
  </si>
  <si>
    <t>Essa.AlAmiri@RTA.ae</t>
  </si>
  <si>
    <t>INC000001320939</t>
  </si>
  <si>
    <t>CSC Alert - Scan Failure Detected - 23022026-03</t>
  </si>
  <si>
    <t>Omnix Cem Eren</t>
  </si>
  <si>
    <t>CPM Support</t>
  </si>
  <si>
    <t>The server is available for access, there is no any issue for CPM applications. the endpoint is https://10.11.64.216:9300/bi/</t>
  </si>
  <si>
    <t>INC000001320937</t>
  </si>
  <si>
    <t>Noura</t>
  </si>
  <si>
    <t>naalhamadi</t>
  </si>
  <si>
    <t>Noura.Alhamadi@rta.ae</t>
  </si>
  <si>
    <t>INC000001320936</t>
  </si>
  <si>
    <t>Talib</t>
  </si>
  <si>
    <t>Atig</t>
  </si>
  <si>
    <t>Smart employee issue "Mobile device changed"</t>
  </si>
  <si>
    <t>taatig</t>
  </si>
  <si>
    <t>talib.atig@rta.ae</t>
  </si>
  <si>
    <t>INC000001320935</t>
  </si>
  <si>
    <t>Rail Right Of Way</t>
  </si>
  <si>
    <t>The VPN has been configured successfully.</t>
  </si>
  <si>
    <t>aoahmad</t>
  </si>
  <si>
    <t>Amna.Ahmad@rta.ae</t>
  </si>
  <si>
    <t>INC000001320934</t>
  </si>
  <si>
    <t>ITD Backup request</t>
  </si>
  <si>
    <t>Storage Domain</t>
  </si>
  <si>
    <t>Storage Area Network</t>
  </si>
  <si>
    <t>Events</t>
  </si>
  <si>
    <t>Required information has been provided "backups for the below applications are configured and scheduled as per the RTA policy. Daily Incremental Backup with 30 days retention and the monthly Full Backup with 5 years retention period."  Hence closing the ticket.</t>
  </si>
  <si>
    <t>INC000001320933</t>
  </si>
  <si>
    <t>???? ??? ???? IPJ-91350</t>
  </si>
  <si>
    <t>Change to expired as per business user request</t>
  </si>
  <si>
    <t>INC000001320932</t>
  </si>
  <si>
    <t>As we checked the transaction of TVM#262208 in our system we found that the transaction encountered a product_error. Claim is valid for 20 AED  Transaction Details: * TRANSACTION_ID: 4454451209 * RECORD_TIMESTAMP: 2026-02-23 06:02:03 * USER_ID: 262208 * VALUE: 2000 * STATUS: product_error * DETAILS:   + Complaint.AcceptedAmt: 0   + Complaint.ComplaintID: N/A   + Complaint.InvalidAmt: 2000   + Complaint.Note: 0   + Complaint.Notes: 0   + Complaint.RefundAmt: 0   + Complaint.TagID: 0361411861   + Receipt Number: 4454451209</t>
  </si>
  <si>
    <t>INC000001320931</t>
  </si>
  <si>
    <t>DB Support for Linux OS security patch upgrade on Portal Production servers</t>
  </si>
  <si>
    <t>Preventive Maintainance</t>
  </si>
  <si>
    <t>DB services and Servers are restared and rebooted with respect to the Linux OS security patch upgrade on Portal Production</t>
  </si>
  <si>
    <t>INC000001320930</t>
  </si>
  <si>
    <t>Suroor</t>
  </si>
  <si>
    <t>Alsuwaidi</t>
  </si>
  <si>
    <t>VPN configuration request</t>
  </si>
  <si>
    <t>VPN has been successfully configured</t>
  </si>
  <si>
    <t>sabalsuwaidi</t>
  </si>
  <si>
    <t>Suroor.Alsuwaidi@rta.ae</t>
  </si>
  <si>
    <t>INC000001320929</t>
  </si>
  <si>
    <t>Khalaf</t>
  </si>
  <si>
    <t>LCD screen in director office is very slow when display anything</t>
  </si>
  <si>
    <t>Replaced the Barco clickshare w/ Specktron Ehub. It's now running smoothly</t>
  </si>
  <si>
    <t>Issue with AV Devices (LED/LCD TVs &amp; Audio)</t>
  </si>
  <si>
    <t>KHAlzarooni</t>
  </si>
  <si>
    <t>Khalaf.Alzarooni@rta.ae</t>
  </si>
  <si>
    <t>INC000001320928</t>
  </si>
  <si>
    <t>Humisan</t>
  </si>
  <si>
    <t>MS Teams Reconfiguration</t>
  </si>
  <si>
    <t>The MS Teams add-in has been configured and is now visible in the Outlook app.</t>
  </si>
  <si>
    <t>V0033351</t>
  </si>
  <si>
    <t>transguard_hahumisan</t>
  </si>
  <si>
    <t>Transguard_Humisan.Humisan@rta.ae</t>
  </si>
  <si>
    <t>INC000001320925</t>
  </si>
  <si>
    <t>mmouali</t>
  </si>
  <si>
    <t>Mohamed.MAli@rta.ae</t>
  </si>
  <si>
    <t>INC000001320923</t>
  </si>
  <si>
    <t>Baniyas</t>
  </si>
  <si>
    <t>As per the request, SMS with Reset Password self-services URL has been shared with the user</t>
  </si>
  <si>
    <t>tmbaniyas</t>
  </si>
  <si>
    <t>Tariq.Baniyas@rta.ae</t>
  </si>
  <si>
    <t>INC000001320922</t>
  </si>
  <si>
    <t>Alrahma</t>
  </si>
  <si>
    <t>As per the service request, VPN access is successfully extended for the user - fnalrahma. Hence resolving the incident.</t>
  </si>
  <si>
    <t>fnalrahma</t>
  </si>
  <si>
    <t>Fatma.Alrahma@rta.ae</t>
  </si>
  <si>
    <t>INC000001320920</t>
  </si>
  <si>
    <t>1642650_Threat Activity Detected</t>
  </si>
  <si>
    <t>INC000001320919</t>
  </si>
  <si>
    <t>Okool Riyazahamed</t>
  </si>
  <si>
    <t>Anwarali</t>
  </si>
  <si>
    <t>RTA-I093416</t>
  </si>
  <si>
    <t>Reason:not update Action: updated done  Attended Time:10:34</t>
  </si>
  <si>
    <t>Not Connected</t>
  </si>
  <si>
    <t>V0011057</t>
  </si>
  <si>
    <t>okool_raanwarali</t>
  </si>
  <si>
    <t>Okool_Riyazahamed.Anwarali@rta.ae</t>
  </si>
  <si>
    <t>INC000001320918</t>
  </si>
  <si>
    <t>Sonasath</t>
  </si>
  <si>
    <t>Laptop is not getting correct IP while connecting to RTAWLAN network</t>
  </si>
  <si>
    <t>Techm Abdul Raheem</t>
  </si>
  <si>
    <t>Wireless Network connectivity issue resolved 1. Removed the Access profiles configured on the AP connected ports 2. Verified the SSID and connectivity to RTAWLAN and it is getting connected without any disruption</t>
  </si>
  <si>
    <t>Local Area Network(LAN)</t>
  </si>
  <si>
    <t>Wireless connectivity issue</t>
  </si>
  <si>
    <t>mksonasath</t>
  </si>
  <si>
    <t>Mustafa.Sonasath@rta.ae</t>
  </si>
  <si>
    <t>INC000001320917</t>
  </si>
  <si>
    <t>RTA-I093419</t>
  </si>
  <si>
    <t>Reason: working fine  Action: checked Attended Time:9:53</t>
  </si>
  <si>
    <t>Black Screen</t>
  </si>
  <si>
    <t>INC000001320915</t>
  </si>
  <si>
    <t>Aramex</t>
  </si>
  <si>
    <t>T2 Aweer Main</t>
  </si>
  <si>
    <t>V00431</t>
  </si>
  <si>
    <t>aramex_T2r11</t>
  </si>
  <si>
    <t>aramex_T2.r11@rta.ae</t>
  </si>
  <si>
    <t>INC000001320914</t>
  </si>
  <si>
    <t>Namita</t>
  </si>
  <si>
    <t>Alexander</t>
  </si>
  <si>
    <t>As per the service request, VPN access is successfully extended for the user - ngalexander. Hence resolving the incident.</t>
  </si>
  <si>
    <t>ngalexander</t>
  </si>
  <si>
    <t>Namita.Alexander@rta.ae</t>
  </si>
  <si>
    <t>INC000001320912</t>
  </si>
  <si>
    <t>Naseem</t>
  </si>
  <si>
    <t>Matalka</t>
  </si>
  <si>
    <t>As per the service request, VPN access is successfully extended for the user - namatalka. Hence resolving the incident.</t>
  </si>
  <si>
    <t>NAMatalka</t>
  </si>
  <si>
    <t>Naseem.Matalka@rta.ae</t>
  </si>
  <si>
    <t>INC000001320911</t>
  </si>
  <si>
    <t>1642635_Threat Activity Detected</t>
  </si>
  <si>
    <t>INC000001320910</t>
  </si>
  <si>
    <t>RTA-1891332-S0N3 complaint</t>
  </si>
  <si>
    <t>INC000001320907</t>
  </si>
  <si>
    <t>TVM-262209</t>
  </si>
  <si>
    <t>Please refer INC000001320862  Thanks and regards EmNum #2031</t>
  </si>
  <si>
    <t>INC000001320906</t>
  </si>
  <si>
    <t>INC000001320904</t>
  </si>
  <si>
    <t>Reason: AED 10 Note jam   Action: Cleared   Attender Name: Kishor Bangera   Attend Time: 18:23</t>
  </si>
  <si>
    <t>Found Money</t>
  </si>
  <si>
    <t>INC000001320903</t>
  </si>
  <si>
    <t>Reason: note jam 5 dh  Action: cleared  Attended Time: 19:55</t>
  </si>
  <si>
    <t>INC000001320902</t>
  </si>
  <si>
    <t>TVM-262150</t>
  </si>
  <si>
    <t>TVM 272150 Out of service  Reset cables and restarted the TVM  TVM is operational  Tested with customer</t>
  </si>
  <si>
    <t>INC000001320901</t>
  </si>
  <si>
    <t>TUM-263092</t>
  </si>
  <si>
    <t>Reason:- Nol Card Jam in BNA (033 451 5236)  Action:- Card jam Cleared, Alarm Cleared   Name :-Azeez   Attended Time:-17:19</t>
  </si>
  <si>
    <t>INC000001320898</t>
  </si>
  <si>
    <t>Moaza</t>
  </si>
  <si>
    <t>Alsubousi</t>
  </si>
  <si>
    <t>RTA - Follow-Up the Release the Bank Guarantee</t>
  </si>
  <si>
    <t>mmalsubousi</t>
  </si>
  <si>
    <t>Moaza.Alsubousi@rta.ae</t>
  </si>
  <si>
    <t>INC000001320897</t>
  </si>
  <si>
    <t>PTC/TEMPORARY/2026/4604</t>
  </si>
  <si>
    <t>SYAAlblooshi</t>
  </si>
  <si>
    <t>Shaikha.Alblooshi@rta.ae</t>
  </si>
  <si>
    <t>INC000001320893</t>
  </si>
  <si>
    <t>Intervention completed No issue found Tvm operational</t>
  </si>
  <si>
    <t>INC000001320892</t>
  </si>
  <si>
    <t>Huda Atiq</t>
  </si>
  <si>
    <t>Bushawaf</t>
  </si>
  <si>
    <t>25-15399 RFT</t>
  </si>
  <si>
    <t>A request for Maximo record data modification, which requires backend database changes. All necessary approvals have been obtained, and the script has been prepared and sent to the Database Team for execution.</t>
  </si>
  <si>
    <t>habushawaf</t>
  </si>
  <si>
    <t>Huda.Bushawaf@rta.ae</t>
  </si>
  <si>
    <t>INC000001320891</t>
  </si>
  <si>
    <t>Bahwan Seraj</t>
  </si>
  <si>
    <t>Bakeer</t>
  </si>
  <si>
    <t>REQ-DB Scripts:  25-15399 RFT</t>
  </si>
  <si>
    <t>Request to execute DB scripts for Production Servers</t>
  </si>
  <si>
    <t>Script executed in the EMAXIMO DB upon approval.</t>
  </si>
  <si>
    <t>V00363</t>
  </si>
  <si>
    <t>Bahwan_Seraj.Bakeer@rta.ae</t>
  </si>
  <si>
    <t>INC000001320889</t>
  </si>
  <si>
    <t>TUM-263055</t>
  </si>
  <si>
    <t>Reason:- Bank Note jam 10dh   Action:- Note jam Cleared, Fault Cleared   Name :-Azeez   Attended Time:-16:52</t>
  </si>
  <si>
    <t>INC000001320888</t>
  </si>
  <si>
    <t>WF Notification: P.B-CBR 185524</t>
  </si>
  <si>
    <t>mmomustafa</t>
  </si>
  <si>
    <t>Mai.Mustafa@rta.ae</t>
  </si>
  <si>
    <t>INC000001320887</t>
  </si>
  <si>
    <t>REQ-DB Scripts:  WF Notification: P.B-CBR # 185524</t>
  </si>
  <si>
    <t>INC000001320886</t>
  </si>
  <si>
    <t>Norah</t>
  </si>
  <si>
    <t>Algemaei</t>
  </si>
  <si>
    <t>Maximo ID number for M sentiment company</t>
  </si>
  <si>
    <t>UMM RAMOOL -BLOCK A</t>
  </si>
  <si>
    <t>nfalgemaei</t>
  </si>
  <si>
    <t>Norah.Algemaei@RTA.ae</t>
  </si>
  <si>
    <t>INC000001320885</t>
  </si>
  <si>
    <t>INC000001320884</t>
  </si>
  <si>
    <t>DUPLICATE TICKET Please refer   INC000001321167</t>
  </si>
  <si>
    <t>INC000001320883</t>
  </si>
  <si>
    <t>Infosys Abhyuday</t>
  </si>
  <si>
    <t>Singh</t>
  </si>
  <si>
    <t>Hierarchy details not received from GRP w.r.t. IAMAccountManagementService</t>
  </si>
  <si>
    <t>Dear Tarek,  1.	15982 – Hierarchy details not received from GRP. 2.	15983 - PFA the response received from GRP. The ‘otherName’ field returned by the GRP API has a trailing space and a special character in the end.</t>
  </si>
  <si>
    <t>V00419</t>
  </si>
  <si>
    <t>infosys_acsingh</t>
  </si>
  <si>
    <t>Infosys_Abhyuday.Singh@rta.ae</t>
  </si>
  <si>
    <t>INC000001320881</t>
  </si>
  <si>
    <t>We have observed no data is available while utilizing service w.r.t. RMSAutoReconcilliationService</t>
  </si>
  <si>
    <t>As per logs we could see below error for getTransationDetails operation from TES endpoint ,Kindly check on the input request at your end.  Endpoint: https://rowpermits.rta.ae/TSPSSalesOrderUpdationService/TSPSSalesOrderUpdationService.asmx</t>
  </si>
  <si>
    <t>INC000001320879</t>
  </si>
  <si>
    <t>TUM-263009</t>
  </si>
  <si>
    <t>Reason : Paper low Card No.:   Customer Name:      Action : Paper roll replaced  Attendee Name:  Jasper Attended Time : 16:09</t>
  </si>
  <si>
    <t>INC000001320878</t>
  </si>
  <si>
    <t>Plate details-Request to share the EIP service specification document w.r.t. LALookupInquiryService</t>
  </si>
  <si>
    <t>You can get the below requested details from lookup service. PFA service specification.</t>
  </si>
  <si>
    <t>INC000001320875</t>
  </si>
  <si>
    <t>Getting NULL Response from service as per attached sample w.r.t. IDeExternalOrders</t>
  </si>
  <si>
    <t>According to our logs, we received valid responses from the target and no issues were found for the given requests. Please find the sample response logs below for your reference.</t>
  </si>
  <si>
    <t>INC000001320873</t>
  </si>
  <si>
    <t>Confirmation on Validation Parameters for Corporate Sponsorship w.r.t. GDRFADService</t>
  </si>
  <si>
    <t>As discussed, our application team would like to receive the trade license number and the trade license issuing authority in the response from the GDRFAD service. We require these details to validate the trade license provided in the request against the sponsor number. Kindly arrange to have this implemented in the staging environment first.</t>
  </si>
  <si>
    <t>INC000001320871</t>
  </si>
  <si>
    <t>DM Processor Request IAM</t>
  </si>
  <si>
    <t>As per the below request, we have added below requested user in Tibco BPM group.  dm_rmalmarzooqi</t>
  </si>
  <si>
    <t>INC000001320870</t>
  </si>
  <si>
    <t>DM Processor</t>
  </si>
  <si>
    <t>User Account is created as per business approval.</t>
  </si>
  <si>
    <t>INC000001320869</t>
  </si>
  <si>
    <t>Mena Ashutosh</t>
  </si>
  <si>
    <t>Behera</t>
  </si>
  <si>
    <t>Bank Guarantee Not Reflected in System w.r.t. GuaranteeManagementService</t>
  </si>
  <si>
    <t>EIP service is up and running  and request not reached to EIP. Please share complete URL, as provided URL is not complete URL.  Below 503 response is not from EIP end. Please check with below highlighted system for 503 error response or with gateway at your end.  Please arrange a meeting if still any clarification or troubleshooting required.</t>
  </si>
  <si>
    <t>V006064</t>
  </si>
  <si>
    <t>Mena_ABBehera</t>
  </si>
  <si>
    <t>Mena_Ashutosh.Behera@rta.ae</t>
  </si>
  <si>
    <t>INC000001320867</t>
  </si>
  <si>
    <t>Vijayan</t>
  </si>
  <si>
    <t>Sulochana Prejush</t>
  </si>
  <si>
    <t>PTA/PBD/25-13379 and PTA/PBD/25-13836</t>
  </si>
  <si>
    <t>VSPrejush</t>
  </si>
  <si>
    <t>Vijayan.Prejush@rta.ae</t>
  </si>
  <si>
    <t>INC000001320866</t>
  </si>
  <si>
    <t>Alsahra Junaid</t>
  </si>
  <si>
    <t>Muhammad Afzal Fareed</t>
  </si>
  <si>
    <t>MaximoSrini: PPM Planner update 2026 - Contract - CASS/BFD/1136</t>
  </si>
  <si>
    <t>BAHWAN Srinivasulu Amanchi</t>
  </si>
  <si>
    <t>user request,user Query,Explained to User</t>
  </si>
  <si>
    <t>bahwan_samanchi</t>
  </si>
  <si>
    <t>V009755</t>
  </si>
  <si>
    <t>Alsahra_JMMuhammadaf</t>
  </si>
  <si>
    <t>Alsahra_Junaid.Muhammadafzalfareed@rta.ae</t>
  </si>
  <si>
    <t>INC000001320865</t>
  </si>
  <si>
    <t>Reason :Nbx jam  Action  : change nbx with brinks   Attend Time :11:30</t>
  </si>
  <si>
    <t>INC000001320864</t>
  </si>
  <si>
    <t>264000 - Auto Alert</t>
  </si>
  <si>
    <t>Reason: Customer Inserted Wrongly Note  Action: Removed Jam 10aed   Attended Time: 12:56  Name : NOUSHAD</t>
  </si>
  <si>
    <t>INC000001320863</t>
  </si>
  <si>
    <t>RTA ENOC: Payment Transaction Detail For NOC-05022026-2204</t>
  </si>
  <si>
    <t>NOCs are pending with DEWA  for decision / comment</t>
  </si>
  <si>
    <t>INC000001320862</t>
  </si>
  <si>
    <t>Intervention completed  Replaced door cable, ping backend successfully, tvm operational</t>
  </si>
  <si>
    <t>INC000001320861</t>
  </si>
  <si>
    <t>Javeed</t>
  </si>
  <si>
    <t>reassignment of RMD Director approvals</t>
  </si>
  <si>
    <t>JAAhmed</t>
  </si>
  <si>
    <t>Javeed.Ahmed@rta.ae</t>
  </si>
  <si>
    <t>INC000001320860</t>
  </si>
  <si>
    <t>DUPLICATE TICKET Please refer   INC000001320862</t>
  </si>
  <si>
    <t>INC000001320859</t>
  </si>
  <si>
    <t>CASS/BFD/1108/A DUE TO CONTRACT EXPIRY</t>
  </si>
  <si>
    <t>INC000001320858</t>
  </si>
  <si>
    <t>Abutaha</t>
  </si>
  <si>
    <t>Section Manager delegation</t>
  </si>
  <si>
    <t>maabutaha</t>
  </si>
  <si>
    <t>Mohammed.Abutaha@RTA.ae</t>
  </si>
  <si>
    <t>INC000001320857</t>
  </si>
  <si>
    <t>Active alarm: BNA1 nearly full  Replenished.  14:54 – 02/24/2026</t>
  </si>
  <si>
    <t>INC000001320856</t>
  </si>
  <si>
    <t>INC000001320855</t>
  </si>
  <si>
    <t>DUPLICATE TICKET Please refer   INC000001320843</t>
  </si>
  <si>
    <t>INC000001320854</t>
  </si>
  <si>
    <t>Utilizing RTA Spare Ducts</t>
  </si>
  <si>
    <t>Spare Ducts are approved by manager and director.</t>
  </si>
  <si>
    <t>INC000001320853</t>
  </si>
  <si>
    <t>Reason: Duplicate ticket ( INC000001320853 )  Action: please close this ticket    Action: Removed Nol card jam  Attender name: Mohammed zabir   Attended Time: 12:18</t>
  </si>
  <si>
    <t>INC000001320852</t>
  </si>
  <si>
    <t>RTA-1890473-</t>
  </si>
  <si>
    <t>Inspection department is removed as per business suggestion.</t>
  </si>
  <si>
    <t>INC000001320851</t>
  </si>
  <si>
    <t>RTA-1887704-</t>
  </si>
  <si>
    <t>NOCs are not received from DM BPS System.</t>
  </si>
  <si>
    <t>INC000001320850</t>
  </si>
  <si>
    <t>Hamid</t>
  </si>
  <si>
    <t>Thoban</t>
  </si>
  <si>
    <t>CBR 259199 - of TRA/ITS/127/1A</t>
  </si>
  <si>
    <t>hathoban</t>
  </si>
  <si>
    <t>Hamid.Thoban@rta.ae</t>
  </si>
  <si>
    <t>INC000001320849</t>
  </si>
  <si>
    <t>Al Nuaimi</t>
  </si>
  <si>
    <t>configured the user's profile as requested.</t>
  </si>
  <si>
    <t>asaalnuaimi</t>
  </si>
  <si>
    <t>Aisha.Alnuaimi@rta.ae</t>
  </si>
  <si>
    <t>INC000001320847</t>
  </si>
  <si>
    <t>TBC Presenstation_Feb 2026.pptx</t>
  </si>
  <si>
    <t>Presentation is updated with the requested Screenshots.</t>
  </si>
  <si>
    <t>INC000001320846</t>
  </si>
  <si>
    <t>BAHWAN Srinivasulu</t>
  </si>
  <si>
    <t>Amanchi</t>
  </si>
  <si>
    <t>REQ-DB Scripts: Request to Cancel PM &amp; CMP workorder of Decommission Buses</t>
  </si>
  <si>
    <t>V00629</t>
  </si>
  <si>
    <t>Bahwan_Sreenivasulu.Amanchi@rta.ae</t>
  </si>
  <si>
    <t>INC000001320844</t>
  </si>
  <si>
    <t>NOC-26012026-2167 Transfer</t>
  </si>
  <si>
    <t>NOC is transferred to Eng.Ali Account.</t>
  </si>
  <si>
    <t>INC000001320843</t>
  </si>
  <si>
    <t>INC000001320842</t>
  </si>
  <si>
    <t>Alarm text: The note vault is almost full.  Replenished.  12:33 – 02/24/2026</t>
  </si>
  <si>
    <t>INC000001320841</t>
  </si>
  <si>
    <t>Mohammed-Contractor</t>
  </si>
  <si>
    <t>Request to bulk upload 3 assets of ECCD to BMC CMDB.</t>
  </si>
  <si>
    <t>Below 3 assets has been bulk uploaded to BMC CMDB.  CI Name: Huawei TaiShan 200 Server – Model 2280 Huawei TaiShan 200 Server – Model 2280 Huawei TaiShan 200 Server – Model 2280</t>
  </si>
  <si>
    <t>Data Upload</t>
  </si>
  <si>
    <t>V0030813</t>
  </si>
  <si>
    <t>Cns_Mohammed.Mohammed@rta.ae</t>
  </si>
  <si>
    <t>INC000001320840</t>
  </si>
  <si>
    <t>Reason: Note Jam &amp; Nol Card was Disable  Action: Removed Jam 5aed &amp; Refixed Nol Card Magazine   Attended Time: 11:36  Name : NOUSHAD</t>
  </si>
  <si>
    <t>INC000001320839</t>
  </si>
  <si>
    <t>Bahwan Sara</t>
  </si>
  <si>
    <t>Elsounbaty</t>
  </si>
  <si>
    <t>REQ-DB Scripts:  - Maximo Change Request to Close out the Terminated old 5 Contracts</t>
  </si>
  <si>
    <t>bahwan_smelsounbaty</t>
  </si>
  <si>
    <t>V00628</t>
  </si>
  <si>
    <t>bahwan_Sara.Elsounbaty@rta.ae</t>
  </si>
  <si>
    <t>INC000001320838</t>
  </si>
  <si>
    <t>TUM-263043</t>
  </si>
  <si>
    <t>Active alarm: BNA1 nearly full  Replenished.  10:45 – 02/24/2026</t>
  </si>
  <si>
    <t>INC000001320837</t>
  </si>
  <si>
    <t>TUM-263042</t>
  </si>
  <si>
    <t>Reason :Nol card jam No: 030 853 8883  Action  : Remove jam nol card   Attend Time :11:45</t>
  </si>
  <si>
    <t>INC000001320836</t>
  </si>
  <si>
    <t>RTA ENOC: Application - NOC-16012024-2087 Received Reply</t>
  </si>
  <si>
    <t>Department is added as per business request.</t>
  </si>
  <si>
    <t>INC000001320834</t>
  </si>
  <si>
    <t>REQ-DB Scripts: Workorders to be canceled</t>
  </si>
  <si>
    <t>INC000001320833</t>
  </si>
  <si>
    <t>Almushark</t>
  </si>
  <si>
    <t>MaximoSrini: Workorders to be canceled</t>
  </si>
  <si>
    <t>SKAlmushark</t>
  </si>
  <si>
    <t>Shaikha.Almushark@rta.ae</t>
  </si>
  <si>
    <t>INC000001320832</t>
  </si>
  <si>
    <t>TUM-263077</t>
  </si>
  <si>
    <t>Reason: Paper Roll Stuck   Action: Removed Jam &amp; Cleared Alarm   Attended Time: 9:55  Name : NOUSHAD</t>
  </si>
  <si>
    <t>INC000001320831</t>
  </si>
  <si>
    <t>Request to clear SLA breach for the tickets INC000001310090 INC000001301976</t>
  </si>
  <si>
    <t>SLA breaches has been cleared for the below tickets:  Incident Number INC000001310090  INC000001301976</t>
  </si>
  <si>
    <t>INC000001320830</t>
  </si>
  <si>
    <t>TUM-263039</t>
  </si>
  <si>
    <t>Reason :No issue   Action  : checked machine working fine   Attend Time :11:20</t>
  </si>
  <si>
    <t>INC000001320829</t>
  </si>
  <si>
    <t>TVM-262196</t>
  </si>
  <si>
    <t>Intervention completed BNA malfunction Reset BNA Performed commit operational period due money handling error tvm operational.</t>
  </si>
  <si>
    <t>INC000001320823</t>
  </si>
  <si>
    <t>Reason: Nol card jam  ( 038 991 3742 )  Action: Removed Nol card jam  Attender name: Mohammed zabir   Attended Time: 10:29  Remarks:</t>
  </si>
  <si>
    <t>INC000001320822</t>
  </si>
  <si>
    <t>NOC-08012026-2476 - [SHARED – CONFIDENTIAL / ????? – ???]</t>
  </si>
  <si>
    <t>Mallesh Yadav Doti-Contractor</t>
  </si>
  <si>
    <t>Engineer Can process stuck NOCs.</t>
  </si>
  <si>
    <t>INC000001320821</t>
  </si>
  <si>
    <t>TVM-262212</t>
  </si>
  <si>
    <t>Intervention completed BNA malfunction No jamming found Belt misaligned Fixed back Restarted tvm TVM operational</t>
  </si>
  <si>
    <t>INC000001320820</t>
  </si>
  <si>
    <t>Kaleemulla</t>
  </si>
  <si>
    <t>MaximoSrini: CASS/BD/1144 Variation Job – PM Plan Template for Review and Upload</t>
  </si>
  <si>
    <t>kkhan</t>
  </si>
  <si>
    <t>Kaleemulla.Khan@RTA.ae</t>
  </si>
  <si>
    <t>INC000001320819</t>
  </si>
  <si>
    <t>INC000001320818</t>
  </si>
  <si>
    <t>NOC-04022026-2535 change status</t>
  </si>
  <si>
    <t>NOC status is changed as per business approval.</t>
  </si>
  <si>
    <t>INC000001320817</t>
  </si>
  <si>
    <t>Reason:no jam  Action: clear fault  Attended Time:8:40</t>
  </si>
  <si>
    <t>INC000001320816</t>
  </si>
  <si>
    <t>Basheer</t>
  </si>
  <si>
    <t>Bapu</t>
  </si>
  <si>
    <t>Maintenance &amp; Services</t>
  </si>
  <si>
    <t>MaximoSrini: Request for Maximo Current Active Fault Matrix's_VDL</t>
  </si>
  <si>
    <t>JEBEL ALI -JEBEL ALI BUS STATION</t>
  </si>
  <si>
    <t>babapu</t>
  </si>
  <si>
    <t>Basheer.Bapu@RTA.ae</t>
  </si>
  <si>
    <t>INC000001320815</t>
  </si>
  <si>
    <t>TUM-263025</t>
  </si>
  <si>
    <t>Active alarm: BNA1 nearly full  Replenished.  09:09 – 02/24/2026</t>
  </si>
  <si>
    <t>INC000001320814</t>
  </si>
  <si>
    <t>TUM-263103</t>
  </si>
  <si>
    <t>Reason: AED 10 note jam  Action: Removed note jam   Attender name : Mohammed zabir   Attended Time: 8:58  Remarks:</t>
  </si>
  <si>
    <t>INC000001320813</t>
  </si>
  <si>
    <t>Active alarm: BNA1 nearly full,  Replenished.  12:59 – 02/24/2026</t>
  </si>
  <si>
    <t>INC000001320812</t>
  </si>
  <si>
    <t>Reason: Paper Roll Stuck   Action: Changed Printer &amp; Cleared Alarm   Attended Time: 10:22  Name : NOUSHAD</t>
  </si>
  <si>
    <t>INC000001320811</t>
  </si>
  <si>
    <t>TVM-262187</t>
  </si>
  <si>
    <t>INC000001320810</t>
  </si>
  <si>
    <t>TUM-263046</t>
  </si>
  <si>
    <t>INC000001320809</t>
  </si>
  <si>
    <t>Reason: Paper Roll Stuck   Action: Removed Jam &amp; Cleared Alarm   Attended Time: 9:38  Name : NOUSHAD</t>
  </si>
  <si>
    <t>INC000001320808</t>
  </si>
  <si>
    <t>TUM-263032</t>
  </si>
  <si>
    <t>Reason: Nol card jam ( 036 321 6300)  Action: Removed Nol card jam   Attender name: Mohammed zabir   Attended Time: 8:15  Remarks:</t>
  </si>
  <si>
    <t>INC000001320806</t>
  </si>
  <si>
    <t>Bus</t>
  </si>
  <si>
    <t>Maintenance</t>
  </si>
  <si>
    <t>Techm Hussein Aljayeh</t>
  </si>
  <si>
    <t>User Account has been unlocked</t>
  </si>
  <si>
    <t>Techm_HHAljayeh</t>
  </si>
  <si>
    <t>BSMaintenance</t>
  </si>
  <si>
    <t>Busstation.Maintenance@rta.ae</t>
  </si>
  <si>
    <t>INC000001320805</t>
  </si>
  <si>
    <t>Eltohamy</t>
  </si>
  <si>
    <t>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t>
  </si>
  <si>
    <t>ameltohamy</t>
  </si>
  <si>
    <t>Ahmed.Eltohamy@rta.ae</t>
  </si>
  <si>
    <t>INC000001320803</t>
  </si>
  <si>
    <t>Karim Tawfiq-Contractor</t>
  </si>
  <si>
    <t>Hello Team,  User has been assigned a O365 License, Kindly check after 30 mins and let us know for any concerns.</t>
  </si>
  <si>
    <t>Cloud Services</t>
  </si>
  <si>
    <t>M365 License Allocation / Un-Allocation</t>
  </si>
  <si>
    <t>V0010680</t>
  </si>
  <si>
    <t>okool_matawfiq</t>
  </si>
  <si>
    <t>Okool_Mohammad.Tawfiq@rta.ae</t>
  </si>
  <si>
    <t>INC000001320802</t>
  </si>
  <si>
    <t>MDC Telecom room access to Etisalat team</t>
  </si>
  <si>
    <t>INC000001320801</t>
  </si>
  <si>
    <t>Ridab</t>
  </si>
  <si>
    <t>Edine</t>
  </si>
  <si>
    <t>As per the service request, VPN access is successfully extended for the user - riedine. Hence resolving the incident.</t>
  </si>
  <si>
    <t>RIEdine</t>
  </si>
  <si>
    <t>Ridab.Edine@rta.ae</t>
  </si>
  <si>
    <t>INC000001320800</t>
  </si>
  <si>
    <t>Tayyara</t>
  </si>
  <si>
    <t>Guide user to reset the Password through Self services portal.</t>
  </si>
  <si>
    <t>Password Reset SOP Sent to User by SMS,User Confirm On the same Hence ticket closed</t>
  </si>
  <si>
    <t>mmtaiyara</t>
  </si>
  <si>
    <t>mohammed.tayyara@rta.ae</t>
  </si>
  <si>
    <t>INC000001320799</t>
  </si>
  <si>
    <t>1642592_Threat Activity Detected</t>
  </si>
  <si>
    <t>INC000001320798</t>
  </si>
  <si>
    <t>Nidal</t>
  </si>
  <si>
    <t>Hanbali</t>
  </si>
  <si>
    <t>As per the service request, VPN access is successfully extended for the user -nhhanbali. Hence resolving the incident.</t>
  </si>
  <si>
    <t>nhhanbali</t>
  </si>
  <si>
    <t>Nidal.Hanbali@rta.ae</t>
  </si>
  <si>
    <t>INC000001320797</t>
  </si>
  <si>
    <t>Alhemairy</t>
  </si>
  <si>
    <t>UMM RAMOOL NEW HQ 5A -ITD AND UAFC</t>
  </si>
  <si>
    <t>As per the request, VPN access is successfully extended for the user - hsalhemairy. Hence resolving the incident.</t>
  </si>
  <si>
    <t>hsalhemairy</t>
  </si>
  <si>
    <t>Hanan.Alhemairy@RTA.ae</t>
  </si>
  <si>
    <t>INC000001320795</t>
  </si>
  <si>
    <t>INC000001320794</t>
  </si>
  <si>
    <t>Request 17146550</t>
  </si>
  <si>
    <t>INC000001320793</t>
  </si>
  <si>
    <t>INC000001320792</t>
  </si>
  <si>
    <t>Intervention completed  Tvm blank screen  Reset power manager  Restarted tvm Tvm operational  Ping backend successfully</t>
  </si>
  <si>
    <t>Display Faulty</t>
  </si>
  <si>
    <t>INC000001320791</t>
  </si>
  <si>
    <t>V0032861</t>
  </si>
  <si>
    <t>techvista_mwwaqaskha</t>
  </si>
  <si>
    <t>Techvista_Muhammad.Waqaskhan@rta.ae</t>
  </si>
  <si>
    <t>INC000001320790</t>
  </si>
  <si>
    <t>Waleed</t>
  </si>
  <si>
    <t>Alhammadi</t>
  </si>
  <si>
    <t>waalhammadi</t>
  </si>
  <si>
    <t>Waleed.Alhammadi@RTA.ae</t>
  </si>
  <si>
    <t>INC000001320788</t>
  </si>
  <si>
    <t>Moustafa</t>
  </si>
  <si>
    <t>Moustafa Hussein-Contractor</t>
  </si>
  <si>
    <t>TVM-264009</t>
  </si>
  <si>
    <t>TVM-264009 Coin Box Full Informed by EI team.  Replenished.  10:37 – 02/24/2026</t>
  </si>
  <si>
    <t>Coin verifier System</t>
  </si>
  <si>
    <t>V0010983</t>
  </si>
  <si>
    <t>okool_mahussein</t>
  </si>
  <si>
    <t>Okool_Moustafa.Hussein@rta.ae</t>
  </si>
  <si>
    <t>INC000001320786</t>
  </si>
  <si>
    <t>Edwin</t>
  </si>
  <si>
    <t>Daria</t>
  </si>
  <si>
    <t>Crisis Operation Center Weekly Health Check Report</t>
  </si>
  <si>
    <t>The Week 4 weekly health check for the 7A Crisis Operation Center, peformed by Aesthetix has been completed.</t>
  </si>
  <si>
    <t>V0028351</t>
  </si>
  <si>
    <t>aesthetix_erdaria</t>
  </si>
  <si>
    <t>Aesthetix_Edwin.Daria@rta.ae</t>
  </si>
  <si>
    <t>INC000001320784</t>
  </si>
  <si>
    <t>Customer Happiness Center in Umm Ramool &amp; Al Barsha Daily Health Check</t>
  </si>
  <si>
    <t>The Week 4 Day 2 Daily health check for Customer Happiness Center Umm Ramool &amp; Al Barsha has been completed.</t>
  </si>
  <si>
    <t>INC000001320782</t>
  </si>
  <si>
    <t>Al Wasel Auditorium Daily Health Check</t>
  </si>
  <si>
    <t>The Week 4 Day 2 Daily health check for Al Wasl Auditorium has been completed.</t>
  </si>
  <si>
    <t>INC000001320781</t>
  </si>
  <si>
    <t>8B_8C &amp; 9B Critical Area Daily Health check</t>
  </si>
  <si>
    <t>The Week 4 Day 2 Daily health check for 8B, 8C &amp; 9B Critical Area has been completed.</t>
  </si>
  <si>
    <t>INC000001320780</t>
  </si>
  <si>
    <t>1642405_Threat Activity Detected</t>
  </si>
  <si>
    <t>INC000001320779</t>
  </si>
  <si>
    <t>TVM-262223</t>
  </si>
  <si>
    <t>Preventive Maintenance completed  Cleaned Interior and exterior Checked devices functions working fine TVM operational</t>
  </si>
  <si>
    <t>INC000001320778</t>
  </si>
  <si>
    <t>TVM-262205</t>
  </si>
  <si>
    <t>INC000001320777</t>
  </si>
  <si>
    <t>TVM-262203</t>
  </si>
  <si>
    <t>INC000001320776</t>
  </si>
  <si>
    <t>Suspicious IP to RTA Portal on 24 February 2026, 05:04:17</t>
  </si>
  <si>
    <t>INC000001320774</t>
  </si>
  <si>
    <t>JBR-EP-723002/340003</t>
  </si>
  <si>
    <t>Reason: PM  Action: PM done  Attended Time: 22:30</t>
  </si>
  <si>
    <t>INC000001320773</t>
  </si>
  <si>
    <t>JBR-EP-723001/340087</t>
  </si>
  <si>
    <t>Reason: PM  Action: PM done  Attended Time: 22:20</t>
  </si>
  <si>
    <t>INC000001320772</t>
  </si>
  <si>
    <t>JBR-EP-722001/340123</t>
  </si>
  <si>
    <t>Reason: PM  Action: PM done  Attended Time: 22:10</t>
  </si>
  <si>
    <t>INC000001320771</t>
  </si>
  <si>
    <t>SAT-EP-06/340132</t>
  </si>
  <si>
    <t>Reason:- Preventive Maintenance   Action:- Done   Name :-Azeez   Attended Time:-19:44</t>
  </si>
  <si>
    <t>INC000001320770</t>
  </si>
  <si>
    <t>SAT-EP-05/340127</t>
  </si>
  <si>
    <t>Reason:- Preventive Maintenance   Action:- Done   Name :-Azeez   Attended Time:-19:30</t>
  </si>
  <si>
    <t>INC000001320768</t>
  </si>
  <si>
    <t>1642377_Threat Activity Detected</t>
  </si>
  <si>
    <t>INC000001320767</t>
  </si>
  <si>
    <t>1642380_Threat Activity Detected</t>
  </si>
  <si>
    <t>INC000001320766</t>
  </si>
  <si>
    <t>SAT-EP-03/340034</t>
  </si>
  <si>
    <t>Reason:- Preventive Maintenance   Action:- Done   Name :-Azeez   Attended Time:-19:34  Remarks:-</t>
  </si>
  <si>
    <t>INC000001320765</t>
  </si>
  <si>
    <t>SAT-EP-02/340016</t>
  </si>
  <si>
    <t>Reason:- Preventive Maintenance   Action:- Done   Name :-Azeez   Attended Time:-19:39</t>
  </si>
  <si>
    <t>INC000001320764</t>
  </si>
  <si>
    <t>UNI-46P1-FS-2020-1078</t>
  </si>
  <si>
    <t>Reason: PM   Action: PM Done   Attender Name: Kishor Bangera   Attend Time: 22:40</t>
  </si>
  <si>
    <t>INC000001320763</t>
  </si>
  <si>
    <t>UNI-46L1-WM-2020-1093</t>
  </si>
  <si>
    <t>Reason: PM   Action: PM Done   Attender Name: Kishor Bangera   Attend Time: 22:35</t>
  </si>
  <si>
    <t>INC000001320762</t>
  </si>
  <si>
    <t>UNI-46L1-WM-2020-1092</t>
  </si>
  <si>
    <t>Reason: PM   Action: PM Done   Attender Name: Kishor Bangera   Attend Time: 22:30</t>
  </si>
  <si>
    <t>INC000001320758</t>
  </si>
  <si>
    <t>IBN-46P1-FS-2020-1073</t>
  </si>
  <si>
    <t>Reason: PM   Action: PM Done   Attended Time: 12:00  Name : NOUSHAD</t>
  </si>
  <si>
    <t>INC000001320757</t>
  </si>
  <si>
    <t>IBN-46L1-WM-2020-1091</t>
  </si>
  <si>
    <t>INC000001320756</t>
  </si>
  <si>
    <t>SAT-75P1-FS-2020-1067</t>
  </si>
  <si>
    <t>Reason :Pm  Action  : done  Attend Time :12:45</t>
  </si>
  <si>
    <t>INC000001320755</t>
  </si>
  <si>
    <t>SAT-46P1-FS-2020-1077</t>
  </si>
  <si>
    <t>Reason :Pm  Action  : Done  Attend Time :12:55</t>
  </si>
  <si>
    <t>INC000001320754</t>
  </si>
  <si>
    <t>BAR-EP-05/340150</t>
  </si>
  <si>
    <t>Reason:pm Action: done  Attended Time:6:50</t>
  </si>
  <si>
    <t>INC000001320753</t>
  </si>
  <si>
    <t>BAR-EP-03/340040</t>
  </si>
  <si>
    <t>Reason:pm Action: done  Attended Time:6:40</t>
  </si>
  <si>
    <t>INC000001320752</t>
  </si>
  <si>
    <t>BAR-EP-01/340011</t>
  </si>
  <si>
    <t>Reason:pm Action: done  Attended Time:7:00</t>
  </si>
  <si>
    <t>INC000001320751</t>
  </si>
  <si>
    <t>INC-EP-04/340029</t>
  </si>
  <si>
    <t>Reason: PM  Action: Pm done  Attender name : Mohammed zabir   Attended Time: 8:05</t>
  </si>
  <si>
    <t>INC000001320750</t>
  </si>
  <si>
    <t>INC-EP-03/340028</t>
  </si>
  <si>
    <t>Reason: PM  Action: Pm done  Attender name: Mohammed zabir   Attended Time: 7:55</t>
  </si>
  <si>
    <t>INC000001320749</t>
  </si>
  <si>
    <t>INC-EP-02/340022</t>
  </si>
  <si>
    <t>Reason: PM  Action: Pm done  Attender name: Mohammed zabir   Attended Time: 7:45</t>
  </si>
  <si>
    <t>INC000001320748</t>
  </si>
  <si>
    <t>INC-EP-01/340119</t>
  </si>
  <si>
    <t>Reason: PM  Action: Pm done   Attender name: Mohammed zabir   Attended Time: 7:38</t>
  </si>
  <si>
    <t>INC000001320747</t>
  </si>
  <si>
    <t>TUM-263111</t>
  </si>
  <si>
    <t>Reason : PM  Card No.:   Customer Name:      Action : PM done  Attendee Name:  Jasper Attended Time : 23:24 (23-02)</t>
  </si>
  <si>
    <t>INC000001320744</t>
  </si>
  <si>
    <t>Abnormal Web requests detected from 89.185.81.112</t>
  </si>
  <si>
    <t>Website Compromise</t>
  </si>
  <si>
    <t>Indicator is already blocked at perimeter level &amp; hence incident &amp; corresponding Alert is closed</t>
  </si>
  <si>
    <t>INC000001320741</t>
  </si>
  <si>
    <t>Elsharkawy</t>
  </si>
  <si>
    <t>V0030110</t>
  </si>
  <si>
    <t>avaya_maelsharkawy</t>
  </si>
  <si>
    <t>Avaya_Marwan.Elsharkawy@rta.ae</t>
  </si>
  <si>
    <t>INC000001320740</t>
  </si>
  <si>
    <t>MOAalbalooshi</t>
  </si>
  <si>
    <t>Mohammed.Albalooshi@rta.ae</t>
  </si>
  <si>
    <t>INC000001320739</t>
  </si>
  <si>
    <t>BUS-6318</t>
  </si>
  <si>
    <t>INC000001320738</t>
  </si>
  <si>
    <t>1642225_Threat Activity Detected</t>
  </si>
  <si>
    <t>INC000001320737</t>
  </si>
  <si>
    <t>Yaser</t>
  </si>
  <si>
    <t>?? ????? ??? ?????? ?? ?????? ?????? ?????</t>
  </si>
  <si>
    <t>yahali</t>
  </si>
  <si>
    <t>Yaser.Ali@RTA.ae</t>
  </si>
  <si>
    <t>INC000001320736</t>
  </si>
  <si>
    <t>Suspicious IP to RTA Portal on 24 February 2026, 02:04:48</t>
  </si>
  <si>
    <t>INC000001320734</t>
  </si>
  <si>
    <t>imahmad</t>
  </si>
  <si>
    <t>Ishaq.Ahmad@rta.ae</t>
  </si>
  <si>
    <t>INC000001320733</t>
  </si>
  <si>
    <t>Arnold</t>
  </si>
  <si>
    <t>Maniquiz</t>
  </si>
  <si>
    <t>Office365 Login Configuration</t>
  </si>
  <si>
    <t>Request has been Completed Through Remote Access,User Confirm On the same Hence ticket closed</t>
  </si>
  <si>
    <t>Outlook Reconfiguration</t>
  </si>
  <si>
    <t>aymaniquiz</t>
  </si>
  <si>
    <t>Arnold.Maniquiz@rta.ae</t>
  </si>
  <si>
    <t>INC000001320732</t>
  </si>
  <si>
    <t>Abdulhameed</t>
  </si>
  <si>
    <t>asmeltohamy</t>
  </si>
  <si>
    <t>Abdulhameed.Eltohamy@rta.ae</t>
  </si>
  <si>
    <t>INC000001320731</t>
  </si>
  <si>
    <t>BUS-2263</t>
  </si>
  <si>
    <t>Our intervention completed  Cico 3 blank, recommissioned  All cico operational  Tested</t>
  </si>
  <si>
    <t>INC000001320730</t>
  </si>
  <si>
    <t>BUS-2720</t>
  </si>
  <si>
    <t>INC000001320729</t>
  </si>
  <si>
    <t>Require registry fix has been pushed to the affected device.. no further action require</t>
  </si>
  <si>
    <t>INC000001320728</t>
  </si>
  <si>
    <t>Suspicious IP to RTA Portal on 24 February 2026, 01:05:23</t>
  </si>
  <si>
    <t>INC000001320726</t>
  </si>
  <si>
    <t>Obid</t>
  </si>
  <si>
    <t>Bilal</t>
  </si>
  <si>
    <t>RTA Mail Outlook configuration on Personal Smart Phone</t>
  </si>
  <si>
    <t>MUHAISNAH -PTP BUILDING</t>
  </si>
  <si>
    <t>SOP -SMS Sent to User ,User Confirm On the same Hence ticket Closed.</t>
  </si>
  <si>
    <t>OJBilal</t>
  </si>
  <si>
    <t>Obid.Bilal@rta.ae</t>
  </si>
  <si>
    <t>INC000001320725</t>
  </si>
  <si>
    <t>Reason: No issue found   Action: Device working fine  Attended Time: 7:28  Remarks:</t>
  </si>
  <si>
    <t>INC000001320723</t>
  </si>
  <si>
    <t>Alwakil</t>
  </si>
  <si>
    <t>Request has been Completed Through Phone,User Confirm On the same Hence ticket Closed.</t>
  </si>
  <si>
    <t>mhalwakil</t>
  </si>
  <si>
    <t>Mohammed.Alwakil@rta.ae</t>
  </si>
  <si>
    <t>INC000001320722</t>
  </si>
  <si>
    <t>INC000001320721</t>
  </si>
  <si>
    <t>Kadavath</t>
  </si>
  <si>
    <t>V0027508</t>
  </si>
  <si>
    <t>srsl_svkadavath</t>
  </si>
  <si>
    <t>Srsl_Saleem.Kadavath@rta.ae</t>
  </si>
  <si>
    <t>INC000001320720</t>
  </si>
  <si>
    <t>Yassine</t>
  </si>
  <si>
    <t>Lamsahhal</t>
  </si>
  <si>
    <t>V0025288</t>
  </si>
  <si>
    <t>srsl_yllamsahhal</t>
  </si>
  <si>
    <t>Srsl_Yassine.Lamsahhal@rta.ae</t>
  </si>
  <si>
    <t>INC000001320715</t>
  </si>
  <si>
    <t>ec3_itservicedesk account has been unlocked</t>
  </si>
  <si>
    <t>INC000001320714</t>
  </si>
  <si>
    <t>BUS-2620</t>
  </si>
  <si>
    <t>Intervention completed  No power in any of the CICO Kindly forward to the FAMCO team</t>
  </si>
  <si>
    <t>INC000001320712</t>
  </si>
  <si>
    <t>????? ???? ?????? 10943649-??????</t>
  </si>
  <si>
    <t>there is active learning permit, kindly to deactivate it  kindly to deactivate it</t>
  </si>
  <si>
    <t>INC000001320711</t>
  </si>
  <si>
    <t>Archer system</t>
  </si>
  <si>
    <t>Removed Maryam.AlBoloushi@rta.ae from Buses Department SPOCs.</t>
  </si>
  <si>
    <t>INC000001320710</t>
  </si>
  <si>
    <t>Jassem</t>
  </si>
  <si>
    <t>Bloushi</t>
  </si>
  <si>
    <t>Stafteesh Request</t>
  </si>
  <si>
    <t>Kaa Hossam Nour Eldin</t>
  </si>
  <si>
    <t>sTafteesh</t>
  </si>
  <si>
    <t>Done as requested by user to send fine back</t>
  </si>
  <si>
    <t>JIBloushi</t>
  </si>
  <si>
    <t>Jassem.Bloushi@rta.ae</t>
  </si>
  <si>
    <t>INC000001320708</t>
  </si>
  <si>
    <t>Bader</t>
  </si>
  <si>
    <t>Qassab</t>
  </si>
  <si>
    <t>Issue has been rectifed by rebooting the scala player and cleared the system error. It's now running smoothly.</t>
  </si>
  <si>
    <t>BAQassab</t>
  </si>
  <si>
    <t>Bader.Qassab@rta.ae</t>
  </si>
  <si>
    <t>INC000001320705</t>
  </si>
  <si>
    <t>1641764_Threat Activity Detected</t>
  </si>
  <si>
    <t>INC000001320704</t>
  </si>
  <si>
    <t>We have activated requested user account in automation system, please inform user to login today otherwise based on 90 days login policy system automatically disable his account in automation system.   User login: afalbarashdi</t>
  </si>
  <si>
    <t>INC000001320703</t>
  </si>
  <si>
    <t>Yousif</t>
  </si>
  <si>
    <t>Jamal Mohammed</t>
  </si>
  <si>
    <t>We have activated requested user account in automation system, please inform user to login today otherwise based on 90 days login policy system automatically disable his account in automation system.   User login: YJMohammed</t>
  </si>
  <si>
    <t>YJMohammed</t>
  </si>
  <si>
    <t>Yousif.Mohammed@rta.ae</t>
  </si>
  <si>
    <t>INC000001320702</t>
  </si>
  <si>
    <t>CRM1889953 top-up issue</t>
  </si>
  <si>
    <t>The user didn't complete the payment,The payment is failed.</t>
  </si>
  <si>
    <t>INC000001320701</t>
  </si>
  <si>
    <t>CRM1890400 top-up issue</t>
  </si>
  <si>
    <t>This is a successful top-up order for card number 0211561535. The user top-uped the wrong card</t>
  </si>
  <si>
    <t>INC000001320698</t>
  </si>
  <si>
    <t>CRM1890319 remove the digita card</t>
  </si>
  <si>
    <t>Non-Standard Software Applications</t>
  </si>
  <si>
    <t>we cleared the card for the user,please add the card to the blacklist and advise the user to retry.</t>
  </si>
  <si>
    <t>INC000001320696</t>
  </si>
  <si>
    <t>CRM1890076 top-up issue</t>
  </si>
  <si>
    <t>After reviewing the user's order details and card details, I manually transferred the balance to the user's NOL card.</t>
  </si>
  <si>
    <t>INC000001320694</t>
  </si>
  <si>
    <t>CRM1889414 digital card issue</t>
  </si>
  <si>
    <t>The issue is from Samsung side, already sent email to Samsung team to check</t>
  </si>
  <si>
    <t>INC000001320693</t>
  </si>
  <si>
    <t>CRM1888055 request to remove virtual card</t>
  </si>
  <si>
    <t>We cleared the card for the user,Card service added the card to the blacklist .</t>
  </si>
  <si>
    <t>INC000001320692</t>
  </si>
  <si>
    <t>CRM1888606 digital card issue</t>
  </si>
  <si>
    <t>We confirm that this message was indeed sent by nol pay. However, based on the latest log review, there have been no further occurrences of the same message for this card within the past 7 days. Additionally, the card’s expiry date is correctly set to 2029. Please informed the user to report immediately if the issue appears again, and we will continue to monitor the situation from our side as well.</t>
  </si>
  <si>
    <t>INC000001320691</t>
  </si>
  <si>
    <t>CRM1890756 Digital card issue</t>
  </si>
  <si>
    <t>The user downloaded the card in Samsung Wallet, so it will not be automatically displayed in nol Pay by default. If the user wants to link the card to nol Pay, the user needs to go to nol pay-purchase a nol digital card. During this process, the system will prompt them to bind the Samsung Wallet card stored on the same device to nol Pay. The user’s card is currently stored in the Samsung Wallet. Card Number: 4010232777 Samsung Account ID: mQ9EBzd7SPON3zaT6ehWzQ Device: Galaxy S24 Ultra (SM-S928B)</t>
  </si>
  <si>
    <t>INC000001320690</t>
  </si>
  <si>
    <t>Suspicious IP to RTA Portal on 23 February 2026, 20:06:56</t>
  </si>
  <si>
    <t>INC000001320689</t>
  </si>
  <si>
    <t>Raed</t>
  </si>
  <si>
    <t>Ismail</t>
  </si>
  <si>
    <t>Enable PC location</t>
  </si>
  <si>
    <t>PC Reconnection</t>
  </si>
  <si>
    <t>Enabled the PC Location Services as requested.</t>
  </si>
  <si>
    <t>RKIsmail</t>
  </si>
  <si>
    <t>Raed.Ismail@rta.ae</t>
  </si>
  <si>
    <t>INC000001320687</t>
  </si>
  <si>
    <t>Spam email</t>
  </si>
  <si>
    <t>As per the request below mentioned domain has been blocked on proxy.  8d9c25d97851f96ab31b297df1d054f1[.]mundolce[.]com[.]br/zacelogical/reinherad/terionerion/tyikinkiuio/#YWxhYWVsZGluLm1vaGFtZWRAcnRhLmFl</t>
  </si>
  <si>
    <t>Request to Block Domain</t>
  </si>
  <si>
    <t>INC000001320685</t>
  </si>
  <si>
    <t>Sipra</t>
  </si>
  <si>
    <t>Panda</t>
  </si>
  <si>
    <t>Create groups in production.</t>
  </si>
  <si>
    <t>non-categorised Requesets</t>
  </si>
  <si>
    <t>Below group has been created  Application name	Group BMC	 BMC_Srv_WebURL_Full_Access BMC_Srv_WebURL_Basic_Access PTAAVM	   PTAAVM_Srv_RDP_Full_Access PTAAVM_Srv_RDP_Basic_Access</t>
  </si>
  <si>
    <t>Directory Services (AD &amp; LDAP)</t>
  </si>
  <si>
    <t>Group Management</t>
  </si>
  <si>
    <t>V0031666</t>
  </si>
  <si>
    <t>idm_srpanda</t>
  </si>
  <si>
    <t>Idm_Sipra.Panda@rta.ae</t>
  </si>
  <si>
    <t>INC000001320684</t>
  </si>
  <si>
    <t>Elsabaa</t>
  </si>
  <si>
    <t>Archer - External Audit Module Notifications</t>
  </si>
  <si>
    <t>Configured 'REMINDER: External Audit Report Approaching Start Date' email in 'External Audit Report' application. Attached sample.</t>
  </si>
  <si>
    <t>Customization / Enhancement</t>
  </si>
  <si>
    <t>Application Customization</t>
  </si>
  <si>
    <t>V0032686</t>
  </si>
  <si>
    <t>reach_maelsabaa</t>
  </si>
  <si>
    <t>Reach_Mohamed.Elsabaa@rta.ae</t>
  </si>
  <si>
    <t>INC000001320683</t>
  </si>
  <si>
    <t>Abdul Sathar</t>
  </si>
  <si>
    <t>Username Conflicts in PTA service driver creation</t>
  </si>
  <si>
    <t>Okool Mohamad Shavasil Nalakathkalingal Backer</t>
  </si>
  <si>
    <t>PTA Services</t>
  </si>
  <si>
    <t>the rule has been added as per IAM, The request has been resolved.</t>
  </si>
  <si>
    <t>DriverAffairs Website</t>
  </si>
  <si>
    <t>V0025019</t>
  </si>
  <si>
    <t>epic_msabdulsathar</t>
  </si>
  <si>
    <t>Epic_Mohammed.Abdulsathar@rta.ae</t>
  </si>
  <si>
    <t>INC000001320681</t>
  </si>
  <si>
    <t>Intervention completed  Restarting screen, reset power manager, restarted the tvm, ping backend successfully, tvm operational tested with customer successfully</t>
  </si>
  <si>
    <t>INC000001320679</t>
  </si>
  <si>
    <t>Minhaj</t>
  </si>
  <si>
    <t>Siddique-Contractor</t>
  </si>
  <si>
    <t>Request to implement CRQ60316.</t>
  </si>
  <si>
    <t>Request for Firewall Rule modification</t>
  </si>
  <si>
    <t>Firewall matrix is implemented as requested.</t>
  </si>
  <si>
    <t>V001070</t>
  </si>
  <si>
    <t>Gdi_MASiddique</t>
  </si>
  <si>
    <t>Gdi_Minhaj.Siddique@rta.ae</t>
  </si>
  <si>
    <t>INC000001320677</t>
  </si>
  <si>
    <t>Cashbox issue  Cash box changed  23/02/2026    21:05</t>
  </si>
  <si>
    <t>INC000001320676</t>
  </si>
  <si>
    <t>Suspicious IP to RTA Portal on 23 February 2026, 18:06:58</t>
  </si>
  <si>
    <t>INC000001320673</t>
  </si>
  <si>
    <t>Abdelkarim</t>
  </si>
  <si>
    <t>TVM-262246</t>
  </si>
  <si>
    <t>TVM-262246 Brinks team to replace the Cash box and keep it locked  Cash box locked.  11:00 – 02/24/2026</t>
  </si>
  <si>
    <t>amohahmed</t>
  </si>
  <si>
    <t>Abdelkarim.Ahmed@rta.ae</t>
  </si>
  <si>
    <t>INC000001320671</t>
  </si>
  <si>
    <t>1641402_Threat Activity Detected</t>
  </si>
  <si>
    <t>INC000001320670</t>
  </si>
  <si>
    <t>waiting cis submit final result waiting cis submit final result waiting cis submit final result waiting cis submit final result</t>
  </si>
  <si>
    <t>INC000001320668</t>
  </si>
  <si>
    <t>Request  to implement attached firewall CRQ60328</t>
  </si>
  <si>
    <t>INC000001320667</t>
  </si>
  <si>
    <t>mentioned vehicle locked by E-Traffic transaction 269025334 lost/damage plate and waiting customer to complete it  ???? ???????? ?? ??? ????????? ??? ??????? ????? ???? ????? ??? ??? ???????? ??? ????</t>
  </si>
  <si>
    <t>INC000001320665</t>
  </si>
  <si>
    <t>Reactivating the learning permit</t>
  </si>
  <si>
    <t>there was pending payment paid and reflected on the file check now</t>
  </si>
  <si>
    <t>INC000001320664</t>
  </si>
  <si>
    <t>1641345_Threat Activity Detected</t>
  </si>
  <si>
    <t>INC000001320663</t>
  </si>
  <si>
    <t>1641346_Threat Activity Detected</t>
  </si>
  <si>
    <t>INC000001320662</t>
  </si>
  <si>
    <t>1641349_Threat Activity Detected</t>
  </si>
  <si>
    <t>INC000001320661</t>
  </si>
  <si>
    <t>Occupational permit</t>
  </si>
  <si>
    <t>]Duplicate #301358 400, no category found for provided uts code  request  &lt;S:Body&gt; &lt;ns2:getLicenseInfo xmlns:ns2="http://www.rta.ae/EIP/Reports/Reports_Schema" xmlns:ns3="http://www.rta.ae/EIP/Fault/FaultSchema"&gt; &lt;ns2:request&gt; &lt;ns2:nationalNo&gt;784199882721352&lt;/ns2:nationalNo&gt; &lt;ns2:unifiedId&gt;0&lt;/ns2:unifiedId&gt; &lt;ns2:trafficProfileNo&gt;0&lt;/ns2:trafficProfileNo&gt; &lt;/ns2:request&gt; &lt;/ns2:getLicenseInfo&gt; &lt;/S:Body&gt; response   &lt;SOAP-ENV:Body&gt; &lt;ns:getLicenseInfoResponse xmlns:ns="http://www.rta.ae/EIP/Reports/Reports_Schema" xmlns:ns2="http://www.rta.ae/EIP/Fault/FaultSchema" xmlns:tns="http://www.rta.ae/EIP/Reports/Reports_WSDL" xmlns:tns1="http://schemas.tibco.com/amsb/rt/exceptions" xmlns:tns2="http://www.adpolice.gov.ae/" xmlns:xsi="http://www.w3.org/2001/XMLSchema-instance"&gt; &lt;ns:getLicenseInfoResult&gt; &lt;ns:responseCode&gt;2000&lt;/ns:responseCode&gt; &lt;ns:responseLevel&gt;INFO&lt;/ns:responseLevel&gt; &lt;ns:responseDesc&gt;Report generated successfully&lt;/ns:responseDesc&gt; &lt;ns:trafficProfileNo&gt;2190221003&lt;/ns:trafficProfileNo&gt; &lt;ns:drivingLicense&gt; &lt;ns:licenseNo&gt;3961307&lt;/ns:licenseNo&gt; &lt;ns:licenseSource&gt;2&lt;/ns:licenseSource&gt; &lt;/ns:drivingLicense&gt; &lt;ns:licenseIssueDate&gt;2019-09-25T11:28:53Z&lt;/ns:licenseIssueDate&gt; &lt;ns:licenseExpiryDate&gt;2026-09-25T11:28:53Z&lt;/ns:licenseExpiryDate&gt; &lt;ns:arabicName&gt;???????? ??????????????&lt;/ns:arabicName&gt; &lt;ns:englishName&gt;KING TORRENTE&lt;/ns:englishName&gt; &lt;ns:unifiedID&gt;56198080&lt;/ns:unifiedID&gt; &lt;ns:nationalNo&gt;784199882721352&lt;/ns:nationalNo&gt; &lt;ns:licenseStatus&gt;Active&lt;/ns:licenseStatus&gt; &lt;ns:gender&gt;U&lt;/ns:gender&gt; &lt;ns:birthDate&gt;1998-06-14T00:00:00Z&lt;/ns:birthDate&gt; &lt;ns:nationalityCode&gt;237&lt;/ns:nationalityCode&gt; &lt;ns:passportNo&gt;P5350430B&lt;/ns:passportNo&gt; &lt;ns:passportIssueDate&gt;1900-01-01T00:00:00Z&lt;/ns:passportIssueDate&gt; &lt;ns:passportExpiryDate&gt;2030-07-21T00:00:00Z&lt;/ns:passportExpiryDate&gt; &lt;ns:residenceNo&gt;201/2026/7/13892&lt;/ns:residenceNo&gt; &lt;ns:residenceEmirateCode&gt;2&lt;/ns:residenceEmirateCode&gt; &lt;ns:residenceExpiryDate&gt;2028-02-03T00:00:00Z&lt;/ns:residenceExpiryDate&gt; &lt;ns:homeAddress&gt;??????????????/??????????????????&lt;/ns:homeAddress&gt; &lt;ns:homeTelephoneNo&gt;0&lt;/ns:homeTelephoneNo&gt; &lt;ns:mobile&gt;0569050338&lt;/ns:mobile&gt; &lt;ns:email&gt;non@non.com&lt;/ns:email&gt; &lt;ns:LicenseTypes&gt; &lt;ns:LicenseType&gt; &lt;ns:licenseTypeCode&gt;2&lt;/ns:licenseTypeCode&gt; &lt;ns:gearCode&gt;2&lt;/ns:gearCode&gt; &lt;ns:issueDate&gt;2019-09-25T11:28:53Z&lt;/ns:issueDate&gt; &lt;ns:cancelDate&gt;2022-06-21T13:23:57Z&lt;/ns:cancelDate&gt; &lt;/ns:LicenseType&gt; &lt;/ns:LicenseTypes&gt; &lt;/ns:getLicenseInfoResult&gt; &lt;/ns:getLicenseInfoResponse&gt; &lt;/SOAP-ENV:Body&gt;</t>
  </si>
  <si>
    <t>INC000001320660</t>
  </si>
  <si>
    <t>MG43L-G17-E2</t>
  </si>
  <si>
    <t>Reason: Black screen   Action: Restarted the device   Attender Name: Kishor Bangera   Attend Time: 19:13</t>
  </si>
  <si>
    <t>RTPI Screens</t>
  </si>
  <si>
    <t>INC000001320659</t>
  </si>
  <si>
    <t>????? ??????</t>
  </si>
  <si>
    <t>the corporate renewed the licensee from CLS not from DED and the staff under this corporate didn't synced from traffic not sync happened    we fire one sync record and now working fine</t>
  </si>
  <si>
    <t>INC000001320657</t>
  </si>
  <si>
    <t>Reason: BNA Malfunction   Action: Cleared alarm   Attender Name: Kishor Bangera   Attend Time: 16:40</t>
  </si>
  <si>
    <t>INC000001320656</t>
  </si>
  <si>
    <t>1641271_Threat Activity Detected</t>
  </si>
  <si>
    <t>INC000001320655</t>
  </si>
  <si>
    <t>1641276_Threat Activity Detected</t>
  </si>
  <si>
    <t>INC000001320653</t>
  </si>
  <si>
    <t>TVM-264008</t>
  </si>
  <si>
    <t>Reason: duplicate  Action: cancel ticket  Attended Time:</t>
  </si>
  <si>
    <t>INC000001320651</t>
  </si>
  <si>
    <t>System booting issue</t>
  </si>
  <si>
    <t>Techm Ahmed Mahmoud</t>
  </si>
  <si>
    <t>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t>
  </si>
  <si>
    <t>INC000001320650</t>
  </si>
  <si>
    <t>Suspicious IP to RTA Portal on 23 February 2026, 16:08:44</t>
  </si>
  <si>
    <t>INC000001320649</t>
  </si>
  <si>
    <t>Bashayer</t>
  </si>
  <si>
    <t>BABAhmed</t>
  </si>
  <si>
    <t>Bashayer.Ahmed@rta.ae</t>
  </si>
  <si>
    <t>INC000001320648</t>
  </si>
  <si>
    <t>1641232_Threat Activity Detected</t>
  </si>
  <si>
    <t>INC000001320647</t>
  </si>
  <si>
    <t>Wael</t>
  </si>
  <si>
    <t>Saqr</t>
  </si>
  <si>
    <t>wzasaqr</t>
  </si>
  <si>
    <t>Wael.ZSaqr@rta.ae</t>
  </si>
  <si>
    <t>INC000001320646</t>
  </si>
  <si>
    <t>Khedhrian</t>
  </si>
  <si>
    <t>aiabdulrahman</t>
  </si>
  <si>
    <t>Ahmad.Abdulrahman@rta.ae</t>
  </si>
  <si>
    <t>INC000001320644</t>
  </si>
  <si>
    <t>TVM-262154</t>
  </si>
  <si>
    <t>inform brinks team to replace cash box and keep it lock.  Cash box changed  23/02/2026   22:20</t>
  </si>
  <si>
    <t>INC000001320643</t>
  </si>
  <si>
    <t>BNA degradation  BNA belts shifted totally. Commit operational period successfully and removed the cash box  Rearrange the belts and restarted the TVM  Please Brinks team to replace the Cash box and keep it locked</t>
  </si>
  <si>
    <t>INC000001320641</t>
  </si>
  <si>
    <t>37130-18</t>
  </si>
  <si>
    <t>Dear User, Vehicle with VIN - MDHBN7AD3PG308754 Borrowing has been closed, Kindly verify.</t>
  </si>
  <si>
    <t>INC000001320640</t>
  </si>
  <si>
    <t>Abnormal Web requests detected from 37.120.213.13</t>
  </si>
  <si>
    <t>Indicator 37.120.213.13 having Malicious reputation is blocked at perimeter level</t>
  </si>
  <si>
    <t>INC000001320639</t>
  </si>
  <si>
    <t>Alrashdi</t>
  </si>
  <si>
    <t>Counter 5 Activation - Al Barsha CHC</t>
  </si>
  <si>
    <t>AL MANARA Customer Service Center</t>
  </si>
  <si>
    <t>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t>
  </si>
  <si>
    <t>aaalrashdi</t>
  </si>
  <si>
    <t>Ahmed.Alrashdi@RTA.ae</t>
  </si>
  <si>
    <t>INC000001320636</t>
  </si>
  <si>
    <t>1641138_Threat Activity Detected</t>
  </si>
  <si>
    <t>INC000001320634</t>
  </si>
  <si>
    <t>Request for Assistance with File Transfer</t>
  </si>
  <si>
    <t>The customer has to apply for persona to change his category to DXB_RESIDENT</t>
  </si>
  <si>
    <t>INC000001320628</t>
  </si>
  <si>
    <t>As per the below request and approval, we have created requested user in Maximo application, please check.   User login:  tms_nvchawla Employee No:  V0033211</t>
  </si>
  <si>
    <t>INC000001320625</t>
  </si>
  <si>
    <t>??? ?? ???????</t>
  </si>
  <si>
    <t>-------------------------Request---------------- &lt;S:Envelope xmlns:S="http://schemas.xmlsoap.org/soap/envelope/" xmlns:env="http://schemas.xmlsoap.org/soap/envelope/"&gt;  &lt;env:Header/&gt;  &lt;S:Body&gt;  &lt;ns0:createOrderDetail xmlns:ns0="http://www.rta.ae/ActiveMatrix/ESB/IDeExternalOrders/1_0" xmlns:ns1="http://www.rta.ae/EIP/Fault/Fault"&gt;  &lt;orderID&gt;294563250&lt;/orderID&gt;  &lt;formatID&gt;DUB18_010&lt;/formatID&gt;  &lt;licenseNumber&gt;M 25367&lt;/licenseNumber&gt;  &lt;priority&gt;10&lt;/priority&gt;  &lt;/ns0:createOrderDetail&gt;  &lt;/S:Body&gt;  &lt;/S:Envelope&gt;    -------------Response---------------------------  identifier = [orderID.value = 294563250, plateFormatId = DUB18_010, plateInfo = M 25367]  faultCode = [RTA-ESB-IDeExternalOrders-ERROR-10004]  faultString = [Internal Error occurred while processing your request. Kindly contact system administrator.]  faultDetail = []  message = [could not execute statement; SQL [n/a]; constraint [ordersets_set_identifier_key]; nested exception is org.hibernate.exception.ConstraintViolationException: could not execute statement]</t>
  </si>
  <si>
    <t>INC000001320624</t>
  </si>
  <si>
    <t>maryam</t>
  </si>
  <si>
    <t>taher</t>
  </si>
  <si>
    <t>Smart traffic configuration Request</t>
  </si>
  <si>
    <t>AL BARSHA -LICENSING</t>
  </si>
  <si>
    <t>Smart traffic configuration has been configured in Ms edge</t>
  </si>
  <si>
    <t>mmtaher</t>
  </si>
  <si>
    <t>maryamm.taher@rta.ae</t>
  </si>
  <si>
    <t>INC000001320621</t>
  </si>
  <si>
    <t>Karim</t>
  </si>
  <si>
    <t>Algamal</t>
  </si>
  <si>
    <t>Access has been provided as per the request, dear @Karim Anwar Shaker Algamal kindly login into OPMS system through intranet system.</t>
  </si>
  <si>
    <t>kaalgamal</t>
  </si>
  <si>
    <t>Karim.Algamal@rta.ae</t>
  </si>
  <si>
    <t>INC000001320618</t>
  </si>
  <si>
    <t>Abdul</t>
  </si>
  <si>
    <t>Transportation Strategic Planning</t>
  </si>
  <si>
    <t>abaskhan</t>
  </si>
  <si>
    <t>AbdulBaseer.Khan@rta.ae</t>
  </si>
  <si>
    <t>INC000001320617</t>
  </si>
  <si>
    <t>Aashif</t>
  </si>
  <si>
    <t>Kather</t>
  </si>
  <si>
    <t>We have activated requested user account in automation system, please inform user to login today otherwise based on 90 days login policy system automatically disable his account in automation system.   User login: engie_aakather</t>
  </si>
  <si>
    <t>V0031413</t>
  </si>
  <si>
    <t>engie_aakather</t>
  </si>
  <si>
    <t>Engie_Aashif.Kather@rta.ae</t>
  </si>
  <si>
    <t>INC000001320616</t>
  </si>
  <si>
    <t>Request an electronic signature device</t>
  </si>
  <si>
    <t>- Requested deice (E-Signature) is not part of IT service catalogue hence ITD can’t provide it, - Sent email to inform her with the same.  - Hence closing the ticket.</t>
  </si>
  <si>
    <t>Smart Device</t>
  </si>
  <si>
    <t>INC000001320614</t>
  </si>
  <si>
    <t>Muna</t>
  </si>
  <si>
    <t>Lenjawi</t>
  </si>
  <si>
    <t>MYLenjawi</t>
  </si>
  <si>
    <t>Muna.Lenjawi@rta.ae</t>
  </si>
  <si>
    <t>INC000001320613</t>
  </si>
  <si>
    <t>Zainab</t>
  </si>
  <si>
    <t>zakaram</t>
  </si>
  <si>
    <t>Zainab.Karam@rta.ae</t>
  </si>
  <si>
    <t>INC000001320611</t>
  </si>
  <si>
    <t>Suspicious IP to RTA Portal on 23 February 2026, 14:09:48</t>
  </si>
  <si>
    <t>INC000001320610</t>
  </si>
  <si>
    <t>Reem</t>
  </si>
  <si>
    <t>Alamassi</t>
  </si>
  <si>
    <t>V0029223</t>
  </si>
  <si>
    <t>rmalamassi</t>
  </si>
  <si>
    <t>Reem.Alamassi@rta.ae</t>
  </si>
  <si>
    <t>INC000001320609</t>
  </si>
  <si>
    <t>Khaled</t>
  </si>
  <si>
    <t>Rashed Al Ali</t>
  </si>
  <si>
    <t>Dubai Driving Liecens institute</t>
  </si>
  <si>
    <t>kralali</t>
  </si>
  <si>
    <t>khaled.alali@rta.ae</t>
  </si>
  <si>
    <t>INC000001320608</t>
  </si>
  <si>
    <t>Access Request</t>
  </si>
  <si>
    <t>Generic mailbox access has been granted to the user, kindly restart outlook and check</t>
  </si>
  <si>
    <t>Permission Request (RE)</t>
  </si>
  <si>
    <t>aasuliman</t>
  </si>
  <si>
    <t>Amal.Suliman@rta.ae</t>
  </si>
  <si>
    <t>INC000001320607</t>
  </si>
  <si>
    <t xml:space="preserve">Mohammed </t>
  </si>
  <si>
    <t>mkamohammed</t>
  </si>
  <si>
    <t>Mohammed.kasmohammed@rta.ae</t>
  </si>
  <si>
    <t>INC000001320606</t>
  </si>
  <si>
    <t>??????? ?????</t>
  </si>
  <si>
    <t>The customer delivered the plates in the Lost/Damage journey and the journeys completed The renewal journey closed</t>
  </si>
  <si>
    <t>INC000001320604</t>
  </si>
  <si>
    <t>Yasser</t>
  </si>
  <si>
    <t>Abdulftah</t>
  </si>
  <si>
    <t>ymabdulftah</t>
  </si>
  <si>
    <t>Yasser.Abdulftah@rta.ae</t>
  </si>
  <si>
    <t>INC000001320603</t>
  </si>
  <si>
    <t>Maximo Tram Interim Upgrade - IMAC Approval</t>
  </si>
  <si>
    <t>Techm Siji Verghese</t>
  </si>
  <si>
    <t>IT Asset Management</t>
  </si>
  <si>
    <t>INC000001320603/ CRQ60155/INC000001283346  cmdb updated for the change in the VM as per the imac cmdb updated for the db as per the imac</t>
  </si>
  <si>
    <t>Asset Related</t>
  </si>
  <si>
    <t>CMDB Update - Comm</t>
  </si>
  <si>
    <t>INC000001320602</t>
  </si>
  <si>
    <t>Alakhras</t>
  </si>
  <si>
    <t>V0012798</t>
  </si>
  <si>
    <t>tsme_amalakhras</t>
  </si>
  <si>
    <t>Tsme_Ahmad.Alakhras@rta.ae</t>
  </si>
  <si>
    <t>INC000001320599</t>
  </si>
  <si>
    <t>Nisha</t>
  </si>
  <si>
    <t>Mammen</t>
  </si>
  <si>
    <t>V0028036</t>
  </si>
  <si>
    <t>Ebm_Nisha.Mammen@rta.ae</t>
  </si>
  <si>
    <t>INC000001320598</t>
  </si>
  <si>
    <t>Nouf</t>
  </si>
  <si>
    <t>Doei</t>
  </si>
  <si>
    <t>NADoei</t>
  </si>
  <si>
    <t>Nouf.Doei@rta.ae</t>
  </si>
  <si>
    <t>INC000001320596</t>
  </si>
  <si>
    <t>Rami</t>
  </si>
  <si>
    <t>Banishamsa</t>
  </si>
  <si>
    <t>rabanishamsa</t>
  </si>
  <si>
    <t>Rami.Banishamsa@rta.ae</t>
  </si>
  <si>
    <t>INC000001320595</t>
  </si>
  <si>
    <t>UNABLE TO RETURN-78240AUH9 securitydata@diamondlease.com</t>
  </si>
  <si>
    <t>Dear User,  The borrowing for the vehicle : MDHBN7AD8PG314307, has been closed. Kindly verify</t>
  </si>
  <si>
    <t>INC000001320594</t>
  </si>
  <si>
    <t>1640994_Threat Activity Detected</t>
  </si>
  <si>
    <t>INC000001320593</t>
  </si>
  <si>
    <t>Thangaraj</t>
  </si>
  <si>
    <t>Samy</t>
  </si>
  <si>
    <t>V0031586</t>
  </si>
  <si>
    <t>Ebm_Thangaraj.Samy@rta.ae</t>
  </si>
  <si>
    <t>INC000001320592</t>
  </si>
  <si>
    <t>Ownership Issue // Assistance Required for TARS Portal Ownership Issue // Vehicle number   6-59532.</t>
  </si>
  <si>
    <t>Dear User, The Vehicle with vin LB3F31S24RG025452 has been deleted from TARS.Kindly Verify</t>
  </si>
  <si>
    <t>INC000001320591</t>
  </si>
  <si>
    <t>.Follow Up - SOP Sign Offs</t>
  </si>
  <si>
    <t>Automated Vehicle Management (AVM)</t>
  </si>
  <si>
    <t>SOP s shared with the specialists for sign off</t>
  </si>
  <si>
    <t>INC000001320589</t>
  </si>
  <si>
    <t>Sanjay</t>
  </si>
  <si>
    <t>Appakate</t>
  </si>
  <si>
    <t>srappakate</t>
  </si>
  <si>
    <t>Sanjay.Appakate@rta.ae</t>
  </si>
  <si>
    <t>INC000001320588</t>
  </si>
  <si>
    <t>.Process Review Plan - Submission</t>
  </si>
  <si>
    <t>Create / Update Process</t>
  </si>
  <si>
    <t>Submitted the Process Review Plan after collecting the information for the processes required for year 2026</t>
  </si>
  <si>
    <t>INC000001320586</t>
  </si>
  <si>
    <t>Sid</t>
  </si>
  <si>
    <t>Zermout</t>
  </si>
  <si>
    <t>As per the BMC note and approval, we have assigned access to sid.zermout@rta.ae for Secure file transfer with “secure mail” group, please check.</t>
  </si>
  <si>
    <t>sazermout</t>
  </si>
  <si>
    <t>Sid.Zermout@rta.ae</t>
  </si>
  <si>
    <t>INC000001320585</t>
  </si>
  <si>
    <t>.Meeting with Hadi to clarify the Integration requests template</t>
  </si>
  <si>
    <t>Meeting conducted and explained how to fill the template to Hadi</t>
  </si>
  <si>
    <t>INC000001320584</t>
  </si>
  <si>
    <t>UEDC VRF PM work for the month of Feb 2026</t>
  </si>
  <si>
    <t>Pm work completed and all systems are working normal condition.</t>
  </si>
  <si>
    <t>INC000001320582</t>
  </si>
  <si>
    <t>KMSherif</t>
  </si>
  <si>
    <t>Karim.Sherif@rta.ae</t>
  </si>
  <si>
    <t>INC000001320580</t>
  </si>
  <si>
    <t>As per the bmc note, we have added user (sralmheiri) in __scg.srrp@rta.ae group please check.</t>
  </si>
  <si>
    <t>SAAlblooshi</t>
  </si>
  <si>
    <t>Sara.Alblooshi@rta.ae</t>
  </si>
  <si>
    <t>INC000001320579</t>
  </si>
  <si>
    <t>Rakan</t>
  </si>
  <si>
    <t>Mishal</t>
  </si>
  <si>
    <t>rfmishal</t>
  </si>
  <si>
    <t>Rakan.Mishal@rta.ae</t>
  </si>
  <si>
    <t>INC000001320577</t>
  </si>
  <si>
    <t>As per the bmc note, we have checked user (kaalmuntaser) is already removed from __scg.srrp@rta.ae group please check.</t>
  </si>
  <si>
    <t>INC000001320576</t>
  </si>
  <si>
    <t>Muhammed</t>
  </si>
  <si>
    <t>Outlook has been successfully configured and activated as requested.</t>
  </si>
  <si>
    <t>mkhan</t>
  </si>
  <si>
    <t>Muhammed.Khan@rta.ae</t>
  </si>
  <si>
    <t>INC000001320575</t>
  </si>
  <si>
    <t>Alsaleh</t>
  </si>
  <si>
    <t>maalsaleh</t>
  </si>
  <si>
    <t>Mohammad.Alsaleh@rta.ae</t>
  </si>
  <si>
    <t>INC000001320574</t>
  </si>
  <si>
    <t>Khawlah</t>
  </si>
  <si>
    <t>????? - ????? ???? ?????? ?????</t>
  </si>
  <si>
    <t>Kindly note the vacation role has been created.</t>
  </si>
  <si>
    <t>khmali</t>
  </si>
  <si>
    <t>Khawlah.Ali@rta.ae</t>
  </si>
  <si>
    <t>INC000001320572</t>
  </si>
  <si>
    <t>Support in testing</t>
  </si>
  <si>
    <t>As per the request, created groups and shared. VAPT_Srv_WebURL_Full_Access VAPT_Srv_WebURL_Basic_Access   TEAMS_Srv_SSH_Full_Access TEAMS_Srv_SSH_Basic_Access</t>
  </si>
  <si>
    <t>INC000001320571</t>
  </si>
  <si>
    <t>ETISALAT ROOM rack Temperature/ Humidity sensors are unplugged in DCE.</t>
  </si>
  <si>
    <t>Melbin Das</t>
  </si>
  <si>
    <t>DCIM</t>
  </si>
  <si>
    <t>Monitoring</t>
  </si>
  <si>
    <t>Reported ETISALAT ROOM rack Temperature/ Humidity sensors battery replaced and currently working normally.</t>
  </si>
  <si>
    <t>cct_mddas</t>
  </si>
  <si>
    <t>Request for Datacenter Rack Space/Power Socket</t>
  </si>
  <si>
    <t>INC000001320570</t>
  </si>
  <si>
    <t xml:space="preserve">??? ????? ?? ??? ??????? ??? ?????? </t>
  </si>
  <si>
    <t>kindly note the issue has been resolved</t>
  </si>
  <si>
    <t>INC000001320569</t>
  </si>
  <si>
    <t>?? ??? ??? ????.   ???? ????? ??? ???? ?????? ????? ????? ??? ??????: ??? ???? ???? ???????? ???????? ??????? ???????: ???? ????? ?? ?????? ????? ??????? ??? ?????? ???? ???? ?????? ??????? ???? ????? ?????? ?????? ?? ?????? ???????</t>
  </si>
  <si>
    <t>INC000001320568</t>
  </si>
  <si>
    <t>Manoj Salunke</t>
  </si>
  <si>
    <t>As per the bmc note, we have added user (hafarrouh) in __scg.srrp@rta.ae group please check.</t>
  </si>
  <si>
    <t>INC000001320567</t>
  </si>
  <si>
    <t>Al Obaidli</t>
  </si>
  <si>
    <t>IAM Request Update</t>
  </si>
  <si>
    <t>we have changed OCHS application owner approval in IAM for OCHS from Ayman B. T. Aliahmed to @Hanan Mohamed Al Obaidli.</t>
  </si>
  <si>
    <t>hmalobaidli</t>
  </si>
  <si>
    <t>Hanan.AlObaidli@rta.ae</t>
  </si>
  <si>
    <t>INC000001320565</t>
  </si>
  <si>
    <t>Sergio</t>
  </si>
  <si>
    <t>Grosso</t>
  </si>
  <si>
    <t>unable to run python program on 2 machines</t>
  </si>
  <si>
    <t>Mohamed Al Taweel</t>
  </si>
  <si>
    <t>The issue was resolved by using a different Python version</t>
  </si>
  <si>
    <t>V009668</t>
  </si>
  <si>
    <t>Trans_SGGrosso</t>
  </si>
  <si>
    <t>Trans_Sergio.Grosso@rta.ae</t>
  </si>
  <si>
    <t>INC000001320564</t>
  </si>
  <si>
    <t>Arsal</t>
  </si>
  <si>
    <t>Rana Shakil Ahmad-Contractor</t>
  </si>
  <si>
    <t>Digital Services</t>
  </si>
  <si>
    <t>Update the user profile in Automation system</t>
  </si>
  <si>
    <t>Add / Revoke Privilege</t>
  </si>
  <si>
    <t>We have updated requested user profile in IAM system.</t>
  </si>
  <si>
    <t>V0031323</t>
  </si>
  <si>
    <t>star_asahmad</t>
  </si>
  <si>
    <t>Star_Arsal.Ahmad@rta.ae</t>
  </si>
  <si>
    <t>INC000001320563</t>
  </si>
  <si>
    <t>GRP request</t>
  </si>
  <si>
    <t>UMM RAMOOL NEW HQ 2C - MARKETING AND CORPORATE COMMUNICATION</t>
  </si>
  <si>
    <t>kindly note the vacation role has been created</t>
  </si>
  <si>
    <t>amalmulla</t>
  </si>
  <si>
    <t>Amal.Almulla@rta.ae</t>
  </si>
  <si>
    <t>INC000001320562</t>
  </si>
  <si>
    <t>NOC To renew TL</t>
  </si>
  <si>
    <t>579641 has additional corporate member exist in DET side and not exist in RTA side which is EMIRATES DRIVING INSTITUTE L.LC and should be added in same name exactly by modify NOC and pay the required fees.  754142 has additional corporate member exist in DET side and not exist in RTA side which is EMIRATES DRIVING INSTITUTE L.L.C and should be added in same name exactly by modify NOC and pay the required fees.</t>
  </si>
  <si>
    <t>INC000001320560</t>
  </si>
  <si>
    <t>Yadav</t>
  </si>
  <si>
    <t>V0032789</t>
  </si>
  <si>
    <t>idm_ayyadav</t>
  </si>
  <si>
    <t>Idm_Arun.Yadav@rta.ae</t>
  </si>
  <si>
    <t>INC000001320559</t>
  </si>
  <si>
    <t>Nelson</t>
  </si>
  <si>
    <t>Vargheese</t>
  </si>
  <si>
    <t>nelsoniv</t>
  </si>
  <si>
    <t>Nelson.Vargheese@rta.ae</t>
  </si>
  <si>
    <t>INC000001320558</t>
  </si>
  <si>
    <t>Avaya Omer</t>
  </si>
  <si>
    <t>RTA ERROR    16709363</t>
  </si>
  <si>
    <t>Avaya Omer Omer</t>
  </si>
  <si>
    <t>customer already booked exam  customer already booked exam  customer already booked exam</t>
  </si>
  <si>
    <t>Avaya_OIOmer</t>
  </si>
  <si>
    <t>V001676</t>
  </si>
  <si>
    <t>Avaya_Omer.Omer@rta.ae</t>
  </si>
  <si>
    <t>INC000001320555</t>
  </si>
  <si>
    <t>Kadirvel</t>
  </si>
  <si>
    <t>Appukutti</t>
  </si>
  <si>
    <t>As per the VPN requested all the access has been provided , As checked user LOG , there is no issue in User VPN Access connecting</t>
  </si>
  <si>
    <t>V0032781</t>
  </si>
  <si>
    <t>bahwan_kaappukutti</t>
  </si>
  <si>
    <t>Bahwan_Kadirvel.Appukutti@rta.ae</t>
  </si>
  <si>
    <t>INC000001320554</t>
  </si>
  <si>
    <t>Microsoft 365 License has been assigned to the user ID</t>
  </si>
  <si>
    <t>INC000001320552</t>
  </si>
  <si>
    <t>Abdullah</t>
  </si>
  <si>
    <t>Shapsough</t>
  </si>
  <si>
    <t>Shared folder access has been granted to the user  Folder Path: \\rta.global\fileserver001\RTA1$\SMD\BUF and SMD Folder Owner: mabadran Folder Access:  User Name	Type Of Access transguard_ayshapsou	Modify</t>
  </si>
  <si>
    <t>V0033665</t>
  </si>
  <si>
    <t>transguard_ayshapsou</t>
  </si>
  <si>
    <t>Transguard_Abdullah.Shapsough@rta.ae</t>
  </si>
  <si>
    <t>INC000001320551</t>
  </si>
  <si>
    <t>Hashem</t>
  </si>
  <si>
    <t>Firas Barham</t>
  </si>
  <si>
    <t xml:space="preserve">GIS Data Update &amp; Import Request Request Information 2519723 INC000001320551 Project Name / Purpose * To create new location for CASS Parking - Emaar Business Park - Building 3 Business Requirements * To create new location for CASS Parking - Emaar Business Park - Building 3, in the following 1. MULTI_LEVEL_CAR_PARKS 2. Private Mall Parkings Version name -  change implemented </t>
  </si>
  <si>
    <t>MMAHashem</t>
  </si>
  <si>
    <t>Mai.Hashem@rta.ae</t>
  </si>
  <si>
    <t>INC000001320549</t>
  </si>
  <si>
    <t>UMM RAMOOL NEW HQ 7B</t>
  </si>
  <si>
    <t>aamohammed</t>
  </si>
  <si>
    <t>Amna.AMohammed@rta.ae</t>
  </si>
  <si>
    <t>INC000001320548</t>
  </si>
  <si>
    <t>learning file</t>
  </si>
  <si>
    <t>?????, ?? ???? ????? ??? ???????? ????? ??????? ??????? ???? ?? ?????? ?? ???? ?????? ?????????? ????? ???? ????? ????? ??? ???? ???? ??? ?? ????? ??? ??? ???? ????? ???? ??? ??? ????? ??????? ???? ?? ???? ???? ??????? ?? ????? ?????</t>
  </si>
  <si>
    <t>INC000001320547</t>
  </si>
  <si>
    <t>VPN has been configured successfully.</t>
  </si>
  <si>
    <t>INC000001320541</t>
  </si>
  <si>
    <t>Vehicle number  17-23744, 17-16954, 6-59532. tars@budget-uae.com</t>
  </si>
  <si>
    <t>Dear User, Vehicle with VIN  - LB3F31S24RG025452, LB3F31S33SG007555, LB3F31S25RG025377 had ownership changes and all active borrowing s are closed and deleted from TARS. Kindly verify.</t>
  </si>
  <si>
    <t>INC000001320540</t>
  </si>
  <si>
    <t>Aljasmi</t>
  </si>
  <si>
    <t>The Outlook has been configured as requested.</t>
  </si>
  <si>
    <t>aabdulaljasmi</t>
  </si>
  <si>
    <t>Ayesha.Aljasmi@rta.ae</t>
  </si>
  <si>
    <t>INC000001320539</t>
  </si>
  <si>
    <t>1640833_Threat Activity Detected</t>
  </si>
  <si>
    <t>INC000001320538</t>
  </si>
  <si>
    <t>1640835_Threat Activity Detected</t>
  </si>
  <si>
    <t>INC000001320537</t>
  </si>
  <si>
    <t>1640836_Threat Activity Detected</t>
  </si>
  <si>
    <t>INC000001320536</t>
  </si>
  <si>
    <t>FJAAlzarooni</t>
  </si>
  <si>
    <t>Fatima.JAlzarooni@rta.ae</t>
  </si>
  <si>
    <t>INC000001320535</t>
  </si>
  <si>
    <t>Shared folder access has been granted to the user  Folder Path: \\rta.global\fileserver001\RTA1$\Rail Agency Folder1\Rail CEO Site Visits Folder Owner: labalkhaja Folder Access:  User Name	Type Of Access rmalawadhi	Modify</t>
  </si>
  <si>
    <t>rmalawadhi</t>
  </si>
  <si>
    <t>Rashed.MAlawadhi@rta.ae</t>
  </si>
  <si>
    <t>INC000001320533</t>
  </si>
  <si>
    <t>Ali AlMehairi</t>
  </si>
  <si>
    <t>UMM RAMOOL -BLOCK C</t>
  </si>
  <si>
    <t>haalmehairi</t>
  </si>
  <si>
    <t>Hind.Almehairi@rta.ae</t>
  </si>
  <si>
    <t>INC000001320532</t>
  </si>
  <si>
    <t>Java 8 already installed in the machine</t>
  </si>
  <si>
    <t>Java Runtime Environment</t>
  </si>
  <si>
    <t>INC000001320531</t>
  </si>
  <si>
    <t>Bana</t>
  </si>
  <si>
    <t>Taifour</t>
  </si>
  <si>
    <t>Please find below user details and share the same with user.   Account information:   Employee Number: V0034867 User Login: NLFAKHOURY E-mail: Nour.Fakhoury@rta.ae Display Name: Nour Lutfi Fakhoury</t>
  </si>
  <si>
    <t>V0034699</t>
  </si>
  <si>
    <t>bmtaifour</t>
  </si>
  <si>
    <t>Bana.Taifour@rta.ae</t>
  </si>
  <si>
    <t>INC000001320529</t>
  </si>
  <si>
    <t>The software has been installed successfully as requested</t>
  </si>
  <si>
    <t>Non-listed Application/Software</t>
  </si>
  <si>
    <t>INC000001320528</t>
  </si>
  <si>
    <t>Sumaya Salem</t>
  </si>
  <si>
    <t>Al Ebri</t>
  </si>
  <si>
    <t>Unlock VPN Request</t>
  </si>
  <si>
    <t>UMM RAMOOL -MAIN BUILDING</t>
  </si>
  <si>
    <t>As per the service request, we successfully unlocked the VPN account of user -  ssalebri. Informed IT Support team to check with the user. Hence we are resolving this ticket</t>
  </si>
  <si>
    <t>ssalebri</t>
  </si>
  <si>
    <t>sumaya.ebri@rta.ae</t>
  </si>
  <si>
    <t>INC000001320527</t>
  </si>
  <si>
    <t>Microland Ajillal</t>
  </si>
  <si>
    <t>Sureshkumar</t>
  </si>
  <si>
    <t>V002651</t>
  </si>
  <si>
    <t>Microland_AKSureshku</t>
  </si>
  <si>
    <t>Microland_Ajillal.Sureshkumar@rta.ae</t>
  </si>
  <si>
    <t>INC000001320526</t>
  </si>
  <si>
    <t>MOM System access request</t>
  </si>
  <si>
    <t>lnali</t>
  </si>
  <si>
    <t>Latifa.Ali@rta.ae</t>
  </si>
  <si>
    <t>INC000001320525</t>
  </si>
  <si>
    <t>Reason: Nol card jam 13dhs 038 555 7079  Action: removed   Attender Name: Amjad  Attended Time: 14:35</t>
  </si>
  <si>
    <t>INC000001320524</t>
  </si>
  <si>
    <t>the journey was pending confirmation The journey confirmed and the customer can try now</t>
  </si>
  <si>
    <t>INC000001320523</t>
  </si>
  <si>
    <t>Microland Aswin</t>
  </si>
  <si>
    <t>Krishna</t>
  </si>
  <si>
    <t>V003016</t>
  </si>
  <si>
    <t>Microland_AKKrishna</t>
  </si>
  <si>
    <t>Microland_Aswin.Krishna@rta.ae</t>
  </si>
  <si>
    <t>INC000001320522</t>
  </si>
  <si>
    <t>Usman</t>
  </si>
  <si>
    <t>Syed Shah</t>
  </si>
  <si>
    <t>Digital Signature</t>
  </si>
  <si>
    <t>New user account is created in DS system</t>
  </si>
  <si>
    <t>V0032867</t>
  </si>
  <si>
    <t>techvista_auusman</t>
  </si>
  <si>
    <t>Techvista_Ahmed.Usman@rta.ae</t>
  </si>
  <si>
    <t>INC000001320521</t>
  </si>
  <si>
    <t>as discussed with user by call share folder access is working perfectly so we are closing the INC</t>
  </si>
  <si>
    <t>INC000001320518</t>
  </si>
  <si>
    <t>Laptop network connectivity issue</t>
  </si>
  <si>
    <t>user confirmed over the phone call that the issue got solved already</t>
  </si>
  <si>
    <t>INC000001320515</t>
  </si>
  <si>
    <t>Tarek</t>
  </si>
  <si>
    <t>Walid Abu Gharbieh</t>
  </si>
  <si>
    <t>Assist user to Retrieving Files</t>
  </si>
  <si>
    <t>Data Recovery</t>
  </si>
  <si>
    <t>Data Recovery Request</t>
  </si>
  <si>
    <t>MS outlook was set to default when opening saved emails</t>
  </si>
  <si>
    <t>TWGharbieh</t>
  </si>
  <si>
    <t>Tariq.Gharbieh@rta.ae</t>
  </si>
  <si>
    <t>INC000001320512</t>
  </si>
  <si>
    <t>Wafa</t>
  </si>
  <si>
    <t>Dubai Rail CEO</t>
  </si>
  <si>
    <t>UMM RAMOOL NEW HQ 3B</t>
  </si>
  <si>
    <t>Dear Ahmad,  I hope you are doing well.  Please note that access will remain available as long as the user’s details are present in the Active Directory. Should you need any further assistance or support, feel free to let us know.</t>
  </si>
  <si>
    <t>wahassan</t>
  </si>
  <si>
    <t>Wafa.Hassan@RTA.ae</t>
  </si>
  <si>
    <t>INC000001320510</t>
  </si>
  <si>
    <t>INC000001320506</t>
  </si>
  <si>
    <t>Hamad</t>
  </si>
  <si>
    <t>Al bedwawi</t>
  </si>
  <si>
    <t>IPAD issue</t>
  </si>
  <si>
    <t>Nihad Mozayek</t>
  </si>
  <si>
    <t>Temporary Hardware</t>
  </si>
  <si>
    <t>IPAD</t>
  </si>
  <si>
    <t>Resolved by sign out from MS Teams and sign in again</t>
  </si>
  <si>
    <t>IPad Issue</t>
  </si>
  <si>
    <t>hialbedwawi</t>
  </si>
  <si>
    <t>Hamad.Albedwawi@RTA.ae</t>
  </si>
  <si>
    <t>INC000001320505</t>
  </si>
  <si>
    <t>To extend user access to ERM</t>
  </si>
  <si>
    <t>please note we do not need to extend any ARM user licenses as long as the user can login to his windows AD account with RTA credentials</t>
  </si>
  <si>
    <t>INC000001320504</t>
  </si>
  <si>
    <t>Experts Salah</t>
  </si>
  <si>
    <t>Temporary USB Unblocking</t>
  </si>
  <si>
    <t>Techm Ahmed Elboshy</t>
  </si>
  <si>
    <t>Please note that your system " RTA-PTA-TAM-209" has been moved to USB Block exception Group.</t>
  </si>
  <si>
    <t>USB</t>
  </si>
  <si>
    <t>USB Access Unblocking</t>
  </si>
  <si>
    <t>V009534</t>
  </si>
  <si>
    <t>Experts_SMAhmed</t>
  </si>
  <si>
    <t>Experts_Salah.Ahmed@rta.ae</t>
  </si>
  <si>
    <t>INC000001320501</t>
  </si>
  <si>
    <t>Ramzi</t>
  </si>
  <si>
    <t>Ammari</t>
  </si>
  <si>
    <t>MoM system Access request</t>
  </si>
  <si>
    <t>rmammari</t>
  </si>
  <si>
    <t>Ramzi.Ammari@rta.ae</t>
  </si>
  <si>
    <t>INC000001320499</t>
  </si>
  <si>
    <t>yhalhosani</t>
  </si>
  <si>
    <t>Yousif.Alhosani@rta.ae</t>
  </si>
  <si>
    <t>INC000001320498</t>
  </si>
  <si>
    <t>Abdulmuttaleb</t>
  </si>
  <si>
    <t>Guided user with saving the email as a PDF file Successfully</t>
  </si>
  <si>
    <t>HHAbdulmuttaleb</t>
  </si>
  <si>
    <t>Hanan.alhasawi@rta.ae</t>
  </si>
  <si>
    <t>INC000001320496</t>
  </si>
  <si>
    <t>1640779_Threat Activity Detected</t>
  </si>
  <si>
    <t>INC000001320495</t>
  </si>
  <si>
    <t>BUS-6351</t>
  </si>
  <si>
    <t>Our intervention completed  Cico 2 blank Recommissioned cico2 All cico operational  Tested</t>
  </si>
  <si>
    <t>INC000001320494</t>
  </si>
  <si>
    <t>MadaMedia</t>
  </si>
  <si>
    <t>Share folder access provided as per the request. Path : \\rta.global\fileserver001\RTA1$\MadaMedia\CRM File Users: mada_mhshabana	  mada_ntalhayek	 Approver: Saad Naveed Shahid Naveed</t>
  </si>
  <si>
    <t>V0032741</t>
  </si>
  <si>
    <t>mada_smahmed</t>
  </si>
  <si>
    <t>Mada_Saeed.Ahmed@rta.ae</t>
  </si>
  <si>
    <t>INC000001320493</t>
  </si>
  <si>
    <t>To extend user account</t>
  </si>
  <si>
    <t>we have extended below requested user in IAM system till 19th Feb 2027.   User Id - TSKHELLA User Emp No - V0025137 User Display Name - Tarenjit Khella</t>
  </si>
  <si>
    <t>INC000001320489</t>
  </si>
  <si>
    <t>Ghulam</t>
  </si>
  <si>
    <t>Qadir</t>
  </si>
  <si>
    <t>Reset Oracle account Request</t>
  </si>
  <si>
    <t>Reset Oracle account has been done</t>
  </si>
  <si>
    <t>GNQadir</t>
  </si>
  <si>
    <t>Ghulam.Qadir@rta.ae</t>
  </si>
  <si>
    <t>INC000001320487</t>
  </si>
  <si>
    <t>BS27L-426-Dubai Municipality Garage 2 BS27L-426b-Dubai Municipality Garage 2</t>
  </si>
  <si>
    <t>Reason: Duplicate ticket ( INC000001320478 )  Action: please cancel this ticket   Attended Time:  Remarks:</t>
  </si>
  <si>
    <t>INC000001320486</t>
  </si>
  <si>
    <t>Hossam</t>
  </si>
  <si>
    <t>Soliman</t>
  </si>
  <si>
    <t>Guided user to unlock account via Self-Service</t>
  </si>
  <si>
    <t>hasoliman</t>
  </si>
  <si>
    <t>Hossam.Soliman@rta.ae</t>
  </si>
  <si>
    <t>INC000001320485</t>
  </si>
  <si>
    <t>UEDC Fire Suppression PM work for the month of Feb 2026</t>
  </si>
  <si>
    <t>INC000001320483</t>
  </si>
  <si>
    <t>Huda</t>
  </si>
  <si>
    <t>Zakeri</t>
  </si>
  <si>
    <t>hhzakeri</t>
  </si>
  <si>
    <t>Huda.Zakeri@rta.ae</t>
  </si>
  <si>
    <t>INC000001320482</t>
  </si>
  <si>
    <t>Halima</t>
  </si>
  <si>
    <t>AlZahli</t>
  </si>
  <si>
    <t>smart traffic configuration request</t>
  </si>
  <si>
    <t>smart traffic has been successfully configured</t>
  </si>
  <si>
    <t>hkalzahli</t>
  </si>
  <si>
    <t>Halima.AlZahli@rta.ae</t>
  </si>
  <si>
    <t>INC000001320481</t>
  </si>
  <si>
    <t>Jamila</t>
  </si>
  <si>
    <t>Abuhindi</t>
  </si>
  <si>
    <t>GRP  Access</t>
  </si>
  <si>
    <t>Kindly note the vacation role has been cancelled</t>
  </si>
  <si>
    <t>jaabuhindi</t>
  </si>
  <si>
    <t>Jamila.Abuhindi@rta.ae</t>
  </si>
  <si>
    <t>INC000001320479</t>
  </si>
  <si>
    <t>Shayma</t>
  </si>
  <si>
    <t>Please note that your system "rta-cho-sam-067 " has been moved to USB Block exception Group.</t>
  </si>
  <si>
    <t>smohaalblooshi</t>
  </si>
  <si>
    <t>Shayma.Alblooshi@rta.ae</t>
  </si>
  <si>
    <t>INC000001320478</t>
  </si>
  <si>
    <t>BS27L-426-Dubai Municipality Garage 2 BS27L-426-Dubai Municipality Garage 2</t>
  </si>
  <si>
    <t>Reason: Not working   Action: Checked no issue found device working fine.  Attender name: Mohammed zabir   Attended Time: 13:01  Remarks: please find attached picture for your reference thanks.</t>
  </si>
  <si>
    <t>INC000001320477</t>
  </si>
  <si>
    <t>Mohammad Atfeh</t>
  </si>
  <si>
    <t>user profile has been updated and the VPN request 2520919 has been submitted and proceed successfully</t>
  </si>
  <si>
    <t>Profile Update Request</t>
  </si>
  <si>
    <t>INC000001320476</t>
  </si>
  <si>
    <t>INC000001320474</t>
  </si>
  <si>
    <t>Mazem</t>
  </si>
  <si>
    <t xml:space="preserve">GIS Data Update &amp; Import Request Request Information 2514407 INC000001320474 Project Name / Purpose * updating of GIS layers for NOC section under version “ROW_NOC_Feb2026” Business Requirements * updating of GIS layers for NOC section under version “ROW_NOC_Feb2026” change implemented </t>
  </si>
  <si>
    <t>fgmazem</t>
  </si>
  <si>
    <t>Fatima.Mazem@rta.ae</t>
  </si>
  <si>
    <t>INC000001320473</t>
  </si>
  <si>
    <t>Layla</t>
  </si>
  <si>
    <t xml:space="preserve">??? ?????? ?? ?????? ?????? ????? ??????? </t>
  </si>
  <si>
    <t>Dear Ahmad,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</si>
  <si>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LIAli</t>
  </si>
  <si>
    <t>Layla.Ali@rta.ae</t>
  </si>
  <si>
    <t>INC000001320472</t>
  </si>
  <si>
    <t>request 2376106 has been cancelled as required</t>
  </si>
  <si>
    <t>INC000001320470</t>
  </si>
  <si>
    <t>Moideen</t>
  </si>
  <si>
    <t>Padikal</t>
  </si>
  <si>
    <t>provide Lost and Found access in  e Transport.</t>
  </si>
  <si>
    <t>E-Transport</t>
  </si>
  <si>
    <t>AWEER EMIRATES DEPOT</t>
  </si>
  <si>
    <t>Please be informed that the access has been granted . request to check and let us know.</t>
  </si>
  <si>
    <t>eTransport</t>
  </si>
  <si>
    <t>mkpadikal</t>
  </si>
  <si>
    <t>Moideen.Padikal@RTA.ae</t>
  </si>
  <si>
    <t>INC000001320468</t>
  </si>
  <si>
    <t>1640746_Threat Activity Detected</t>
  </si>
  <si>
    <t>INC000001320466</t>
  </si>
  <si>
    <t>???? ?? ????? ??????? ??? 5 ????? ??? 34</t>
  </si>
  <si>
    <t>Upon checking, we found that student removed the seatbelt immediately &amp; before the exam end process is completed.   RCA: The student removed the seatbelt immediately &amp; before the exam end process is completed.</t>
  </si>
  <si>
    <t>AMAlmaazmi</t>
  </si>
  <si>
    <t>Ahmed.MAlmaazmi@rta.ae</t>
  </si>
  <si>
    <t>INC000001320465</t>
  </si>
  <si>
    <t>Alshamsi</t>
  </si>
  <si>
    <t>Dubai Police Licensing</t>
  </si>
  <si>
    <t>abualshamsi</t>
  </si>
  <si>
    <t>Amal.BAlshamsi@rta.ae</t>
  </si>
  <si>
    <t>INC000001320463</t>
  </si>
  <si>
    <t>Elna</t>
  </si>
  <si>
    <t>Palliparambil Stephen Palliparambil  Xavier-Contractor</t>
  </si>
  <si>
    <t xml:space="preserve">Require User name for the new drivers </t>
  </si>
  <si>
    <t>Please find below user details and share the same with user:  Employee No	User Login	Email	Display Name V0033912	ALSAHRA_MKHKHAN	Alsahra_Maisid.KKhan@rta.ae	Maisid Khan Sardar Ali Khan-Contractor V0033224	ALSAHRA_KUULLAH	Alsahra_Kamran.Ullah@rta.ae	Kamran Ullah Hamid Ullah-Contractor V0033225	ALSAHRA_APPARVAIZ	Alsahra_Asif.Parvaiz@rta.ae	Asif Parvaiz Muhammad Parvaiz-Contractor V0033221	ALSAHRA_GSKHAN	Alsahra_Gulab.Khan@rta.ae	Gulab Sher Daulat Khan-Contractor V0033617	ALSAHRA_SABEEVI	Alsahra_Sabeer.Beevi@rta.ae	Sabeer Abdul Salam Sabira Beevi-Contractor V0033742	ALSAHRA_AARAWAN	Alsahra_Anwar.Rawan@rta.ae	Anwar Ali Bakhti Rawan-Contractor V0033743	ALSAHRA_AKHKHAN	Alsahra_Arbab.Khan@rta.ae	Arbab Khan Hakim Khan-Contractor V0029651	REACH_AKHANHKHAN	Reach_Asif.Khan@rta.ae	Asif Khan Hameed Khan-Contractor V0033758	ALSAHRA_HUTAHBAN	Alsahra_Haseeb.Tahban@rta.ae	Haseeb Ullah Tahban-Contractor V0033815	ALSAHRA_ALLATIFKHAN	Alsahra_Adnan.Latifkhan@rta.ae	Adnan Latif Abdul Latif Khan-Contractor V0033814	ALSAHRA_AZZADA	Alsahra_Akbar.Zada@rta.ae	Akbar Zada Amir Zada-Contractor V0033805	ALSAHRA_AUMUSTAFA	Alsahra_Aman.Mustafa@rta.ae	Aman Ullah Ghulam Mustafa-Contractor V0033816	ALSAHRA_DSSINGH	Alsahra_Daljit.Singh@rta.ae	Daljit Singh Mejor Singh-Contractor V0033786	ALSAHRA_SKKHAN	Alsahra_Saad.Khan@rta.ae	Saad Khan Madaad Khan-Contractor V0033789	ALSAHRA_SNNIZARUDEEN	Alsahra_Seyyid.Nizarudeen@rta.ae	Seyyid Nizarudeen Nizarudeen-Contractor V0033804	ALSAHRA_SRRAVEENDRAN	Alsahra_Shyju.Raveendran@rta.ae	Shyju Raveendran Raveendran-Contractor V0033809	ALSAHRA_SRRAJENDIRAN	Alsahra_Sankar.Rajendiran@rta.ae	Sankar Rajendiran Rajendiran-Contractor V0034480	ALSAHRA_ACKUN	Alsahra_Abdurasheed.Kun@rta.ae	Abdurasheed Cheeran Kulangara Kun-Contractor</t>
  </si>
  <si>
    <t>V0032873</t>
  </si>
  <si>
    <t>alsahra_eppalliparam</t>
  </si>
  <si>
    <t>Alsahra_Elnamary.Palliparambilxavier@rta.ae</t>
  </si>
  <si>
    <t>INC000001320462</t>
  </si>
  <si>
    <t>Majed</t>
  </si>
  <si>
    <t>UMM RAMOOL NEW HQ 1C</t>
  </si>
  <si>
    <t>mmalshamsi</t>
  </si>
  <si>
    <t>Majed.Alshamsi@rta.ae</t>
  </si>
  <si>
    <t>INC000001320461</t>
  </si>
  <si>
    <t>Rikaz</t>
  </si>
  <si>
    <t>Elbaradhi</t>
  </si>
  <si>
    <t>To reset the account -Smart employee</t>
  </si>
  <si>
    <t>rjelbaradhi</t>
  </si>
  <si>
    <t>Rikaz.Elbaradhi@rta.ae</t>
  </si>
  <si>
    <t>INC000001320460</t>
  </si>
  <si>
    <t>Al Mazzem</t>
  </si>
  <si>
    <t>VPN Issue</t>
  </si>
  <si>
    <t>UMM RAMOOL -BLOCK B</t>
  </si>
  <si>
    <t>VPN Troubleshooting</t>
  </si>
  <si>
    <t>we did reset for the VPN and configured it successfully</t>
  </si>
  <si>
    <t>kmalmazzem</t>
  </si>
  <si>
    <t>Khalid.AlMazzem@RTA.ae</t>
  </si>
  <si>
    <t>INC000001320459</t>
  </si>
  <si>
    <t>elete fleet--Auh 20 76859--Ownership issue</t>
  </si>
  <si>
    <t>eTraffic</t>
  </si>
  <si>
    <t>Dear User, Vehicle with VIN - LB3762KZ7SX505375 had owner change which is been deleted, kindly verify.</t>
  </si>
  <si>
    <t>INC000001320456</t>
  </si>
  <si>
    <t>Faishal</t>
  </si>
  <si>
    <t>To publish the data on the MSTR Dashboard we need to republish the cubes</t>
  </si>
  <si>
    <t>Mohammad Faishal</t>
  </si>
  <si>
    <t>AI Platform</t>
  </si>
  <si>
    <t>New HQ</t>
  </si>
  <si>
    <t>Application User Interface</t>
  </si>
  <si>
    <t>Re-trigger the cubes under the Microstrategy projects. Cubes ran successfully</t>
  </si>
  <si>
    <t>emircom_mfsaleemuddi</t>
  </si>
  <si>
    <t>V0012160</t>
  </si>
  <si>
    <t>Emircom_Mohammad.Saleemuddin@rta.ae</t>
  </si>
  <si>
    <t>INC000001320452</t>
  </si>
  <si>
    <t>Alomari</t>
  </si>
  <si>
    <t>Strategy &amp; Corporate Governance CEO Administration</t>
  </si>
  <si>
    <t>Shared folder access has been granted to the users.  Folder Path: \\rta.global\fileserver001\share6$\SCG\SCG CEO Office\CEO\???? ????? ????????? ???????? ???? ????? ???? ????? ???? Folder Owner: fsalomari Folder Access:  User Name	Type Of Access	 hmbanna		Read Only		  aaalhosani	Read Only		  aaekhzaimy	Read Only		  mrmishmish	Read Only		  amshakri	Read Only		  haalshehhi	Read Only		  gbtibi		Read Only		  aisheikh	Read Only		  twgharbieh	Read Only		  haalqaisi	Read Only		  kszaher		Read Only</t>
  </si>
  <si>
    <t>fsalomari</t>
  </si>
  <si>
    <t>Fatma.Alomari@rta.ae</t>
  </si>
  <si>
    <t>INC000001320449</t>
  </si>
  <si>
    <t>Eman</t>
  </si>
  <si>
    <t>Alameeri</t>
  </si>
  <si>
    <t>eaalameeri</t>
  </si>
  <si>
    <t>Eman.Alameeri@rta.ae</t>
  </si>
  <si>
    <t>INC000001320448</t>
  </si>
  <si>
    <t>Hamadi</t>
  </si>
  <si>
    <t>????? ?? ????? ?????? 260220171632v0012418</t>
  </si>
  <si>
    <t>Done as requested to send fine for RMS and ETraffic</t>
  </si>
  <si>
    <t>AYHamadi</t>
  </si>
  <si>
    <t>Abdallah.Hamadi@rta.ae</t>
  </si>
  <si>
    <t>INC000001320447</t>
  </si>
  <si>
    <t>shared folder access has been granted to the user.  Folder Path: \\rta.global\fileserver001\Share6$\SCG\SCG CEO Office\SCG CEO Office Folder Owner: maosaimi Folder Access:  User Name	Type Of Access ssalshamsi	Modify</t>
  </si>
  <si>
    <t>ssalshamsi</t>
  </si>
  <si>
    <t>Sultan.SAlshamsi@rta.ae</t>
  </si>
  <si>
    <t>INC000001320443</t>
  </si>
  <si>
    <t>Amend DL</t>
  </si>
  <si>
    <t>there old journey from Mobil under ref RDLJ-1976195 sent to Mobile</t>
  </si>
  <si>
    <t>INC000001320440</t>
  </si>
  <si>
    <t>OCC Call forwading request</t>
  </si>
  <si>
    <t>Muhammad Ali</t>
  </si>
  <si>
    <t>Call forwarding configured to the requested number.</t>
  </si>
  <si>
    <t>ebm_nyahmed</t>
  </si>
  <si>
    <t>INC000001320439</t>
  </si>
  <si>
    <t>VPN Configurations Request</t>
  </si>
  <si>
    <t>We configured the VPN successfully</t>
  </si>
  <si>
    <t>INC000001320438</t>
  </si>
  <si>
    <t xml:space="preserve">i'm not able to renew vpn </t>
  </si>
  <si>
    <t>user profile has been updated, and the request 2507907 has been transferred to Ms.Alia</t>
  </si>
  <si>
    <t>INC000001320436</t>
  </si>
  <si>
    <t>Shamsa</t>
  </si>
  <si>
    <t>Faraj</t>
  </si>
  <si>
    <t>Chrome Browser Issue "Can not open RTA Intranet"</t>
  </si>
  <si>
    <t>we accessed remotely and did gpupdate /force and cleared the browser data then the issue got solved</t>
  </si>
  <si>
    <t>SMFaraj</t>
  </si>
  <si>
    <t>Shamsa.Faraj@rta.ae</t>
  </si>
  <si>
    <t>INC000001320434</t>
  </si>
  <si>
    <t>Sana Juma</t>
  </si>
  <si>
    <t>Zayed</t>
  </si>
  <si>
    <t>The user is facing a SIM card issue</t>
  </si>
  <si>
    <t>3G Request</t>
  </si>
  <si>
    <t>Permanant</t>
  </si>
  <si>
    <t>- The SIM card has been reinserted to the iPad and it's working fine now.</t>
  </si>
  <si>
    <t>Network Card Issue</t>
  </si>
  <si>
    <t>sjzayed</t>
  </si>
  <si>
    <t>sana.zayed@rta.ae</t>
  </si>
  <si>
    <t>INC000001320432</t>
  </si>
  <si>
    <t>Amrah</t>
  </si>
  <si>
    <t>Alyammahi</t>
  </si>
  <si>
    <t>aaalyammahi</t>
  </si>
  <si>
    <t>Amrah.Alyammahi@rta.ae</t>
  </si>
  <si>
    <t>INC000001320430</t>
  </si>
  <si>
    <t>Al Mutawa</t>
  </si>
  <si>
    <t>abalmutawa</t>
  </si>
  <si>
    <t>Aisha.Almutawa@rta.ae</t>
  </si>
  <si>
    <t>INC000001320429</t>
  </si>
  <si>
    <t>AlMoatasem belah</t>
  </si>
  <si>
    <t>Haj Saleh</t>
  </si>
  <si>
    <t>ambelah</t>
  </si>
  <si>
    <t>Almoatasem.saleh@rta.ae</t>
  </si>
  <si>
    <t>INC000001320428</t>
  </si>
  <si>
    <t>Mohamed Hassanudeen</t>
  </si>
  <si>
    <t>Noorudeen Mohamed</t>
  </si>
  <si>
    <t xml:space="preserve">Kindly provide the user name for New hire drivers </t>
  </si>
  <si>
    <t>Please find below user details and share the same with user:  Employee Number	V0033878 E-mail	Srsl_Muhammad.Siyarmuhammad@rta.ae User Login	SRSL_MMSIYARMUHAMMAD Display Name	Muhammad Muhammad Siyar Muhammad-Contractor  Employee Number	V0033835 E-mail	Srsl_Zahirshah.Khan@rta.ae User Login	SRSL_ZAKHAN Display Name	Zahir Shah Afsar Khan-Contractor  Employee Number	V0033882 E-mail	Srsl_Habibullah.Muradi@rta.ae User Login	SRSL_HMMURADI Display Name	Habibullah Muradi Muradi-Contractor</t>
  </si>
  <si>
    <t>V0032876</t>
  </si>
  <si>
    <t>srsl_mmnoorudeenmoha</t>
  </si>
  <si>
    <t>Srsl_Mohamedhassanudeen.Noorudeenmohamed@rta.ae</t>
  </si>
  <si>
    <t>INC000001320427</t>
  </si>
  <si>
    <t>Suspicious IP to RTA Portal on 23 February 2026, 11:10:23</t>
  </si>
  <si>
    <t>INC000001320426</t>
  </si>
  <si>
    <t>Musab</t>
  </si>
  <si>
    <t>Yahyia Alasawedh</t>
  </si>
  <si>
    <t>myalasawedh</t>
  </si>
  <si>
    <t>Musab.Alasawedh@rta.ae</t>
  </si>
  <si>
    <t>INC000001320425</t>
  </si>
  <si>
    <t>Madhu</t>
  </si>
  <si>
    <t>Tayi</t>
  </si>
  <si>
    <t>Network Connectivity issues</t>
  </si>
  <si>
    <t>Wireless Network Issues</t>
  </si>
  <si>
    <t>mktayi</t>
  </si>
  <si>
    <t>Madhu.Tayi@rta.ae</t>
  </si>
  <si>
    <t>INC000001320424</t>
  </si>
  <si>
    <t>Tariq Ansari</t>
  </si>
  <si>
    <t>Increase share folder size</t>
  </si>
  <si>
    <t>Increase share folder size(RE)</t>
  </si>
  <si>
    <t>We have increased 10 GB quota on requested share folder path.  \\rta.global\fileserver001\Share5$\Roads Department</t>
  </si>
  <si>
    <t>DFS - Increase share folder size (RE)</t>
  </si>
  <si>
    <t>ATAnsari</t>
  </si>
  <si>
    <t>Abdulla.Ansari@rta.ae</t>
  </si>
  <si>
    <t>INC000001320415</t>
  </si>
  <si>
    <t>Learning permit renewal</t>
  </si>
  <si>
    <t>INC000001320413</t>
  </si>
  <si>
    <t>Monzer</t>
  </si>
  <si>
    <t>Elnasri</t>
  </si>
  <si>
    <t>Shared folder access has been granted to the user.  Folder Path: \\10.11.16.142\SM$\0211_IT Information Security\02_Operations &amp; Services\RTA SoC   Folder Owner: aajarrah Folder Access:  User Name	Type Of Access	 transguard_moelnasri	Modify</t>
  </si>
  <si>
    <t>V0033381</t>
  </si>
  <si>
    <t>transguard_moelnasri</t>
  </si>
  <si>
    <t>Transguard_Monzer.Elnasri@rta.ae</t>
  </si>
  <si>
    <t>INC000001320412</t>
  </si>
  <si>
    <t>Nawal</t>
  </si>
  <si>
    <t>Mahfoodh</t>
  </si>
  <si>
    <t>Guided user to reset password via Self-service</t>
  </si>
  <si>
    <t>Licensing Agency</t>
  </si>
  <si>
    <t>njmahfoodh</t>
  </si>
  <si>
    <t>Nawal.Mahfoodh@RTA.ae</t>
  </si>
  <si>
    <t>INC000001320411</t>
  </si>
  <si>
    <t>Maryam Ahmed</t>
  </si>
  <si>
    <t>Srouri</t>
  </si>
  <si>
    <t>MASrouri</t>
  </si>
  <si>
    <t>Maryam.Srouri@rta.ae</t>
  </si>
  <si>
    <t>INC000001320410</t>
  </si>
  <si>
    <t>Aboueida</t>
  </si>
  <si>
    <t>Outlook configuration request</t>
  </si>
  <si>
    <t>Outlook  has been configured on the user machine successfully</t>
  </si>
  <si>
    <t>V0033800</t>
  </si>
  <si>
    <t>tms_wsaboueida</t>
  </si>
  <si>
    <t>Tms_Wissam.Aboueida@rta.ae</t>
  </si>
  <si>
    <t>INC000001320407</t>
  </si>
  <si>
    <t>December 2025 - Rail Ridership data missing from the source. Water energy cooling usecase failing</t>
  </si>
  <si>
    <t>Rail - Sustainability Department to upload december 2025 ridership data</t>
  </si>
  <si>
    <t>INC000001320406</t>
  </si>
  <si>
    <t>INC000001320405</t>
  </si>
  <si>
    <t>Roqaya</t>
  </si>
  <si>
    <t>AlBlooshi</t>
  </si>
  <si>
    <t>UMM RAMOOL NEW HQ 5A</t>
  </si>
  <si>
    <t>Guided the user with resetting her account password using the self-service link</t>
  </si>
  <si>
    <t>rksafar</t>
  </si>
  <si>
    <t>roqaya.safar@rta.ae</t>
  </si>
  <si>
    <t>INC000001320403</t>
  </si>
  <si>
    <t>AlSayed</t>
  </si>
  <si>
    <t>Al Hashmi</t>
  </si>
  <si>
    <t>aialhashmi</t>
  </si>
  <si>
    <t>Alsayed.Alhashmi@rta.ae</t>
  </si>
  <si>
    <t>INC000001320402</t>
  </si>
  <si>
    <t>Al Yassi</t>
  </si>
  <si>
    <t>UMM RAMOOL NEW HQ 10A</t>
  </si>
  <si>
    <t>mialyassi</t>
  </si>
  <si>
    <t>Maryam.Alyassi@rta.ae</t>
  </si>
  <si>
    <t>INC000001320400</t>
  </si>
  <si>
    <t>Aljeziri</t>
  </si>
  <si>
    <t>Edge configuration Request</t>
  </si>
  <si>
    <t>1/  In Edge settings.  2/  Go to default browser.  3/ Then go to Internet Explorer compatibility.  4/  Then add " " to internet Explorer mode pages.  5/ Enabled internet Explorer mode and chose it allow.  6/  Restart the browser to take effects.</t>
  </si>
  <si>
    <t>kaaljeziri</t>
  </si>
  <si>
    <t>Khadija.Aljeziri@rta.ae</t>
  </si>
  <si>
    <t>INC000001320399</t>
  </si>
  <si>
    <t>Alamm</t>
  </si>
  <si>
    <t>MAAlamm</t>
  </si>
  <si>
    <t>Marwan.Alamm@rta.ae</t>
  </si>
  <si>
    <t>INC000001320398</t>
  </si>
  <si>
    <t>TVM-262239</t>
  </si>
  <si>
    <t>Intervention completed on 23/02/2026 12:35pm, stuck on restarting page como ports failed reset all communication cables recovery command done ping back end successful tvm operational</t>
  </si>
  <si>
    <t>Hanging Machine</t>
  </si>
  <si>
    <t>INC000001320397</t>
  </si>
  <si>
    <t>Wassim</t>
  </si>
  <si>
    <t>Huwari</t>
  </si>
  <si>
    <t>Mailbox Full Issue</t>
  </si>
  <si>
    <t>- Cleared unwanted items.  - User doesn't have access to EV.  - Created a local PST file. - Manually archived some emails to a local PST -&gt; user has around 300 MB Free now.  - User will call us back once he get EV access to restore emails.</t>
  </si>
  <si>
    <t>wwhuwari</t>
  </si>
  <si>
    <t>Wassim.Huwari@rta.ae</t>
  </si>
  <si>
    <t>INC000001320395</t>
  </si>
  <si>
    <t>Adobe Pro Issue</t>
  </si>
  <si>
    <t>INC000001320394</t>
  </si>
  <si>
    <t>Bendoumal</t>
  </si>
  <si>
    <t xml:space="preserve"> USERNAMES  </t>
  </si>
  <si>
    <t>Please find user details as share on mail and share the same with user.</t>
  </si>
  <si>
    <t>V0017281</t>
  </si>
  <si>
    <t>experts_mbbendoumal</t>
  </si>
  <si>
    <t>Experts_Manal.Bendoumal@rta.ae</t>
  </si>
  <si>
    <t>INC000001320393</t>
  </si>
  <si>
    <t>Hamed</t>
  </si>
  <si>
    <t>AlFahim</t>
  </si>
  <si>
    <t>ms out outlook</t>
  </si>
  <si>
    <t>Received confirmation from user over phone that the issue got resolved</t>
  </si>
  <si>
    <t>HAFahim</t>
  </si>
  <si>
    <t>Hamed.AlFahim@rta.ae</t>
  </si>
  <si>
    <t>INC000001320392</t>
  </si>
  <si>
    <t>TVM-262213</t>
  </si>
  <si>
    <t>Card not reading  Reset card reader cable and csc module  Restarted tvm Ping backend successfully Tvm operational</t>
  </si>
  <si>
    <t>Nol Card reader is not working</t>
  </si>
  <si>
    <t>INC000001320387</t>
  </si>
  <si>
    <t>Intervention completed  Screen freezing  Restarted tvm Ping backend successfully Tvm operational</t>
  </si>
  <si>
    <t>INC000001320386</t>
  </si>
  <si>
    <t>All the mentioned tickets has been cancelled.</t>
  </si>
  <si>
    <t>INC000001320384</t>
  </si>
  <si>
    <t>UNABLE TO ENTER AGREEMENT DUE TO OWNERCHANGE</t>
  </si>
  <si>
    <t>Dear user, Vehicle with VIN - JM7KFAWL4P0875709 had owner change which is reverted and plate is returned, kindly verify.</t>
  </si>
  <si>
    <t>INC000001320380</t>
  </si>
  <si>
    <t>Abdullah Al Marzooqi</t>
  </si>
  <si>
    <t>Muhaisnah - PTP Building</t>
  </si>
  <si>
    <t>maalmarzooqi</t>
  </si>
  <si>
    <t>mariam.almarzooqi@rta.ae</t>
  </si>
  <si>
    <t>INC000001320379</t>
  </si>
  <si>
    <t>Hafez</t>
  </si>
  <si>
    <t>Chrome Browser Issue</t>
  </si>
  <si>
    <t>MS project professional</t>
  </si>
  <si>
    <t>Deleted browser data and did gpupdate /force</t>
  </si>
  <si>
    <t>V0027400</t>
  </si>
  <si>
    <t>iron_mmhafez</t>
  </si>
  <si>
    <t>Iron_Mohamed.Hafez@rta.ae</t>
  </si>
  <si>
    <t>INC000001320378</t>
  </si>
  <si>
    <t>Alredha</t>
  </si>
  <si>
    <t>GIS GEO Spatial Request</t>
  </si>
  <si>
    <t xml:space="preserve">GIS Service Request Request Information 2516992 INC000001320378 Project Name / Purpose * RTA Panorama DG dashboard  Business Requirements * Require Metro station and line data for the Metro Red and Blue lines to display on RTA Panorama Map.  . implemented  </t>
  </si>
  <si>
    <t>myoalredha</t>
  </si>
  <si>
    <t>Majid.YAlredha@rta.ae</t>
  </si>
  <si>
    <t>INC000001320377</t>
  </si>
  <si>
    <t>INC000001320376</t>
  </si>
  <si>
    <t>Haitham</t>
  </si>
  <si>
    <t xml:space="preserve">I cannot login to TAWQIE SYSTEM </t>
  </si>
  <si>
    <t>User to raise the request for new DS account. with manager's approval</t>
  </si>
  <si>
    <t>hamohamed</t>
  </si>
  <si>
    <t>Haitham.Mohamed@rta.ae</t>
  </si>
  <si>
    <t>INC000001320375</t>
  </si>
  <si>
    <t>Mulla</t>
  </si>
  <si>
    <t>nalmulla</t>
  </si>
  <si>
    <t>Nasser.AlMulla@rta.ae</t>
  </si>
  <si>
    <t>INC000001320374</t>
  </si>
  <si>
    <t>Guided user to unlock account via Self-service</t>
  </si>
  <si>
    <t>INC000001320372</t>
  </si>
  <si>
    <t>Senanu</t>
  </si>
  <si>
    <t>Agbemabiese</t>
  </si>
  <si>
    <t>Project Code - RAA/RMD/5152/2024</t>
  </si>
  <si>
    <t>UMM RAMOOL NEW HQ 4C</t>
  </si>
  <si>
    <t>guide has been given to submit the progress report</t>
  </si>
  <si>
    <t>seagbemabiese</t>
  </si>
  <si>
    <t>Senanu.Agbemabiese@RTA.ae</t>
  </si>
  <si>
    <t>INC000001320370</t>
  </si>
  <si>
    <t>Map share folder request</t>
  </si>
  <si>
    <t>Network folder Access(RE)</t>
  </si>
  <si>
    <t>User is able to access the share folder</t>
  </si>
  <si>
    <t>INC000001320369</t>
  </si>
  <si>
    <t>INC000001320368</t>
  </si>
  <si>
    <t>Jawed</t>
  </si>
  <si>
    <t>Iqbal</t>
  </si>
  <si>
    <t>jiqbal</t>
  </si>
  <si>
    <t>Jawed.Iqbal@RTA.ae</t>
  </si>
  <si>
    <t>INC000001320366</t>
  </si>
  <si>
    <t>Aishah</t>
  </si>
  <si>
    <t>Alzahmi</t>
  </si>
  <si>
    <t>asalzahmi</t>
  </si>
  <si>
    <t>Aishah.Alzahmi@rta.ae</t>
  </si>
  <si>
    <t>INC000001320365</t>
  </si>
  <si>
    <t>account unlock issue</t>
  </si>
  <si>
    <t>We have checked user account is already unlocked in IAM system.</t>
  </si>
  <si>
    <t>INC000001320364</t>
  </si>
  <si>
    <t>Sebastian</t>
  </si>
  <si>
    <t>Palathingal-Contractor</t>
  </si>
  <si>
    <t>V0027993</t>
  </si>
  <si>
    <t>techm_sjpalathingal</t>
  </si>
  <si>
    <t>Techm_Sebastian.Palathingal@rta.ae</t>
  </si>
  <si>
    <t>INC000001320363</t>
  </si>
  <si>
    <t>Marwan Saleh</t>
  </si>
  <si>
    <t>Munssar</t>
  </si>
  <si>
    <t>we accessed remotely and configured the VPN</t>
  </si>
  <si>
    <t>mmunssar</t>
  </si>
  <si>
    <t>marwan.munssar@rta.ae</t>
  </si>
  <si>
    <t>INC000001320360</t>
  </si>
  <si>
    <t>INC000001320359</t>
  </si>
  <si>
    <t>Anood</t>
  </si>
  <si>
    <t>Almadhaani</t>
  </si>
  <si>
    <t>aaalmadhaani</t>
  </si>
  <si>
    <t>Anood.Almadhaani@rta.ae</t>
  </si>
  <si>
    <t>INC000001320357</t>
  </si>
  <si>
    <t>INC000001320355</t>
  </si>
  <si>
    <t>MES</t>
  </si>
  <si>
    <t>Monitoring &amp; Enforcement</t>
  </si>
  <si>
    <t>MES1.0| CA February Schedule car rental publish</t>
  </si>
  <si>
    <t>Ahmed Abdelkhalek</t>
  </si>
  <si>
    <t>MES Support</t>
  </si>
  <si>
    <t>non technical: schedule has been published from ui by admin role</t>
  </si>
  <si>
    <t>techvista_aaabdelkha</t>
  </si>
  <si>
    <t>mes_support</t>
  </si>
  <si>
    <t>mes_support@rta.ae</t>
  </si>
  <si>
    <t>INC000001320354</t>
  </si>
  <si>
    <t>Alia</t>
  </si>
  <si>
    <t>asaealmheiri</t>
  </si>
  <si>
    <t>Alia.SAlmheiri@rta.ae</t>
  </si>
  <si>
    <t>INC000001320353</t>
  </si>
  <si>
    <t>Somayeh</t>
  </si>
  <si>
    <t>Khademi</t>
  </si>
  <si>
    <t>RTA\MadaMedia</t>
  </si>
  <si>
    <t>THE SYSTEM SLOW</t>
  </si>
  <si>
    <t>Minhaj Siddique-Contractor</t>
  </si>
  <si>
    <t>Advertisement Management System</t>
  </si>
  <si>
    <t>Advertising Permits</t>
  </si>
  <si>
    <t>We’ve noticed that traffic is not being balanced correctly between our two servers. It appears that nearly all traffic is hitting one server while the other remains idle. We are working with the load balancer team to resolve.</t>
  </si>
  <si>
    <t>V0030805</t>
  </si>
  <si>
    <t>mada_smkhademi</t>
  </si>
  <si>
    <t>Mada_Somayeh.Khademi@rta.ae</t>
  </si>
  <si>
    <t>INC000001320352</t>
  </si>
  <si>
    <t>Shah</t>
  </si>
  <si>
    <t>Share folder access provided as per the request. Path :  \\rta.global\fileserver001\Share5$\CTSS\TSG\Abdullah Hasan\Stage 4 Reviews User: fshshah Approver: Ali Ibrahim Ali Al Qassab</t>
  </si>
  <si>
    <t>fshshah</t>
  </si>
  <si>
    <t>Fahad.Shah@rta.ae</t>
  </si>
  <si>
    <t>INC000001320351</t>
  </si>
  <si>
    <t>Farah</t>
  </si>
  <si>
    <t>Haidar</t>
  </si>
  <si>
    <t>V0034682</t>
  </si>
  <si>
    <t>ucmc_fjhaidar</t>
  </si>
  <si>
    <t>Ucmc_Farah.Haidar@rta.ae</t>
  </si>
  <si>
    <t>INC000001320350</t>
  </si>
  <si>
    <t>Techm Mohammad</t>
  </si>
  <si>
    <t>Storage &amp; Backup   (Quarterly - 1 PM)</t>
  </si>
  <si>
    <t>G+2 Building</t>
  </si>
  <si>
    <t>PM Activity</t>
  </si>
  <si>
    <t>Preventive Maintenance activity has been completed for both UEDC and MDC.</t>
  </si>
  <si>
    <t>V004711</t>
  </si>
  <si>
    <t>Techm_MEAhmed</t>
  </si>
  <si>
    <t>Techm_Mohammad.Ahmed@rta.ae</t>
  </si>
  <si>
    <t>INC000001320348</t>
  </si>
  <si>
    <t>DCIM Upgrade - 3A2 1U space device needs to be add.</t>
  </si>
  <si>
    <t>Rack Space/Power Socket</t>
  </si>
  <si>
    <t>Reported device details updated in ITA 3A2 U 34.</t>
  </si>
  <si>
    <t>INC000001320347</t>
  </si>
  <si>
    <t>Warid</t>
  </si>
  <si>
    <t>mwwarid</t>
  </si>
  <si>
    <t>mohamed.warid@rta.ae</t>
  </si>
  <si>
    <t>INC000001320346</t>
  </si>
  <si>
    <t>Share folder access provided as per the request Path : \\rta.global\fileserver001\Share1$\HR Director Office\?????? ?????? ????????-???? ????? ?????? ?????? ??????? ??????? ????????\Yazan Back Up Files User: mhalwakil	 Approver: Khawla Khalil Ibrahim Abdulla Albalooshi</t>
  </si>
  <si>
    <t>INC000001320345</t>
  </si>
  <si>
    <t>Qpros Manan</t>
  </si>
  <si>
    <t>Bajwa</t>
  </si>
  <si>
    <t>V003683</t>
  </si>
  <si>
    <t>Qpros_MBBajwa</t>
  </si>
  <si>
    <t>Qpros_Manan.Bajwa@rta.ae</t>
  </si>
  <si>
    <t>INC000001320344</t>
  </si>
  <si>
    <t>DCIM Updat- All decommissioned network devices needs to be removed.</t>
  </si>
  <si>
    <t>Reported Decommissioned device details removed from ITA  application.</t>
  </si>
  <si>
    <t>INC000001320342</t>
  </si>
  <si>
    <t>Aldhuhoori</t>
  </si>
  <si>
    <t>ASAldhuhoori</t>
  </si>
  <si>
    <t>Afra.Aldhuhoori@rta.ae</t>
  </si>
  <si>
    <t>INC000001320339</t>
  </si>
  <si>
    <t>MSAlhosani</t>
  </si>
  <si>
    <t>Maryam.Alhosani@rta.ae</t>
  </si>
  <si>
    <t>INC000001320338</t>
  </si>
  <si>
    <t>MES1.0| CA February Schedule rental act publish</t>
  </si>
  <si>
    <t>INC000001320337</t>
  </si>
  <si>
    <t>Issa</t>
  </si>
  <si>
    <t>IAHMADAAhmad</t>
  </si>
  <si>
    <t>Issa.AAhmad@rta.ae</t>
  </si>
  <si>
    <t>INC000001320335</t>
  </si>
  <si>
    <t>INC000001320334</t>
  </si>
  <si>
    <t>MES1.0| CA February Schedule rental act distrbute</t>
  </si>
  <si>
    <t>technical: distrbution has been done from the scheduler DB</t>
  </si>
  <si>
    <t>INC000001320333</t>
  </si>
  <si>
    <t>MES1.0|MES1.0| CA February Schedule Car Rent distrbute</t>
  </si>
  <si>
    <t>INC000001320331</t>
  </si>
  <si>
    <t>DCIM Upgrade - New addition of 2 U devices at 3B4.</t>
  </si>
  <si>
    <t>Reported device details updated in ITA Rack 3B4 (2U space U 32and 33)</t>
  </si>
  <si>
    <t>INC000001320330</t>
  </si>
  <si>
    <t>MES1.0| CA February Schedule Rental act config</t>
  </si>
  <si>
    <t>non technical: config has been done from the scheduler ui</t>
  </si>
  <si>
    <t>INC000001320329</t>
  </si>
  <si>
    <t>TVM-264010 Waiting for brinks team informed by EI team.  Cash box changed.  13:45 – 02/23/2026</t>
  </si>
  <si>
    <t>Change Cash Box</t>
  </si>
  <si>
    <t>INC000001320327</t>
  </si>
  <si>
    <t>MES1.0| CA February Schedule Car Rent config</t>
  </si>
  <si>
    <t>INC000001320325</t>
  </si>
  <si>
    <t>MES1.0| ??? ??????</t>
  </si>
  <si>
    <t>technical: report has been generated from DB with requested data</t>
  </si>
  <si>
    <t>Create New Report</t>
  </si>
  <si>
    <t>INC000001320323</t>
  </si>
  <si>
    <t>Ashok</t>
  </si>
  <si>
    <t>Bhadra</t>
  </si>
  <si>
    <t>Validate : Routine Maintenance of iTraffic System - affect on Tibco Services</t>
  </si>
  <si>
    <t>Mohammad Aziz</t>
  </si>
  <si>
    <t>MDM</t>
  </si>
  <si>
    <t>Etraffic job has completed successfully, and there are no blockers from the eTraffic side.  And for Etraffic we pull the data from etraffic database, no TIBCO services is being used.</t>
  </si>
  <si>
    <t>techvista_maaziz</t>
  </si>
  <si>
    <t>akbhadra</t>
  </si>
  <si>
    <t>Ashok.Bhadra@rta.ae</t>
  </si>
  <si>
    <t>INC000001320320</t>
  </si>
  <si>
    <t>Dbouk</t>
  </si>
  <si>
    <t>Guided user to connect to VPN</t>
  </si>
  <si>
    <t>Guided user to connect to VPN successfully.</t>
  </si>
  <si>
    <t>ymdbouk</t>
  </si>
  <si>
    <t>Yasser.Dbouk@rta.ae</t>
  </si>
  <si>
    <t>INC000001320318</t>
  </si>
  <si>
    <t>As per the service request, we added the requested IPs/Ports of applications/services to the user VPN profile except SFTP access (10.11.174.40) As per the SMD comments - No access to production and data sharing/copying through jump server. Sent Mail to the user to check the same. Awaiting user response to the email. Once responded, resolve this ticket.</t>
  </si>
  <si>
    <t>INC000001320317</t>
  </si>
  <si>
    <t>Pay fine</t>
  </si>
  <si>
    <t>fine locked under TDLJ-2746421  from RTA_ONE</t>
  </si>
  <si>
    <t>INC000001320316</t>
  </si>
  <si>
    <t>Jamila Ali</t>
  </si>
  <si>
    <t>RMS Request provide a copy of the sales order</t>
  </si>
  <si>
    <t>Esquire Basil Sweidan</t>
  </si>
  <si>
    <t>Revenue Management System (RMS)</t>
  </si>
  <si>
    <t>Sales order invoice has been provided to the user from RMS back end</t>
  </si>
  <si>
    <t>esquire_bssweidan</t>
  </si>
  <si>
    <t>jahassan</t>
  </si>
  <si>
    <t>jamila.hassan@rta.ae</t>
  </si>
  <si>
    <t>INC000001320311</t>
  </si>
  <si>
    <t>Maximo Tram Interim Upgrade - IMACD</t>
  </si>
  <si>
    <t>Project Support</t>
  </si>
  <si>
    <t>duplicate ticket of INC000001320603 details  updated on ticket  INC000001320603</t>
  </si>
  <si>
    <t>Request</t>
  </si>
  <si>
    <t>Instance</t>
  </si>
  <si>
    <t>Copy</t>
  </si>
  <si>
    <t>INC000001320310</t>
  </si>
  <si>
    <t>RTA-1886663-K1M4 - Acard registration applied from Nolpay customer not received pin</t>
  </si>
  <si>
    <t>On 14-FEB-26 18:26:54 received the UD file with CSC-MAN transaction from Nolpay with card type 4 (Registered A Card) and the card type changed from 2 (Anonymous Card) to 4 (Registered A Card).  But OCHS did not received the Acard registration web service from Nolpay to update the card holder information, kindly inform the nolpay team to send the webservice request to OCHS to update the cardholder information then customer will receive the pin details.  NO OCHS System Issue.</t>
  </si>
  <si>
    <t>INC000001320307</t>
  </si>
  <si>
    <t>RTA-1890556-S4S0 -  whitelist quota</t>
  </si>
  <si>
    <t>Customer top up the reported nol card 0336833389 from RTA MobileAPP On 11-JAN-2026 with the amount of aed 100 as payment is accepted by DeG and pending whitelist file was created on the same day with the expiry date as 10-JUL-2026 but the top up amount aed 100 is not reflected on the nol card as customer not used the card after the top up till 20-FEB-2026 and used the card on 21-FEB-2026 in business entity "BUS" &amp; "METRO".  Due to whitelist quota full the top up amount will not reflect in the nol card even if customer used.   As requested, uploaded the data patch in BMC#1320307 &amp; Mantis#941 tickets. Kindly execute the provided data patch in OCHS Production DB and advise the customer as per RTA Internal Operational Process.  Tag Id: 0336833389 Card Id: 1166943595886720 Top-up Amount: Aed 100 Top-up Date: 11-JAN-2026 22:49:52 SP Transaction No: E2145652285E8530003997968(EPAY_MOBILE) Whitelist Id: 1 Whitelist Created Time: 11-JAN-2026 23:30:10 Whitelist Expiry Date: 10-JUL-2026 23:30:09 Whitelist Status: PEN   As the reported incident is addressed kindly verify and close the ticket.</t>
  </si>
  <si>
    <t>INC000001320305</t>
  </si>
  <si>
    <t>Removal of F5 network devices.</t>
  </si>
  <si>
    <t>RTA-I068275,RTA-I010972,RTA-I052671,RTA-I052672 Above mentioned device removed from ITA.</t>
  </si>
  <si>
    <t>INC000001320303</t>
  </si>
  <si>
    <t>Latif</t>
  </si>
  <si>
    <t>Reset Smart employee account Request</t>
  </si>
  <si>
    <t>Reset is done &amp; user will be able to punch in /out from different device</t>
  </si>
  <si>
    <t>Mhlatif</t>
  </si>
  <si>
    <t>Muhammad.Hayatabdul@rta.ae</t>
  </si>
  <si>
    <t>INC000001320300</t>
  </si>
  <si>
    <t>Nada</t>
  </si>
  <si>
    <t>Dashti</t>
  </si>
  <si>
    <t>Reset Oracle Authenticator Request</t>
  </si>
  <si>
    <t>NADashti</t>
  </si>
  <si>
    <t>Nada.Dashti@rta.ae</t>
  </si>
  <si>
    <t>INC000001320299</t>
  </si>
  <si>
    <t>RTA-1879781-K7Q5 - POD Card insufficient funds issue to travel on metro</t>
  </si>
  <si>
    <t>As per the verification noticed that the POD concession on the nol tag 1004435218 is expired on 30-JAN-2026.  on 08-FEB-2026 21:47:08 customer used the card in Sharaf DG Metro Station and the low balance error displayed on metro gates as the card balance is Aed 0.00 which is below than the minimum balance required to travel.  on 23-FEB-2026 11:51:52 customer applied for the replacement of his nol tag 1004435218 fron NOLPAY with the refund reason as "Card Renewal".  Tag ID: 1004435218 Card ID: 1207316816471168 Refund Reference ID: D435218260223110250 Refund Reason:	Card Renewal   NO OCHS Issue.   As the reported incident is addressed kindly verify and close the ticket.</t>
  </si>
  <si>
    <t>INC000001320298</t>
  </si>
  <si>
    <t>????? ??? ???????</t>
  </si>
  <si>
    <t>The customer has 2 profile on remediated and one draft  we delete the draft profile and re sync remediated profile and now is active and working fine</t>
  </si>
  <si>
    <t>INC000001320297</t>
  </si>
  <si>
    <t>Jeetesh</t>
  </si>
  <si>
    <t>Soni</t>
  </si>
  <si>
    <t>V0031714</t>
  </si>
  <si>
    <t>techm_jssoni</t>
  </si>
  <si>
    <t>Techm_Jeetesh.Soni@rta.ae</t>
  </si>
  <si>
    <t>INC000001320296</t>
  </si>
  <si>
    <t>RTA-1890774-Z2W6 - Nol card Top up balance not reflected</t>
  </si>
  <si>
    <t>Customer top up the reported nol card 3041442660 with the amount of aed 50(20+30) as payment is accepted by DeG and pending whitelist file was created on the same day with the set expiry date but the top up amount aed 50(20+30) is not reflect on the nol card as customer not used the card after the top up till 15-FEB-2026 and started using the card from 16-FEB-2026 onwards in business entity "BUS" &amp; "Metro" .  Due to whitelist quota full the top up amount will not reflect in the nol card even if customer used. Kindly inform the customer as per RTA Internal Operational Process.  As requested, uploaded the data patch in BMC#1320296 &amp; Mantis#939 tickets. Kindly execute the provided data patch in OCHS Production DB and advise the customer as per RTA Internal Operational Process.  Tag Id: 3041442660 Card Id: 1242743600017280 Top-up Amount: Aed 50(20+30) Top-up Date: 12-FEB-2023 13:41:50, 18-MAY-2025 12:47:33 SP Transaction No: G330414426609d705b82ce, G33041442660ae0deea6a1 Whitelist Id: 1, 2 Whitelist Created Time: 12-FEB-2023 13:41:51, 18-MAY-2025 12:47:34 Whitelist Expiry Date: 11-AUG-2023 00:00:00, 31-MAR-2026 00:00:00 Whitelist Status: PEN   As the reported incident is addressed kindly verify and close the ticket.</t>
  </si>
  <si>
    <t>INC000001320295</t>
  </si>
  <si>
    <t>RMHassan</t>
  </si>
  <si>
    <t>Rashed.Hassan@rta.ae</t>
  </si>
  <si>
    <t>INC000001320292</t>
  </si>
  <si>
    <t>RTA-1889714-N3R1 - Nol card Top up balance not reflected</t>
  </si>
  <si>
    <t>1) Nol: 0386032833  Customer top up the reported nol card 0386032833 from RTA MobileAPP On 30-DEC-2025 with the amount of aed 30 as payment is accepted by DeG and pending whitelist file was created on the same day with the expiry date as 28-JUN-2026 but the top up amount aed 30 is not reflected on the nol card as customer not used the card after the top up till 15-FEB-2026 and started using the card from 16-FEB-2026 onwards in business entity "BUS".  Due to whitelist quota full the top up amount will not reflect in the nol card even if customer used.   Tag Id: 0386032833 Card Id: 1274762986288768 Top-up Amount: Aed 30 Top-up Date: 30-DEC-2025 04:20:31 SP Transaction No: E2145652285E8530003973958(EPAY_MOBILE) Whitelist Id: 1 Whitelist Created Time: 30-DEC-2025 05:00:03 Whitelist Expiry Date: 28-JUN-2026 05:00:02 Whitelist Status: PEN  2) Nol: 0320284201  Customer top up the reported nol card 0320284201 from RTA MobileAPP On 30-DEC-2025 with the amount of aed 50 as payment is accepted by DeG and pending whitelist file was created on the same day with the expiry date as 28-JUN-2026 but the top up amount aed 50 is not reflected on the nol card as customer not used the card after the top up till 18-FEB-2026 and started using the card from 19-02-2026 onwards.  Due to whitelist quota full the top up amount will not reflect in the nol card even if customer used.  Tag Id: 0320284201 Card Id: 1295538674694528 Top-up Amount: Aed 50 Top-up Date: 30-DEC-2025 04:25:53 SP Transaction No: E2145652285E8530003973963(EPAY_MOBILE) Whitelist Id: 2 Whitelist Created Time: 30-DEC-2025 05:00:05 Whitelist Expiry Date: 28-JUN-2026 05:00:04 Whitelist Status: PEN  As requested, uploaded the data patch in BMC#1320292 &amp; Mantis#938 tickets. Kindly execute the provided data patch in OCHS Production DB and advise the customer as per RTA Internal Operational Process.    As the reported incident is addressed kindly verify and close the ticket.</t>
  </si>
  <si>
    <t>INC000001320291</t>
  </si>
  <si>
    <t>this request already duplicated with INC000001320244</t>
  </si>
  <si>
    <t>Replacement</t>
  </si>
  <si>
    <t>Laptop Replacement With Laptop</t>
  </si>
  <si>
    <t>INC000001320288</t>
  </si>
  <si>
    <t>1640457_Threat Activity Detected</t>
  </si>
  <si>
    <t>INC000001320287</t>
  </si>
  <si>
    <t>RTA-1886907-P0D0 - Nol card Top up balance not reflected</t>
  </si>
  <si>
    <t>Customer top up the reported nol card 0293968780 from  On 29-DEC-2025 with the amount of aed 50(30+20) as payment is accepted by DeG and pending whitelist file was created on the same day with the expiry date as 10-AUG-2029 but the top up amount aed 50(30+20) is not reflected on the nol card as customer not used the card after the top up till 31-JAN-2026 and used the card from 01-FEB-2026.  Due to whitelist quota full the top up amount will not reflect in the nol card even if customer used.  As requested, uploaded the data patch in BMC#1320287 &amp; Mantis#937 tickets. Kindly execute the provided data patch in OCHS Production DB and advise the customer as per RTA Internal Operational Process.  Tag Id: 0293968780 Card Id: 1209600397832320 Top-up Amount: Aed 50(30+20) Top-up Date: 29-DEC-2025 15:47:31, 29-DEC-2025 16:44:18 SP Transaction No: G30293968780b2954a45ad, G30293968780b2957e4552 Whitelist Id: 1, 2 Whitelist Created Time: 29-DEC-2025 15:47:32, 29-DEC-2025 16:44:19 Whitelist Expiry Date: 10-AUG-2029 00:00:00 Whitelist Status: PEN   As the reported incident is addressed kindly verify and close the ticket.</t>
  </si>
  <si>
    <t>INC000001320286</t>
  </si>
  <si>
    <t>As per the BMC note and approval, we have assigned access to mohammed.sabdullah@rta.ae for Secure file transfer with “secure mail” group, please check.</t>
  </si>
  <si>
    <t>msabdullah</t>
  </si>
  <si>
    <t>Mohammed.SAbdullah@rta.ae</t>
  </si>
  <si>
    <t>INC000001320285</t>
  </si>
  <si>
    <t>Dear Nada,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</si>
  <si>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INC000001320284</t>
  </si>
  <si>
    <t>1640465_Threat Activity Detected</t>
  </si>
  <si>
    <t>INC000001320280</t>
  </si>
  <si>
    <t>Alshakhadhah</t>
  </si>
  <si>
    <t>Received popup notification while open EV</t>
  </si>
  <si>
    <t>Old password has been removed from credential manager    Old ost has been removed issue resolved: -click on view-check on (Hidden Item) -Go to C drive-users-user login ID-app-Microsoft-outlook-remove old ost</t>
  </si>
  <si>
    <t>MAAlshakhadhah</t>
  </si>
  <si>
    <t>Muna.Alshakhadhah@rta.ae</t>
  </si>
  <si>
    <t>INC000001320278</t>
  </si>
  <si>
    <t>RAHAlawadhi</t>
  </si>
  <si>
    <t>Rashed.AAlawadhi@rta.ae</t>
  </si>
  <si>
    <t>INC000001320276</t>
  </si>
  <si>
    <t>Athari</t>
  </si>
  <si>
    <t>Zahreddin</t>
  </si>
  <si>
    <t>account was successfully unlocked</t>
  </si>
  <si>
    <t>AMUZahreddin</t>
  </si>
  <si>
    <t>Athari.MZahreddin@rta.ae</t>
  </si>
  <si>
    <t>INC000001320274</t>
  </si>
  <si>
    <t>Yazan</t>
  </si>
  <si>
    <t>Braik</t>
  </si>
  <si>
    <t>VPN Access has been extended till Expiry Date:5/17/26, 12:00 AM</t>
  </si>
  <si>
    <t>ytbraik</t>
  </si>
  <si>
    <t>Yazan.Braik@rta.ae</t>
  </si>
  <si>
    <t>INC000001320272</t>
  </si>
  <si>
    <t>ems call transfer</t>
  </si>
  <si>
    <t>Arun Krishnakumar-contractor</t>
  </si>
  <si>
    <t>Reverted the changes made earlier for diverting the calls of EMS to Mobile Number in the IVR for 5858 for one day ie 20/02/2026.  Calls are landing back in the Agent Application as per normal call flow since 23/02/2026.</t>
  </si>
  <si>
    <t>INC000001320271</t>
  </si>
  <si>
    <t>Hana</t>
  </si>
  <si>
    <t>GAL Modification-Request to Display Mobile Number on Address Book</t>
  </si>
  <si>
    <t>As per the below request, mobile number has been updated in outlook, please check and confirm.</t>
  </si>
  <si>
    <t>hsalsuwaidi</t>
  </si>
  <si>
    <t>Hana.Alsuwaidi@rta.ae</t>
  </si>
  <si>
    <t>INC000001320270</t>
  </si>
  <si>
    <t>Odeh</t>
  </si>
  <si>
    <t>oadodeh</t>
  </si>
  <si>
    <t>Odeh.AOdeh@rta.ae</t>
  </si>
  <si>
    <t>INC000001320268</t>
  </si>
  <si>
    <t>Alemadi</t>
  </si>
  <si>
    <t>saalemadi</t>
  </si>
  <si>
    <t>Shaikha.Alemadi@rta.ae</t>
  </si>
  <si>
    <t>INC000001320267</t>
  </si>
  <si>
    <t>Salim Hussein</t>
  </si>
  <si>
    <t>Al Rimawi</t>
  </si>
  <si>
    <t>salrimawi</t>
  </si>
  <si>
    <t>salim.alrimawi@rta.ae</t>
  </si>
  <si>
    <t>INC000001320265</t>
  </si>
  <si>
    <t>Intisar</t>
  </si>
  <si>
    <t>Almuntaser</t>
  </si>
  <si>
    <t>MS Outlook &amp; MS Teams Configuration</t>
  </si>
  <si>
    <t>Guided user to configure Microsoft MFA, configured MS Outlook and MS Teams Successfully.</t>
  </si>
  <si>
    <t>isalmuntaser</t>
  </si>
  <si>
    <t>Intisar.Almuntaser@rta.ae</t>
  </si>
  <si>
    <t>INC000001320264</t>
  </si>
  <si>
    <t>TL renewal date</t>
  </si>
  <si>
    <t>Synch Data Issue Resolved by Synch manually by script</t>
  </si>
  <si>
    <t>INC000001320262</t>
  </si>
  <si>
    <t>Farida</t>
  </si>
  <si>
    <t>Al Zarooni</t>
  </si>
  <si>
    <t>fmalzarooni</t>
  </si>
  <si>
    <t>farida.alzarooni@rta.ae</t>
  </si>
  <si>
    <t>INC000001320261</t>
  </si>
  <si>
    <t>Al ahrari</t>
  </si>
  <si>
    <t>mwali</t>
  </si>
  <si>
    <t>Mohammed.Wajid@RTA.ae</t>
  </si>
  <si>
    <t>INC000001320258</t>
  </si>
  <si>
    <t>Tibco</t>
  </si>
  <si>
    <t>Outside Office Support - Issue in Madinati service w.r.t. CRMCaseManagementService</t>
  </si>
  <si>
    <t>1A, New HQ, Umm Ramool</t>
  </si>
  <si>
    <t>Dear Ahmed,  We could see below error from CRM endpoint.  Dear Tanveer,  kindly look into below error and share your feedback, PFB for request and response logs.</t>
  </si>
  <si>
    <t>Tibco_support@rta.ae</t>
  </si>
  <si>
    <t>INC000001320257</t>
  </si>
  <si>
    <t>generic Id access issue</t>
  </si>
  <si>
    <t>Mail Restoration</t>
  </si>
  <si>
    <t>Generic mailbox permission has been granted to the user, Kindly restart outlook and check.</t>
  </si>
  <si>
    <t>DFS Management</t>
  </si>
  <si>
    <t>JMAbdallah</t>
  </si>
  <si>
    <t>Jassem.Abdallah@rta.ae</t>
  </si>
  <si>
    <t>INC000001320255</t>
  </si>
  <si>
    <t xml:space="preserve">Jetty Rent department </t>
  </si>
  <si>
    <t>Jito Koma</t>
  </si>
  <si>
    <t>There was no issue on the back-end except that the user had 2 payment transactions with different status</t>
  </si>
  <si>
    <t>MMOHassan</t>
  </si>
  <si>
    <t>Mariam.Hassan@rta.ae</t>
  </si>
  <si>
    <t>INC000001320253</t>
  </si>
  <si>
    <t>Bahwan Sara Elsounbaty</t>
  </si>
  <si>
    <t>INC000001320252</t>
  </si>
  <si>
    <t>Rawaah</t>
  </si>
  <si>
    <t>Qadous</t>
  </si>
  <si>
    <t>rmqadous</t>
  </si>
  <si>
    <t>Rawaah.Qadous@rta.ae</t>
  </si>
  <si>
    <t>INC000001320251</t>
  </si>
  <si>
    <t>As per the service request, VPN access is successfully extended for the user -mjalneyadi . Hence resolving the incident.</t>
  </si>
  <si>
    <t>INC000001320250</t>
  </si>
  <si>
    <t>kindly note the vacation role has already been created</t>
  </si>
  <si>
    <t>INC000001320249</t>
  </si>
  <si>
    <t>CRM1890809 Anonymous card registration issues</t>
  </si>
  <si>
    <t>Due to limited disk storage, the relevant logs are no longer available, so we are unable to trace the transaction details. Regarding the Web Service card interface mentioned by Harish, it is possible that the interface was either not invoked due to incomplete data or the invocation failed. Without logs, we cannot determine the exact root cause. This order is confirmed as failed.  Will proceed with refunding the registration fee back to the user’s card.</t>
  </si>
  <si>
    <t>INC000001320248</t>
  </si>
  <si>
    <t>TXT record creation for SSL certificate renewal request</t>
  </si>
  <si>
    <t>We have created below TXT record in infoblox as per the requestTXT entry on rta.ae  Random Value: _z4i8kiqth7n9q4iy23skojv38ajfhxn</t>
  </si>
  <si>
    <t>Request for External DNS entry</t>
  </si>
  <si>
    <t>INC000001320247</t>
  </si>
  <si>
    <t>Outside Office Support - Carry out changes to CRM services as per approved POA</t>
  </si>
  <si>
    <t>As discussed, we are done with our changes however we are getting SSL handshake error and the CRM hostname is resolving to the old IP.</t>
  </si>
  <si>
    <t>INC000001320246</t>
  </si>
  <si>
    <t>Abdulmajid</t>
  </si>
  <si>
    <t>mfabdulmajid</t>
  </si>
  <si>
    <t>Mohamed.Abdulmajid@RTA.ae</t>
  </si>
  <si>
    <t>INC000001320243</t>
  </si>
  <si>
    <t>Trade license subscription failures</t>
  </si>
  <si>
    <t>we had database issue  try again</t>
  </si>
  <si>
    <t>INC000001320241</t>
  </si>
  <si>
    <t>Suspicious IP to RTA Portal on 23 February 2026, 09:07:21</t>
  </si>
  <si>
    <t>INC000001320238</t>
  </si>
  <si>
    <t>As we checked the transaction of TVM#262228 in our system we found that the transaction encountered a payment_error. Claim is valid for 20 AED  Transaction Details: * TRANSACTION_ID: 4454455247 * RECORD_TIMESTAMP: 2026-02-23 06:29:06 * USER_ID: 262228 * VALUE: 0 * STATUS: payment_error * DETAILS:   + Complaint.AcceptedAmt: 2000   + Complaint.ComplaintID: C26222800229   + Complaint.InvalidAmt: 2000   + Complaint.Note: 0   + Complaint.Notes: 1000,1000   + Complaint.RefundAmt: 0   + Complaint.TagID: 0357663715   + Receipt Number: S262228260223062902</t>
  </si>
  <si>
    <t>INC000001320237</t>
  </si>
  <si>
    <t>INC000001320236</t>
  </si>
  <si>
    <t>RTA-A003765</t>
  </si>
  <si>
    <t>Reason: white screen  Action: rebooted ok now  Attended Time:9:35</t>
  </si>
  <si>
    <t>INC000001320235</t>
  </si>
  <si>
    <t>FYAlmaazmi</t>
  </si>
  <si>
    <t>Fatima.Almaazmi@rta.ae</t>
  </si>
  <si>
    <t>INC000001320234</t>
  </si>
  <si>
    <t>Fares Abdelbaki</t>
  </si>
  <si>
    <t>Shared folder access has been granted to the users.  Folder Path: \\rta.global\fileserver001\Share7$\PTA\MSD\Maintenance and Services Folder Owner: afarooq Folder Access:  User Name	Type Of Access naalshajrawi	Modify	  masalah		Modify		  kmahaji		Modify</t>
  </si>
  <si>
    <t>shfaresabdelbaki</t>
  </si>
  <si>
    <t>Sherif.Faresabdelbaki@rta.ae</t>
  </si>
  <si>
    <t>INC000001320232</t>
  </si>
  <si>
    <t>Adeel</t>
  </si>
  <si>
    <t xml:space="preserve">system is not working </t>
  </si>
  <si>
    <t>Myrta has bee installed in her mobile and working fine and the location has been activated on her laptop</t>
  </si>
  <si>
    <t>V0033215</t>
  </si>
  <si>
    <t>tms_abadeel</t>
  </si>
  <si>
    <t>Tms_Amna.Adeel@rta.ae</t>
  </si>
  <si>
    <t>INC000001320230</t>
  </si>
  <si>
    <t>Unfortunately using OneDrive software is not an approved service within RTA as of now, user can request to use secure RTA SFTP as alternative through the automation</t>
  </si>
  <si>
    <t>INC000001320229</t>
  </si>
  <si>
    <t>Waad</t>
  </si>
  <si>
    <t>Altowail</t>
  </si>
  <si>
    <t>WAAltowail</t>
  </si>
  <si>
    <t>Waad.Altowail@rta.ae</t>
  </si>
  <si>
    <t>INC000001320227</t>
  </si>
  <si>
    <t>Abdelwahab</t>
  </si>
  <si>
    <t>Request for HDMI Cable</t>
  </si>
  <si>
    <t>Techm Omer Idris</t>
  </si>
  <si>
    <t>Issue with HDMI / VGA / Audio cable</t>
  </si>
  <si>
    <t>HDMI Cable is provided to User</t>
  </si>
  <si>
    <t>tmabdelwahab</t>
  </si>
  <si>
    <t>Taher.Abdelwahab@rta.ae</t>
  </si>
  <si>
    <t>INC000001320225</t>
  </si>
  <si>
    <t xml:space="preserve">Kazim Al Asmakh </t>
  </si>
  <si>
    <t>AKAsmakh</t>
  </si>
  <si>
    <t>Ali.AlAsmakh@rta.ae</t>
  </si>
  <si>
    <t>INC000001320224</t>
  </si>
  <si>
    <t>INC000001320223</t>
  </si>
  <si>
    <t xml:space="preserve">i signed out from my mobile and sell it </t>
  </si>
  <si>
    <t>INC000001320221</t>
  </si>
  <si>
    <t>Vipin</t>
  </si>
  <si>
    <t>Parayil</t>
  </si>
  <si>
    <t>Revoked M365 license from user MDS ID and assigned to meds_vsparayil@rta.ae</t>
  </si>
  <si>
    <t>V0034207</t>
  </si>
  <si>
    <t>meds_vsparayil</t>
  </si>
  <si>
    <t>Meds_Vipin.Parayil@rta.ae</t>
  </si>
  <si>
    <t>INC000001320220</t>
  </si>
  <si>
    <t>PUTTY has been installed successfully on user's machine (RTA-CTS-ITD-500)</t>
  </si>
  <si>
    <t>INC000001320219</t>
  </si>
  <si>
    <t>Elaaf</t>
  </si>
  <si>
    <t>Osman Sayedahmed</t>
  </si>
  <si>
    <t>Password reset Request</t>
  </si>
  <si>
    <t>Password reset(RE)</t>
  </si>
  <si>
    <t>password has been successfully reset</t>
  </si>
  <si>
    <t>Password Reset</t>
  </si>
  <si>
    <t>V0024655</t>
  </si>
  <si>
    <t>avaya_esosmansayedah</t>
  </si>
  <si>
    <t>Avaya_Elaaf.Osmansayedahmed@rta.ae</t>
  </si>
  <si>
    <t>INC000001320218</t>
  </si>
  <si>
    <t>Noureldine</t>
  </si>
  <si>
    <t>Safadi</t>
  </si>
  <si>
    <t>Weekly meeting</t>
  </si>
  <si>
    <t>post activity request for 19 Feb meeting has been created with reference ID 2520846</t>
  </si>
  <si>
    <t>NASafadi</t>
  </si>
  <si>
    <t>Noureldine.Safadi@rta.ae</t>
  </si>
  <si>
    <t>INC000001320216</t>
  </si>
  <si>
    <t>INC000001320215</t>
  </si>
  <si>
    <t>Workstation</t>
  </si>
  <si>
    <t>ticket INC000001318358 was raised for the same request.  hence closing this ticket.</t>
  </si>
  <si>
    <t>Network Cable</t>
  </si>
  <si>
    <t>INC000001320214</t>
  </si>
  <si>
    <t>Shaima</t>
  </si>
  <si>
    <t>Almansoori</t>
  </si>
  <si>
    <t>SAAlmansoori</t>
  </si>
  <si>
    <t>Shaima.Almansoori@rta.ae</t>
  </si>
  <si>
    <t>INC000001320213</t>
  </si>
  <si>
    <t>INC000001320211</t>
  </si>
  <si>
    <t>Kazim</t>
  </si>
  <si>
    <t>MNKazim</t>
  </si>
  <si>
    <t>Maryam.Kazim@rta.ae</t>
  </si>
  <si>
    <t>INC000001320207</t>
  </si>
  <si>
    <t>MR50L-R19-E1-01-Burjuman - M1 (Alert ID: '252332')</t>
  </si>
  <si>
    <t>Reason: offline  Action: checked auto resolved  Attended Time:7:45</t>
  </si>
  <si>
    <t>INC000001320206</t>
  </si>
  <si>
    <t>MR50L-R19-E1-02-Burjuman - M1 (Alert ID: '252331')</t>
  </si>
  <si>
    <t>Reason: offline  Action: checked auto resolved  Attended Time:7:30</t>
  </si>
  <si>
    <t>INC000001320205</t>
  </si>
  <si>
    <t>INC000001320204</t>
  </si>
  <si>
    <t>MR50L-R37-E3-DMCC MS - B (Alert ID: '252324')</t>
  </si>
  <si>
    <t>Reason: Offline   Action: Auto Resolved   Attended Time: 6:10  Name : NOUSHAD</t>
  </si>
  <si>
    <t>INC000001320203</t>
  </si>
  <si>
    <t>INC000001320202</t>
  </si>
  <si>
    <t>TUM- 263048</t>
  </si>
  <si>
    <t>Reason: Paper jam   Action: Cleared   Attender Name: Kishor Bangera   Attend Time: 23:32</t>
  </si>
  <si>
    <t>INC000001320201</t>
  </si>
  <si>
    <t>DUPLICATE TICKET Please refer   INC000001320200</t>
  </si>
  <si>
    <t>INC000001320200</t>
  </si>
  <si>
    <t>INC000001320199</t>
  </si>
  <si>
    <t>Reason : No Jam found Card No.:   Customer Name:      Action : Fault clrard  Attendee Name:  Jasper Attended Time : 11:45  Remarks:</t>
  </si>
  <si>
    <t>INC000001320198</t>
  </si>
  <si>
    <t>TUM-263097</t>
  </si>
  <si>
    <t>Active alarm: BNA1 nearly full.  Replenished.  08:00 – 02/24/2026</t>
  </si>
  <si>
    <t>INC000001320197</t>
  </si>
  <si>
    <t>EXPO RTPI-BS27L-378-Schools Health Center 1- M1 (Alert ID: '252317')</t>
  </si>
  <si>
    <t>Reason: Found breaker off   Action: Power on breaker   Attender Name: Kishor Bangera   Attend Time: 21:08</t>
  </si>
  <si>
    <t>INC000001320196</t>
  </si>
  <si>
    <t>TVM-264001</t>
  </si>
  <si>
    <t>Reason: Bank note system out of service   Action: Restarted TVM   Attender Name: Kishor Bangera   Attend Time: 21:30</t>
  </si>
  <si>
    <t>INC000001320195</t>
  </si>
  <si>
    <t>Reason : Nol Card Jam Card No.:  029 199 2014 (7aed) Customer Name:</t>
  </si>
  <si>
    <t>INC000001320194</t>
  </si>
  <si>
    <t>TVM-262191</t>
  </si>
  <si>
    <t>INC000001320193</t>
  </si>
  <si>
    <t>Reason : Paper low Card No.:   Customer Name:      Action : Changed paper roll  Attendee Name:  Jasper Attended Time : 20:12</t>
  </si>
  <si>
    <t>INC000001320192</t>
  </si>
  <si>
    <t>TVM-262172</t>
  </si>
  <si>
    <t>INC000001320191</t>
  </si>
  <si>
    <t>EXPO RTPI - BS27L-193-Interchange 4-2 - B (Alert ID: '252314')</t>
  </si>
  <si>
    <t>Reason: power trip  Action: power on Attended Time: 21:30</t>
  </si>
  <si>
    <t>No Power</t>
  </si>
  <si>
    <t>INC000001320190</t>
  </si>
  <si>
    <t>Reason : Note Jam (10aed) Card No.:   Customer Name:      Action : Note cleared  Attendee Name:  Jasper Attended Time : 19:28</t>
  </si>
  <si>
    <t>INC000001320189</t>
  </si>
  <si>
    <t>Reason:- BNR Disable   Action:- Restart Device Working Fine   Name :-Azeez   Attended Time:-19:00  Remarks:-</t>
  </si>
  <si>
    <t>INC000001320188</t>
  </si>
  <si>
    <t>TUM-263064</t>
  </si>
  <si>
    <t>Reason:- Paper Jam   Action:- Paper Jam Cleared   Name :-Azeez   Attended Time:-22:02  Remarks:-</t>
  </si>
  <si>
    <t>INC000001320187</t>
  </si>
  <si>
    <t>Reason : Note Jam (50aed) Card No.:   Customer Name:      Action : Note cleared  Attendee Name:  Jasper Attended Time :  18:44</t>
  </si>
  <si>
    <t>INC000001320186</t>
  </si>
  <si>
    <t>Reason:- NBX Jam 10dh   Action:- Cashbox Changed with Brinks Team, Fault Cleared   Name :-Azeez   Attended Time:-21:03  Remarks:-    Reason:- Cashbox issue   Action:- please assign to Brinks Team Change Cash Box With EI Technicians Thanks   Name :-Azeez   Attended Time:-Waiting for Brinks Team</t>
  </si>
  <si>
    <t>INC000001320185</t>
  </si>
  <si>
    <t>Reason: note jam 10 dh  Action: cleared  Attended Time: 17:25</t>
  </si>
  <si>
    <t>INC000001320184</t>
  </si>
  <si>
    <t>GUB-P75-02 (Alert ID: '252312')</t>
  </si>
  <si>
    <t>Reason :Ac issue Action  : Ac service and maintenance done,Device working.  Kindly close the subject ticket.Thanks</t>
  </si>
  <si>
    <t>A/C Maintenance</t>
  </si>
  <si>
    <t>INC000001320180</t>
  </si>
  <si>
    <t>264010 - Auto Alert</t>
  </si>
  <si>
    <t>Reason:- Out of Service   Action:- Reboot Device Working Fine   Name :-Azeez   Attended Time:-14:45</t>
  </si>
  <si>
    <t>INC000001320178</t>
  </si>
  <si>
    <t>Reason:- Duplicate Ticket please Cancel Original Ticket No   INC000001320180</t>
  </si>
  <si>
    <t>INC000001320177</t>
  </si>
  <si>
    <t>Ajay</t>
  </si>
  <si>
    <t>Mengu</t>
  </si>
  <si>
    <t>Add meds_armengu to NOC group as the BMC Access Request is approved from IAM</t>
  </si>
  <si>
    <t>meds_armengu has been added to NOC group as the BMC Access Request is approved from IAM</t>
  </si>
  <si>
    <t>V0034201</t>
  </si>
  <si>
    <t>meds_armengu</t>
  </si>
  <si>
    <t>Meds_Ajay.Mengu@rta.ae</t>
  </si>
  <si>
    <t>INC000001320176</t>
  </si>
  <si>
    <t>Add User canon_rffatima to Digital Signature Group as BMC Access Request is approved from IAM</t>
  </si>
  <si>
    <t>User canon_rffatima has been added to Digital Signature Group as BMC Access Request is approved from IAM</t>
  </si>
  <si>
    <t>INC000001320175</t>
  </si>
  <si>
    <t>Add user to Network and Security Group as the Request for BMC is approved from IAM</t>
  </si>
  <si>
    <t>techm_bddevraj has been added to Network team</t>
  </si>
  <si>
    <t>INC000001320174</t>
  </si>
  <si>
    <t>Madhi</t>
  </si>
  <si>
    <t>CASS/BFD/CASS/BFD/4119 - :DESCRIPTION</t>
  </si>
  <si>
    <t>UMM RAMOOL NEW HQ 7A</t>
  </si>
  <si>
    <t>Request for information regarding the Maximo request, status has been provided as required.</t>
  </si>
  <si>
    <t>samadhi</t>
  </si>
  <si>
    <t>Saeed.Madhi@rta.ae</t>
  </si>
  <si>
    <t>INC000001320173</t>
  </si>
  <si>
    <t>ID 87802  ptaservice login IAM</t>
  </si>
  <si>
    <t>Kindly inform the user to use the following URL to change their ID password over the internet and ensure they follow the password policy guidelines listed below.  Forgot Password Url : https://selfservices.rta.ae/ForgotPasswordManagement/UserID Password requirements:   1. The length should exceed 10  characters. 2. Should contains at least one number, one upper case letter and one special character. 3. Should not contains the first name, last name, employee ID or any know word, e.g. password. 4. Should not use the same password used in the last three times. 5. Avoid using any dictionary words (e.g., "Apple", "Oracle"). 6. Do not include any month names or year names or weak day or country name in the password. 7. Refrain from using numerical or character sequences (e.g., "123", "456", "abc", "xyz"). 8. Passwords should not contain repeated numbers or character sequences (e.g., "111", "aaa"). 9. Ensure your password is complex and strong to maintain security. kindly find below sample dummy strong password in order to make your strong passwords. CzrTNQ@210 KzrTEQ@34853</t>
  </si>
  <si>
    <t>INC000001320172</t>
  </si>
  <si>
    <t>Shurooq</t>
  </si>
  <si>
    <t>Amin</t>
  </si>
  <si>
    <t>Maximo System Error</t>
  </si>
  <si>
    <t>sfamin</t>
  </si>
  <si>
    <t>Shurooq.Amin@rta.ae</t>
  </si>
  <si>
    <t>INC000001320171</t>
  </si>
  <si>
    <t>Request for Reactivation of Timed-Out NOCs under RFX 41 B and C</t>
  </si>
  <si>
    <t>INC000001320170</t>
  </si>
  <si>
    <t xml:space="preserve">Request to Reactivate Timed-Out RTA NOC-26112025-2193 (NDM Works Construction NOC - DM IN </t>
  </si>
  <si>
    <t>INC000001320169</t>
  </si>
  <si>
    <t>Reason : Note Jam (100aed) Card No.:   Customer Name:      Action : Note cleared  Attendee Name:  Jasper Attended Time : 15:02</t>
  </si>
  <si>
    <t>INC000001320168</t>
  </si>
  <si>
    <t>longing issue</t>
  </si>
  <si>
    <t>Account is expired. Engineer is requested to get approvals for reactivation.</t>
  </si>
  <si>
    <t>INC000001320167</t>
  </si>
  <si>
    <t>Reactivation of NOC-18112025-2056 (Construction NOC - Digital) / DM Project RW106</t>
  </si>
  <si>
    <t>INC000001320166</t>
  </si>
  <si>
    <t>NOC-21112025-2160 Reactivation</t>
  </si>
  <si>
    <t>NOC is reactivated as per  business approval.</t>
  </si>
  <si>
    <t>INC000001320165</t>
  </si>
  <si>
    <t>??????: REQUIREMENTS FOR GRANTING A FRANCHISE</t>
  </si>
  <si>
    <t>INC000001320164</t>
  </si>
  <si>
    <t>Announcement for Junction / Pedestrian Numbering via eNOC system</t>
  </si>
  <si>
    <t>Announcement is added to eNOC System for RFMD new NOC Type.</t>
  </si>
  <si>
    <t>INC000001320163</t>
  </si>
  <si>
    <t>Hoda</t>
  </si>
  <si>
    <t>Abdou</t>
  </si>
  <si>
    <t>MaximoSara -  requesting Maximo ID number for M sentiment company</t>
  </si>
  <si>
    <t>Company created as per GRP and redelcted</t>
  </si>
  <si>
    <t>Define GRP Company</t>
  </si>
  <si>
    <t>HMAbdou</t>
  </si>
  <si>
    <t>Hoda.Abdou@rta.ae</t>
  </si>
  <si>
    <t>INC000001320162</t>
  </si>
  <si>
    <t>Bassem</t>
  </si>
  <si>
    <t>Zaghawa-Contractor</t>
  </si>
  <si>
    <t>MaximoSara - Maximo Change Request to Close out the Terminated old 5 Contracts</t>
  </si>
  <si>
    <t>DB script executed as attached</t>
  </si>
  <si>
    <t>Database Changes</t>
  </si>
  <si>
    <t>V0032809</t>
  </si>
  <si>
    <t>okool_bazaghawa</t>
  </si>
  <si>
    <t>Okool_Bassem.Zaghawa@rta.ae</t>
  </si>
  <si>
    <t>INC000001320161</t>
  </si>
  <si>
    <t>Bna malfunction, found 1*10 note jammed inside the bna, removed and kept inside the tvm, reset bna, tvm operational</t>
  </si>
  <si>
    <t>INC000001320160</t>
  </si>
  <si>
    <t>Intervention completed Bna malfunction 2*10 Aed,1*5 aed jammed inside bna removed jamming and kept inside tvm,1*10aed jammed in cash box entrance unlock the cash box and removed jamming,bna vault missing please inform brinks team to replace cash box and keep it lock.</t>
  </si>
  <si>
    <t>INC000001320159</t>
  </si>
  <si>
    <t>IFG-RFX41B-REQUEST FOR THE ASSISTANCE FOR THE REACTIVATION OF AUTO-CANCELLED NOCS</t>
  </si>
  <si>
    <t>INC000001320158</t>
  </si>
  <si>
    <t>Request to resolve the eNOC application issue - NOC-16122025-2213</t>
  </si>
  <si>
    <t>Processor can process Stuck NOCs now.</t>
  </si>
  <si>
    <t>INC000001320157</t>
  </si>
  <si>
    <t>Reason: note jam  Action: removed 5aed  Attended Time:13:50</t>
  </si>
  <si>
    <t>INC000001320156</t>
  </si>
  <si>
    <t>INC000001320155</t>
  </si>
  <si>
    <t>Imran</t>
  </si>
  <si>
    <t>Jahan</t>
  </si>
  <si>
    <t>MaximoSrini: W/O # 6280022 Change STATUS Error !</t>
  </si>
  <si>
    <t>AL KHAWNEEJ BUS DEPOT</t>
  </si>
  <si>
    <t>ikjahan</t>
  </si>
  <si>
    <t>Imran.Jahan@RTA.ae</t>
  </si>
  <si>
    <t>INC000001320154</t>
  </si>
  <si>
    <t>Update in the design template</t>
  </si>
  <si>
    <t>Updated the template and informed users to check</t>
  </si>
  <si>
    <t>INC000001320153</t>
  </si>
  <si>
    <t>RTA ENOC: Cancellation – Automatic – Timeout - NOC-20112025-2259</t>
  </si>
  <si>
    <t>INC000001320152</t>
  </si>
  <si>
    <t>NOC-28102025-2180 &amp; NOC-29102025-2290 (Final Design NOC's)</t>
  </si>
  <si>
    <t>NOCs are reactivated as per manager approval.</t>
  </si>
  <si>
    <t>INC000001320151</t>
  </si>
  <si>
    <t>Intervention completed  Bna malfunction 5aed jammed in bna Removed jam and kept inside tvm Tvm operational</t>
  </si>
  <si>
    <t>INC000001320150</t>
  </si>
  <si>
    <t>Reason :Paper stuck  Action  : cleard  Attend Time :13:50</t>
  </si>
  <si>
    <t>INC000001320149</t>
  </si>
  <si>
    <t>Encountering the error while creating a user in the UMS application w.r.t. IAM_UserManagementService</t>
  </si>
  <si>
    <t>Here is the description of the error returned by the E-taffic API – which is different from the original error where no description was returned.</t>
  </si>
  <si>
    <t>INC000001320147</t>
  </si>
  <si>
    <t>Outside Office Support - Needs to be disabled w.r.t. CRMSuggAndCompService</t>
  </si>
  <si>
    <t>Requested services are stopped.</t>
  </si>
  <si>
    <t>INC000001320145</t>
  </si>
  <si>
    <t>Ayad</t>
  </si>
  <si>
    <t>MaximoKinan - Update coordinator of Buildings and Facilities (CASS.BUF)</t>
  </si>
  <si>
    <t>Kinan Fallouh</t>
  </si>
  <si>
    <t>Remove the coordinator,      *   Mohammed Abdalla Salem Ayad (mohammed.ayad@rta.ae).</t>
  </si>
  <si>
    <t>bahwan_kffallouh</t>
  </si>
  <si>
    <t>MAAyad</t>
  </si>
  <si>
    <t>Mohammed.Ayad@rta.ae</t>
  </si>
  <si>
    <t>INC000001320143</t>
  </si>
  <si>
    <t>Active alarm: BNA1 nearly full,  Replenished.  15:55 – 02/23/2026</t>
  </si>
  <si>
    <t>Replenishment</t>
  </si>
  <si>
    <t>INC000001320142</t>
  </si>
  <si>
    <t>Spare Ducts are approved by Manager and director.</t>
  </si>
  <si>
    <t>INC000001320139</t>
  </si>
  <si>
    <t>Outside Office Support - Rollback CRM changes, point all tibco eip services to old CRM Systems</t>
  </si>
  <si>
    <t>The CRM rollback changes have been completed on the EIP side.</t>
  </si>
  <si>
    <t>INC000001320137</t>
  </si>
  <si>
    <t>Outside Office Support - Check logs for reported issues w.r.t. CRMCaseSynchronizationService</t>
  </si>
  <si>
    <t>Verified logs and provide our feedback.</t>
  </si>
  <si>
    <t>INC000001320134</t>
  </si>
  <si>
    <t>Reason: AED 5 note jam  Action: Removed note jam  Attender name: Mohammed zabir   Attended Time: 9:09  Remarks:</t>
  </si>
  <si>
    <t>INC000001320133</t>
  </si>
  <si>
    <t>Active alarm: BNA1 nearly full  Replenished.  11:15 – 02/23/2026</t>
  </si>
  <si>
    <t>INC000001320132</t>
  </si>
  <si>
    <t>Hajji</t>
  </si>
  <si>
    <t>FOLLOW UP - Temporary Laptop</t>
  </si>
  <si>
    <t>The laptop has extended as requested</t>
  </si>
  <si>
    <t>AR_ESCALATOR</t>
  </si>
  <si>
    <t>sjhajji</t>
  </si>
  <si>
    <t>Shaima.Hajji@rta.ae</t>
  </si>
  <si>
    <t>INC000001320126</t>
  </si>
  <si>
    <t>Reason: AED 10 note jam  Action: Cleared note jam   Attender name: Mohammed zabir   Attended Time: 8:20  Remarks:</t>
  </si>
  <si>
    <t>INC000001320125</t>
  </si>
  <si>
    <t>REQ-DB Scripts:   Material request (General) - 191363</t>
  </si>
  <si>
    <t>Script executed in the MAXIMO DB upon approval.</t>
  </si>
  <si>
    <t>INC000001320124</t>
  </si>
  <si>
    <t>Reason: Nol card jam ( 036 164 8942 )  Action: Removed Nol card jam   Attender name: Mohammed zabir   Attended Time: 10:42  Remarks:</t>
  </si>
  <si>
    <t>INC000001320123</t>
  </si>
  <si>
    <t>AlShehhi</t>
  </si>
  <si>
    <t>MaximoSrini:   Material request (General) - 191363</t>
  </si>
  <si>
    <t>FMAlshehhi</t>
  </si>
  <si>
    <t>Fatema.Alshehhi@rta.ae</t>
  </si>
  <si>
    <t>INC000001320122</t>
  </si>
  <si>
    <t>Intervention completed  Bna malfunction No jamming found Cleaned and reset bna Restarted tvm TVM operational</t>
  </si>
  <si>
    <t>INC000001320121</t>
  </si>
  <si>
    <t>INC000001320120</t>
  </si>
  <si>
    <t>KPI January 2026</t>
  </si>
  <si>
    <t>KPI Report is shared with the Engineer.</t>
  </si>
  <si>
    <t>KPI Report</t>
  </si>
  <si>
    <t>INC000001320119</t>
  </si>
  <si>
    <t>Reason: Nbx jam  Action: please inform brinks   Attender Name: Amjad  Attended Time: waiting for brinks team   Remarks:</t>
  </si>
  <si>
    <t>INC000001320118</t>
  </si>
  <si>
    <t>Reason :Paper jam  Action  : cleared   Attend Time :9:40</t>
  </si>
  <si>
    <t>INC000001320117</t>
  </si>
  <si>
    <t>Alarm text: The note vault is full.  Replenished.  11:44 – 02/23/2026.</t>
  </si>
  <si>
    <t>INC000001320116</t>
  </si>
  <si>
    <t>Active alarm: BNA1 nearly full  Replenished.  13:06 – 02/23/2026</t>
  </si>
  <si>
    <t>INC000001320115</t>
  </si>
  <si>
    <t>Reason: AED 100 note jam  Action: Cleared note jam  Attender name: Mohammed zabir   Attended Time: 8:53  Remarks:</t>
  </si>
  <si>
    <t>INC000001320114</t>
  </si>
  <si>
    <t>Active alarm: BNA1 nearly full  Replenished.  11:35 – 02/23/2026</t>
  </si>
  <si>
    <t>INC000001320113</t>
  </si>
  <si>
    <t>TVM-262145</t>
  </si>
  <si>
    <t>Intervention completed  Tvm out of service due to sales flow error  Commit operational period successfully  TVM operational</t>
  </si>
  <si>
    <t>INC000001320112</t>
  </si>
  <si>
    <t>TUM-263059</t>
  </si>
  <si>
    <t>Reason: paper jam  Action: cleared   Attender Name: Amjad  Attended Time: 14:00</t>
  </si>
  <si>
    <t>INC000001320111</t>
  </si>
  <si>
    <t>Intervention completed  Bna malfunction 10aed jammed in bna Removed jam and kept inside tvm Tvm operational</t>
  </si>
  <si>
    <t>INC000001320110</t>
  </si>
  <si>
    <t>Intervention completed  No issue found TVM operational</t>
  </si>
  <si>
    <t>INC000001320109</t>
  </si>
  <si>
    <t>MR50L-R37-E1-DMCC MS (Landside 1) - B (Alert ID: '252296')</t>
  </si>
  <si>
    <t>Reason :Offline  Action  : Auto resolve   Attend Time :6:05</t>
  </si>
  <si>
    <t>INC000001320108</t>
  </si>
  <si>
    <t>MR50L-R37-E2-DMCC MS (Landside 2) - B (Alert ID: '252297')</t>
  </si>
  <si>
    <t>INC000001320107</t>
  </si>
  <si>
    <t>Suad</t>
  </si>
  <si>
    <t>network cable request</t>
  </si>
  <si>
    <t>the user is working remotely today  the Network cable has been connected to the socket and it is ready to use</t>
  </si>
  <si>
    <t>ssalmakrani</t>
  </si>
  <si>
    <t>Suad.Almakrani@rta.ae</t>
  </si>
  <si>
    <t>INC000001320106</t>
  </si>
  <si>
    <t>Samiha Ahmed</t>
  </si>
  <si>
    <t>Al Zarouni</t>
  </si>
  <si>
    <t>sazarouni</t>
  </si>
  <si>
    <t>samiha.alzarouni@rta.ae</t>
  </si>
  <si>
    <t>INC000001320103</t>
  </si>
  <si>
    <t>Avaya Mayssa</t>
  </si>
  <si>
    <t>SulimanOmer</t>
  </si>
  <si>
    <t>V00213</t>
  </si>
  <si>
    <t>avaya_masulimanomer</t>
  </si>
  <si>
    <t>Avaya_Mayssa.SulimanOmer@rta.ae</t>
  </si>
  <si>
    <t>INC000001320101</t>
  </si>
  <si>
    <t>INC000001320100</t>
  </si>
  <si>
    <t>M365 license has been assigned to user techm_prramasamy@rta.ae</t>
  </si>
  <si>
    <t>INC000001320098</t>
  </si>
  <si>
    <t>renew learning permit</t>
  </si>
  <si>
    <t>there was issue with phase solved try now to renew learning file because file SUSPENDED</t>
  </si>
  <si>
    <t>INC000001320097</t>
  </si>
  <si>
    <t>As checked, user already part of NOC &amp; RTA wireless group. The acccess has been granted to user Meds_Vipin.Parayil@rta.ae on RTA.TOCC@rta.ae mailbox</t>
  </si>
  <si>
    <t>Messaging and collaboration</t>
  </si>
  <si>
    <t>Mailbox Delegate Access</t>
  </si>
  <si>
    <t>INC000001320096</t>
  </si>
  <si>
    <t>INC000001320094</t>
  </si>
  <si>
    <t>Shared folder access has been granted to the user</t>
  </si>
  <si>
    <t>INC000001320093</t>
  </si>
  <si>
    <t>Rasha</t>
  </si>
  <si>
    <t>Fakoush</t>
  </si>
  <si>
    <t xml:space="preserve">Update Expired Passwords </t>
  </si>
  <si>
    <t>We have reset requested users password in Staging environment and shared with Mr. Prem Nivas.</t>
  </si>
  <si>
    <t>V0034168</t>
  </si>
  <si>
    <t>avertra_rtfakoush</t>
  </si>
  <si>
    <t>Avertra_Rasha.Fakoush@rta.ae</t>
  </si>
  <si>
    <t>INC000001320091</t>
  </si>
  <si>
    <t>Wigdan</t>
  </si>
  <si>
    <t>Share folder access provided as per the request. Path : \\rta.global\fileserver001\Share1$\Corporate Support Services Folder\ITD Folder\02_IT Sections\0210_IT Infrastructure &amp; Services - ITIS\09.Programs &amp; Projects\Wigdan's Handover\January 2026\PAM user: antewari Approver: Islam Mohammedel hassan Ahmed Mohd.ahmed</t>
  </si>
  <si>
    <t>wmoahmed</t>
  </si>
  <si>
    <t>Wigdan.Ahmed@rta.ae</t>
  </si>
  <si>
    <t>INC000001320090</t>
  </si>
  <si>
    <t>Avaya Asaad</t>
  </si>
  <si>
    <t>V005628</t>
  </si>
  <si>
    <t>Avaya_ASAbdallah</t>
  </si>
  <si>
    <t>Avaya_Asaad.Abdallah@rta.ae</t>
  </si>
  <si>
    <t>INC000001320089</t>
  </si>
  <si>
    <t>Avaya Musab</t>
  </si>
  <si>
    <t>V006536</t>
  </si>
  <si>
    <t>Avaya_MAMokhtar</t>
  </si>
  <si>
    <t>Avaya_Musab.Mokhtar@rta.ae</t>
  </si>
  <si>
    <t>INC000001320088</t>
  </si>
  <si>
    <t>Please replace "Arwa Yahya" with Karim Abdulwahed &lt;Okool_Karim.Abdulwahed@rta.ae&gt; In EDMS</t>
  </si>
  <si>
    <t>Recipient email #Okool_Arwa.Shaibani@rta.ae  has been removed and added #Okool_Karim.Abdulwahed@rta.ae in the escalation notifications for EDMS group.</t>
  </si>
  <si>
    <t>INC000001320087</t>
  </si>
  <si>
    <t>Raza</t>
  </si>
  <si>
    <t>Chughtai-Contractor</t>
  </si>
  <si>
    <t>Include the Archer URL IP and Port to the requestor's VPN Profile. Testing performed and is working.</t>
  </si>
  <si>
    <t>V0031185</t>
  </si>
  <si>
    <t>align_rachughtai</t>
  </si>
  <si>
    <t>Align_Raza.Chughtai@rta.ae</t>
  </si>
  <si>
    <t>INC000001320086</t>
  </si>
  <si>
    <t>1640255_Threat Activity Detected</t>
  </si>
  <si>
    <t>INC000001320085</t>
  </si>
  <si>
    <t>1640257_Threat Activity Detected</t>
  </si>
  <si>
    <t>INC000001320084</t>
  </si>
  <si>
    <t>Avaya Maged Farook</t>
  </si>
  <si>
    <t>V00206</t>
  </si>
  <si>
    <t>avaya_meessa</t>
  </si>
  <si>
    <t>Avaya_Maged.Essa@rta.ae</t>
  </si>
  <si>
    <t>INC000001320083</t>
  </si>
  <si>
    <t>Avaya Imee</t>
  </si>
  <si>
    <t>Medina</t>
  </si>
  <si>
    <t>V002238</t>
  </si>
  <si>
    <t>Avaya_IMMedina</t>
  </si>
  <si>
    <t>Avaya_Imee.Medina@rta.ae</t>
  </si>
  <si>
    <t>INC000001320082</t>
  </si>
  <si>
    <t>Ibtissam</t>
  </si>
  <si>
    <t>Abou Khurj</t>
  </si>
  <si>
    <t xml:space="preserve">GIS Data Update &amp; Import Request Request Information 2515746 INC000001320082 Project Name / Purpose * LTSM DATA UPDATE /Assets sustainability / “LTSM_WO_OCT_2025_Version".  Business Requirements * LTSM data as per the work orders in Maximo system has been updated and now are available in ARC SDE database “LTSM_WO_OCT_2025_Version", So we have no objection to posting the data in the GIS Default/Final Version.Change implemented  </t>
  </si>
  <si>
    <t>isaboukhurj</t>
  </si>
  <si>
    <t>Ibtissam.AbouKhurj@RTA.ae</t>
  </si>
  <si>
    <t>INC000001320081</t>
  </si>
  <si>
    <t>Request to clear SLA breach for the ticket #INC000001309930</t>
  </si>
  <si>
    <t>SLA breach has been cleared for the ticket #INC000001309930</t>
  </si>
  <si>
    <t>INC000001320079</t>
  </si>
  <si>
    <t>Laymouna</t>
  </si>
  <si>
    <t>As per the bmc note, we have added user (meds_ohlaymouna) in _RTA Wireless LAN and _NOC(ITD) group please check.</t>
  </si>
  <si>
    <t>V0034606</t>
  </si>
  <si>
    <t>meds_ohlaymouna</t>
  </si>
  <si>
    <t>Meds_Omar.Laymouna@rta.ae</t>
  </si>
  <si>
    <t>INC000001320078</t>
  </si>
  <si>
    <t>CRM1887833 digital card issue</t>
  </si>
  <si>
    <t>The user deleted the card 4010232595 from the same Samsung Wallet and subsequently re-provisioned a new card 4010232603. If the user would like to link the card to nol Pay, they can go to nol Pay ? Purchase a digital nol card. The system will then prompt them to bind the current digital card (4010232603) from the device to nol Pay. Details: Samsung Account ID: 6PQh16HsQcKziQJsuuxuSQ 4010232595 Deletion Order: 202602171543110000363 Newly downloaded card: 4010232603 Provisioning Order: SCSL202602171549100000097 The card data status is normal, and no anomalies have been detected.</t>
  </si>
  <si>
    <t>INC000001320076</t>
  </si>
  <si>
    <t>Request to enable BMC assignment availability for Techm_Siji.Verghese@rta.ae</t>
  </si>
  <si>
    <t>BMC assignment availability has been enabled for Techm_Siji.Verghese@rta.ae</t>
  </si>
  <si>
    <t>INC000001320075</t>
  </si>
  <si>
    <t>INC000001320074</t>
  </si>
  <si>
    <t>Abdelrahman</t>
  </si>
  <si>
    <t>Lanjawi</t>
  </si>
  <si>
    <t>Modify access has been provided to user as per the request. Path : \\rta.global\fileserver001\Share5$\PTA\ALQUIZ BUS DEPOT OPERATION User: aablanjawi Approver: Mohamed Ahmed Mohamed Alshareif Alawadhi</t>
  </si>
  <si>
    <t>DFS - Network Folder Access Modification</t>
  </si>
  <si>
    <t>aablanjawi</t>
  </si>
  <si>
    <t>Abdelrahman.Lanjawi@rta.ae</t>
  </si>
  <si>
    <t>INC000001320073</t>
  </si>
  <si>
    <t>Shiiju</t>
  </si>
  <si>
    <t>Abdul Basheer</t>
  </si>
  <si>
    <t>V0034623</t>
  </si>
  <si>
    <t>ultimate_stabdulbash</t>
  </si>
  <si>
    <t>Ultimate_Shiiju.Abdulbasheer@rta.ae</t>
  </si>
  <si>
    <t>INC000001320072</t>
  </si>
  <si>
    <t>M365 license has been assigned to user alsahra_nmthiyyakand@rta.ae</t>
  </si>
  <si>
    <t>INC000001320071</t>
  </si>
  <si>
    <t>Maitha</t>
  </si>
  <si>
    <t>Altamimi</t>
  </si>
  <si>
    <t>HDMI Screen Cable issue</t>
  </si>
  <si>
    <t>msaltamimi</t>
  </si>
  <si>
    <t>Maitha.Altamimi@rta.ae</t>
  </si>
  <si>
    <t>INC000001320070</t>
  </si>
  <si>
    <t>Almitwalli</t>
  </si>
  <si>
    <t>Abdelghani</t>
  </si>
  <si>
    <t>V0034624</t>
  </si>
  <si>
    <t>srsl_aaabdelghani</t>
  </si>
  <si>
    <t>Srsl_Almitwalli.Abdelghani@rta.ae</t>
  </si>
  <si>
    <t>INC000001320066</t>
  </si>
  <si>
    <t>Sajeda</t>
  </si>
  <si>
    <t>Bonyan</t>
  </si>
  <si>
    <t>SMBonyan</t>
  </si>
  <si>
    <t>Sajeda.Bonyan@rta.ae</t>
  </si>
  <si>
    <t>INC000001320065</t>
  </si>
  <si>
    <t>MMAMahmoud</t>
  </si>
  <si>
    <t>Mohammed.Mahmoud@rta.ae</t>
  </si>
  <si>
    <t>INC000001320063</t>
  </si>
  <si>
    <t>Youssef</t>
  </si>
  <si>
    <t>Albloushi</t>
  </si>
  <si>
    <t>YHAlbloushi</t>
  </si>
  <si>
    <t>Youssef.HAlbloushi@rta.ae</t>
  </si>
  <si>
    <t>INC000001320062</t>
  </si>
  <si>
    <t>INC000001320059</t>
  </si>
  <si>
    <t>TVM-264011</t>
  </si>
  <si>
    <t>Device ID: 264011  Reason: CRM  Action: Analysis  Details: Customer paid 40 AED to purchase a new nol card, transaction was successful.  TRAN TIME	TERMINAL ID	CARD TYPE	CARD NUMBER	TRAN TYPE	SALES AMOUNT	AUTH CODE	REF NO	?t (s) 10:26:09	36230447	VISA	443913XXXXXX0843	SALE	40.00	857812	000000101179	17</t>
  </si>
  <si>
    <t>INC000001320058</t>
  </si>
  <si>
    <t>A003619</t>
  </si>
  <si>
    <t>Reason: Black screen   Action: After restart device now working fine   Attender name: Mohammed zabir   Attended Time: 10:02  Remarks:</t>
  </si>
  <si>
    <t>INC000001320057</t>
  </si>
  <si>
    <t>Partition Details of the Device(%) for D: is 81 Percentage in Rtadrdb2</t>
  </si>
  <si>
    <t>Sneha Kurup-Contractor</t>
  </si>
  <si>
    <t>D Drive utilization is normal now, hence closing the ticket</t>
  </si>
  <si>
    <t>Resource Utilization - Disk</t>
  </si>
  <si>
    <t>INC000001320056</t>
  </si>
  <si>
    <t>Bakhtullah</t>
  </si>
  <si>
    <t>bkkhan</t>
  </si>
  <si>
    <t>bakhtullah.khan@rta.ae</t>
  </si>
  <si>
    <t>INC000001320055</t>
  </si>
  <si>
    <t>Albalooshi</t>
  </si>
  <si>
    <t>MJAlbalooshi</t>
  </si>
  <si>
    <t>Mohammad.JAlbalooshi@rta.ae</t>
  </si>
  <si>
    <t>INC000001320054</t>
  </si>
  <si>
    <t>Tanzila</t>
  </si>
  <si>
    <t>RTA Office365 Login configuration</t>
  </si>
  <si>
    <t>V0033924</t>
  </si>
  <si>
    <t>techm_tashaikh</t>
  </si>
  <si>
    <t>Techm_Tanzila.Shaikh@rta.ae</t>
  </si>
  <si>
    <t>INC000001320053</t>
  </si>
  <si>
    <t>Azzam</t>
  </si>
  <si>
    <t>Elhassan</t>
  </si>
  <si>
    <t>V0025199</t>
  </si>
  <si>
    <t>srsl_aoelhassan</t>
  </si>
  <si>
    <t>Srsl_Azzam.Elhassan@rta.ae</t>
  </si>
  <si>
    <t>INC000001320052</t>
  </si>
  <si>
    <t>INC000001320051</t>
  </si>
  <si>
    <t>accident -  GDC - Al Qouz  7229</t>
  </si>
  <si>
    <t>INC000001320050</t>
  </si>
  <si>
    <t>accident -  EDI - Al Qusais  3301</t>
  </si>
  <si>
    <t>INC000001320049</t>
  </si>
  <si>
    <t>Request 16861075</t>
  </si>
  <si>
    <t>INC000001320048</t>
  </si>
  <si>
    <t>Request 16114675</t>
  </si>
  <si>
    <t>INC000001320047</t>
  </si>
  <si>
    <t>1639976_Threat Activity Detected</t>
  </si>
  <si>
    <t>INC000001320046</t>
  </si>
  <si>
    <t>Reason :Out of Service  Action  : Reboot tvm and tested ok   Attend Time :6:50</t>
  </si>
  <si>
    <t>INC000001320045</t>
  </si>
  <si>
    <t>TVM-264002</t>
  </si>
  <si>
    <t>e checked the TVM and found network error and device was not reachable . Rectified the issue and TVM is working fine. Please close this ticket</t>
  </si>
  <si>
    <t>INC000001320044</t>
  </si>
  <si>
    <t>INC000001320043</t>
  </si>
  <si>
    <t>TOM-329732</t>
  </si>
  <si>
    <t>INC000001320042</t>
  </si>
  <si>
    <t>TOM-327684</t>
  </si>
  <si>
    <t>Preventive Maintenance completed. Cleaned and check TOM functionality. No issue found.TOM operational.</t>
  </si>
  <si>
    <t>INC000001320040</t>
  </si>
  <si>
    <t>TVM-262200</t>
  </si>
  <si>
    <t>Preventive Maintenance completed in advance on 22/02/2026 Cleaned Interior and exterior Checked devices functions working fine TVM operational</t>
  </si>
  <si>
    <t>INC000001320039</t>
  </si>
  <si>
    <t>TVM-262199</t>
  </si>
  <si>
    <t>Preventive Maintenance completed in advance Cleaned Interior and exterior Checked devices functions working fine TVM operational</t>
  </si>
  <si>
    <t>INC000001320038</t>
  </si>
  <si>
    <t>Preventive Maintenance completed in advance on 20/02/2026 Cleaned interior and exterior Checked devices functions working fine TVM operational</t>
  </si>
  <si>
    <t>INC000001320037</t>
  </si>
  <si>
    <t>INC000001320036</t>
  </si>
  <si>
    <t>Creek Harbour-50/340084</t>
  </si>
  <si>
    <t>Reason: PM   Action: PM Done   Attender Name: Kishor Bangera   Attend Time: 19:10</t>
  </si>
  <si>
    <t>INC000001320035</t>
  </si>
  <si>
    <t>UNI-EP-04/340049</t>
  </si>
  <si>
    <t>Reason:pm Action: done  Attended Time:6:10</t>
  </si>
  <si>
    <t>INC000001320034</t>
  </si>
  <si>
    <t>UNI-EP-03/340146</t>
  </si>
  <si>
    <t>Reason:pm Action: done  Attended Time:6:20</t>
  </si>
  <si>
    <t>INC000001320033</t>
  </si>
  <si>
    <t>UNI-EP-02/340111</t>
  </si>
  <si>
    <t>Reason:pm Action: done  Attended Time:6:30</t>
  </si>
  <si>
    <t>INC000001320032</t>
  </si>
  <si>
    <t>UNI-EP-01/340144</t>
  </si>
  <si>
    <t>INC000001320028</t>
  </si>
  <si>
    <t>Reason: PM  Action: PM done   Attender name: Mohammed zabir   Attended Time: 8:26  Remarks:</t>
  </si>
  <si>
    <t>INC000001320027</t>
  </si>
  <si>
    <t>Alert in (APM) - rta.ae_SSL - SSLCertificateMonitor</t>
  </si>
  <si>
    <t>SSL</t>
  </si>
  <si>
    <t>SSL certificate will expire on 14th March 2026.We will renew and update the new SSL certificate on 6th March 2026 with CRQ60334.</t>
  </si>
  <si>
    <t>INC000001320026</t>
  </si>
  <si>
    <t>1639837_Threat Activity Detected</t>
  </si>
  <si>
    <t>INC000001320025</t>
  </si>
  <si>
    <t>1639793_Threat Activity Detected</t>
  </si>
  <si>
    <t>INC000001320024</t>
  </si>
  <si>
    <t>Suspicious IP to RTA Portal on 23 February 2026, 03:04:32</t>
  </si>
  <si>
    <t>INC000001320022</t>
  </si>
  <si>
    <t>1639715_Threat Activity Detected</t>
  </si>
  <si>
    <t>INC000001320021</t>
  </si>
  <si>
    <t>Alkindi</t>
  </si>
  <si>
    <t>EDMS user</t>
  </si>
  <si>
    <t>Ahmed Abdelaty-Contractor</t>
  </si>
  <si>
    <t>EDMS</t>
  </si>
  <si>
    <t>added ,access on EDMS for the below user , ticket is attached  :  (Ali.Alkindi@rta.ae&gt;&gt;&gt;&gt;, ID # 15239) .  Read only on : S043::LIC::Vehicles</t>
  </si>
  <si>
    <t>aralkindi</t>
  </si>
  <si>
    <t>Ali.Alkindi@rta.ae</t>
  </si>
  <si>
    <t>INC000001320020</t>
  </si>
  <si>
    <t>Nexthink: Device Crash 0X9F (Driver_Power_State_Failure)</t>
  </si>
  <si>
    <t>Require registry fix has been pushed to the affected device.. No further action require</t>
  </si>
  <si>
    <t>INC000001320016</t>
  </si>
  <si>
    <t>Nexthink: Desktops with system disk nearly full</t>
  </si>
  <si>
    <t>all temp folders and files have been deleted  all temp user folder have been deleted  the user has 44GB as free space now in partition C</t>
  </si>
  <si>
    <t>INC000001320014</t>
  </si>
  <si>
    <t>Arwa</t>
  </si>
  <si>
    <t>Al Naggar</t>
  </si>
  <si>
    <t>C Drive is cleaned now 41 GB is free size</t>
  </si>
  <si>
    <t>V0012494</t>
  </si>
  <si>
    <t>ultimate_amalnaggar</t>
  </si>
  <si>
    <t>Ultimate_Arwa.Alnaggar@rta.ae</t>
  </si>
  <si>
    <t>INC000001320012</t>
  </si>
  <si>
    <t>Cleanway Jaafar</t>
  </si>
  <si>
    <t>Lahchir</t>
  </si>
  <si>
    <t>there was 490 GB in the HD as unlocated space , it is added to the partition C the windows has been upgraded to windows 11 successfully</t>
  </si>
  <si>
    <t>V0011067</t>
  </si>
  <si>
    <t>cleanway_jllahchir</t>
  </si>
  <si>
    <t>Cleanway_Jaafar.Lahchir@rta.ae</t>
  </si>
  <si>
    <t>INC000001320010</t>
  </si>
  <si>
    <t>Salaheddin</t>
  </si>
  <si>
    <t>Abuqube</t>
  </si>
  <si>
    <t>Techm Ahmad Khantomany</t>
  </si>
  <si>
    <t>19 GB freed from the user machine in the C drive.</t>
  </si>
  <si>
    <t>saabuqube</t>
  </si>
  <si>
    <t>Salaheddin.Abuqube@rta.ae</t>
  </si>
  <si>
    <t>INC000001320008</t>
  </si>
  <si>
    <t>Mohamed Nishad Usman</t>
  </si>
  <si>
    <t>Cleaned up the space in C drive and user is having space in C Drive now</t>
  </si>
  <si>
    <t>tmtaher</t>
  </si>
  <si>
    <t>Taher.Taher@rta.ae</t>
  </si>
  <si>
    <t>INC000001319959</t>
  </si>
  <si>
    <t>Suspicious IP to RTA Portal on 22 February 2026, 23:06:02</t>
  </si>
  <si>
    <t>Closed</t>
  </si>
  <si>
    <t>INC000001319958</t>
  </si>
  <si>
    <t>URL is inaccessible in DR-JP-API-1</t>
  </si>
  <si>
    <t>Gopinathan Gopinathan Gopalakrishnan-Contractor</t>
  </si>
  <si>
    <t>Journey Planner (JP)</t>
  </si>
  <si>
    <t>DR-JP-API-1 service is restarted automatically.</t>
  </si>
  <si>
    <t>INC000001319957</t>
  </si>
  <si>
    <t>INC000001319956</t>
  </si>
  <si>
    <t>INC000001319955</t>
  </si>
  <si>
    <t>Reason: BNA Disable   Action: Cleared Alarm   Attended Time: 22:53  Name : NOUSHAD</t>
  </si>
  <si>
    <t>INC000001319954</t>
  </si>
  <si>
    <t>Week4 Day1 Daily &amp; weekly health check in RTAHQ &amp; Remote locations - February 2026</t>
  </si>
  <si>
    <t>Week4 weekly health check for Bim center has been completed. Done</t>
  </si>
  <si>
    <t>INC000001319953</t>
  </si>
  <si>
    <t>The Week4 day1 daily health check for CHC Umm Ramool &amp; Al Barsha has been completed. Done.</t>
  </si>
  <si>
    <t>INC000001319952</t>
  </si>
  <si>
    <t>Week4 Day1 daily health check for Al wasl auditorium has been completed.Done</t>
  </si>
  <si>
    <t>INC000001319951</t>
  </si>
  <si>
    <t>Week4 Day1 Daily health check for8B_8C &amp; 9B Critical Area has been completed</t>
  </si>
  <si>
    <t>INC000001319949</t>
  </si>
  <si>
    <t>AL TWAR CENTER (PARKING, LICENSING &amp; SALIK)</t>
  </si>
  <si>
    <t>AutoCall function enabled for the user upon request received from the Supervisor.</t>
  </si>
  <si>
    <t>kaalraisi</t>
  </si>
  <si>
    <t>Khalid.Alraisi@rta.ae</t>
  </si>
  <si>
    <t>INC000001319948</t>
  </si>
  <si>
    <t>INC000001319947</t>
  </si>
  <si>
    <t>BNA1 nearly full  Replenished  22/02/2026    21:43</t>
  </si>
  <si>
    <t>INC000001319946</t>
  </si>
  <si>
    <t>Reason: note jam 5 dh  Action: cleared  Attended Time: 23:32</t>
  </si>
  <si>
    <t>INC000001319944</t>
  </si>
  <si>
    <t>TVM-262179</t>
  </si>
  <si>
    <t>Intervention completed  Bna malfunction  3x 5aed jammed in bna Removed jam and kept inside tvm Tvm operational</t>
  </si>
  <si>
    <t>INC000001319943</t>
  </si>
  <si>
    <t>1639187_Threat Activity Detected</t>
  </si>
  <si>
    <t>INC000001319942</t>
  </si>
  <si>
    <t>1639191_Threat Activity Detected</t>
  </si>
  <si>
    <t>INC000001319941</t>
  </si>
  <si>
    <t>Avaya Mubeen</t>
  </si>
  <si>
    <t>VPN has been configured as per the request .</t>
  </si>
  <si>
    <t>V0046</t>
  </si>
  <si>
    <t>avaya_mukhan</t>
  </si>
  <si>
    <t>Avaya_Mubeen.Khan@rta.ae</t>
  </si>
  <si>
    <t>INC000001319940</t>
  </si>
  <si>
    <t>Nour</t>
  </si>
  <si>
    <t>Altarawneh</t>
  </si>
  <si>
    <t>nsaltarawneh</t>
  </si>
  <si>
    <t>Nour.Altarawneh@rta.ae</t>
  </si>
  <si>
    <t>INC000001319938</t>
  </si>
  <si>
    <t>TUM-263076</t>
  </si>
  <si>
    <t>We checked the machine, found nothing jammed inside BNA . Cleared alarm and machine is working fine. Please close the ticket. Thanks</t>
  </si>
  <si>
    <t>INC000001319937</t>
  </si>
  <si>
    <t>Reason: no issue found  Action: working fine  Attended Time: 19:49</t>
  </si>
  <si>
    <t>INC000001319936</t>
  </si>
  <si>
    <t>EXPO RTPI -Offline - MN32E-DDDMS-Dubai Design District - M2 (Alert ID: '252290')</t>
  </si>
  <si>
    <t>Reason:  No power   Action: Third party issue(Cancel this ticket for E I)  Attender Name: Kishor Bangera   Attend Time: 20:08</t>
  </si>
  <si>
    <t>INC000001319935</t>
  </si>
  <si>
    <t>Suspicious IP to RTA Portal on 22 February 2026, 19:05:35</t>
  </si>
  <si>
    <t>INC000001319934</t>
  </si>
  <si>
    <t>BUS-2548</t>
  </si>
  <si>
    <t>Our intervention completed  Updated tariff for cico 1 manually  All cico operational  Tested</t>
  </si>
  <si>
    <t>INC000001319933</t>
  </si>
  <si>
    <t>Reason: no issue found  Action: working fine  Attended Time: 20:00</t>
  </si>
  <si>
    <t>INC000001319932</t>
  </si>
  <si>
    <t>TUM-263070</t>
  </si>
  <si>
    <t>Reason: paper jam  Action: cleared  Attended Time: 19:13</t>
  </si>
  <si>
    <t>INC000001319931</t>
  </si>
  <si>
    <t>URL is inaccessible in PR-JP-LIVE-4</t>
  </si>
  <si>
    <t>PR-JP-LIVE-4 service has been restarted manually.</t>
  </si>
  <si>
    <t>INC000001319930</t>
  </si>
  <si>
    <t>TVM 262208 BNA malfunction  BNA belts twisted  Reset BNA multiple times  TVM is operational</t>
  </si>
  <si>
    <t>INC000001319929</t>
  </si>
  <si>
    <t>1638870_Threat Activity Detected</t>
  </si>
  <si>
    <t>INC000001319928</t>
  </si>
  <si>
    <t>Reason: Paper Low   Action: Changed Paper Roll   Attended Time: 19:37  Name : NOUSHAD</t>
  </si>
  <si>
    <t>INC000001319927</t>
  </si>
  <si>
    <t>Dardas</t>
  </si>
  <si>
    <t>hddardas</t>
  </si>
  <si>
    <t>Hasan.Dardas@rta.ae</t>
  </si>
  <si>
    <t>INC000001319926</t>
  </si>
  <si>
    <t>TUM-263013</t>
  </si>
  <si>
    <t>Reason: card jam 024 837 4738 Action: cleared  Attended Time: 18:46</t>
  </si>
  <si>
    <t>INC000001319925</t>
  </si>
  <si>
    <t>TUM-263100</t>
  </si>
  <si>
    <t>Reason: card jam 032 062 4745 Action: cleared  Attended Time: 18:25</t>
  </si>
  <si>
    <t>INC000001319924</t>
  </si>
  <si>
    <t>Avaya Reem Ahmed</t>
  </si>
  <si>
    <t>Alamain</t>
  </si>
  <si>
    <t>Share folder access provided as per the request. Path : \\rta.global\fileserver001\Share7$\CASS\8009090 Call Center Users: tmebs_mgabdullah	Read Only	Permanent	  tmebs_mmibrahimosman	Read Only	Permanent	  tmebs_mbesmailmohamm	Read Only	Permanent	  tmebs_afomran	Read Only	Permanent	  tmebs_amalariqi	Read Only	Permanent	  tmebs_hmmohamad	Read Only	Permanent	  tmebs_mhnakd	Read Only	Permanent	  tmebs_miali	Read Only	Permanent	  tmebs_maosman	Read Only	Permanent	  tmebs_yeelasri	Read Only	Permanent	  tmebs_masayed	Read Only	Permanent	  tmebs_rskhan	Read Only	Permanent	  tmebs_pbnikam	Read Only	Permanent	  tmebs_rrhole	Read Only	Permanent	  tmebs_ehabdalla	Read Only	Permanent	  tmebs_iselsayed	Read Only	Permanent	  tmebs_mhhamed	Read Only	Permanent	  tmebs_kmmohamud	Read Only	Permanent	  tmebs_samohamed	Read Only	Permanent	  tmebs_aaalshaferi	Read Only	Permanent	  tmebs_hssayed	Read Only	Permanent	  tmebs_kaabdelmawla	Read Only	Permanent	  tmebs_ahambedkar	Read Only	Permanent Approver: Amna Saif Mohammed Ahmad Ibrahim</t>
  </si>
  <si>
    <t>V001751</t>
  </si>
  <si>
    <t>Avaya_RMAlamain</t>
  </si>
  <si>
    <t>Avaya_Reemahmed.Alamain@rta.ae</t>
  </si>
  <si>
    <t>INC000001319923</t>
  </si>
  <si>
    <t>Reason: Note Jam   Action: Removed Jam 10aed   Attended Time: 19:01  Name : NOUSHAD</t>
  </si>
  <si>
    <t>INC000001319922</t>
  </si>
  <si>
    <t>Shared folder access has been granted to the users.</t>
  </si>
  <si>
    <t>INC000001319920</t>
  </si>
  <si>
    <t>Share folder access provided as per the request. Path : \\rta.global\fileserver001\Share7$\CASS\8009090 Call Center Users: tmebs_amelshayb	Read And Write	Permanent	  tmebs_smdawood	Read And Write	Permanent	  tmebs_aawahmed	Read And Write	Permanent	  tmebs_sawelsayed	Read And Write	Permanent	  tmebs_ramohammedalam	Read And Write	Permanent	  tmebs_aaibrahim	Read And Write	Permanent	  tmebs_aaabdelkarem	Read And Write	Permanent	  tmebs_mfmero	Read And Write	Permanent	  tmebs_mssenedak	Read And Write	Permanent	  tmebs_ammohammed	Read And Write	Permanent	  tmebs_mmibrahim	Read And Write	Permanent  Approver: Amna Saif Mohammed Ahmad Ibrahim</t>
  </si>
  <si>
    <t>INC000001319919</t>
  </si>
  <si>
    <t>INC000001319918</t>
  </si>
  <si>
    <t>Abnormal Web requests detected from 176.65.132.248</t>
  </si>
  <si>
    <t xml:space="preserve">Based on our analysis, mentioned Threat Match Value is Malicious. Hence, we have blocked the same on perimeter devices. </t>
  </si>
  <si>
    <t>INC000001319916</t>
  </si>
  <si>
    <t>Reason: Battery low   Action: Changed Battery   Attender Name: Kishor Bangera   Attend Time: 17:54</t>
  </si>
  <si>
    <t>Battery Low</t>
  </si>
  <si>
    <t>INC000001319915</t>
  </si>
  <si>
    <t>We have activated requested user account in automation system, please inform user to login today otherwise based on 90 days login policy system automatically disable his account in automation system.   User login: okool_faissa</t>
  </si>
  <si>
    <t>V0031560</t>
  </si>
  <si>
    <t>okool_faissa</t>
  </si>
  <si>
    <t>Okool_Fahad.Issa@rta.ae</t>
  </si>
  <si>
    <t>INC000001319914</t>
  </si>
  <si>
    <t>System restarting screen, restarted the tvm, ping backend successfully, tvm operational</t>
  </si>
  <si>
    <t>INC000001319913</t>
  </si>
  <si>
    <t>1638688_Threat Activity Detected</t>
  </si>
  <si>
    <t>INC000001319912</t>
  </si>
  <si>
    <t>1638709_Threat Activity Detected</t>
  </si>
  <si>
    <t>INC000001319909</t>
  </si>
  <si>
    <t>Alnjada</t>
  </si>
  <si>
    <t>The Account has been unlocked successfully.</t>
  </si>
  <si>
    <t>ealnjada</t>
  </si>
  <si>
    <t>Essa.Alnjada@rta.ae</t>
  </si>
  <si>
    <t>INC000001319908</t>
  </si>
  <si>
    <t>Ali Abdulrahaman</t>
  </si>
  <si>
    <t>dorabi</t>
  </si>
  <si>
    <t xml:space="preserve">?? ?????? ?????? ????? ???????   </t>
  </si>
  <si>
    <t>aadorabi</t>
  </si>
  <si>
    <t>ali.aldorabi@rta.ae</t>
  </si>
  <si>
    <t>INC000001319907</t>
  </si>
  <si>
    <t>Suzan</t>
  </si>
  <si>
    <t>Sabuncu</t>
  </si>
  <si>
    <t>TES: TIS-2308-012-R1  the plantation - email 2/2</t>
  </si>
  <si>
    <t>TES Support</t>
  </si>
  <si>
    <t>TES</t>
  </si>
  <si>
    <t>Dear Suzan, As requested, the shared documents uploaded in RTA supporting docs,  kindly please verify.</t>
  </si>
  <si>
    <t>TESSupport</t>
  </si>
  <si>
    <t>SSSabuncu</t>
  </si>
  <si>
    <t>Suzan.Sabuncu@rta.ae</t>
  </si>
  <si>
    <t>INC000001319906</t>
  </si>
  <si>
    <t>TES: TIS-2510-045 MU in BB</t>
  </si>
  <si>
    <t>Dear Suzan, As per the cost?sharing letter, the cost?share amount has been updated. Kindly verify and updated the status accordingly.</t>
  </si>
  <si>
    <t>INC000001319905</t>
  </si>
  <si>
    <t>Sajid</t>
  </si>
  <si>
    <t>Abdul Rasheed</t>
  </si>
  <si>
    <t>TES: TIS-2309-023 - Residential City TIS</t>
  </si>
  <si>
    <t>Dear Sajid, As per below mentioned comments proceeded, please verfy.</t>
  </si>
  <si>
    <t>sarasheed</t>
  </si>
  <si>
    <t>Sajid.Abdulrasheed@RTA.ae</t>
  </si>
  <si>
    <t>INC000001319904</t>
  </si>
  <si>
    <t>TRA CEO Office</t>
  </si>
  <si>
    <t>TES: TIS-2505-033: Proposed School on Plot 2514357, Mirdif, Dubai</t>
  </si>
  <si>
    <t>The issue is resolved and the submission is done.</t>
  </si>
  <si>
    <t>TES.Support@rta.ae</t>
  </si>
  <si>
    <t>INC000001319903</t>
  </si>
  <si>
    <t>TES: TIS-2509-035 : Proposed Mixed Use Building on Plot No. 3350144 &amp; 3350342, Trade Cente</t>
  </si>
  <si>
    <t>Dear Kevin, Issue has been resolved, and the TIS report has been successfully submitted.</t>
  </si>
  <si>
    <t>INC000001319902</t>
  </si>
  <si>
    <t>TES: TIS-2601-008 - Proposed Residential and Commercial Building on Plot No's. 6455949, 64</t>
  </si>
  <si>
    <t>Dear Suzan, As requested, kindly PFA kmz data.</t>
  </si>
  <si>
    <t>INC000001319901</t>
  </si>
  <si>
    <t>TES: TS150424-R1 cayan tower dubiotech</t>
  </si>
  <si>
    <t>Dear Suzan, As requested, the status has been updated to Revision Approved, based on the cost share payment as indicated in the attached document. Kindly verify.</t>
  </si>
  <si>
    <t>INC000001319900</t>
  </si>
  <si>
    <t>Alaa</t>
  </si>
  <si>
    <t>Almukdad</t>
  </si>
  <si>
    <t>TES: TIS-2504-013</t>
  </si>
  <si>
    <t>Dear Alaa, As requested, The status has been updated to TIS Approved, as on cost share paid as per attached document. Kindly please verify.</t>
  </si>
  <si>
    <t>V0032690</t>
  </si>
  <si>
    <t>trans_amalmukdad</t>
  </si>
  <si>
    <t>Trans_Alaa.Almukdad@rta.ae</t>
  </si>
  <si>
    <t>INC000001319899</t>
  </si>
  <si>
    <t>TES: 3537 - TIS-2411-030-R1</t>
  </si>
  <si>
    <t>Dear Ahmed, Kindly please mention TIS # as TIS-2411-030-R1.</t>
  </si>
  <si>
    <t>INC000001319898</t>
  </si>
  <si>
    <t>Abdulvahab</t>
  </si>
  <si>
    <t>TES: TIS-2505-026 - resubmission</t>
  </si>
  <si>
    <t>UMM RAMOOL NEW HQ 3C -RAIL AGENCY</t>
  </si>
  <si>
    <t>The Issue has been resolved TIS-2505-026 - resubmission</t>
  </si>
  <si>
    <t>smabdulvahab</t>
  </si>
  <si>
    <t>Sameer.Abdulvahab@rta.ae</t>
  </si>
  <si>
    <t>INC000001319897</t>
  </si>
  <si>
    <t>TES: TIS-2511-036 - Mercedes-Benz Places Binghatti City on Plot No: 6189338, Nadd Al Shiba</t>
  </si>
  <si>
    <t>Dear Suzan, PFA as requested. the list of studies as per the attached kmz.</t>
  </si>
  <si>
    <t>INC000001319896</t>
  </si>
  <si>
    <t>Reason: BNA Malfunction   Action: Cleared alarm   Attender Name: Kishor Bangera   Attend Time:  16:33</t>
  </si>
  <si>
    <t>INC000001319895</t>
  </si>
  <si>
    <t>TES: J2167 : TIS-2512-028 _ Proposed Residential Building on Plot No. 6459906 at Wadi Al S</t>
  </si>
  <si>
    <t>Dear Suzan, Kindly PFA as requested.the list of studies as per attached.</t>
  </si>
  <si>
    <t>INC000001319894</t>
  </si>
  <si>
    <t>TES: TIS-2407-008 - Umm Al Daman Police Housing on Plot 8247955, Umm Al Daman, Dubai</t>
  </si>
  <si>
    <t>Kindly be informed i.e., as discussed please check payment option available now, and to be pay from detail page.</t>
  </si>
  <si>
    <t>INC000001319893</t>
  </si>
  <si>
    <t>TES: TIS-2308-012-R1 plantation</t>
  </si>
  <si>
    <t>Dear Suzan, The study status has been updated as ‘Revision approved’ as per approval letter. Kindly please verify.</t>
  </si>
  <si>
    <t>INC000001319892</t>
  </si>
  <si>
    <t>Salameh</t>
  </si>
  <si>
    <t>TES: TIS-2511-047</t>
  </si>
  <si>
    <t>Dear Salameh, As requested, The study status has been updated as ‘TIS Approved’ as on cost share paid. Kindly please verify.</t>
  </si>
  <si>
    <t>V0032692</t>
  </si>
  <si>
    <t>trans_snsalameh</t>
  </si>
  <si>
    <t>Trans_Salameh.Salameh@rta.ae</t>
  </si>
  <si>
    <t>INC000001319891</t>
  </si>
  <si>
    <t>TES: TIS-2511-025</t>
  </si>
  <si>
    <t>Dear Salameh, As requested, The study status has been updated as ‘TIS Approved’ as on no cost share applicable. Kindly please verify.</t>
  </si>
  <si>
    <t>INC000001319890</t>
  </si>
  <si>
    <t>TES: TIS-2307-011_Baccarat Hotel &amp; Residence</t>
  </si>
  <si>
    <t>Dear Vyshak, Kindly please check the study is currently TIS Approved.</t>
  </si>
  <si>
    <t>INC000001319889</t>
  </si>
  <si>
    <t>TES: 3593-TIS for Residential &amp; Commercial Building on Plot No. 6817315, Al Barsha South</t>
  </si>
  <si>
    <t>Kindly please check application is active and sent back.</t>
  </si>
  <si>
    <t>INC000001319888</t>
  </si>
  <si>
    <t xml:space="preserve">TES: 3594 - (TIS-2412-007) - TIS for Residential &amp; Retail Building on Plot. 6848934 at Al </t>
  </si>
  <si>
    <t>Dear Khaled, Kindly please retry submitting now.</t>
  </si>
  <si>
    <t>INC000001319887</t>
  </si>
  <si>
    <t>Layali</t>
  </si>
  <si>
    <t>Aldajani</t>
  </si>
  <si>
    <t>TES: prequalified consultants’ emails</t>
  </si>
  <si>
    <t>Dear Layali, As requested, please find attached the list of prequalified consultants details.</t>
  </si>
  <si>
    <t>LHAldajani</t>
  </si>
  <si>
    <t>Layali.Aldajani@rta.ae</t>
  </si>
  <si>
    <t>INC000001319886</t>
  </si>
  <si>
    <t>TES: Access to Explore Button</t>
  </si>
  <si>
    <t>Dear Nedal, As per our discussion, you got access to documents.</t>
  </si>
  <si>
    <t>INC000001319885</t>
  </si>
  <si>
    <t>Suspicious IP to RTA Portal on 22 February 2026, 15:06:32</t>
  </si>
  <si>
    <t>INC000001319883</t>
  </si>
  <si>
    <t>Reason: no issue found  Action: working fine  Attended Time: 16:26</t>
  </si>
  <si>
    <t>INC000001319882</t>
  </si>
  <si>
    <t>Abnormal Web requests detected from 178.62.35.212</t>
  </si>
  <si>
    <t>INC000001319881</t>
  </si>
  <si>
    <t>TUM-263105</t>
  </si>
  <si>
    <t>BNA1 nearly full  Replenished  22/02/2026     16:34</t>
  </si>
  <si>
    <t>INC000001319880</t>
  </si>
  <si>
    <t>Al Raisi</t>
  </si>
  <si>
    <t>Account has been unlocked successfully.</t>
  </si>
  <si>
    <t>amaalraisi</t>
  </si>
  <si>
    <t>Amal.AlRaisi@RTA.ae</t>
  </si>
  <si>
    <t>INC000001319879</t>
  </si>
  <si>
    <t>1638485_Threat Activity Detected</t>
  </si>
  <si>
    <t>INC000001319878</t>
  </si>
  <si>
    <t>Senedak</t>
  </si>
  <si>
    <t>The account "CC Information Team" has been unlocked successfully.</t>
  </si>
  <si>
    <t>V002243</t>
  </si>
  <si>
    <t>Avaya_MSSenedak</t>
  </si>
  <si>
    <t>Avaya_Mohamed.Senedak@rta.ae</t>
  </si>
  <si>
    <t>INC000001319877</t>
  </si>
  <si>
    <t>Reason: duplicate INC000001319868  Action:  Attender Name: Amjad  Attended Time:</t>
  </si>
  <si>
    <t>INC000001319876</t>
  </si>
  <si>
    <t>TUM-263048</t>
  </si>
  <si>
    <t>Reason: 10dhs jam  Action: Removed   Attender Name: Amjad  Attended Time: 14:15</t>
  </si>
  <si>
    <t>INC000001319874</t>
  </si>
  <si>
    <t>TUM-263088</t>
  </si>
  <si>
    <t>Active alarm: BNA1 nearly full  Replenished.  15:39 – 02/22/2026</t>
  </si>
  <si>
    <t>INC000001319873</t>
  </si>
  <si>
    <t>1638392_Threat Activity Detected</t>
  </si>
  <si>
    <t>INC000001319872</t>
  </si>
  <si>
    <t>Reason: 50dhs jam  Action: removed   Attender Name: Amjad  Attended Time: 14:38</t>
  </si>
  <si>
    <t>INC000001319871</t>
  </si>
  <si>
    <t>1638394_Threat Activity Detected</t>
  </si>
  <si>
    <t>INC000001319870</t>
  </si>
  <si>
    <t>TVM-262175</t>
  </si>
  <si>
    <t>Bna malfunction, no jamming found, reset bna, ping backend successfully, tested with customer successfully, tvm operational</t>
  </si>
  <si>
    <t>INC000001319869</t>
  </si>
  <si>
    <t>1638286_Threat Activity Detected</t>
  </si>
  <si>
    <t>INC000001319868</t>
  </si>
  <si>
    <t>Reason: 10dhs jam  Action: removed   Attender Name: Amjad  Attended Time: 13:56</t>
  </si>
  <si>
    <t>INC000001319867</t>
  </si>
  <si>
    <t>Tvm 2200 Intervention completed  No issues found  Tvm operational  Ping backed successfully</t>
  </si>
  <si>
    <t>INC000001319866</t>
  </si>
  <si>
    <t>Suspicious IP to RTA Portal on 22 February 2026, 12:06:20</t>
  </si>
  <si>
    <t>INC000001319865</t>
  </si>
  <si>
    <t>Reason:- Nol Card Unable to Deliver   Action:- Changed Card Lifter &amp; Nol Magazine   Attender :- Azeez   Attended Time:-13:15</t>
  </si>
  <si>
    <t>Card Magazine Error</t>
  </si>
  <si>
    <t>INC000001319863</t>
  </si>
  <si>
    <t>Anhar</t>
  </si>
  <si>
    <t>Elmanialawy</t>
  </si>
  <si>
    <t>amelmanialawy</t>
  </si>
  <si>
    <t>anhar.elmanialawy@rta.ae</t>
  </si>
  <si>
    <t>INC000001319862</t>
  </si>
  <si>
    <t>INC000001319861</t>
  </si>
  <si>
    <t>Aishwarya</t>
  </si>
  <si>
    <t>Laddigatti</t>
  </si>
  <si>
    <t>Outlook has been configured successfully.</t>
  </si>
  <si>
    <t>V0033920</t>
  </si>
  <si>
    <t>techm_aaladdigatti</t>
  </si>
  <si>
    <t>Techm_Aishwarya.Laddigatti@rta.ae</t>
  </si>
  <si>
    <t>INC000001319860</t>
  </si>
  <si>
    <t>TVM-262221</t>
  </si>
  <si>
    <t>Alarm text: The note vault is almost full.  Replenished.  12:01 – 02/22/2026</t>
  </si>
  <si>
    <t>INC000001319859</t>
  </si>
  <si>
    <t>Please see below comments for not reported evd's;  Date	Vehicle_id	EVD_1	EVD_2	EVD_3	EVD_4	EVD_5	EVD_6	EVD_7	EVD_8	Installed_EVDs	Data_received	Depot (from Block)	Comments 21-Feb-26	975	 	Yes	Yes	Yes	Yes	Yes	Yes	No	7	6	Al Ruwayyah Depot	Under monitoring 21-Feb-26	977	 	Yes	Yes	Yes	Yes	No	Yes	Yes	7	6	Al Awir Depot	Under monitoring 21-Feb-26	1015	 	Yes	No	Yes	Yes	Yes	Yes	Yes	7	6	Al Ruwayyah Depot	Under monitoring 21-Feb-26	1111	 	Yes	Yes	Yes	Yes	Yes	Yes	No	7	6	Al Awir Depot	Under monitoring 21-Feb-26	1217	 	No	 	 	 	 	 	 	1	0	Al Qusais Depot	New VPE 430 Installed,All CICO operational 21-Feb-26	1534	 	Yes	Yes	No	Yes	Yes	 	 	5	4	Al Awir Depot	Under monitoring 21-Feb-26	1539	 	Yes	Yes	Yes	Yes	 	 	 	4	5	Al Khawaneej Depot	Under monitoring 21-Feb-26	1584	 	No	No	No	No	No	 	 	5	0	Al Ruwayyah Depot	New VPE 430 Installed,All CICO operational 21-Feb-26	1602	 	No	No	No	No	No	 	 	5	0	Al Awir Depot	New VPE 430 Installed,All CICO operational 21-Feb-26	1616	 	Yes	Yes	Yes	Yes	 	 	 	4	5	Al Khawaneej Depot	Under monitoring 21-Feb-26	1643	 	Yes	Yes	Yes	Yes	No	 	 	5	4	Al Awir Depot	Under monitoring 21-Feb-26	1650	 	Yes	Yes	Yes	No	Yes	 	 	5	4	Al Awir Depot	Under monitoring 21-Feb-26	1651	 	Yes	Yes	Yes	Yes	 	 	 	4	5	Al Qusais Depot	Under monitoring 21-Feb-26	1697	 	Yes	Yes	Yes	Yes	 	 	 	4	5	Al Khawaneej Depot	Under monitoring 21-Feb-26	1730	 	Yes	Yes	Yes	Yes	No	 	 	5	4	Al Khawaneej Depot	Under monitoring 21-Feb-26	1753	 	No	No	No	No	No	 	 	5	0	Al Khawaneej Depot	New VPE 430 Installed,All CICO operational 21-Feb-26	1754	 	No	No	No	No	No	 	 	5	0	Al Awir Depot	New VPE 430 Installed,All CICO operational 21-Feb-26	1756	 	No	No	No	No	No	 	 	5	0	Al Ruwayyah Depot	New VPE 430 Installed,All CICO operational 21-Feb-26	1758	 	No	No	 	No	No	 	 	4	0	Al Ruwayyah Depot	New VPE 430 Installed,All CICO operational 21-Feb-26	1760	 	No	No	No	No	No	 	 	5	0	Al Awir Depot	New VPE 430 Installed,All CICO operational 21-Feb-26	1765	 	No	No	No	No	No	 	 	5	0	Al Khawaneej Depot	New VPE 430 Installed,All CICO operational 21-Feb-26	1779	 	No	No	No	No	No	 	 	5	0	Al Awir Depot	New VPE 430 Installed,All CICO operational 21-Feb-26	1794	 	No	No	No	No	No	 	 	5	0	Al Ruwayyah Depot	New VPE 430 Installed,All CICO operational 21-Feb-26	1795	 	No	No	No	No	No	 	 	5	0	Al Awir Depot	New VPE 430 Installed,All CICO operational 21-Feb-26	1797	 	No	No	No	No	No	 	 	5	0	Al Awir Depot	New VPE 430 Installed,All CICO operational 21-Feb-26	1801	 	No	No	No	No	No	 	 	5	0	Jebel Ali Depot	New VPE 430 Installed,All CICO operational 21-Feb-26	1803	 	No	No	No	No	No	 	 	5	0	Jebel Ali Depot	New VPE 430 Installed,All CICO operational 21-Feb-26	1814	 	No	No	No	No	No	 	 	5	0	Jebel Ali Depot	New VPE 430 Installed,All CICO operational 21-Feb-26	1819	 	No	No	No	No	No	 	 	5	0	Jebel Ali Depot	New VPE 430 Installed,All CICO operational 21-Feb-26	1820	 	No	No	No	No	No	 	 	5	0	Al Awir Depot	New VPE 430 Installed,All CICO operational 21-Feb-26	1840	 	No	No	No	No	No	 	 	5	0	Al Ruwayyah Depot	New VPE 430 Installed,All CICO operational 21-Feb-26	1844	 	No	No	No	No	No	 	 	5	0	Al Ruwayyah Depot	New VPE 430 Installed,All CICO operational 21-Feb-26	1850	 	Yes	Yes	No	Yes	Yes	 	 	5	4	Al Khawaneej Depot	Under monitoring 21-Feb-26	1857	 	No	No	No	No	No	 	 	5	0	Al Ruwayyah Depot	New VPE 430 Installed,All CICO operational 21-Feb-26	1860	 	No	No	No	No	No	 	 	5	0	Al Ruwayyah Depot	New VPE 430 Installed,All CICO operational 21-Feb-26	1870	 	Yes	Yes	 	Yes	Yes	 	 	4	5	Al Ruwayyah Depot	Under monitoring 21-Feb-26	1881	 	No	No	No	No	No	 	 	5	0	Al Ruwayyah Depot	New VPE 430 Installed,All CICO operational 21-Feb-26	1884	 	No	No	No	No	No	 	 	5	0	Al Ruwayyah Depot	New VPE 430 Installed,All CICO operational 21-Feb-26	1885	 	No	No	No	No	No	 	 	5	0	Al Awir Depot	New VPE 430 Installed,All CICO operational 21-Feb-26	1886	 	No	No	No	No	No	 	 	5	0	Al Awir Depot	New VPE 430 Installed,All CICO operational 21-Feb-26	1888	 	No	No	No	No	No	 	 	5	0	Al Ruwayyah Depot	New VPE 430 Installed,All CICO operational 21-Feb-26	1890	 	No	No	No	No	No	 	 	5	0	Al Ruwayyah Depot	New VPE 430 Installed,All CICO operational 21-Feb-26	1892	 	No	No	No	No	No	 	 	5	0	Al Ruwayyah Depot	New VPE 430 Installed,All CICO operational 21-Feb-26	1898	 	No	No	No	No	No	 	 	5	0	Al Ruwayyah Depot	New VPE 430 Installed,All CICO operational 21-Feb-26	1901	 	No	No	No	No	No	 	 	5	0	Al Ruwayyah Depot	New VPE 430 Installed,All CICO operational 21-Feb-26	1914	 	No	No	No	No	No	 	 	5	0	Al Ruwayyah Depot	New VPE 430 Installed,All CICO operational 21-Feb-26	1922	 	No	No	No	No	No	 	 	5	0	Jebel Ali Depot	New VPE 430 Installed,All CICO operational 21-Feb-26	1923	 	No	No	No	No	No	 	 	5	0	Jebel Ali Depot	New VPE 430 Installed,All CICO operational 21-Feb-26	1929	 	No	No	No	No	No	 	 	5	0	Al Ruwayyah Depot	New VPE 430 Installed,All CICO operational 21-Feb-26	1988	 	No	No	No	No	No	 	 	5	0	Al Ruwayyah Depot	New VPE 430 Installed,All CICO operational 21-Feb-26	1992	 	Yes	Yes	Yes	No	Yes	 	 	5	4	Al Qusais Depot	Under monitoring 21-Feb-26	6173	 	 	No	 	 	 	 	 	1	0	Al Qusais Depot	New VPE 430 Installed,All CICO operational 21-Feb-26	7706	 	No	 	 	 	 	 	 	1	0	Marine	Under monitoring 21-Feb-26	7806	 	No	 	 	 	 	 	 	1	0	Marine	Under monitoring</t>
  </si>
  <si>
    <t>INC000001319857</t>
  </si>
  <si>
    <t>TVM-262185</t>
  </si>
  <si>
    <t>The note vault is almost full.  Replenished   22/02/2026 time 1110hrs</t>
  </si>
  <si>
    <t>INC000001319856</t>
  </si>
  <si>
    <t>Reason:- Nol Card Jam in BNA (034 478 1422)  Action:- Card jam Cleared   Attender :- Azeez   Attended Time:-11:03  Remarks:-</t>
  </si>
  <si>
    <t>INC000001319853</t>
  </si>
  <si>
    <t>TUM-263012</t>
  </si>
  <si>
    <t>Active alarm: BNA1 nearly full  Replenished.  11:50 – 02/22/2026</t>
  </si>
  <si>
    <t>INC000001319850</t>
  </si>
  <si>
    <t>TUM-263011</t>
  </si>
  <si>
    <t>Need to change nbx informed by EI team.  Cash box changed.  12:06 – 02/22/2026</t>
  </si>
  <si>
    <t>INC000001319849</t>
  </si>
  <si>
    <t>DUPLICATE TICKET Please refer INC000001319848</t>
  </si>
  <si>
    <t>INC000001319848</t>
  </si>
  <si>
    <t>Intervention completed  Tvm out of service  Restarted tvm Ping backend successfully Tvm operational</t>
  </si>
  <si>
    <t>INC000001319847</t>
  </si>
  <si>
    <t>Reason: 50dhs jam   Action: remove   Attender Name: Amjad  Attended Time: 10:13</t>
  </si>
  <si>
    <t>INC000001319846</t>
  </si>
  <si>
    <t>FOLLOW UP - auto forwarding</t>
  </si>
  <si>
    <t>Email forwarding was enabled temporary and disabled the same now.  Old:         world_humisan.humisan@rta.ae     New:   TRANSGUARD_humisan.humisan@rta.ae</t>
  </si>
  <si>
    <t>Email Forwarding</t>
  </si>
  <si>
    <t>INC000001319845</t>
  </si>
  <si>
    <t>FOLLOW UP - Email Forwarding Request</t>
  </si>
  <si>
    <t>email forwarding has been enabled</t>
  </si>
  <si>
    <t>INC000001319844</t>
  </si>
  <si>
    <t>Al Hamadi</t>
  </si>
  <si>
    <t>FOLLOW UP - Email Forward request</t>
  </si>
  <si>
    <t>Email Forwarding has been revoked as per the 30days approval is completed.</t>
  </si>
  <si>
    <t>V0033324</t>
  </si>
  <si>
    <t>transguard_amalhamad</t>
  </si>
  <si>
    <t>Transguard_Ahmad.Alhamadi@rta.ae</t>
  </si>
  <si>
    <t>INC000001319840</t>
  </si>
  <si>
    <t>DUPLICATE TICKET Reason :Duplicate  ticket   Action  : cancel this ticket   Attend Time :</t>
  </si>
  <si>
    <t>INC000001319839</t>
  </si>
  <si>
    <t>TVM-262243</t>
  </si>
  <si>
    <t>As we checked the transaction of TVM#262243 in our system we found that the transaction encountered a payment_error. Claim is valid for 10 AED  Transaction Details: * TRANSACTION_ID: 4453244765 * RECORD_TIMESTAMP: 2026-02-21 19:30:34 * USER_ID: 262243 * VALUE: 0 * STATUS: payment_error * DETAILS:   + Complaint.AcceptedAmt: 1000   + Complaint.ComplaintID: C26224300253   + Complaint.InvalidAmt: 1000   + Complaint.Note: 0   + Complaint.Notes: 1000   + Complaint.RefundAmt: 0   + Complaint.TagID: 0306367046   + Receipt Number: S262243260221193030  Match.</t>
  </si>
  <si>
    <t>INC000001319838</t>
  </si>
  <si>
    <t>1637902_Threat Activity Detected</t>
  </si>
  <si>
    <t>INC000001319837</t>
  </si>
  <si>
    <t>Intervention completed  Bna malfunction 10aed jammed in bna Removed jam and kept inside tvm Restarted tvm TVM operational</t>
  </si>
  <si>
    <t>INC000001319835</t>
  </si>
  <si>
    <t>TUM-263085</t>
  </si>
  <si>
    <t>TUM-263085 Need to Change Cash Box With EI Technicians.  Cash box changed.  15:59 – 02/22/2026</t>
  </si>
  <si>
    <t>INC000001319833</t>
  </si>
  <si>
    <t>Device ID: 264011  Reason: CRM  Action: Analysis  Details: Customer paid 70 AED to top-up 70 AED, transaction was unsuccessful.   TRAN TIME	TERMINAL ID	CARD TYPE	CARD NUMBER	TRAN TYPE	SALES AMOUNT	AUTH CODE	REF NO	?t (s) 11:41:58	36230447	VISA	451456XXXXXX4259	SALE	70.00	154107	000000099926	24</t>
  </si>
  <si>
    <t>INC000001319832</t>
  </si>
  <si>
    <t>Active alarm: BNA1 nearly full  Replenished.  08:52 – 02/22/2026.</t>
  </si>
  <si>
    <t>INC000001319831</t>
  </si>
  <si>
    <t>Active alarm: BNA1 nearly full  Replenished.  13:33 – 02/22/2026</t>
  </si>
  <si>
    <t>INC000001319830</t>
  </si>
  <si>
    <t>Biju</t>
  </si>
  <si>
    <t>Valappil</t>
  </si>
  <si>
    <t>Activate the smart Employee Application new device</t>
  </si>
  <si>
    <t>BCValappil</t>
  </si>
  <si>
    <t>Biju.Valappil@rta.ae</t>
  </si>
  <si>
    <t>INC000001319829</t>
  </si>
  <si>
    <t>Reason :Nbx jam  Action  :  Need to change nbx inform brinks   Attend Time :Waiting for brinks  Reason :Nbx jam   Action  : Change nbx with brinks   Attend Time :12:00</t>
  </si>
  <si>
    <t>INC000001319828</t>
  </si>
  <si>
    <t>Reason:- Battery Low   Action:- Replace Battery   Attender :- Azeez   Attended Time:-14:20</t>
  </si>
  <si>
    <t>INC000001319826</t>
  </si>
  <si>
    <t>BS27L-185B-Mankhool, Center Point 1 - M1 (Alert ID: '252279')</t>
  </si>
  <si>
    <t>Reason: offline   Action: rebooted   Attender Name: Amjad  Attended Time: 9:46</t>
  </si>
  <si>
    <t>INC000001319825</t>
  </si>
  <si>
    <t>Abdulhadi</t>
  </si>
  <si>
    <t>Abdulrahim</t>
  </si>
  <si>
    <t>Aababdulrahim</t>
  </si>
  <si>
    <t>Abdulhadi.AAbdulrahim@rta.ae</t>
  </si>
  <si>
    <t>INC000001319824</t>
  </si>
  <si>
    <t>Talal</t>
  </si>
  <si>
    <t>RTA Mail configuration in Personal Smart Phone</t>
  </si>
  <si>
    <t>SOP - SMS Sent to User ,User Confirm On the same Hence ticket Closed.</t>
  </si>
  <si>
    <t>thjalbalooshi</t>
  </si>
  <si>
    <t>Talal.Albalooshi@rta.ae</t>
  </si>
  <si>
    <t>INC000001319823</t>
  </si>
  <si>
    <t>INC000001319822</t>
  </si>
  <si>
    <t>Anas</t>
  </si>
  <si>
    <t>Alouda</t>
  </si>
  <si>
    <t>ayalouda</t>
  </si>
  <si>
    <t>Anas.Alouda@rta.ae</t>
  </si>
  <si>
    <t>INC000001319821</t>
  </si>
  <si>
    <t>Hana Thani</t>
  </si>
  <si>
    <t>Al Halyan</t>
  </si>
  <si>
    <t>htalhalyan</t>
  </si>
  <si>
    <t>hana.alhalyan@rta.ae</t>
  </si>
  <si>
    <t>INC000001319819</t>
  </si>
  <si>
    <t>Jithin</t>
  </si>
  <si>
    <t>Jcvalappil</t>
  </si>
  <si>
    <t>Jithin.Valappil@rta.ae</t>
  </si>
  <si>
    <t>INC000001319818</t>
  </si>
  <si>
    <t>TUM-263022</t>
  </si>
  <si>
    <t>Reason :Nol card jam No: 030 554 9461  Action  : Remove jam nol card   Attend Time :7:10</t>
  </si>
  <si>
    <t>INC000001319817</t>
  </si>
  <si>
    <t>Reason :Card reader damage  Action  : change card reader  Attend Time :7:40   Regards  Prashanth  Card no: 039 830 3529                   030 821 7017                   025 124 8100                   033 024 1951                    029 576 1423                    032 714 5397                    027 738 3170</t>
  </si>
  <si>
    <t>Card reader not accepting card</t>
  </si>
  <si>
    <t>INC000001319816</t>
  </si>
  <si>
    <t>Abdullgani</t>
  </si>
  <si>
    <t>Murad</t>
  </si>
  <si>
    <t>aamurad</t>
  </si>
  <si>
    <t>Abdullgani.Murad@rta.ae</t>
  </si>
  <si>
    <t>INC000001319814</t>
  </si>
  <si>
    <t>Reason: Nol card jam 9dhs 032 368 4811  Action: removed   Attender Name: Amjad  Attended Time: 9:02</t>
  </si>
  <si>
    <t>INC000001319812</t>
  </si>
  <si>
    <t>Noureldin</t>
  </si>
  <si>
    <t>Single Risk Event: machine RTA-PTA-BUS-173 infected with DNS Change, action Details pending</t>
  </si>
  <si>
    <t>Virus issue</t>
  </si>
  <si>
    <t>V0025410</t>
  </si>
  <si>
    <t>srsl_nalmohamed</t>
  </si>
  <si>
    <t>Srsl_Noureldin.Mohamed@rta.ae</t>
  </si>
  <si>
    <t>INC000001319811</t>
  </si>
  <si>
    <t>1637642_Threat Activity Detected</t>
  </si>
  <si>
    <t>INC000001319810</t>
  </si>
  <si>
    <t>TVM-262245</t>
  </si>
  <si>
    <t>INC000001319809</t>
  </si>
  <si>
    <t>INC000001319808</t>
  </si>
  <si>
    <t>Alert in - RTA-RASHIDIYA-MS-BS-5F-SW(172.21.114.5) - Critical</t>
  </si>
  <si>
    <t>Device Down</t>
  </si>
  <si>
    <t>device came up   as discussed with bus station manger there is some yearly based power maintaince work happing SO we are closing the INC</t>
  </si>
  <si>
    <t>mds_vsparayil</t>
  </si>
  <si>
    <t>V0033914</t>
  </si>
  <si>
    <t>Mds_Vipin.Parayil@rta.ae</t>
  </si>
  <si>
    <t>INC000001319807</t>
  </si>
  <si>
    <t>1637338_Threat Activity Detected</t>
  </si>
  <si>
    <t>INC000001319806</t>
  </si>
  <si>
    <t>Suspicious IP to RTA Portal on 22 February 2026, 01:05:07</t>
  </si>
  <si>
    <t>INC000001319805</t>
  </si>
  <si>
    <t>URL is inaccessible in  DR-JP-API-1</t>
  </si>
  <si>
    <t>INC000001319804</t>
  </si>
  <si>
    <t>1637273_Threat Activity Detected</t>
  </si>
  <si>
    <t>INC000001319803</t>
  </si>
  <si>
    <t>1637278_Threat Activity Detected</t>
  </si>
  <si>
    <t>INC000001319802</t>
  </si>
  <si>
    <t>Abnormal Web requests detected from 143.110.248.64</t>
  </si>
  <si>
    <t>Indicator 143.110.248.64 having Malicious reputation is blocked at perimeter level</t>
  </si>
  <si>
    <t>INC000001319801</t>
  </si>
  <si>
    <t>INC000001319800</t>
  </si>
  <si>
    <t>1637213_Threat Activity Detected</t>
  </si>
  <si>
    <t>INC000001319799</t>
  </si>
  <si>
    <t>1637240_Threat Activity Detected</t>
  </si>
  <si>
    <t>INC000001319798</t>
  </si>
  <si>
    <t>BS27L-489-Jumeirah University 1</t>
  </si>
  <si>
    <t>Aspen Engineering Services</t>
  </si>
  <si>
    <t>With reference to your Email, we would like to inform that our team has attended the complaint &amp; found already RTPI is working Fine ( ref attached pic ). So kindly close the case.  The above is for your kind information.</t>
  </si>
  <si>
    <t>INC000001319797</t>
  </si>
  <si>
    <t>1637163_Threat Activity Detected</t>
  </si>
  <si>
    <t>INC000001319796</t>
  </si>
  <si>
    <t>Solar TUM Event : 263000</t>
  </si>
  <si>
    <t>Reason : No Jam found Card No.:   Customer Name:      Action : Fault cleared   Attendee Name:  Jasper Attended Time : 23:43</t>
  </si>
  <si>
    <t>INC000001319795</t>
  </si>
  <si>
    <t>Solar TUM Event : 263047</t>
  </si>
  <si>
    <t>Reason: Note Jam In NBX   Action: Changed BNA &amp; Cleared Alarm   Attended Time: 23:54  Name : NOUSHAD</t>
  </si>
  <si>
    <t>INC000001319794</t>
  </si>
  <si>
    <t>Reason: card jam 034 112 5441 Action: cleared  Attended Time: 0:28</t>
  </si>
  <si>
    <t>INC000001319793</t>
  </si>
  <si>
    <t>Reason: no issue found  Action: working fine  Attended Time: 23:10</t>
  </si>
  <si>
    <t>INC000001319792</t>
  </si>
  <si>
    <t>Reason: Nol Card Stuck In BNA   Action: Removed Jam, card no: 031 444 0181  Attended Time: 00:03  Name : NOUSHAD</t>
  </si>
  <si>
    <t>INC000001319791</t>
  </si>
  <si>
    <t>Arcos alarm raised for terminal 262245</t>
  </si>
  <si>
    <t>DUPLICATE TICKET DUPLICATE TICKET</t>
  </si>
  <si>
    <t>INC000001319789</t>
  </si>
  <si>
    <t>1636939_Threat Activity Detected</t>
  </si>
  <si>
    <t>INC000001319788</t>
  </si>
  <si>
    <t>1636889_Threat Activity Detected</t>
  </si>
  <si>
    <t>INC000001319787</t>
  </si>
  <si>
    <t>Reason:no jam Action: clear fault  Attended Time:(tutz)23:13</t>
  </si>
  <si>
    <t>INC000001319786</t>
  </si>
  <si>
    <t>Suspicious IP to RTA Portal on 21 February 2026, 21:09:09</t>
  </si>
  <si>
    <t>INC000001319784</t>
  </si>
  <si>
    <t>Reason: card jam 033 999 3156 Action: cleared  Attended Time: 21:28</t>
  </si>
  <si>
    <t>INC000001319783</t>
  </si>
  <si>
    <t>TVM-264010 Change cash box.  Cash box changed.  09:00 – 02/22/2026.</t>
  </si>
  <si>
    <t>INC000001319782</t>
  </si>
  <si>
    <t>1636827_Threat Activity Detected</t>
  </si>
  <si>
    <t>INC000001319781</t>
  </si>
  <si>
    <t>1636788_Threat Activity Detected</t>
  </si>
  <si>
    <t>INC000001319780</t>
  </si>
  <si>
    <t>1636819_Threat Activity Detected</t>
  </si>
  <si>
    <t>INC000001319779</t>
  </si>
  <si>
    <t>Intervention completed  Bna malfunction, no. Jamming found, reset bna, ping backend successfully, tested with customer successfully, tvm operational</t>
  </si>
  <si>
    <t>INC000001319778</t>
  </si>
  <si>
    <t>EXPO RTPI Error: Offline - BS27L-489-Jumeirah University 1 - M2 (Alert ID: '252261')</t>
  </si>
  <si>
    <t>Reason: Power Getting Tripped   Action: Third Party Issue   Attended Time: 21:18  Name : NOUSHAD   Remarks : please find the attached picture for your reference thanks</t>
  </si>
  <si>
    <t>INC000001319777</t>
  </si>
  <si>
    <t>Reason: NBX Jam   Action: Changed NBX &amp; BNR with brinks now machine is working fine   Attended Time: 00:54  Name : NOUSHAD</t>
  </si>
  <si>
    <t>INC000001319776</t>
  </si>
  <si>
    <t>TUM-263068</t>
  </si>
  <si>
    <t>Reason : Nol Card Jam  Card No.:  035 476 0183 (2aed) Customer Name:      Action : Card cleared   Attendee Name:  Jasper Attended Time : 21:06</t>
  </si>
  <si>
    <t>INC000001319775</t>
  </si>
  <si>
    <t>1636696_Threat Activity Detected</t>
  </si>
  <si>
    <t>INC000001319774</t>
  </si>
  <si>
    <t>EXPO RTPI Error: Offline - MN32E-DDDMS-Dubai Design District - M2 (Alert ID: '252260')</t>
  </si>
  <si>
    <t>Reason: No Power   Action: Third Party Issue   Attended Time: 20:22  Name : NOUSHAD</t>
  </si>
  <si>
    <t>INC000001319773</t>
  </si>
  <si>
    <t>Reason: note jam 10 dh  Action: cleared  Attended Time: 20:48</t>
  </si>
  <si>
    <t>INC000001319772</t>
  </si>
  <si>
    <t>Reason:   Action:   Attended Time: Duplicate Ticket Please Cancel This Ticket Thanks   Name : NOUSHAD   Remarks : Original Ticket -&gt; INC000001319777</t>
  </si>
  <si>
    <t>INC000001319771</t>
  </si>
  <si>
    <t>TUM-263047 Change cash box  Cash box changed  21/02/2026   21:40</t>
  </si>
  <si>
    <t>INC000001319770</t>
  </si>
  <si>
    <t>Reason: Note Jam   Action: Removed Jam 5aed   Attended Time: 19:20  Name : NOUSHAD</t>
  </si>
  <si>
    <t>INC000001319769</t>
  </si>
  <si>
    <t>1636650_Threat Activity Detected</t>
  </si>
  <si>
    <t>INC000001319768</t>
  </si>
  <si>
    <t>Reason : Nol Card Jam Card No.:  035 476 0188 Customer Name:      Action : Card cleared</t>
  </si>
  <si>
    <t>INC000001319767</t>
  </si>
  <si>
    <t>1636592_Threat Activity Detected</t>
  </si>
  <si>
    <t>INC000001319766</t>
  </si>
  <si>
    <t>DUPLICATE TICKET  Attended Time: Duplicate Ticket Please Cancel   Name : NOUSHAD</t>
  </si>
  <si>
    <t>INC000001319765</t>
  </si>
  <si>
    <t>1636497_Threat Activity Detected</t>
  </si>
  <si>
    <t>INC000001319764</t>
  </si>
  <si>
    <t>1636499_Threat Activity Detected</t>
  </si>
  <si>
    <t>INC000001319762</t>
  </si>
  <si>
    <t>Robari</t>
  </si>
  <si>
    <t>Qmatic issue - Um Ramool CHC</t>
  </si>
  <si>
    <t>AL AWEER USED CAR MKT LIC</t>
  </si>
  <si>
    <t>Issue has been resolved by deleting the token from the Queue.</t>
  </si>
  <si>
    <t>marobari</t>
  </si>
  <si>
    <t>Marwa.Robari@rta.ae</t>
  </si>
  <si>
    <t>INC000001319761</t>
  </si>
  <si>
    <t>TVM 262208 BNA malfunction  One Piece of bank note jammed in side the BNA  Removed the jamming and reset the BNA  TVM is operational  Tested with customer</t>
  </si>
  <si>
    <t>INC000001319760</t>
  </si>
  <si>
    <t>Ead Rashid</t>
  </si>
  <si>
    <t>Al Mutlk</t>
  </si>
  <si>
    <t xml:space="preserve">?????? E-Transport  ?? ???? </t>
  </si>
  <si>
    <t>DEIRA -BUS STATION</t>
  </si>
  <si>
    <t>The request has been resolved and closed.  Please check and confirm.</t>
  </si>
  <si>
    <t>eralmutlk</t>
  </si>
  <si>
    <t>ead.almutlk@rta.ae</t>
  </si>
  <si>
    <t>INC000001319759</t>
  </si>
  <si>
    <t>Suspicious IP to RTA Portal on 21 February 2026, 17:06:55</t>
  </si>
  <si>
    <t>INC000001319758</t>
  </si>
  <si>
    <t>Abnormal Web requests detected from 192.210.140.39</t>
  </si>
  <si>
    <t>INC000001319757</t>
  </si>
  <si>
    <t>Reason: NBX Jam   Action: Changed NBX With Brinks Team   Attended Time: 21:34  Name : NOUSHAD    Reason: NBX Not Inserted Properly  Action: Removed Jam 10aed &amp; Nol Card no: 034 494 7114 ,  Please Assing Brinks Team  Attended Time:   Name : NOUSHAD   Remarks : Please advise brinks team while they are changing NBX check one transaction at least because it's busy machine to avoide revisit thanks.</t>
  </si>
  <si>
    <t>INC000001319756</t>
  </si>
  <si>
    <t>BNA1 nearly full  Replenished  21/02/2026   21:35</t>
  </si>
  <si>
    <t>INC000001319755</t>
  </si>
  <si>
    <t>Exchange the driving license</t>
  </si>
  <si>
    <t>there was locked profile it released now try again</t>
  </si>
  <si>
    <t>INC000001319754</t>
  </si>
  <si>
    <t>Scaria</t>
  </si>
  <si>
    <t>Mathai</t>
  </si>
  <si>
    <t>Unable to create a work order</t>
  </si>
  <si>
    <t>SMMaithai</t>
  </si>
  <si>
    <t>Scaria.Maithai@rta.ae</t>
  </si>
  <si>
    <t>INC000001319753</t>
  </si>
  <si>
    <t>1636318_Threat Activity Detected</t>
  </si>
  <si>
    <t>INC000001319752</t>
  </si>
  <si>
    <t>Shaik</t>
  </si>
  <si>
    <t>Vali</t>
  </si>
  <si>
    <t>we accessed remotely and configured the VPN for the user. We guided the user and it had been successfully connected to VPN</t>
  </si>
  <si>
    <t>savali</t>
  </si>
  <si>
    <t>Shaik.vali@rta.ae</t>
  </si>
  <si>
    <t>INC000001319750</t>
  </si>
  <si>
    <t>Reason: card stuck  Action: removed nol card (0369700372 balance 8aed) Attended Time:(tutz)</t>
  </si>
  <si>
    <t>INC000001319749</t>
  </si>
  <si>
    <t>1636245_Threat Activity Detected</t>
  </si>
  <si>
    <t>INC000001319748</t>
  </si>
  <si>
    <t>Reason: note jam Action: removed 10aed stuck inside the bna, plus 5aed out side the bna  Attended Time:(tutz)</t>
  </si>
  <si>
    <t>INC000001319747</t>
  </si>
  <si>
    <t>Bus-1983</t>
  </si>
  <si>
    <t>Intervention Completed. No issue found. Tested successfully. All cico working fine.</t>
  </si>
  <si>
    <t>INC000001319746</t>
  </si>
  <si>
    <t>??? ?? ????? ??????</t>
  </si>
  <si>
    <t>-------------Request--------- &lt;S:Envelope xmlns:S="http://schemas.xmlsoap.org/soap/envelope/" xmlns:env="http://schemas.xmlsoap.org/soap/envelope/"&gt;  &lt;env:Header/&gt;  &lt;S:Body&gt;  &lt;ns0:createOrderDetail xmlns:ns0="http://www.rta.ae/ActiveMatrix/ESB/IDeExternalOrders/1_0" xmlns:ns1="http://www.rta.ae/EIP/Fault/Fault"&gt;  &lt;orderID&gt;294523298&lt;/orderID&gt;  &lt;formatID&gt;DUB18_008&lt;/formatID&gt;  &lt;licenseNumber&gt;F 98529&lt;/licenseNumber&gt;  &lt;priority&gt;10&lt;/priority&gt;  &lt;/ns0:createOrderDetail&gt;  &lt;/S:Body&gt;  &lt;/S:Envelope&gt;    -------------Response--------------- identifier = [orderID.value = 294523298, plateFormatId = DUB18_008, plateInfo = F 98529]  faultCode = [RTA-ESB-IDeExternalOrders-ERROR-10004]  faultString = [Internal Error occurred while processing your request. Kindly contact system administrator.]  faultDetail = []  message = [could not execute statement; SQL [n/a]; constraint [ordersets_set_identifier_key]; nested exception is org.hibernate.exception.ConstraintViolationException: could not execute statement]</t>
  </si>
  <si>
    <t>INC000001319745</t>
  </si>
  <si>
    <t>INC000001319744</t>
  </si>
  <si>
    <t>Bus-6319</t>
  </si>
  <si>
    <t>INC000001319742</t>
  </si>
  <si>
    <t>AlMehairbi</t>
  </si>
  <si>
    <t>Request to give access to confidential. Letters in EMS</t>
  </si>
  <si>
    <t>Isoft Ali Jouni</t>
  </si>
  <si>
    <t>EMS</t>
  </si>
  <si>
    <t>UMM RAMOOL - HQ block C</t>
  </si>
  <si>
    <t>Request has been handled by Admin service department, no action from application team</t>
  </si>
  <si>
    <t>msalmehairbi</t>
  </si>
  <si>
    <t>Muna.AlMehairbi@rta.ae</t>
  </si>
  <si>
    <t>INC000001319741</t>
  </si>
  <si>
    <t>TUM-263108</t>
  </si>
  <si>
    <t>Reason: note jam 10 dh  Action: cleared  Attended Time: 16:55</t>
  </si>
  <si>
    <t>INC000001319739</t>
  </si>
  <si>
    <t>Reason: note jam 10+5=15 dh Action: cleared  Attended Time: 17:00</t>
  </si>
  <si>
    <t>INC000001319737</t>
  </si>
  <si>
    <t>maabdulla1</t>
  </si>
  <si>
    <t>mohammed.AAbdulla@rta.ae</t>
  </si>
  <si>
    <t>INC000001319736</t>
  </si>
  <si>
    <t>Binashour</t>
  </si>
  <si>
    <t>fsbinashour</t>
  </si>
  <si>
    <t>Fatima.Binashour@rta.ae</t>
  </si>
  <si>
    <t>INC000001319735</t>
  </si>
  <si>
    <t>Mohamad</t>
  </si>
  <si>
    <t>FABMohamad</t>
  </si>
  <si>
    <t>Fatima.AMohamad@rta.ae</t>
  </si>
  <si>
    <t>INC000001319734</t>
  </si>
  <si>
    <t>locked by e-traffic with transaction 269025334 and waiting customer to complete it</t>
  </si>
  <si>
    <t>INC000001319733</t>
  </si>
  <si>
    <t>Alsinani</t>
  </si>
  <si>
    <t>asalsinani</t>
  </si>
  <si>
    <t>Amal.Alsinani@rta.ae</t>
  </si>
  <si>
    <t>INC000001319732</t>
  </si>
  <si>
    <t>Suspicious IP to RTA Portal on 21 February 2026, 14:08:14</t>
  </si>
  <si>
    <t>INC000001319731</t>
  </si>
  <si>
    <t>Reason: Nol card jam ( 039 618 6603 )  Action: Removed Nol card jam   Attender name: Mohammed zabir   Attended Time: 14:04</t>
  </si>
  <si>
    <t>INC000001319730</t>
  </si>
  <si>
    <t>Haytham</t>
  </si>
  <si>
    <t>V0034540</t>
  </si>
  <si>
    <t>tuvr_hmahmed</t>
  </si>
  <si>
    <t>Tuvr_Haytham.Ahmed@rta.ae</t>
  </si>
  <si>
    <t>INC000001319729</t>
  </si>
  <si>
    <t>Intervention completed  Blank screen, due to repeated complaint, replaced display unit, ping backend successfully, tested with customer successfully, tvm operational</t>
  </si>
  <si>
    <t>INC000001319728</t>
  </si>
  <si>
    <t>??? ?? ????? ?????? ??????</t>
  </si>
  <si>
    <t>this journey created at 2024  Close customer old  journey, to start a new vehicle renewal journey</t>
  </si>
  <si>
    <t>INC000001319727</t>
  </si>
  <si>
    <t>Multiple Signatures triggered from same Source 172.239.109.26</t>
  </si>
  <si>
    <t>INC000001319726</t>
  </si>
  <si>
    <t>Suspicious IP to RTA Portal on 21 February 2026, 13:08:19</t>
  </si>
  <si>
    <t>INC000001319725</t>
  </si>
  <si>
    <t>Ashkanani</t>
  </si>
  <si>
    <t>Request for configure print screen</t>
  </si>
  <si>
    <t>The Print Screen feature has been configured successfully after modifying the default apps in Settings.</t>
  </si>
  <si>
    <t>Aaashkanani</t>
  </si>
  <si>
    <t>Ali.Ashkanani@rta.ae</t>
  </si>
  <si>
    <t>INC000001319724</t>
  </si>
  <si>
    <t>sync issue synced sync issue synced sync issue synced</t>
  </si>
  <si>
    <t>INC000001319723</t>
  </si>
  <si>
    <t>Reason: 10+5=15 AED note jam  Action: Removed note jam   Attender Name: Mohammed zabir   Attended Time:13:16</t>
  </si>
  <si>
    <t>INC000001319722</t>
  </si>
  <si>
    <t>Techm Junaiz</t>
  </si>
  <si>
    <t>Karumarakkal</t>
  </si>
  <si>
    <t>Disk expansion for RTAMHSVM46</t>
  </si>
  <si>
    <t>Disk expansion of 250 GB has been completed. Hence closing the ticket.</t>
  </si>
  <si>
    <t>SAN Space Request</t>
  </si>
  <si>
    <t>V004707</t>
  </si>
  <si>
    <t>Techm_JKKarumarakkal</t>
  </si>
  <si>
    <t>Techm_Junaiz.Karumarakkal@rta.ae</t>
  </si>
  <si>
    <t>INC000001319721</t>
  </si>
  <si>
    <t>??? ?? ??? ???????</t>
  </si>
  <si>
    <t>Duplicate with https://dev.azure.com/LicensingAgency/Licensing%20Systems%20Support/_workitems/edit/301429</t>
  </si>
  <si>
    <t>INC000001319719</t>
  </si>
  <si>
    <t>Suspicious IP to RTA Portal on 21 February 2026, 12:08:25</t>
  </si>
  <si>
    <t>INC000001319718</t>
  </si>
  <si>
    <t>Active alarm: BNA1 nearly full  Replenished.  12:19 – 02/21/2026</t>
  </si>
  <si>
    <t>INC000001319716</t>
  </si>
  <si>
    <t>TARS AUH 32163 14 Geely 1990044705</t>
  </si>
  <si>
    <t>Dear User,  Vehicle with VIN - LB3762KZ2RX505374 has an active borrowing - did:1990044705:1701337289301, kindly close the borrowing to create new contract.</t>
  </si>
  <si>
    <t>INC000001319715</t>
  </si>
  <si>
    <t>Reason: Nol card jam ( 029 135 0411 )  Action: Removed Nol card jam   Attender Name: Mohammed zabir   Attended Time: 12:30</t>
  </si>
  <si>
    <t>INC000001319714</t>
  </si>
  <si>
    <t>Moosa Ali</t>
  </si>
  <si>
    <t>amoali</t>
  </si>
  <si>
    <t>Ali.Moosa@rta.ae</t>
  </si>
  <si>
    <t>INC000001319713</t>
  </si>
  <si>
    <t>TUM-263060</t>
  </si>
  <si>
    <t>Reason: Duplicate ticket ( INC000001319593 )  Action: please cancel this ticket   Attended Time:  Remarks:</t>
  </si>
  <si>
    <t>INC000001319712</t>
  </si>
  <si>
    <t>Renew Driving License</t>
  </si>
  <si>
    <t>EPS closed EPS closed EPS closedEPS closed EPS closed</t>
  </si>
  <si>
    <t>INC000001319711</t>
  </si>
  <si>
    <t>DUPLICATE TICKET  Please refer   INC000001319681</t>
  </si>
  <si>
    <t>INC000001319710</t>
  </si>
  <si>
    <t>INC000001319709</t>
  </si>
  <si>
    <t>????? ???? ??????? ????????</t>
  </si>
  <si>
    <t>customer can cancel it we will cancel manually</t>
  </si>
  <si>
    <t>INC000001319708</t>
  </si>
  <si>
    <t>Suspicious IP to RTA Portal on 21 February 2026, 11:08:19</t>
  </si>
  <si>
    <t>INC000001319707</t>
  </si>
  <si>
    <t>Moldeen</t>
  </si>
  <si>
    <t>Kunhali</t>
  </si>
  <si>
    <t>Update mobile number</t>
  </si>
  <si>
    <t>As per the below request, mobile number has been updated, please check and confirm. Note: updated Information can take time 24 hour in order to reflect in outlook.   User Login: ULTIMATE_RKKUNJUMUHA Mobile number- 971568814223</t>
  </si>
  <si>
    <t>V0017223</t>
  </si>
  <si>
    <t>ultimate_mkkunhali</t>
  </si>
  <si>
    <t>Ultimate_Moldeen.Kunhali@rta.ae</t>
  </si>
  <si>
    <t>INC000001319705</t>
  </si>
  <si>
    <t>TVM-262208 CTU magazine almost empty please inform brinks team to refill magazine  Nol card magazine refilled.  15:30 – 02/21/2026</t>
  </si>
  <si>
    <t>Change card magazine</t>
  </si>
  <si>
    <t>INC000001319704</t>
  </si>
  <si>
    <t>INC000001319701</t>
  </si>
  <si>
    <t>TUM-263051 please inform brinks team need to change NBX  Cash box changed.  12:03 – 02/21/2026</t>
  </si>
  <si>
    <t>INC000001319699</t>
  </si>
  <si>
    <t>TUM-263057</t>
  </si>
  <si>
    <t>Active alarm: BNA1 nearly full.  Replenished.  11:44 – 02/21/2026</t>
  </si>
  <si>
    <t>INC000001319698</t>
  </si>
  <si>
    <t>TOM-327690</t>
  </si>
  <si>
    <t>Tom 327690.  Reset router  Ping back end successfully  Tom operational</t>
  </si>
  <si>
    <t>Ticket Office Machine (TOM)</t>
  </si>
  <si>
    <t>Internet connection not available</t>
  </si>
  <si>
    <t>INC000001319697</t>
  </si>
  <si>
    <t>????? ???? ????</t>
  </si>
  <si>
    <t>there was issue with learning file expiry solved try now</t>
  </si>
  <si>
    <t>INC000001319696</t>
  </si>
  <si>
    <t>Abnormal Web requests detected from 45.249.244.185</t>
  </si>
  <si>
    <t>INC000001319695</t>
  </si>
  <si>
    <t>Suspicious IP to RTA Portal on 21 February 2026, 10:07:15</t>
  </si>
  <si>
    <t>INC000001319694</t>
  </si>
  <si>
    <t>Reason: 50dhs note + Nol card jam 12dhs 039 022 7858  Action: removed   Attender Name: Amjad  Attended Time: 11:24</t>
  </si>
  <si>
    <t>INC000001319693</t>
  </si>
  <si>
    <t>TUM-263102</t>
  </si>
  <si>
    <t>Reason: BNA malfunction   Action: Cleared   Attender Name: Mohammed zabir   Attended Time: 10:21</t>
  </si>
  <si>
    <t>INC000001319692</t>
  </si>
  <si>
    <t>Nizar</t>
  </si>
  <si>
    <t>Jehabar Ali-Contractor</t>
  </si>
  <si>
    <t>Intervention completed  White screen, replaced power manager cable Restarted tvm Ping backend successfully Tvm operational</t>
  </si>
  <si>
    <t>V0011056</t>
  </si>
  <si>
    <t>okool_najehabarali</t>
  </si>
  <si>
    <t>Okool_Nizar.Jehabarali@rta.ae</t>
  </si>
  <si>
    <t>INC000001319691</t>
  </si>
  <si>
    <t>RE: [EXTERNAL] RE: Unable to accept return plate AUH6857018  {7012445}</t>
  </si>
  <si>
    <t>Dear User, The issue for the Approval is now resolved , kindly verify MHFDX8FS0P0131237</t>
  </si>
  <si>
    <t>INC000001319689</t>
  </si>
  <si>
    <t>Reason:- Note jam 10dh   Action:- Note jam Cleared ,BNA Changed, Fault Cleared   Attender :- Azeez   Attended Time:-11:52</t>
  </si>
  <si>
    <t>INC000001319688</t>
  </si>
  <si>
    <t>Solar TUM Event : 263051</t>
  </si>
  <si>
    <t>DUPLICATE TICKET  Reason: duplicate INC000001319670  Action:  Attender Name: Amjad</t>
  </si>
  <si>
    <t>INC000001319687</t>
  </si>
  <si>
    <t>TUM-263061</t>
  </si>
  <si>
    <t>Need to change NBX informed by EI Amjad  Cash box changed.  11:45 – 02/21/2026</t>
  </si>
  <si>
    <t>INC000001319686</t>
  </si>
  <si>
    <t>1635408_Threat Activity Detected</t>
  </si>
  <si>
    <t>INC000001319685</t>
  </si>
  <si>
    <t>Reason: AED 10 note jam  Action: Removed note jam    Attender Name: Mohammed zabir  Attended Time: 10:49</t>
  </si>
  <si>
    <t>INC000001319682</t>
  </si>
  <si>
    <t>Usama</t>
  </si>
  <si>
    <t>The VPN has been configured successfully</t>
  </si>
  <si>
    <t>V0031997</t>
  </si>
  <si>
    <t>techvista_uaahmed</t>
  </si>
  <si>
    <t>Techvista_Usama.Ahmed@rta.ae</t>
  </si>
  <si>
    <t>INC000001319681</t>
  </si>
  <si>
    <t>Note:- CTU magazine almost empty please inform brinks team to refill magazine,Tvm operational. -----------------------------  Intervention completed BNA malfunction 10aed jammed in bna Removed jam and kept inside tvm Restarted tvm TVM operational tested with customers.</t>
  </si>
  <si>
    <t>INC000001319680</t>
  </si>
  <si>
    <t>Reason: Paper low   Action: Changed paper roll  Attender Name: Mohammed zabir   Attended Time: 11:57</t>
  </si>
  <si>
    <t>Out of Paper</t>
  </si>
  <si>
    <t>INC000001319676</t>
  </si>
  <si>
    <t>1635323_Threat Activity Detected</t>
  </si>
  <si>
    <t>INC000001319675</t>
  </si>
  <si>
    <t>1635290_Threat Activity Detected</t>
  </si>
  <si>
    <t>INC000001319673</t>
  </si>
  <si>
    <t>Intervention completed  No issue found  TVM operational  Ping backend successfully</t>
  </si>
  <si>
    <t>INC000001319672</t>
  </si>
  <si>
    <t>Intervention completed BNA malfunction No jamming found Belt misaligned Fixed back belt bna not inizalising reset bna multiple times Restarted tvm TVM operational tested with customers</t>
  </si>
  <si>
    <t>INC000001319671</t>
  </si>
  <si>
    <t>Reason: BNA disable   Action: Cleared   Attended Time: 8:44</t>
  </si>
  <si>
    <t>INC000001319670</t>
  </si>
  <si>
    <t>Reason: no note jam  Action: cleared  Attender Name: Amjad  Attended Time: 9:38  Remarks: please inform brinks team need to change NBX  Reason: changed nbx with brinks   Action:  Attender Name: Amjad  Attended Time: 12:00</t>
  </si>
  <si>
    <t>INC000001319669</t>
  </si>
  <si>
    <t>TUM-263056</t>
  </si>
  <si>
    <t>Reason :No issue  Action  : checked machine working fine  Attend Time :8:30</t>
  </si>
  <si>
    <t>INC000001319668</t>
  </si>
  <si>
    <t>????? ????? 17087652 Request</t>
  </si>
  <si>
    <t>INC000001319666</t>
  </si>
  <si>
    <t>Request 17195315</t>
  </si>
  <si>
    <t>INC000001319665</t>
  </si>
  <si>
    <t>Solar TUM Event : 263067</t>
  </si>
  <si>
    <t>DUPLICATE TICKET  Reason: Duplicate ticket ( INC000001319652 )  Action: please close this ticket   Attended Time:</t>
  </si>
  <si>
    <t>INC000001319664</t>
  </si>
  <si>
    <t>DUPLICATE TICKET  Reason: Duplicate ticket ( INC000001319652 )  Action: please close this ticket</t>
  </si>
  <si>
    <t>INC000001319663</t>
  </si>
  <si>
    <t>INC000001319662</t>
  </si>
  <si>
    <t>Reason: 5dhs jam  Action: removed   Attender Name: Amjad  Attended Time: 8:10</t>
  </si>
  <si>
    <t>INC000001319661</t>
  </si>
  <si>
    <t>Nabil</t>
  </si>
  <si>
    <t>Al Matroush</t>
  </si>
  <si>
    <t>nmalmatroush</t>
  </si>
  <si>
    <t>nabil.almatroush@rta.ae</t>
  </si>
  <si>
    <t>INC000001319660</t>
  </si>
  <si>
    <t>INC000001319659</t>
  </si>
  <si>
    <t>Reason: No issue found   Action: Device working fine  Attended Time: 6:55  Remarks:</t>
  </si>
  <si>
    <t>Not Accepting Money</t>
  </si>
  <si>
    <t>INC000001319658</t>
  </si>
  <si>
    <t>in excel app: - Go to file. - Office account. - Sign in. - Enter username@rta.ae - Enter password. - click option to sign in to all MS apps.</t>
  </si>
  <si>
    <t>V0025192</t>
  </si>
  <si>
    <t>srsl_maabdelrahman</t>
  </si>
  <si>
    <t>Srsl_Mohamed.Abdelrahman@rta.ae</t>
  </si>
  <si>
    <t>INC000001319656</t>
  </si>
  <si>
    <t>1635083_Threat Activity Detected</t>
  </si>
  <si>
    <t>INC000001319655</t>
  </si>
  <si>
    <t>TUM-263003</t>
  </si>
  <si>
    <t>Reason: paper jam  Action: cleared   Attender Name: Amjad  Attended Time: 8:44</t>
  </si>
  <si>
    <t>INC000001319654</t>
  </si>
  <si>
    <t>Generic Id BSMaintenance has been unlocked.</t>
  </si>
  <si>
    <t>INC000001319653</t>
  </si>
  <si>
    <t>Reason: 20dhs jam  Action: removed  Attender Name: Amjad  Attended Time: 8:31</t>
  </si>
  <si>
    <t>INC000001319652</t>
  </si>
  <si>
    <t>Reason: Nol card jam ( 038 097 8932 )  Action: Removed Nol card jam   Attender Name: Mohammed zabir   Attended Time: 7:30</t>
  </si>
  <si>
    <t>INC000001319651</t>
  </si>
  <si>
    <t>TUM- 263091</t>
  </si>
  <si>
    <t>Reason:- Nol Card Jam in BNA (024 743 6397)  Action:- Card jam Cleared    Attender :- Azeez   Attended Time:-07:25</t>
  </si>
  <si>
    <t>INC000001319650</t>
  </si>
  <si>
    <t>MaximoSrini: CANNOT OPEN THE WORK ORDER</t>
  </si>
  <si>
    <t>INC000001319649</t>
  </si>
  <si>
    <t>MaximoSrini: Request to Verify User Access in Maximo</t>
  </si>
  <si>
    <t>INC000001319648</t>
  </si>
  <si>
    <t>Suspicious IP to RTA Portal on 21 February 2026, 05:04:13</t>
  </si>
  <si>
    <t>INC000001319647</t>
  </si>
  <si>
    <t>TOCC-Alert-Warning-P-260227032|OPEN|Host or monitoring unavailable</t>
  </si>
  <si>
    <t>Ibrahim Kalhasan</t>
  </si>
  <si>
    <t>Road Management System</t>
  </si>
  <si>
    <t>An email was sent to the Network Team for investigation. Confirmation was received after verification, and the server is now reachable and operating normally.</t>
  </si>
  <si>
    <t>Access Not Available</t>
  </si>
  <si>
    <t>INC000001319646</t>
  </si>
  <si>
    <t>Al Saffar</t>
  </si>
  <si>
    <t>GRP and Smart employee delegation access request</t>
  </si>
  <si>
    <t>mmalsaffar</t>
  </si>
  <si>
    <t>Mariam.Alsaffar@rta.ae</t>
  </si>
  <si>
    <t>INC000001319645</t>
  </si>
  <si>
    <t>Maximo delegation access request</t>
  </si>
  <si>
    <t>The Maximo system delegation is set as per your request.</t>
  </si>
  <si>
    <t>INC000001319641</t>
  </si>
  <si>
    <t>INC000001319640</t>
  </si>
  <si>
    <t>INC000001319639</t>
  </si>
  <si>
    <t>1634843_Threat Activity Detected</t>
  </si>
  <si>
    <t>INC000001319638</t>
  </si>
  <si>
    <t>UNI-EP-08/340007</t>
  </si>
  <si>
    <t>Reason: PM  Action: PM done  Attended Time: 18:10</t>
  </si>
  <si>
    <t>INC000001319637</t>
  </si>
  <si>
    <t>UNI-EP-05/340047</t>
  </si>
  <si>
    <t>Reason: PM  Action: PM done  Attended Time: 18:25</t>
  </si>
  <si>
    <t>INC000001319636</t>
  </si>
  <si>
    <t>UNI-46L1-WM-2020-1097</t>
  </si>
  <si>
    <t>Reason: PM  Action: PM done  Attended Time: 18:20</t>
  </si>
  <si>
    <t>INC000001319635</t>
  </si>
  <si>
    <t>UNI-46L1-WM-2020-1096</t>
  </si>
  <si>
    <t>Reason: PM  Action: PM done  Attended Time: 18:35</t>
  </si>
  <si>
    <t>INC000001319634</t>
  </si>
  <si>
    <t>Hatta-EP-04/Wadi Hub/340040</t>
  </si>
  <si>
    <t>Reason:- Preventive Maintenance   Action:- Done   Attender :- Azeez   Attended Time:-16:05</t>
  </si>
  <si>
    <t>INC000001319633</t>
  </si>
  <si>
    <t>Hatta-EP-03/Dam/340049</t>
  </si>
  <si>
    <t>Reason:- Preventive Maintenance   Action:- Done   Attender :- Azeez   Attended Time:-17:00</t>
  </si>
  <si>
    <t>INC000001319632</t>
  </si>
  <si>
    <t>Hatta-EP-01/Heritage/340141</t>
  </si>
  <si>
    <t>Reason:- Preventive Maintenance   Action:- Done   Attender :- Azeez   Attended Time:-16:50</t>
  </si>
  <si>
    <t>INC000001319631</t>
  </si>
  <si>
    <t>Hatta-EP-04/340042</t>
  </si>
  <si>
    <t>Reason:- Preventive Maintenance   Action:- Done   Attender :-  Azeez   Attended Time:-17:19</t>
  </si>
  <si>
    <t>INC000001319630</t>
  </si>
  <si>
    <t>Hatta-EP-03/340128</t>
  </si>
  <si>
    <t>Reason:- Preventive Maintenance   Action:- Done   Name :-Azeez   Attended Time:-17:45  Remarks:-</t>
  </si>
  <si>
    <t>INC000001319629</t>
  </si>
  <si>
    <t>Hatta-EP-02/340031</t>
  </si>
  <si>
    <t>Reason:- Preventive Maintenance   Action:- Done   Attender :- Azeez   Attended Time:-17:15</t>
  </si>
  <si>
    <t>INC000001319628</t>
  </si>
  <si>
    <t>Hatta-EP-01/340059</t>
  </si>
  <si>
    <t>Reason:- Preventive Maintenance   Action:- Done   Attender :- Azeez   Attended Time:-17:24</t>
  </si>
  <si>
    <t>INC000001319627</t>
  </si>
  <si>
    <t>TOM-327705</t>
  </si>
  <si>
    <t>Preventive Maintenance completed  Cleaned exterior Checked devices functions working fine TOM operational</t>
  </si>
  <si>
    <t>INC000001319626</t>
  </si>
  <si>
    <t>TVM-262220</t>
  </si>
  <si>
    <t>DUPLICATE TICKET Please refer   INC000001296944</t>
  </si>
  <si>
    <t>INC000001319625</t>
  </si>
  <si>
    <t>INC000001319624</t>
  </si>
  <si>
    <t>Reason : PM Card No.:   Customer Name:      Action : PM done  Attendee Name:  Jasper Attended Time : 00:49  Remarks:</t>
  </si>
  <si>
    <t>INC000001319623</t>
  </si>
  <si>
    <t>Reason: PM  Action: Done pm   Attender Name: Mohammed zabir   Attended Time: 9:52</t>
  </si>
  <si>
    <t>INC000001319622</t>
  </si>
  <si>
    <t>1634793_Threat Activity Detected</t>
  </si>
  <si>
    <t>INC000001319621</t>
  </si>
  <si>
    <t>INC000001319620</t>
  </si>
  <si>
    <t>Reason:- Out of Service   Action:- Reboot Device   Attender :-  Azeez   Attended Time:-06:15</t>
  </si>
  <si>
    <t>INC000001319619</t>
  </si>
  <si>
    <t>Suspicious IP to RTA Portal on 21 February 2026, 02:04:53</t>
  </si>
  <si>
    <t>INC000001319618</t>
  </si>
  <si>
    <t>BUS-2795</t>
  </si>
  <si>
    <t>Intervention Completed (2:00am) No issue found. Tested successfully. All cico operational</t>
  </si>
  <si>
    <t>INC000001319616</t>
  </si>
  <si>
    <t>INC000001319615</t>
  </si>
  <si>
    <t>EXPO RTPI Error: Offline - BS24L-475-Al Quoz Dubai Municipality Center 2 - M2 (Alert ID: '</t>
  </si>
  <si>
    <t>Reason :Offline  Action  : Auto reslove   Attend Time :7:55</t>
  </si>
  <si>
    <t>INC000001319614</t>
  </si>
  <si>
    <t>1634683_Threat Activity Detected</t>
  </si>
  <si>
    <t>INC000001319613</t>
  </si>
  <si>
    <t>EXPO RTPI Error: Offline - BS27L-489-Jumeirah University 1 - M2 (Alert ID: '252251')</t>
  </si>
  <si>
    <t>Reason :Power trip  Action  : switch on back to online   Attend Time :8:50</t>
  </si>
  <si>
    <t>INC000001319612</t>
  </si>
  <si>
    <t>1634547_Threat Activity Detected</t>
  </si>
  <si>
    <t>INC000001319610</t>
  </si>
  <si>
    <t>Reason : NOL Card Jam Card No.:  036 874 2714 {5aed) Customer Name:      Action : Card cleared</t>
  </si>
  <si>
    <t>INC000001319609</t>
  </si>
  <si>
    <t>Nazar</t>
  </si>
  <si>
    <t>User account ec3_itservicedesk has been Unlocked</t>
  </si>
  <si>
    <t>V0030814</t>
  </si>
  <si>
    <t>cns_niibrahim</t>
  </si>
  <si>
    <t>Cns_Nazar.Ibrahim@rta.ae</t>
  </si>
  <si>
    <t>INC000001319608</t>
  </si>
  <si>
    <t>Unable to view rejected line items  - 24-10865</t>
  </si>
  <si>
    <t>User, PC lines can see the contract lines</t>
  </si>
  <si>
    <t>AMAlameri</t>
  </si>
  <si>
    <t>Ayesha.Alameri@rta.ae</t>
  </si>
  <si>
    <t>INC000001319607</t>
  </si>
  <si>
    <t>Reason : Nol Card Jam  Card No.:  034 515 9099 (7aed) Customer Name:      Action : Card cleared</t>
  </si>
  <si>
    <t>INC000001319606</t>
  </si>
  <si>
    <t>SWEDEN WILL BOMB RUSSIA</t>
  </si>
  <si>
    <t>We have blocked the sender email ID in email gateway lykkeland10@gmail.com and revoked the emails from recipients</t>
  </si>
  <si>
    <t>CSC Related</t>
  </si>
  <si>
    <t>Recall / Delete Emails</t>
  </si>
  <si>
    <t>INC000001319605</t>
  </si>
  <si>
    <t>TUM-263113</t>
  </si>
  <si>
    <t>Reason: AED 5 Note jam   Action: Cleared   Attender Name: Kishor Bangera   Attend Time: 22:35</t>
  </si>
  <si>
    <t>INC000001319604</t>
  </si>
  <si>
    <t>Oman insurance</t>
  </si>
  <si>
    <t>sync issue synced  sync issue synced  sync issue synced  sync issue synced</t>
  </si>
  <si>
    <t>INC000001319603</t>
  </si>
  <si>
    <t>TUM-263060 Change cash box  Cash box changed.  11:30 – 02/21/2026</t>
  </si>
  <si>
    <t>INC000001319602</t>
  </si>
  <si>
    <t>Menna Allah</t>
  </si>
  <si>
    <t>Farid Elhadi Eladawi</t>
  </si>
  <si>
    <t>Lost and found System access request</t>
  </si>
  <si>
    <t>AMS</t>
  </si>
  <si>
    <t>The request has been resolved and closed.</t>
  </si>
  <si>
    <t>V0025248</t>
  </si>
  <si>
    <t>srsl_mmfaridelhadiel</t>
  </si>
  <si>
    <t>Srsl_Mennaallah.Faridelhadieladawi@rta.ae</t>
  </si>
  <si>
    <t>INC000001319601</t>
  </si>
  <si>
    <t>vehicle change ownership</t>
  </si>
  <si>
    <t>The customer paid the fines in another journey The customer case solved and he can now pay only the journey fees</t>
  </si>
  <si>
    <t>INC000001319600</t>
  </si>
  <si>
    <t>1634393_Threat Activity Detected</t>
  </si>
  <si>
    <t>INC000001319599</t>
  </si>
  <si>
    <t>Reason: card stuck  Action: removed nol card (card no #0319788329 balance 5.50) Attended Time:(tutz)</t>
  </si>
  <si>
    <t>INC000001319598</t>
  </si>
  <si>
    <t>Intervention completed  Restarting screen, reset power manager, restarted the tvm, ping backend successfully, tvm operational</t>
  </si>
  <si>
    <t>INC000001319597</t>
  </si>
  <si>
    <t>Kabeer</t>
  </si>
  <si>
    <t>Veerriparambil</t>
  </si>
  <si>
    <t>JEBEL ALI -DUBAI INDUSTRIAL CITY</t>
  </si>
  <si>
    <t>- Run disk cleanup utility / cleared all temporary files and temporary internet files and cookies. - Check event viewer logs. - PC Restarted - Deleted Tepm files  - %tepm% - Run SFC /Scannow  no issue has found</t>
  </si>
  <si>
    <t>kkveerriparambil</t>
  </si>
  <si>
    <t>Kabeer.Veerriparambil@rta.ae</t>
  </si>
  <si>
    <t>INC000001319596</t>
  </si>
  <si>
    <t>EXPO RTPI Error: Offline - GUB-P46-02 - M1 (Alert ID: '252245')</t>
  </si>
  <si>
    <t>Reason: Offline   Action: Restarted Device Back to Online Mode   Attended Time: 21:16  Name : NOUSHAD</t>
  </si>
  <si>
    <t>INC000001319594</t>
  </si>
  <si>
    <t>DUPLICATE TICKET Please refer   INC0000013195</t>
  </si>
  <si>
    <t>INC000001319593</t>
  </si>
  <si>
    <t>Reason: NBX jam  Action: changed cash box with brinks team and clear alarm   Attendant name: Mohammed zabir  Attended Time: 10:49     Reason : NBX Jam Card No.:   Customer Name:      Action : Can you please arrange Brinx team. To replace the cashbox. Thanks  Attendee Name:  Jasper Attended Time : Waiting for Brinx</t>
  </si>
  <si>
    <t>INC000001319592</t>
  </si>
  <si>
    <t>EXPO RTPI Error: Offline - MG50L-G27-E1-Oud Metha - M1 (Alert ID: '252244')</t>
  </si>
  <si>
    <t>Reason: Offline   Action: Restarted Device Back to Online Mode   Attended Time: 22:42  Name : NOUSHAD</t>
  </si>
  <si>
    <t>INC000001319591</t>
  </si>
  <si>
    <t>TUM-263073</t>
  </si>
  <si>
    <t>Reason: NOL CARD JAM   Action: Removed jammed card(035 590 0416)  Attender Name: Kishor Bangera   Attend Time: 19:31</t>
  </si>
  <si>
    <t>INC000001319590</t>
  </si>
  <si>
    <t>TUM-263058</t>
  </si>
  <si>
    <t>Reason:  NOL CARD JAM   Action: Removed jammed card(032 469 0395)  Attender Name: Kishor Bangera   Attend Time:  19:29</t>
  </si>
  <si>
    <t>INC000001319589</t>
  </si>
  <si>
    <t>The customer has 3 fines paid and returned from source this fines already has record on transaction ticket   We remove the transaction ticket and now working fine</t>
  </si>
  <si>
    <t>INC000001319588</t>
  </si>
  <si>
    <t>Reason: Paper Roll Stuck   Action: Removed Jam &amp; Cleared Alarm   Attended Time: 20:52  Name : NOUSHAD</t>
  </si>
  <si>
    <t>INC000001319587</t>
  </si>
  <si>
    <t>CSC Alert - Scan Failure Detected - 20022026-04</t>
  </si>
  <si>
    <t>- C Partition has been freed, and Full scan has been started.</t>
  </si>
  <si>
    <t>V0025947</t>
  </si>
  <si>
    <t>okool_mamohamed</t>
  </si>
  <si>
    <t>Okool_Mariam.Mohamed@rta.ae</t>
  </si>
  <si>
    <t>INC000001319585</t>
  </si>
  <si>
    <t>Arcos alarm raised for terminal 262209</t>
  </si>
  <si>
    <t>INC000001319584</t>
  </si>
  <si>
    <t>DUPLICATE TICKET Please refer   INC000001319582</t>
  </si>
  <si>
    <t>INC000001319582</t>
  </si>
  <si>
    <t>Intervention completed  Tvm out of service  Reset all communication cable  And power manager cable  Restarted tvm Tvm operational</t>
  </si>
  <si>
    <t>INC000001319581</t>
  </si>
  <si>
    <t>Active alarm: BNA1 nearly full  Replenished.  09:15 – 02/21/2026</t>
  </si>
  <si>
    <t>INC000001319580</t>
  </si>
  <si>
    <t>Reason: notes jam Action: removed 20aed  Attended Time:(tutz)20:03</t>
  </si>
  <si>
    <t>INC000001319579</t>
  </si>
  <si>
    <t>Yara</t>
  </si>
  <si>
    <t>Tarabay</t>
  </si>
  <si>
    <t>VPN  configuration Request</t>
  </si>
  <si>
    <t>V0033785</t>
  </si>
  <si>
    <t>kaa_yrtarabay</t>
  </si>
  <si>
    <t>Kaa_Yara.Tarabay@rta.ae</t>
  </si>
  <si>
    <t>INC000001319578</t>
  </si>
  <si>
    <t>MaximoSrini: RMS  Asphalt Unit</t>
  </si>
  <si>
    <t>INC000001319577</t>
  </si>
  <si>
    <t>Guided user with accessing Outlook app from his PC Successfully</t>
  </si>
  <si>
    <t>INC000001319576</t>
  </si>
  <si>
    <t>Habib</t>
  </si>
  <si>
    <t>Aldarwish</t>
  </si>
  <si>
    <t>Smart Employee issue</t>
  </si>
  <si>
    <t>hahjaafar</t>
  </si>
  <si>
    <t>Habib.Jaafar@rta.ae</t>
  </si>
  <si>
    <t>INC000001319575</t>
  </si>
  <si>
    <t>Suspicious IP to RTA Portal on 20 February 2026, 17:07:11</t>
  </si>
  <si>
    <t>INC000001319574</t>
  </si>
  <si>
    <t>INC000001319573</t>
  </si>
  <si>
    <t>Iman</t>
  </si>
  <si>
    <t>Khattab</t>
  </si>
  <si>
    <t>Strategic Planning Processes ARM Risks Update</t>
  </si>
  <si>
    <t>Updated ARM Risks for Strategic Planning Business Process through Teams meeting with Iman and Fayez.</t>
  </si>
  <si>
    <t>protiviti_mkanala</t>
  </si>
  <si>
    <t>IAKhattab</t>
  </si>
  <si>
    <t>Iman.Khattab@rta.ae</t>
  </si>
  <si>
    <t>INC000001319572</t>
  </si>
  <si>
    <t>????? ?????  ????? ??????</t>
  </si>
  <si>
    <t>The permit was not linked to vehicle in VLS due to old data issue The customer case solved</t>
  </si>
  <si>
    <t>INC000001319571</t>
  </si>
  <si>
    <t>Okool Waqas Khan</t>
  </si>
  <si>
    <t>CSC Alert - Scan Failure Detected - 20022026-03</t>
  </si>
  <si>
    <t>V0010337</t>
  </si>
  <si>
    <t>Okool_WMKhan</t>
  </si>
  <si>
    <t>Okool_Waqaskhan.Khan@rta.ae</t>
  </si>
  <si>
    <t>INC000001319570</t>
  </si>
  <si>
    <t>Atia</t>
  </si>
  <si>
    <t>CSC Alert : VPN user accessed from outside the approved country by user 'bsitet_ygatia'-20022026-02</t>
  </si>
  <si>
    <t>According to the email received from the CSC team, no further action is required; the  ticket has been closed</t>
  </si>
  <si>
    <t>V0029747</t>
  </si>
  <si>
    <t>bsitet_ygatia</t>
  </si>
  <si>
    <t>Bsitet_Youssef.Atia@rta.ae</t>
  </si>
  <si>
    <t>INC000001319569</t>
  </si>
  <si>
    <t>INC000001319568</t>
  </si>
  <si>
    <t xml:space="preserve">Abdulrasool Lengawi  </t>
  </si>
  <si>
    <t>???? ?? ????? ???? ???? ?????? ????????? ??????</t>
  </si>
  <si>
    <t>MALengawi</t>
  </si>
  <si>
    <t>Mohammed.Lengawi@rta.ae</t>
  </si>
  <si>
    <t>INC000001319567</t>
  </si>
  <si>
    <t>Banbouk</t>
  </si>
  <si>
    <t>DGEP AI/DS Center KPIs - Automation Error</t>
  </si>
  <si>
    <t>we contacted the user and we guided him and he confirmed that the case has been solved</t>
  </si>
  <si>
    <t>MSBanbouk</t>
  </si>
  <si>
    <t>Moustafa.Banbouk@rta.ae</t>
  </si>
  <si>
    <t>INC000001319566</t>
  </si>
  <si>
    <t>1633705_Threat Activity Detected</t>
  </si>
  <si>
    <t>INC000001319565</t>
  </si>
  <si>
    <t>1633715_Threat Activity Detected</t>
  </si>
  <si>
    <t>INC000001319564</t>
  </si>
  <si>
    <t>Jamshidi</t>
  </si>
  <si>
    <t>Parking Fines System issue</t>
  </si>
  <si>
    <t>The issue has been resolved, pls check and confirm,</t>
  </si>
  <si>
    <t>HEJamshidi</t>
  </si>
  <si>
    <t>Hussain.Jamshidi@rta.ae</t>
  </si>
  <si>
    <t>INC000001319563</t>
  </si>
  <si>
    <t>Gubran Abdulalhakim</t>
  </si>
  <si>
    <t>Hahoud</t>
  </si>
  <si>
    <t>PC Files Inaccessible Issue</t>
  </si>
  <si>
    <t>Mohamed Mustaq Ali</t>
  </si>
  <si>
    <t>After replace the new pc the shortcut of in new desktop not found but all files inside the D drive, deleted the old shortcut and created the new shortcut, now user can access the files from desktop through shortcut.</t>
  </si>
  <si>
    <t>ghahoud</t>
  </si>
  <si>
    <t>Gubran.Hammod@rta.ae</t>
  </si>
  <si>
    <t>INC000001319562</t>
  </si>
  <si>
    <t>Pay Black Point Fine</t>
  </si>
  <si>
    <t>The customer has journey cancelled but the status still sent for payment We reject the journey and now working fine</t>
  </si>
  <si>
    <t>INC000001319561</t>
  </si>
  <si>
    <t>1633665_Threat Activity Detected</t>
  </si>
  <si>
    <t>INC000001319559</t>
  </si>
  <si>
    <t>Private Paid Parking Plots</t>
  </si>
  <si>
    <t>ROWPS Support</t>
  </si>
  <si>
    <t>ROW Services Permits System</t>
  </si>
  <si>
    <t>Please find attached list of all private paid parking plots applications submitted on ROWPS system till date.</t>
  </si>
  <si>
    <t>Application Count Report</t>
  </si>
  <si>
    <t>INC000001319558</t>
  </si>
  <si>
    <t>Private parking plots</t>
  </si>
  <si>
    <t>INC000001319557</t>
  </si>
  <si>
    <t>Action Needed for Application No. 05012026-5015</t>
  </si>
  <si>
    <t>We have reactivated application - ROWPS-05012026-5015 from backend.</t>
  </si>
  <si>
    <t>INC000001319556</t>
  </si>
  <si>
    <t>REQUEST FOR REFUND.</t>
  </si>
  <si>
    <t>You are getting the below error as the application number entered by you is not related to ROWPS system. Kindly enter the ROWPS application number in the below field and try again. If deposit is paid by you in old PTSS system, request you to kindly coordinate with Parking support to get your deposit refund.</t>
  </si>
  <si>
    <t>User Request</t>
  </si>
  <si>
    <t>Feedback</t>
  </si>
  <si>
    <t>INC000001319555</t>
  </si>
  <si>
    <t>TUM-263015</t>
  </si>
  <si>
    <t>Reason : No Jam Found Card No.:   Customer Name:      Action : Fault cleared   Attendee Name:  Jasper Attended Time : 17:39</t>
  </si>
  <si>
    <t>Upper or lower door opened unauthorized</t>
  </si>
  <si>
    <t>INC000001319554</t>
  </si>
  <si>
    <t>????? ????? ??? ???/Discussion created on an application - ROWPS-06012026-5286</t>
  </si>
  <si>
    <t>We have transferred application to your account.</t>
  </si>
  <si>
    <t>INC000001319553</t>
  </si>
  <si>
    <t>RW106 / ROWPS Approval / Traffic - Integration &amp; Soft mobility</t>
  </si>
  <si>
    <t>Below applications are transferred to your account.   ROWPS-28012026-5286  ROWPS-28012026-5291  ROWPS-28012026-5294  ROWPS-28012026-5324  ROWPS-28012026-5325</t>
  </si>
  <si>
    <t>INC000001319552</t>
  </si>
  <si>
    <t>ROWPS-16012026-5143 Status Update</t>
  </si>
  <si>
    <t>INC000001319551</t>
  </si>
  <si>
    <t>Requesting for Permit  Date Change ROWPS-12022026-5394</t>
  </si>
  <si>
    <t>We have changed duration of application - ROWPS-12022026-5394 Parking app – 570403 from “From 18-02-2026 to 18-02-2026” to “From 21-02-2026 to 21-02-2026”</t>
  </si>
  <si>
    <t>INC000001319550</t>
  </si>
  <si>
    <t>Request for approval/stamp on the Diversion layout - ROWPS-14012026-5155</t>
  </si>
  <si>
    <t>We have removed stamp from previously approved documents.</t>
  </si>
  <si>
    <t>INC000001319549</t>
  </si>
  <si>
    <t>Complaint - RTA-1886791-J5C4</t>
  </si>
  <si>
    <t>We tried contacting customer to guide him on submitting application. However, we were unable to connect. Please find below steps to submit application – “Hatching and Painting Roads” on ROWPS system – “https://rowpermits.rta.ae”     -          Customer to click on below highlighted link –           -          Click on request a permit now          -          Select Permit subtype – “Hatching and Painting Roads”, enter details in rest of the fields and submit</t>
  </si>
  <si>
    <t>INC000001319548</t>
  </si>
  <si>
    <t>ROWPS-13022026-5082 - Permit Duration not updated</t>
  </si>
  <si>
    <t>We have changed duration as mentioned below.     Kindly verify the same and proceed with payment.</t>
  </si>
  <si>
    <t>INC000001319547</t>
  </si>
  <si>
    <t>Utilizing the right of way permit application - help</t>
  </si>
  <si>
    <t>Kindly clear your browser cache memory by following below steps based on the browser you are using and try again.</t>
  </si>
  <si>
    <t>INC000001319546</t>
  </si>
  <si>
    <t>Minor Road Diversion Renewal NOC, ROWPS-26012026-5091, Pending Since 26/01/2026</t>
  </si>
  <si>
    <t>We have transferred the below applications to your account..</t>
  </si>
  <si>
    <t>INC000001319545</t>
  </si>
  <si>
    <t>Pending traffic diversions with Traffic - Integration &amp; Soft mobility</t>
  </si>
  <si>
    <t>We have transferred the below applications to your account.</t>
  </si>
  <si>
    <t>INC000001319544</t>
  </si>
  <si>
    <t>ROWPS RTA System copy</t>
  </si>
  <si>
    <t>Please find attached KPI days configured for each permit type on ROWPS system.</t>
  </si>
  <si>
    <t>INC000001319543</t>
  </si>
  <si>
    <t>We have changed duration of application from “From 18-02-2026 to 26-02-2026” to “From 20-02-2026 to 14-03-2026”</t>
  </si>
  <si>
    <t>INC000001319542</t>
  </si>
  <si>
    <t>ROW Permit // UAE to Duqum</t>
  </si>
  <si>
    <t>If required, kindly renew the application by following the below steps –      -          Login to ROWPS System  -          Click on Permit status  -          For the application number you which to renew, click on action and then on Renewal as shown in screenshot below.</t>
  </si>
  <si>
    <t>INC000001319541</t>
  </si>
  <si>
    <t>??? ??? ????/Fees Payment request</t>
  </si>
  <si>
    <t>We have changed Permit approved time for application - ROWPS-11022026-5017 from “02:00 AM to 06:00 AM” to “12:00 AM to 11:59 PM”</t>
  </si>
  <si>
    <t>INC000001319540</t>
  </si>
  <si>
    <t>Arcos alarm raised for terminal 262174</t>
  </si>
  <si>
    <t>DUPLICATE TICKET Please refer INC000001319496</t>
  </si>
  <si>
    <t>INC000001319538</t>
  </si>
  <si>
    <t>Suspicious IP to RTA Portal on 20 February 2026, 15:08:21</t>
  </si>
  <si>
    <t>INC000001319537</t>
  </si>
  <si>
    <t>Tvm 2228 Intervention completed  Tvm blank screen  Replaced battery  Restarted tvm Tvm operational  Tested with costumer  Successfully</t>
  </si>
  <si>
    <t>INC000001319535</t>
  </si>
  <si>
    <t>We have moved the below document to details page and stamped it from backend.     Kindly inform us if you need us to remove the stamp from the previous drawing.</t>
  </si>
  <si>
    <t>INC000001319534</t>
  </si>
  <si>
    <t>Bus-6351</t>
  </si>
  <si>
    <t>Replaced and recommissioned the cico Tested with NOL card  All cico operational</t>
  </si>
  <si>
    <t>INC000001319533</t>
  </si>
  <si>
    <t>We have changed permit approved time from “02:00 AM to 05:00 AM” to “02:00 AM to 06:00 AM” and generated a new permit letter.</t>
  </si>
  <si>
    <t>INC000001319532</t>
  </si>
  <si>
    <t>INC000001319531</t>
  </si>
  <si>
    <t>As per DM BPS document shared by you, kindly enter “3680394” in plot number field and “474470-1-1” in Dubai Municipality Building permit reference and try to submit after entering the other fields</t>
  </si>
  <si>
    <t>INC000001319530</t>
  </si>
  <si>
    <t>??? ??? ?????/Application rejected</t>
  </si>
  <si>
    <t>As per business rules, customer has to submit Permit type - Extra Load – Permit subtype - “Major diversions/ Overload or dimension” if any of the below holds true else he needs to select permit subtype – “Dimensions”      1.  Width is &gt;= 3.5 M      2.  Height is &gt;=4 M      3.  If the load length is 20 meter and more       Kindly note - The dimensions and weight should include both Cargo and truck dimensions and weight</t>
  </si>
  <si>
    <t>INC000001319529</t>
  </si>
  <si>
    <t>Bus-1186</t>
  </si>
  <si>
    <t>Intervention completed Cico position 2 and 4 blank screen. Reset cico. Cico position 3 hanging, recommissioned cico. All cico operational.</t>
  </si>
  <si>
    <t>INC000001319528</t>
  </si>
  <si>
    <t>ROWPS-16022026-5347</t>
  </si>
  <si>
    <t>We have transferred application - ROWPS-16022026-5347 to your account</t>
  </si>
  <si>
    <t>INC000001319527</t>
  </si>
  <si>
    <t>Date change</t>
  </si>
  <si>
    <t>We have changed duration of application - ROWPS-12022026-5002 Parking app – 569309 from “From 17-02-2026 to 18-02-2026” to “From 21-02-2026 to 22-02-2026”</t>
  </si>
  <si>
    <t>INC000001319526</t>
  </si>
  <si>
    <t>Request for Fee Revision – Application No. ROWPS-13022026-5072 - APPLICATION NO. ROWPS-170</t>
  </si>
  <si>
    <t>We have changed duration of application - ROWPS-13022026-5072 Parking app – 569240 from “From 17-02-2026 to 18-03-2026” to “From 18-02-2026 to 18-05-2026” in ROWPS</t>
  </si>
  <si>
    <t>INC000001319525</t>
  </si>
  <si>
    <t>ROWPS-25012026-5087</t>
  </si>
  <si>
    <t>We have transferred application - ROWPS-25012026-5087 to AlTayeb</t>
  </si>
  <si>
    <t>INC000001319523</t>
  </si>
  <si>
    <t>Follow-up on Rejected Deposit Refund Applications – IBAN Confirmation</t>
  </si>
  <si>
    <t>WIO bank is added in the list of banks on the deposit refund page. Please find screenshot below -</t>
  </si>
  <si>
    <t>INC000001319522</t>
  </si>
  <si>
    <t>??? ??? ????/Fees Payment request ROWPS-13022026-5024  A/5164/25-LOC-01-ROAD CUTTING-40019</t>
  </si>
  <si>
    <t>We have changed duration of application from “From 21-02-2026 to 22-02-2026” to “From 07-03-2026 to 08-03-2026”</t>
  </si>
  <si>
    <t>INC000001319521</t>
  </si>
  <si>
    <t>transfer application</t>
  </si>
  <si>
    <t>INC000001319520</t>
  </si>
  <si>
    <t>RTA TSPS : New Enquiry submitted by - Ajay Chopra</t>
  </si>
  <si>
    <t>INC000001319519</t>
  </si>
  <si>
    <t>Request to Payment receipt-319-131</t>
  </si>
  <si>
    <t>Please find attached payment receipts for below sales orders.</t>
  </si>
  <si>
    <t>INC000001319518</t>
  </si>
  <si>
    <t>Unable to login to ROW</t>
  </si>
  <si>
    <t>Please find below steps to download the Online receipt from the application details page –          1.  Login to ROWPS System (https://rowpermits.rta.ae/rowps) using your valid customer credentials.     2.  Click on Permit status.     3.  Open the application for which online payment receipt has been generated by clicking on Preview button.     4.  Once the details page of application loads, scroll to upload document pod. Check the DsG Payment Receipt document type and click on download option.</t>
  </si>
  <si>
    <t>INC000001319517</t>
  </si>
  <si>
    <t>????? ????? ??????? ???? ???????.docx</t>
  </si>
  <si>
    <t>We have updated the standard conditions as per the sheet provided.</t>
  </si>
  <si>
    <t>INC000001319516</t>
  </si>
  <si>
    <t>planters horticultural materials and seedlings.docx</t>
  </si>
  <si>
    <t>INC000001319515</t>
  </si>
  <si>
    <t>Roll Back</t>
  </si>
  <si>
    <t>We have rolled back application assignment configurations to engr. Mostafa</t>
  </si>
  <si>
    <t>INC000001319514</t>
  </si>
  <si>
    <t>Change ITS Department Coordinator for ROW Permits System</t>
  </si>
  <si>
    <t>We have configured engr. Saeed as coordinator of section – ITS Traffic control centers.</t>
  </si>
  <si>
    <t>INC000001319513</t>
  </si>
  <si>
    <t>APPROVAL REQUESTED</t>
  </si>
  <si>
    <t>Application is sent back for modification by ROW Engineer and is pending for your action. Please find screenshot below -            Please find below steps to submit an application which was sent back by ROW Engineer for modification –      -          Click on Current applications  -          Open the application by clicking on preview button  -          Click on Update mode as shown in screenshot below.  -          Then click on update permit.  -          Make the necessary changes as requested by ROW Engineer and submit.</t>
  </si>
  <si>
    <t>INC000001319512</t>
  </si>
  <si>
    <t>IR258 / CONCTRUCTION NOC &amp; ROWPS</t>
  </si>
  <si>
    <t>Application has been transferred to Engr. Altayeb.</t>
  </si>
  <si>
    <t>INC000001319511</t>
  </si>
  <si>
    <t>ROWPS Application ROWPS-28012026-5057</t>
  </si>
  <si>
    <t>INC000001319510</t>
  </si>
  <si>
    <t>????? ?????? ????????/Request for application update</t>
  </si>
  <si>
    <t>Please find below steps to submit an application which was sent back by ROW Engineer for modification –      -          Click on Current applications  -          Open the application by clicking on preview button  -          Click on Update mode as shown in screenshot below.  -          Then click on update permit.  -          Make the necessary changes as requested by ROW Engineer and submit.</t>
  </si>
  <si>
    <t>INC000001319509</t>
  </si>
  <si>
    <t>Please find below fee calculation for below permits –      permit type – Mobility for Over-Weight and Over-Dimension Vehicles and permit subtype - Major Diversions/ Overload or Dimension     The fee for this type of permit is (200 AED * No of vehicles added (excluding Trailers) * Number of days selected in duration) + knowledge/innovation fee     For example:  No of vehicles(excluding Trailers)  added in application = 0  No of days selected in duration = 11  So as per calculation of fee for this permit = (200 AED *  11) + knowledge/innovation fee = 2220 AED</t>
  </si>
  <si>
    <t>INC000001319508</t>
  </si>
  <si>
    <t>Error in the application-ROWPS-13022026-5155</t>
  </si>
  <si>
    <t>You are unable to provide decision as you have entered the below comment in “Amount” field.</t>
  </si>
  <si>
    <t>INC000001319507</t>
  </si>
  <si>
    <t>ROWPS 09022026-5275</t>
  </si>
  <si>
    <t>We have transferred application ROWPS-09022026-5275 to your account</t>
  </si>
  <si>
    <t>INC000001319506</t>
  </si>
  <si>
    <t>Request to Amend Permit Date- ROWPS-12022026-5309</t>
  </si>
  <si>
    <t>We have changed duration of application - ROWPS-12022026-5309 Parking app – 568894 from “From 14-02-2026 to 14-02-2026” to “From 17-02-2026 to 17-02-2026”</t>
  </si>
  <si>
    <t>INC000001319505</t>
  </si>
  <si>
    <t>We have changed duration of application from “From 14-02-2026 to 15-02-2026” to “From 21-02-2026 to 22-02-2026”</t>
  </si>
  <si>
    <t>INC000001319504</t>
  </si>
  <si>
    <t>sick leave for one week</t>
  </si>
  <si>
    <t>As discussed, we have stopped automatic assignmnets to engr. Ziad’s account and transferred applications as below -</t>
  </si>
  <si>
    <t>INC000001319503</t>
  </si>
  <si>
    <t>ROWPS - 03022026-5164</t>
  </si>
  <si>
    <t>As discussed, we have changed duration of application - ROWPS-03022026-5164 Parking app – 565051 from “From 12-02-2026 to 12-02-2026’ to “From 14-02-2026 to 14-02-2026”</t>
  </si>
  <si>
    <t>INC000001319502</t>
  </si>
  <si>
    <t>Applications submitted in 2025</t>
  </si>
  <si>
    <t>Please find attached updated document</t>
  </si>
  <si>
    <t>INC000001319501</t>
  </si>
  <si>
    <t>BNA1 nearly full  Replenished  20/02/2026    17:40</t>
  </si>
  <si>
    <t>INC000001319500</t>
  </si>
  <si>
    <t>error on ROW Permit update</t>
  </si>
  <si>
    <t>INC000001319499</t>
  </si>
  <si>
    <t>1633477_Threat Activity Detected</t>
  </si>
  <si>
    <t>INC000001319498</t>
  </si>
  <si>
    <t>paving access Issue</t>
  </si>
  <si>
    <t>User registration steps provided</t>
  </si>
  <si>
    <t>INC000001319497</t>
  </si>
  <si>
    <t>1633494_Threat Activity Detected</t>
  </si>
  <si>
    <t>INC000001319494</t>
  </si>
  <si>
    <t>Reason: AED 10 Note jam   Action: Cleared   Attender Name: Kishor Bangera   Attend Time: 17:01</t>
  </si>
  <si>
    <t>INC000001319493</t>
  </si>
  <si>
    <t>PAM DR JP</t>
  </si>
  <si>
    <t>Routing issue resolved by PTA</t>
  </si>
  <si>
    <t>INC000001319492</t>
  </si>
  <si>
    <t>????? ???? ?????</t>
  </si>
  <si>
    <t>ar=?? ???? ????? ??????? ???? ???? ???? ????? ?????., en='You cannot issue the license as you already has an active driving license</t>
  </si>
  <si>
    <t>INC000001319491</t>
  </si>
  <si>
    <t>Application Auto-Cancellation Notification/????? ??????? ???????? ???????</t>
  </si>
  <si>
    <t>Kindly enter the below comments/upload document on ROWPS System by following the below steps –      -          Login to ROWPS System  -          Click on Current applications  -          Open the application by clicking on the preview button   -          Click on discussion.   -          Click on reply. Enter comments/upload document and submit.</t>
  </si>
  <si>
    <t>INC000001319490</t>
  </si>
  <si>
    <t>Urgent Request - ROWPS-30012026-5258</t>
  </si>
  <si>
    <t>We have transferred application to your account</t>
  </si>
  <si>
    <t>INC000001319489</t>
  </si>
  <si>
    <t>Pending ROW Applications with RTA Traffic Soft Mobilty</t>
  </si>
  <si>
    <t>We have transferred application - ROWPS-27012026-5220 to Engr. AlTayeb’s account.</t>
  </si>
  <si>
    <t>INC000001319488</t>
  </si>
  <si>
    <t>ROWPS - Vehicular applications contact details</t>
  </si>
  <si>
    <t>As discussed, please find attached unique contact details of customers who have submitted Vehicular application on ROWPS system from 2025 till date.</t>
  </si>
  <si>
    <t>INC000001319487</t>
  </si>
  <si>
    <t>Rowaps - 10022026-5341</t>
  </si>
  <si>
    <t>Please find below steps to download the Online receipt and permit letter from the application details page –      1.       Login to ROWPS System (https://rowpermits.rta.ae/rowps) using your valid customer credentials.  2.       Click on Permit status.  3.       Open the application for which online payment receipt has been generated by clicking on Preview button.  4.       Once the details page of application loads, scroll to upload document pod. Check the DsG Payment Receipt and permit approval letter document type as highlighted below and click on download option.</t>
  </si>
  <si>
    <t>INC000001319486</t>
  </si>
  <si>
    <t>RTA TSPS : New Enquiry submitted by - Cathalie Siason</t>
  </si>
  <si>
    <t>INC000001319485</t>
  </si>
  <si>
    <t>05012026-5231</t>
  </si>
  <si>
    <t>INC000001319484</t>
  </si>
  <si>
    <t>ROWPS_NewSection- Roads Construction.pdf</t>
  </si>
  <si>
    <t>We have configured new section – Roads construction on ROWPS system. Changes will reflect post automatic restart of servers at midnight.</t>
  </si>
  <si>
    <t>INC000001319482</t>
  </si>
  <si>
    <t>List of applications</t>
  </si>
  <si>
    <t>Please find attached Project type - DEWA itself applications submitted from Jan 25 till 11 Feb and cancelled due to inactivity/ non payment.</t>
  </si>
  <si>
    <t>INC000001319481</t>
  </si>
  <si>
    <t>ROWPS-08012026-5232</t>
  </si>
  <si>
    <t>We have transferred application to your account..</t>
  </si>
  <si>
    <t>INC000001319480</t>
  </si>
  <si>
    <t>24012026-5146</t>
  </si>
  <si>
    <t>We have transferred the below application to your account.</t>
  </si>
  <si>
    <t>INC000001319479</t>
  </si>
  <si>
    <t>ROWPS-07012026-5057</t>
  </si>
  <si>
    <t>INC000001319478</t>
  </si>
  <si>
    <t>ROWPS-24012026-5016</t>
  </si>
  <si>
    <t>INC000001319477</t>
  </si>
  <si>
    <t>ROWPS-01022026-5068 Request to expedite The Approval / Feedback</t>
  </si>
  <si>
    <t>INC000001319476</t>
  </si>
  <si>
    <t>.User Review - AFC</t>
  </si>
  <si>
    <t>user list collected from Conduent, prepared in new RTA template</t>
  </si>
  <si>
    <t>INC000001319475</t>
  </si>
  <si>
    <t>PAM Connectivity AFC</t>
  </si>
  <si>
    <t>Routing issue resolved by ITD, Reconnect from PAM server to AFC network</t>
  </si>
  <si>
    <t>INC000001319474</t>
  </si>
  <si>
    <t>update on ROWPS-30012026-5057</t>
  </si>
  <si>
    <t>INC000001319473</t>
  </si>
  <si>
    <t>We have added the below road to ROWPS-10022026-5341 and generated a new permit letter.     Sheikh Zayed Road From Ic 10 To Abu Dhabi Border</t>
  </si>
  <si>
    <t>INC000001319472</t>
  </si>
  <si>
    <t>DM- Ds 413/2 ROWPS-20012026-5260</t>
  </si>
  <si>
    <t>We have transferred application - ROWPS-20012026-5260 to your account.</t>
  </si>
  <si>
    <t>INC000001319471</t>
  </si>
  <si>
    <t>.User Review - EXPO RTPI</t>
  </si>
  <si>
    <t>Collected the list , got data from EI and put it in the RTA template</t>
  </si>
  <si>
    <t>INC000001319470</t>
  </si>
  <si>
    <t>processors KPI</t>
  </si>
  <si>
    <t>Please find below requested KPI data for Jan 2026 –      Kindly provide the KPI report for the processors for all the permits for January except utilize pavement applications.</t>
  </si>
  <si>
    <t>INC000001319469</t>
  </si>
  <si>
    <t>ROWPS-20012026-5321</t>
  </si>
  <si>
    <t>INC000001319468</t>
  </si>
  <si>
    <t>Applications marked out of KPI - Department level</t>
  </si>
  <si>
    <t>As discussed, please find attached applications where marked out of KPI - Department level for duration from July 2025 till 10 Feb 2026</t>
  </si>
  <si>
    <t>INC000001319467</t>
  </si>
  <si>
    <t>CHANGE OWNERSHIP ERROR</t>
  </si>
  <si>
    <t>Dear User, Vehicle with VIN - WP0ZZZ99ZMS262290 belongs to your agency with TFN- 50140397, the ownership change flag is reverted, kindly verify.</t>
  </si>
  <si>
    <t>INC000001319466</t>
  </si>
  <si>
    <t>Kindly link TL: 1320958 to the center ID: 3331</t>
  </si>
  <si>
    <t>Isoft Portal Support</t>
  </si>
  <si>
    <t>RTA Website</t>
  </si>
  <si>
    <t>RTA Portal</t>
  </si>
  <si>
    <t>No Further Action Required No Further Action Required</t>
  </si>
  <si>
    <t>INC000001319465</t>
  </si>
  <si>
    <t>.Collate list of BMSS Staff</t>
  </si>
  <si>
    <t>Collected the list and made it to new template</t>
  </si>
  <si>
    <t>INC000001319464</t>
  </si>
  <si>
    <t>ROWPS-28012026-5161</t>
  </si>
  <si>
    <t>We have transferred application - ROWPS-28012026-5161 to your account</t>
  </si>
  <si>
    <t>INC000001319463</t>
  </si>
  <si>
    <t>Rowps-04022026-5341</t>
  </si>
  <si>
    <t>We have changed duration of application - Rowps-04022026-5341 Parking app – 567253 from “From 13-02-2026 to 13-05-2026” to “From 10-02-2026 to 09-05-2026”</t>
  </si>
  <si>
    <t>INC000001319462</t>
  </si>
  <si>
    <t>Collected all the staff list and segregated to contractot and RTA staff</t>
  </si>
  <si>
    <t>INC000001319461</t>
  </si>
  <si>
    <t>transfer applications</t>
  </si>
  <si>
    <t>The below applications are transferred to your account –      19012026-5388             19012026-5386  19012026-5389</t>
  </si>
  <si>
    <t>INC000001319460</t>
  </si>
  <si>
    <t>ROWPS-04022026-5327</t>
  </si>
  <si>
    <t>Kindly enter plot number as mentioned in your Ejari copy - 1330277</t>
  </si>
  <si>
    <t>INC000001319459</t>
  </si>
  <si>
    <t>New Drawing is attached Application No.ROWPS-16012026-5285</t>
  </si>
  <si>
    <t>We have transferred application - 16012026-5285 to your account.</t>
  </si>
  <si>
    <t>INC000001319457</t>
  </si>
  <si>
    <t>As discussed, please find attached application which were submitted in 2025 along with count of applications which are cancelled due to non payment</t>
  </si>
  <si>
    <t>INC000001319456</t>
  </si>
  <si>
    <t>We have transferred the below mentioned applications to your account.         1.  ROWPS-17012026-5211 Revised of One lane closer and U-turn Opening ( As per RTA ROW Comments )         Commented by Traffic Integration &amp; Soft mobility On 26-01-2026.           1.  ROWPS-12012026-5262 Revised safety arrangement to add the additional AREA AT SH. RASHID ROAD         Commented on  23 -01-2026              1.  ROWPS-14012026-5120 One lane closer for 2nd Zabeel road for 53 Hours         Commented on 22-01-2026            1.  ROWPS-19012026-5297 Construction Access         Commented on 23 -01-20            1.  ROWPS-21012026-5116 Traffic Arrangement for bridge works Stage 1/A/1 (Revised)                   Distributed to Traffic Integration &amp; Soft mobility on 28-01-2026 still pending.       6.     ROWPS-22012026-5021  Revised Pedestrian movement at Al Sukook Street.              Distributed to Traffic Integration &amp; Soft mobility on 28-01-2026 still pending.</t>
  </si>
  <si>
    <t>INC000001319455</t>
  </si>
  <si>
    <t>transfer applicatios</t>
  </si>
  <si>
    <t>We have transferred below 2 applications to your account      ·        ROWPS-20012026-5214  ·        ROWPS-21012026-5441</t>
  </si>
  <si>
    <t>INC000001319454</t>
  </si>
  <si>
    <t>application in 2025</t>
  </si>
  <si>
    <t>As discussed, please find attached Utilise pavements applications which were submitted in 2025 and approved with amount greater than equal to 100000 AED.</t>
  </si>
  <si>
    <t>INC000001319453</t>
  </si>
  <si>
    <t>ROWPS-04022026-5334 Parking - Parking Services</t>
  </si>
  <si>
    <t>As discussed on call, we have changed duration of application ROWPS-04022026-5334 Parking app – 566791 from “From 14-02-2026 to 16-02-2026” to “From 13-02-2026 to 16-02-2026” and updated specific condition as below –</t>
  </si>
  <si>
    <t>INC000001319452</t>
  </si>
  <si>
    <t>change the cash box requested by EI team  cash box changed  20/02/2026   19:25</t>
  </si>
  <si>
    <t>INC000001319451</t>
  </si>
  <si>
    <t>Request for Approval to deactivate Delegate ROWPS applications</t>
  </si>
  <si>
    <t>We have configured your account as coordinator of section – RFM – Roads Maintenance.</t>
  </si>
  <si>
    <t>INC000001319450</t>
  </si>
  <si>
    <t>ROWPS - Actions performed</t>
  </si>
  <si>
    <t>Please find attached actions performed by below inspector in year 2025 –      Saood Mohamad Sharif Sayed Mohamad Alhashmi</t>
  </si>
  <si>
    <t>INC000001319449</t>
  </si>
  <si>
    <t>Pending Traffic Diversion With Traffic - Integration &amp; Soft mobility Department</t>
  </si>
  <si>
    <t>Below applications are transferred to your account.</t>
  </si>
  <si>
    <t>INC000001319448</t>
  </si>
  <si>
    <t>26012026-5106</t>
  </si>
  <si>
    <t>INC000001319447</t>
  </si>
  <si>
    <t>ROWPS applications 2025</t>
  </si>
  <si>
    <t>Please find below count of applications submitted in 2025 –          Permit type/Subtype  2025   Access  10162   Access Design Study  3024   Access for Private Paid Parking Plots  216   External pavement construction or modification  1010   Temporary Access to Buildings Construction Sites  5912   Building Construction or Demolition  5013   Construction  4354   Demolition  659   Dewatering Lines Protection Permit  2432   Dewatering line protection for Building construction  1972   Utility Line Protection for other purpose except building  460</t>
  </si>
  <si>
    <t>INC000001319446</t>
  </si>
  <si>
    <t>Hamdan application</t>
  </si>
  <si>
    <t>We have rolled back application assignment configuration to engr. Hamdan.</t>
  </si>
  <si>
    <t>INC000001319445</t>
  </si>
  <si>
    <t>????? ????? ??? ???/Discussion created on an application</t>
  </si>
  <si>
    <t>INC000001319444</t>
  </si>
  <si>
    <t>ROWPS-29012026-5228 TM Plan for 132KV TROUGH WORK NOUAKCHOTT ROAD, AL WARQA for Project: R</t>
  </si>
  <si>
    <t>We have transferred application - ROWPS-29012026-5228 back to your account.</t>
  </si>
  <si>
    <t>INC000001319443</t>
  </si>
  <si>
    <t>Permit issue</t>
  </si>
  <si>
    <t>You are getting error -  “upload mandatory documents error” as you are not selecting the correct document type while uploading the document.          *   For example – if you wish to upload document type – “Letter from consultant with land use details”, kindly select the document type – “Letter from consultant with land use details” in the drop down highlighted below  and then click on browse and select the required document and upload it. Follow the same steps for uploading the other document – “Drawings” and so on...           *          Kindly note – Mandatory document keeps on changing as per the permit type and permit sub type selected.</t>
  </si>
  <si>
    <t>INC000001319442</t>
  </si>
  <si>
    <t>ROWPS-29012026-5251</t>
  </si>
  <si>
    <t>we have changed permit approved time as below</t>
  </si>
  <si>
    <t>INC000001319441</t>
  </si>
  <si>
    <t>As we see, discussion has been created for application and is pending for your action.          Kindly enter the below comments/upload document on ROWPS System by following the below steps –      -          Login to ROWPS System  -          Click on Current applications  -          Open the application by clicking on the preview button   -          Click on discussion.   -          Click on reply. Enter comments/upload document and submit.</t>
  </si>
  <si>
    <t>INC000001319440</t>
  </si>
  <si>
    <t>INC000001319439</t>
  </si>
  <si>
    <t>ROWPS-04022026-5414</t>
  </si>
  <si>
    <t>We have changed the plot number as mentioned below</t>
  </si>
  <si>
    <t>INC000001319438</t>
  </si>
  <si>
    <t>ROWPS-02022026-5103</t>
  </si>
  <si>
    <t>We have changed the subtype of application - ROWPS-02022026-5103 from “Hatching and Painting Roads” to “Footpath Amendment for Public”</t>
  </si>
  <si>
    <t>INC000001319437</t>
  </si>
  <si>
    <t>Please find attached actions performed by below inspectors in year 2025 –      Mustafa ali  Ishtaiwi  Khalid al hamadi</t>
  </si>
  <si>
    <t>INC000001319436</t>
  </si>
  <si>
    <t>Request for change approved permit time (ROWPS-25012026-5063)</t>
  </si>
  <si>
    <t>We have changed duration of application from “From 04-02-2026 to 11-02-2026” to “From 06-02-2026 to 05-03-2026”</t>
  </si>
  <si>
    <t>INC000001319435</t>
  </si>
  <si>
    <t>KPI for ROWPS-17112025-5270</t>
  </si>
  <si>
    <t>We have done the required changes to skip application - ROWPS-17112025-5270 from being cancelled due to inactivity.</t>
  </si>
  <si>
    <t>INC000001319434</t>
  </si>
  <si>
    <t>change application owner</t>
  </si>
  <si>
    <t>We have transferred the application - ROWPS-14012026-5156 to your account.</t>
  </si>
  <si>
    <t>INC000001319433</t>
  </si>
  <si>
    <t>Intervention completed  No issue found Tvm operational</t>
  </si>
  <si>
    <t>INC000001319432</t>
  </si>
  <si>
    <t>REQUEST FOR TRANSFER FILE</t>
  </si>
  <si>
    <t>request rejected please reject it from your side</t>
  </si>
  <si>
    <t>INC000001319430</t>
  </si>
  <si>
    <t>Hazar</t>
  </si>
  <si>
    <t>Saqer-Contractor</t>
  </si>
  <si>
    <t>Not Able to Access CRQ60254</t>
  </si>
  <si>
    <t>Regarding the subject ticket, you do not have the change module access.  Please apply from IAM Portal for BMC Change Module access, PFA the User Guide.  IAM Role – Infrastructure Change User</t>
  </si>
  <si>
    <t>V0031805</t>
  </si>
  <si>
    <t>proxym_hmsaqer</t>
  </si>
  <si>
    <t>Proxym_Hazar.Saqer@rta.ae</t>
  </si>
  <si>
    <t>INC000001319429</t>
  </si>
  <si>
    <t>AFC Network Topology with new Infra</t>
  </si>
  <si>
    <t>Topology updated based on consultant advise</t>
  </si>
  <si>
    <t>INC000001319428</t>
  </si>
  <si>
    <t>TVM-264003</t>
  </si>
  <si>
    <t>TVM-264003 Out of Paper  Receipt paper roll changed.  14:50 – 02/20/2026</t>
  </si>
  <si>
    <t>INC000001319427</t>
  </si>
  <si>
    <t>Reason: Nol card jam ( 037 607 8101 )  Action: Removed Nol card jam   Attended Time: 14:17</t>
  </si>
  <si>
    <t>INC000001319426</t>
  </si>
  <si>
    <t>Enas</t>
  </si>
  <si>
    <t>Ghosheh</t>
  </si>
  <si>
    <t>extension has been provided  so we are closing the INC</t>
  </si>
  <si>
    <t>ENGhosheh</t>
  </si>
  <si>
    <t>Enas.Ghosheh@rta.ae</t>
  </si>
  <si>
    <t>INC000001319425</t>
  </si>
  <si>
    <t>Reason: AED 5 note jam  Action: Removed note jam  Attended Time: 15:34</t>
  </si>
  <si>
    <t>INC000001319424</t>
  </si>
  <si>
    <t>Mohammed Ahmed Abdullah</t>
  </si>
  <si>
    <t>TMS not working</t>
  </si>
  <si>
    <t>Dear Ahmed,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</si>
  <si>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V0025376</t>
  </si>
  <si>
    <t>srsl_aabmohammadi</t>
  </si>
  <si>
    <t>Srsl_Ahmad.AMohammadi@rta.ae</t>
  </si>
  <si>
    <t>INC000001319423</t>
  </si>
  <si>
    <t>Mujeebullah</t>
  </si>
  <si>
    <t>Pyarejan</t>
  </si>
  <si>
    <t>User confirmed that he is able to connect to the VPN on their device. Hence we are resolving this ticket. Attached email below.</t>
  </si>
  <si>
    <t>mspyarejan</t>
  </si>
  <si>
    <t>Mujeebullah.Pyarejan@rta.ae</t>
  </si>
  <si>
    <t>INC000001319422</t>
  </si>
  <si>
    <t>Reason: NBX jam  Action: Need to change cash box please inform brinks team  Attended Time: waiting for brinks</t>
  </si>
  <si>
    <t>INC000001319421</t>
  </si>
  <si>
    <t>Almatroushi</t>
  </si>
  <si>
    <t>ssalmatroushi</t>
  </si>
  <si>
    <t>Shaikha.Almatroushi@rta.ae</t>
  </si>
  <si>
    <t>INC000001319420</t>
  </si>
  <si>
    <t>Mohra</t>
  </si>
  <si>
    <t>AlMehairi</t>
  </si>
  <si>
    <t>mmalmehairi</t>
  </si>
  <si>
    <t>Mohra.Almehairi@rta.ae</t>
  </si>
  <si>
    <t>INC000001319419</t>
  </si>
  <si>
    <t>Zughayer</t>
  </si>
  <si>
    <t>Log in issue</t>
  </si>
  <si>
    <t>Domain Trust Authentication Issue</t>
  </si>
  <si>
    <t>Resolved by disjoining the laptop from the domain and joining again, the user now can login without any issues</t>
  </si>
  <si>
    <t>oazughayer</t>
  </si>
  <si>
    <t>omar.zughayer@rta.ae</t>
  </si>
  <si>
    <t>INC000001319417</t>
  </si>
  <si>
    <t>Reason: BNA disable   Action: Cleared   Attended Time: 13:54</t>
  </si>
  <si>
    <t>INC000001319416</t>
  </si>
  <si>
    <t>Suspicious IP to RTA Portal on 20 February 2026, 13:07:34</t>
  </si>
  <si>
    <t>INC000001319415</t>
  </si>
  <si>
    <t>To Verify all batch process services in production w.r.t. Generic Support</t>
  </si>
  <si>
    <t>Verified all batch process services in production.</t>
  </si>
  <si>
    <t>INC000001319414</t>
  </si>
  <si>
    <t>Re: FW: Return of Vehicle Plates – New Hertz &amp; XXX Agreements</t>
  </si>
  <si>
    <t>Dear user, All mentioned borrowing contracts has been closed and vehicles have been returned, kindly verify.</t>
  </si>
  <si>
    <t>INC000001319413</t>
  </si>
  <si>
    <t>MaximoSrini: Repeated maximo error</t>
  </si>
  <si>
    <t>INC000001319412</t>
  </si>
  <si>
    <t>Please refer   INC000001319298</t>
  </si>
  <si>
    <t>INC000001319411</t>
  </si>
  <si>
    <t>INC000001319410</t>
  </si>
  <si>
    <t>1633131_Threat Activity Detected</t>
  </si>
  <si>
    <t>INC000001319409</t>
  </si>
  <si>
    <t>Active alarm: BNA1 nearly full.  Replenished   17:10 – 02/ 20/2026</t>
  </si>
  <si>
    <t>INC000001319406</t>
  </si>
  <si>
    <t>To provide the access on generic mail id and change the owner and provide permission to send DL</t>
  </si>
  <si>
    <t>We have updated the ownership of  _Service Change Notice from Basel to Anwar Sadath Erumpan and provided full access to Mr Anwar on scn@rta.ae mailbox</t>
  </si>
  <si>
    <t>GAL Modification (RE)</t>
  </si>
  <si>
    <t>INC000001319405</t>
  </si>
  <si>
    <t>????? ?????? ?? ????????? ??? ??????</t>
  </si>
  <si>
    <t>there was issue with active phase solved try now</t>
  </si>
  <si>
    <t>INC000001319404</t>
  </si>
  <si>
    <t>TVM-262184</t>
  </si>
  <si>
    <t>TVM-262184 cash box not locked  Cash box changed.  13:55 – 02/20/2026</t>
  </si>
  <si>
    <t>INC000001319403</t>
  </si>
  <si>
    <t>Vehicle renewal</t>
  </si>
  <si>
    <t>Duplicate with INC000001319400  The journey closed</t>
  </si>
  <si>
    <t>amamurad</t>
  </si>
  <si>
    <t>Amna.Murad@rta.ae</t>
  </si>
  <si>
    <t>INC000001319402</t>
  </si>
  <si>
    <t>Fekri</t>
  </si>
  <si>
    <t>Automation Issue</t>
  </si>
  <si>
    <t>We cleared browser data and cashes, configured the oracle authenticator then the issue solved.</t>
  </si>
  <si>
    <t>FAFekri</t>
  </si>
  <si>
    <t>Fatma.Fekri@rta.ae</t>
  </si>
  <si>
    <t>INC000001319400</t>
  </si>
  <si>
    <t>vehicle renewal</t>
  </si>
  <si>
    <t>The is old journey before closing Alkendy Center The journey closed</t>
  </si>
  <si>
    <t>INC000001319399</t>
  </si>
  <si>
    <t>Suspicious IP to RTA Portal on 20 February 2026, 12:08:34</t>
  </si>
  <si>
    <t>INC000001319398</t>
  </si>
  <si>
    <t>Reason: Paper roll empty   Action: please inform brinks team to refill paper roll  Attended Time:</t>
  </si>
  <si>
    <t>INC000001319397</t>
  </si>
  <si>
    <t>Request for creation of external user for IBM ELM DoorsNG application</t>
  </si>
  <si>
    <t>As per the below request, we have assigned Doors application access to below user, please check.   Employee Number: V0034843  User Login: MLCC_BKKANDJI E-mail: Mlcc_Bathie.Kandji@rta.ae Display Name: Bathie Kandji-Contractor</t>
  </si>
  <si>
    <t>INC000001319396</t>
  </si>
  <si>
    <t>Hessa</t>
  </si>
  <si>
    <t>Outlook Issue</t>
  </si>
  <si>
    <t>Outlook Not Responding(RE)</t>
  </si>
  <si>
    <t>clear creditiality and close reopen outlook add user and password again</t>
  </si>
  <si>
    <t>Outlook Not Responding</t>
  </si>
  <si>
    <t>HIBAhmad</t>
  </si>
  <si>
    <t>Hessa.Ahmad@rta.ae</t>
  </si>
  <si>
    <t>INC000001319395</t>
  </si>
  <si>
    <t>Add New Category</t>
  </si>
  <si>
    <t>there was old request for convert license rejected now try again</t>
  </si>
  <si>
    <t>INC000001319393</t>
  </si>
  <si>
    <t>Maitha Alhammadi</t>
  </si>
  <si>
    <t>As per concerned team update, Shared folder access has been granted to the user.  Folder Path: \\rta.global\fileserver001\Share1$\Strategy and Corporate Performance\Internal\Corporate Performance Section\E 2025\RAA Folder Owner: mhalzehmi Folder Access:  User Name	Type Of Access	Duration Of Access	Expiry Date okandi	Read And Write	Temporary	30?/6?/2026 12:00 ?   Please note that the subject ticket will be closed.</t>
  </si>
  <si>
    <t>Network Folder Access</t>
  </si>
  <si>
    <t>INC000001319392</t>
  </si>
  <si>
    <t>Donamol</t>
  </si>
  <si>
    <t>Kurian</t>
  </si>
  <si>
    <t>User confirmed that they are able to access the application/services through the VPN. Hence we are resolving this ticket. Attached email below.</t>
  </si>
  <si>
    <t>V0032872</t>
  </si>
  <si>
    <t>epic_dkkurian</t>
  </si>
  <si>
    <t>Epic_Donamol.Kurian@rta.ae</t>
  </si>
  <si>
    <t>INC000001319390</t>
  </si>
  <si>
    <t>Karthik D</t>
  </si>
  <si>
    <t>VPN Access has been extended for the VPN profile , please check.</t>
  </si>
  <si>
    <t>INC000001319389</t>
  </si>
  <si>
    <t>mona</t>
  </si>
  <si>
    <t>salim</t>
  </si>
  <si>
    <t>MASalim</t>
  </si>
  <si>
    <t>mona.salim@rta.ae</t>
  </si>
  <si>
    <t>INC000001319388</t>
  </si>
  <si>
    <t>Informed user that access has been provided to mthalji</t>
  </si>
  <si>
    <t>INC000001319387</t>
  </si>
  <si>
    <t>??? ???? ?? ????? ????? ???????</t>
  </si>
  <si>
    <t>let them try again  and provide us with the new error in case</t>
  </si>
  <si>
    <t>INC000001319386</t>
  </si>
  <si>
    <t>Ameen AlKhaja</t>
  </si>
  <si>
    <t>???? ??? ?????? ?????? ?????? ??? ?? ??????</t>
  </si>
  <si>
    <t>LaAlKhaja</t>
  </si>
  <si>
    <t>Latifa.AlKhaja@rta.ae</t>
  </si>
  <si>
    <t>INC000001319385</t>
  </si>
  <si>
    <t>Rani</t>
  </si>
  <si>
    <t>Fakhr</t>
  </si>
  <si>
    <t>refakhr</t>
  </si>
  <si>
    <t>Rani.Fakhr@rta.ae</t>
  </si>
  <si>
    <t>INC000001319384</t>
  </si>
  <si>
    <t>Shihab</t>
  </si>
  <si>
    <t>Abushihab</t>
  </si>
  <si>
    <t>saabushihab</t>
  </si>
  <si>
    <t>Shihab.Abushihab@rta.ae</t>
  </si>
  <si>
    <t>INC000001319383</t>
  </si>
  <si>
    <t>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t>
  </si>
  <si>
    <t>INC000001319382</t>
  </si>
  <si>
    <t>Avaya Tarek Salama</t>
  </si>
  <si>
    <t>Mohamed Khedr</t>
  </si>
  <si>
    <t>Keyboard</t>
  </si>
  <si>
    <t>Keyboard Not Working</t>
  </si>
  <si>
    <t>V00969</t>
  </si>
  <si>
    <t>Avaya_TMMohamedkhedr</t>
  </si>
  <si>
    <t>Avaya_Tareksalama.Mohamedkhedr@rta.ae</t>
  </si>
  <si>
    <t>INC000001319381</t>
  </si>
  <si>
    <t>Unable to process the application - [SHARED – CONFIDENTIAL / ????? – ???]</t>
  </si>
  <si>
    <t>Engineer can process stuck NOCs now.</t>
  </si>
  <si>
    <t>INC000001319380</t>
  </si>
  <si>
    <t>sbalsuwaidi</t>
  </si>
  <si>
    <t>Shaikha.BAlsuwaidi@rta.ae</t>
  </si>
  <si>
    <t>INC000001319379</t>
  </si>
  <si>
    <t>Unable to Return - AUH2577318</t>
  </si>
  <si>
    <t>Dear user, The borrowing : 1706016066712 has been closed in TARS system, Kindly verify.</t>
  </si>
  <si>
    <t>INC000001319378</t>
  </si>
  <si>
    <t>maalmarri</t>
  </si>
  <si>
    <t>Marwa.Almarri@rta.ae</t>
  </si>
  <si>
    <t>INC000001319377</t>
  </si>
  <si>
    <t>Bin Risheed</t>
  </si>
  <si>
    <t xml:space="preserve">??? ?? ???? ????????? </t>
  </si>
  <si>
    <t>The request has been solved. Please re-login again and confirm.</t>
  </si>
  <si>
    <t>V0025350</t>
  </si>
  <si>
    <t>srsl_ambinrisheed</t>
  </si>
  <si>
    <t>Srsl_Ali.Binrisheed@rta.ae</t>
  </si>
  <si>
    <t>INC000001319374</t>
  </si>
  <si>
    <t>Almatrooshi</t>
  </si>
  <si>
    <t>AMAlmatrooshi</t>
  </si>
  <si>
    <t>Alya.Almatrooshi@rta.ae</t>
  </si>
  <si>
    <t>INC000001319373</t>
  </si>
  <si>
    <t>Shared folder access has been granted to the users Folder Path: \\rta.global\fileserver001\Share7$\CASS\8009090 Call Center Folder Owner: asaiibrahim Folder Access:  User Name	Type Of Access	 tmebs_srqureshi		Read Only		  tmebs_aamohamedkhami	Read Only		  tmebs_maabdulrahmanm	Read Only		  tmebs_nmhussain		Read Only		  tmebs_djakbarali	Read Only		  tmebs_maaloraby		Read Only		  tmebs_sbbhusal		Read Only		  tmebs_wiabkarissa	Read Only		  tmebs_sebakhsh		Read Only		  tmebs_ssaliibrahim	Read Only		  tmebs_abmohamed		Read Only		  tmebs_oamohamedsalah	Read Only		  tmebs_aemahmoudosman	Read Only</t>
  </si>
  <si>
    <t>INC000001319372</t>
  </si>
  <si>
    <t>Share folder access provided as per the request. Path : \\rta.global\fileserver001\Share7$\CASS\8009090 Call Center  users tmebs_ziikramuddin	Read And Write	Permanent	  tmebs_rssubramani	Read And Write	Permanent	  tmebs_fkjayaraj	Read And Write	Permanent	  tmebs_nmmapidyath	Read And Write	Permanent	  tmebs_hmgomaa	Read And Write	Permanent	  tmebs_tmabdallah	Read And Write	Permanent	  tmebs_rhshaikh	Read And Write	Permanent	  tmebs_mmelbary	Read And Write	Permanent	  tmebs_maibrahim	Read And Write	Permanent	  tmebs_anshaaban	Read And Write	Permanent	  tmebs_hbgaber	Read And Write	Permanent	  tmebs_tskhedr	Read And Write	Permanent	  tmebs_smhussein	Read And Write	Permanent	  tmebs_aajama	Read And Write	Permanent	  tmebs_amali	Read And Write	Permanent	  tmebs_aaarab	Read And Write	Permanent	  tmebs_maattia	Read And Write	Permanent	  tmebs_aewahdan	Read And Write	Permanent	  tmebs_mllee	Read And Write	Permanent	  tmebs_afahmed	Read And Write	Permanent	  tmebs_mmhabib	Read And Write	Permanent	  tmebs_aaulday	Read And Write	Permanent	  tmebs_aaulday	Read And Write	Permanent	  tmebs_maabuelsoud	Read And Write	Permanent	  tmebs_aeabosoliman	Read And Write	Permanent	  tmebs_aahassanin	Read And Write	Permanent	  tmebs_lbmalapit	Read And Write	Permanent	  tmebs_aaismail	Read And Write	Permanent	  tmebs_ybbhujel	Read And Write	Permanent	  tmebs_mfbutt	Read And Write	Permanent	  tmebs_hqqureshi	Read And Write	Permanent	  tmebs_mfabozeid	Read And Write	Permanent	  tmebs_smmansour	Read And Write	Permanent	  tmebs_sonur	Read And Write	Permanent	  tmebs_aeibrahimhamad	Read And Write	Permanent	  tmebs_aaabdulwahab	Read  nd Write	Permanent	  tmebs_maomer	Read And Write	Permanent	  tmebs_mmbalaghi	Read And Write	Permanent	  tmebs_ahelgerisi	Read And Write	Permanent	  tmebs_saantar	Read And Write	Permanent	  tmebs_aagomaa	Read And Write	Permanent	  tmebs_asrehan	Read And Write	Permanent	  tmebs_sssalmen	Read And Write	Permanent	  tmebs_rahamood	Read And Write	Permanent	  tmebs_iajabir	Read And Write	Permanent	  tmebs_afemosa	Read And Write	Permanent	  tmebs_ramubarak	Read And Write	Permanent	  tmebs_smsalian	Read And Write	Permanent	  Approver: Amna Saif Mohammed Ahmad Ibrahim</t>
  </si>
  <si>
    <t>INC000001319371</t>
  </si>
  <si>
    <t>we accessed remotely and configured the VPN on the user device</t>
  </si>
  <si>
    <t>INC000001319370</t>
  </si>
  <si>
    <t>Proactive Monitoring - High Volume Email Requests Observed from E?Traffic w.r.t. SendEmailService</t>
  </si>
  <si>
    <t>Dear LA IT Support,  We have observed approximately 15K email requests from the E Traffic system between 08:00 AM and 09:00 AM today. We have attached a few sample logs received from the E Traffic system for your reference. Kindly investigate this issue and confirm why multiple email requests are being triggered during business hours, as this is impacting server performance and leading to increased failures.</t>
  </si>
  <si>
    <t>INC000001319369</t>
  </si>
  <si>
    <t>Share folder access provided as per the request. Path : \\rta.global\fileserver001\Share7$\CASS\8009090 Call Center User: tmebs_aaali Approver: Amna Saif Mohammed Ahmad Ibrahim</t>
  </si>
  <si>
    <t>INC000001319368</t>
  </si>
  <si>
    <t>provide us the result to the  query from EMS production database</t>
  </si>
  <si>
    <t>Script executed in the EMSDB upon approval.</t>
  </si>
  <si>
    <t>INC000001319367</t>
  </si>
  <si>
    <t>Rizwan</t>
  </si>
  <si>
    <t>Rasheed</t>
  </si>
  <si>
    <t>contract P948 in MAXIMO</t>
  </si>
  <si>
    <t>User, data modified as required and confirmed to user.</t>
  </si>
  <si>
    <t>rcrasheed</t>
  </si>
  <si>
    <t>Rizwan.Rasheed@rta.ae</t>
  </si>
  <si>
    <t>INC000001319365</t>
  </si>
  <si>
    <t>BUS-2111</t>
  </si>
  <si>
    <t>Intervetion completed  No issue found Tested with NOL card  All cico operational</t>
  </si>
  <si>
    <t>INC000001319364</t>
  </si>
  <si>
    <t>Hardware Upgrade</t>
  </si>
  <si>
    <t>INC000001319363</t>
  </si>
  <si>
    <t>Proactive Monitoring - Trade license subscription failures - Production w.r.t. DEG_TradeLicense</t>
  </si>
  <si>
    <t>We observed Portal subscription failures for the below mentioned trade licences with the below JDBC error, kindly look into this and let us know the reason for the failures.  URL: jdbc:oracle:thin:@rtaportaldb.rta.global:1527/EGVPORA</t>
  </si>
  <si>
    <t>INC000001319362</t>
  </si>
  <si>
    <t>REQ-DB Scripts:  contract P#6948 in MAXIMO</t>
  </si>
  <si>
    <t>INC000001319361</t>
  </si>
  <si>
    <t>TVM-263011</t>
  </si>
  <si>
    <t>Reason: BNA malfunction   Action: Cleared   Attender Name: Mohammed zabir</t>
  </si>
  <si>
    <t>INC000001319360</t>
  </si>
  <si>
    <t>Tamara</t>
  </si>
  <si>
    <t>Albaz</t>
  </si>
  <si>
    <t>Reset VPN account Request</t>
  </si>
  <si>
    <t>Guided user to scan QR Configured VPN successfully through LogMeIn</t>
  </si>
  <si>
    <t>tbalbaz</t>
  </si>
  <si>
    <t>Tamara.Albaz@rta.ae</t>
  </si>
  <si>
    <t>INC000001319358</t>
  </si>
  <si>
    <t>Request to run the  script on EMS production database</t>
  </si>
  <si>
    <t>INC000001319357</t>
  </si>
  <si>
    <t>Getting error while accessing EDMS service from application w.r.t. DSDocumentManagementService</t>
  </si>
  <si>
    <t>Kindly look into the below error from target EDMS in production while updating the document.</t>
  </si>
  <si>
    <t>INC000001319356</t>
  </si>
  <si>
    <t>Request to load New GTFS Feed effective from 19th February 2026 w.r.t. GTFS_BusLocationService</t>
  </si>
  <si>
    <t>The provided mappings have been loaded in to Staging and production environments.</t>
  </si>
  <si>
    <t>INC000001319355</t>
  </si>
  <si>
    <t>RMS Request</t>
  </si>
  <si>
    <t>Solar files (Top up &amp; Audit) from (1 – 10) Feb uploaded successfully in RMS.</t>
  </si>
  <si>
    <t>haahli</t>
  </si>
  <si>
    <t>Hessa.Ahli@rta.ae</t>
  </si>
  <si>
    <t>INC000001319354</t>
  </si>
  <si>
    <t>Sayed</t>
  </si>
  <si>
    <t>Unlocked account has been done from selfService</t>
  </si>
  <si>
    <t>SIHamadi</t>
  </si>
  <si>
    <t>Sayed.Hamadi@rta.ae</t>
  </si>
  <si>
    <t>INC000001319353</t>
  </si>
  <si>
    <t>???? ????? ???????</t>
  </si>
  <si>
    <t>Dear Mona,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</si>
  <si>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INC000001319351</t>
  </si>
  <si>
    <t>Please refer   INC000001319288</t>
  </si>
  <si>
    <t>INC000001319349</t>
  </si>
  <si>
    <t>Configured VPN successfully through LogMeIn</t>
  </si>
  <si>
    <t>INC000001319348</t>
  </si>
  <si>
    <t>Reason: AED 5 note jam  Action: Removed note jam  Attender Name: Mohammed zabir   Attended Time: 11:51</t>
  </si>
  <si>
    <t>INC000001319346</t>
  </si>
  <si>
    <t>sales order</t>
  </si>
  <si>
    <t>Duplicate sales orders deleted successfully from RMS.</t>
  </si>
  <si>
    <t>INC000001319345</t>
  </si>
  <si>
    <t>As per the below request, We have checked below users mobile number is already updated in IAM system, please check and confirm.</t>
  </si>
  <si>
    <t>INC000001319344</t>
  </si>
  <si>
    <t xml:space="preserve">???? ????? ???? ???? ?????? ?? ??????  </t>
  </si>
  <si>
    <t>the mentioned attachemnt has been removed please proceed wiht the epermit 2507835  request</t>
  </si>
  <si>
    <t>INC000001319342</t>
  </si>
  <si>
    <t>Manal Mohammed</t>
  </si>
  <si>
    <t>Al Rayes</t>
  </si>
  <si>
    <t>Outlook configuration Request</t>
  </si>
  <si>
    <t>In the signature table was added by mistake &amp; it been removed</t>
  </si>
  <si>
    <t>mmrayes</t>
  </si>
  <si>
    <t>manal.alrayes@rta.ae</t>
  </si>
  <si>
    <t>INC000001319341</t>
  </si>
  <si>
    <t>Obeidat</t>
  </si>
  <si>
    <t>UMM HURAIR -CREEK PARK A</t>
  </si>
  <si>
    <t>aaobeidat</t>
  </si>
  <si>
    <t>Ayman.Obeidat@rta.ae</t>
  </si>
  <si>
    <t>INC000001319340</t>
  </si>
  <si>
    <t>Ghaliya</t>
  </si>
  <si>
    <t>Altawash</t>
  </si>
  <si>
    <t>User confirmed that he is able to access the VPN. Hence we are resolving this ticket. Attached email below.</t>
  </si>
  <si>
    <t>gmaltawash</t>
  </si>
  <si>
    <t>Ghaliya.Altawash@rta.ae</t>
  </si>
  <si>
    <t>INC000001319339</t>
  </si>
  <si>
    <t>TUM-263017</t>
  </si>
  <si>
    <t>Active alarm: BNA1 nearly full  Replenished.  16:10 – 02/20/2026</t>
  </si>
  <si>
    <t>INC000001319337</t>
  </si>
  <si>
    <t>Ferial</t>
  </si>
  <si>
    <t>Naser Abdullah</t>
  </si>
  <si>
    <t xml:space="preserve">???? ????? ??????? </t>
  </si>
  <si>
    <t>Dear Ferial,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</si>
  <si>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FNAbdullah</t>
  </si>
  <si>
    <t>Ferial.Abdullah@rta.ae</t>
  </si>
  <si>
    <t>INC000001319335</t>
  </si>
  <si>
    <t>Reason:- Out of Paper   Action:- Paper Roll Changed   Attender :- Azeez   Attended Time:-12:21</t>
  </si>
  <si>
    <t>INC000001319333</t>
  </si>
  <si>
    <t>Wajd</t>
  </si>
  <si>
    <t>Elkhalil</t>
  </si>
  <si>
    <t>there is a PDF file can't open</t>
  </si>
  <si>
    <t>Issue has been solved redarding PDf</t>
  </si>
  <si>
    <t>wrelkhalil</t>
  </si>
  <si>
    <t>Wajd.Elkhalil@rta.ae</t>
  </si>
  <si>
    <t>INC000001319331</t>
  </si>
  <si>
    <t>Reason: AED 10 note jam  Action: Cleared note jam   Attender Name: Mohammed zabir   Attended Time: 11:14</t>
  </si>
  <si>
    <t>INC000001319330</t>
  </si>
  <si>
    <t>REQ-DB Scripts: Application Change Request Form  - Cancellation 02-02-2026</t>
  </si>
  <si>
    <t>INC000001319328</t>
  </si>
  <si>
    <t>RTA-1887439-D2K5 - whitelist quota full</t>
  </si>
  <si>
    <t>Customer top up the reported nol card 0359350956 from ENBD Bank On 03-DEC-25 20:32:18 with the amount of aed 50 as payment is accepted by DeG and pending whitelist file was created on the same day with the expiry date as 20-MAY-2030 but the top up amount aed 50 is not reflected on the nol card as customer not used the card after the top up till 14-FEB-2026 and started using the card from 15-FEB-2026 onwards.  Due to whitelist quota full the top up amount will not reflect in the nol card even if customer used.  Kindly execute the provided data patch in OCHS Production DB and advise the customer as per RTA Internal Operational Process.  Tag Id: 0359350956 Card Id: 1266844667899776 Top-up Amount: Aed 50 Top-up Date: 03-DEC-25 20:32:18 Source Reference Id: 1764779521430767(ENBD Bank)   As the reported incident is addressed kindly verify and close the ticket.</t>
  </si>
  <si>
    <t>INC000001319327</t>
  </si>
  <si>
    <t>1632851_Threat Activity Detected</t>
  </si>
  <si>
    <t>INC000001319326</t>
  </si>
  <si>
    <t>1632859_Threat Activity Detected</t>
  </si>
  <si>
    <t>INC000001319325</t>
  </si>
  <si>
    <t>1632861_Threat Activity Detected</t>
  </si>
  <si>
    <t>INC000001319324</t>
  </si>
  <si>
    <t>1632871_Threat Activity Detected</t>
  </si>
  <si>
    <t>INC000001319323</t>
  </si>
  <si>
    <t>Alkaabi</t>
  </si>
  <si>
    <t>MaximoSrini: Application Change Request Form  - Cancellation 02-02-2026</t>
  </si>
  <si>
    <t>RAhAlkaabi</t>
  </si>
  <si>
    <t>Rashed.Alkaabi@rta.ae</t>
  </si>
  <si>
    <t>INC000001319322</t>
  </si>
  <si>
    <t>Isoft Ali</t>
  </si>
  <si>
    <t>Jouni</t>
  </si>
  <si>
    <t>EMS Openshift: Staging Application deployment ems-backend-20260219-1</t>
  </si>
  <si>
    <t>Girish Thimmegowda</t>
  </si>
  <si>
    <t>Operation - OpenShift</t>
  </si>
  <si>
    <t>UMM RAMOOL - HQ</t>
  </si>
  <si>
    <t>Redeployment Request</t>
  </si>
  <si>
    <t>Deployed image in EMS Openshift Staging environment as requested by application</t>
  </si>
  <si>
    <t>DevOps</t>
  </si>
  <si>
    <t>Release Management</t>
  </si>
  <si>
    <t>Release Deployment</t>
  </si>
  <si>
    <t>V002635</t>
  </si>
  <si>
    <t>Isoft_AIBJouni</t>
  </si>
  <si>
    <t>Isoft_Ali.IJouni@rta.ae</t>
  </si>
  <si>
    <t>INC000001319320</t>
  </si>
  <si>
    <t>PTA TUM receipt file (1– 10) Feb 2026 uploaded successfully in RMS.</t>
  </si>
  <si>
    <t>INC000001319319</t>
  </si>
  <si>
    <t>Alaleeli</t>
  </si>
  <si>
    <t>JMAlaleeli</t>
  </si>
  <si>
    <t>Jasim.Alaleeli@rta.ae</t>
  </si>
  <si>
    <t>INC000001319318</t>
  </si>
  <si>
    <t>MaximoSrini: Transfer of access to Eng Rashed Alkaabi</t>
  </si>
  <si>
    <t>INC000001319317</t>
  </si>
  <si>
    <t>RTA-1885970-L8R4 - Nol card Top up balance not reflected</t>
  </si>
  <si>
    <t>Customer top up the reported nol card 2018298550 from NOLPAY On 08-OCT-2023 &amp; 10-DEC-2023 with the amount of aed 200(100+100) as payment is accepted by DeG and pending whitelist file was created on the same day with the expiry date as 05-APR-2024 &amp; 07-JUN-2024 but the top up amount aed 200(100+100) is not reflected on the nol card as customer not used the card after the top up.  As the data is housekeep in OCHS.  As the whitleist file is expired customer will not be able to activate the pending credit kindly inform the customer as per the RTA Internal Operational Process.  Tag Id: 2018298550 Card Id: 1212221810697344 Top-up Amount: Aed 200(100+100) Top-up Date: 08-OCT-2023 12:00:08, 10-DEC-2023 13:40:05 SP Transaction No: G32018298550a239a7eed8, G32018298550a37e7412e9 Whitelist Id: 1, 2 Whitelist Created Time: 08-OCT-2023 12:00:09, 10-DEC-2023 13:40:05 Whitelist Expiry Date: 05-APR-2024 00:00:00, 07-JUN-2024 00:00:00 Whitelist Status: PEN   As the reported incident is addressed kindly verify and close the ticket.</t>
  </si>
  <si>
    <t>INC000001319316</t>
  </si>
  <si>
    <t>Device ID: 264011  Reason: CRM  Action: Analysis  Details: Customer paid 40 AED to top-up 40 AED, transaction was unsuccessful.   TRAN TIME	TERMINAL ID	CARD TYPE	CARD NUMBER	TRAN TYPE	SALES AMOUNT	AUTH CODE	REF NO	?t (s) 08:00:06	36230447	MASTERCARD	516171XXXXXX6947	SALE	40.00	841296	000000096714	22</t>
  </si>
  <si>
    <t>CRM Complaint</t>
  </si>
  <si>
    <t>INC000001319314</t>
  </si>
  <si>
    <t>Gharib</t>
  </si>
  <si>
    <t>fkgharib</t>
  </si>
  <si>
    <t>fahad.gharib@rta.ae</t>
  </si>
  <si>
    <t>INC000001319313</t>
  </si>
  <si>
    <t>Add user to Office 365 Group</t>
  </si>
  <si>
    <t>We have added below user in MS office 365 group, please check.    MHHMohammad</t>
  </si>
  <si>
    <t>MHHMohammad</t>
  </si>
  <si>
    <t>Mohammad.HMohammad@rta.ae</t>
  </si>
  <si>
    <t>INC000001319310</t>
  </si>
  <si>
    <t>RTA-1888926-V1V7 - Nol card Top up balance not reflected</t>
  </si>
  <si>
    <t>Customer top up the reported nol card 0256142944 from Emirates NBD Bank On 03-JAN-26 with the amount of aed 25 as payment is accepted by DeG and pending whitelist file was created on the same day with the expiry date as 04-APR-2027 but the top up amount aed 25 is not reflected on the nol card as customer used the card after the top up in "BUS" till 16-FEB-2026 and used the card in "Metro" on 16-FEB-2026 12:10:27 at Al Qusais Metro Station.  Due to whitelist quota full the top up amount will not reflect in the nol card even if customer used. Kindly inform the customer as per RTA Internal Operational Process.  As requested, uploaded the data patch in BMC#1319310 &amp; Mantis#934 tickets. Kindly execute the provided data patch in OCHS Production DB and advise the customer as per RTA Internal Operational Process.  Tag Id: 0256142944 Card Id: 1166691132534656 Top-up Amount: Aed 25 Top-up Date: 03-JAN-26 11:15:37 SP Transaction No: 1767424456472615 Whitelist Id: 3 Whitelist Created Time: 03-JAN-2026 11:15:38 Whitelist Expiry Date: 04-APR-2027 00:00:00 Whitelist Status: PEN   As the reported incident is addressed kindly verify and close the ticket.</t>
  </si>
  <si>
    <t>INC000001319308</t>
  </si>
  <si>
    <t>RTA-1888447-M2W1 - Nol card Top up balance not reflected</t>
  </si>
  <si>
    <t>Customer top up the reported nol card 0325162386 from RTA MobileApp On 18-FEB-2026 with the amount of aed 30 as payment is accepted by DeG and pending whitelist file was created on the same day with the expiry date as 17-AUG-2026 but the top up amount aed 30 is not reflected on the nol card as customer not used the card after the top up till date.  As the details are available in whitelist file in SFTP location Kindly inform the customer to use the nol card in any Metro Gates, Online Parking Meters, Solar Top-up Machines or on NolPay App so that the top-up amount will reflect into the nol card after whitelist execution at L1 device level.   Tag Id: 0325162386 Card Id: 1221025154234240 Top-up Amount: Aed 30 Top-up Date: 18-FEB-2026 11:24:35 SP Transaction No: E2145652285E8530004079449(EPAY_MOBILE) Whitelist Id: 2 Whitelist Created Time: 18-FEB-2026 12:00:26 Whitelist Expiry Date: 17-AUG-2026 12:00:25 Whitelist Status: PEN   As the reported incident is addressed kindly verify and close the ticket.</t>
  </si>
  <si>
    <t>INC000001319307</t>
  </si>
  <si>
    <t>UNABLE TO RETURN_22754AUH18</t>
  </si>
  <si>
    <t>Dear user, The borrowing : 1732193313823 has been closed in TARS system, Kindly verify.</t>
  </si>
  <si>
    <t>INC000001319306</t>
  </si>
  <si>
    <t>Unable to access to TMS system</t>
  </si>
  <si>
    <t>Dear Ibrahim,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</si>
  <si>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iaalmulla</t>
  </si>
  <si>
    <t>Ibrahim.Almulla@rta.ae</t>
  </si>
  <si>
    <t>INC000001319305</t>
  </si>
  <si>
    <t>Reason:- Duplicate Ticket please Cancel Original Ticket No  INC000001319335</t>
  </si>
  <si>
    <t>INC000001319304</t>
  </si>
  <si>
    <t>??? ?? ???????? ???????</t>
  </si>
  <si>
    <t>The plates delivered in another transaction The journey closed</t>
  </si>
  <si>
    <t>INC000001319303</t>
  </si>
  <si>
    <t>TVM- 262198</t>
  </si>
  <si>
    <t>DUPLICATE TICKET  Please refer INC000001319187</t>
  </si>
  <si>
    <t>INC000001319302</t>
  </si>
  <si>
    <t>RTA-1883714-L4V3 - Renew Travel Pass amount deducted service not delivered</t>
  </si>
  <si>
    <t>As per the observation customer renewed the 30 day pass on 11-FEB-2026 online and system created the whitelist.  On 12-FEB-2026 18:17:28, customer used his card on Metro and the whitelist got executed and product 5000 - 30-Day Pass got written on to the card activation date as 12-02-2026 and since then the pass is effective and customer not being charged.  As the product is written on the card on 12-02-2026, from that date onwards for 30 days customer would get the pass validity.  Kindly inform the customer as service was delivered successfully to the nol tag 0312622780  No OCHS issue exists.    As the reported incident is addressed kindly verify and close the ticket.</t>
  </si>
  <si>
    <t>INC000001319301</t>
  </si>
  <si>
    <t>Elkhidir</t>
  </si>
  <si>
    <t>user education</t>
  </si>
  <si>
    <t>user was educated on how to configure Oracle authenticator</t>
  </si>
  <si>
    <t>V0034676</t>
  </si>
  <si>
    <t>okool_hmelkhidir</t>
  </si>
  <si>
    <t>Okool_Hind.Elkhidir@rta.ae</t>
  </si>
  <si>
    <t>INC000001319300</t>
  </si>
  <si>
    <t>RTA-1888218-T5X9 - Nol card Top up balance not reflected</t>
  </si>
  <si>
    <t>Customer top up the reported nol card 0367330164 from Emirates Islamic Bank On 03-FEB-2026 &amp; 03-FEB-2026 with the total amount of aed 35(25+10) as payment is accepted by DeG and pending whitelist file was created on the same day with the expiry date as 16-NOV-2030 but the top up amount aed 35 is not reflected on the nol card as customer not used the card after the top up till date.  As the details are available in whitelist file in SFTP location Kindly inform the customer to use the nol card in any Metro Gates, Online Parking Meters, Solar Top-up Machines or on NolPay App so that the top-up amount will reflect into the nol card after whitelist execution at L1 device level.   Tag Id: 0367330164 Card Id: 1267945650878848 Top-up Amount: Aed 35(25+10) Top-up Date: 03-FEB-2026 21:07:54, 08-FEB-2026 22:26:31 SP Transaction No: 1770138455536252, 1770575077756495 Whitelist Id: 4, 5 Whitelist Created Time: 03-FEB-2026 21:07:54, 08-FEB-2026 22:26:31 Whitelist Expiry Date: 16-NOV-2030 00:00:00 Whitelist Status: PEN  As the reported incident is addressed kindly verify and close the ticket.</t>
  </si>
  <si>
    <t>INC000001319298</t>
  </si>
  <si>
    <t>TVM- 262200</t>
  </si>
  <si>
    <t>ntervention completed MCU not booting Replaced mcu with old Dom restarted Tvm ping back end successfully Tvm operational.</t>
  </si>
  <si>
    <t>INC000001319297</t>
  </si>
  <si>
    <t>INC000001319296</t>
  </si>
  <si>
    <t>request 2512061 has been cancelled, the user should be able to proceed and create a new E-permit request</t>
  </si>
  <si>
    <t>INC000001319295</t>
  </si>
  <si>
    <t>RTA-1876892-G0Q1 - PCard application</t>
  </si>
  <si>
    <t>The issue is been addressing in the ticket INC000001318031. As this is the duplicate ticket hence verify and close the ticket.</t>
  </si>
  <si>
    <t>INC000001319294</t>
  </si>
  <si>
    <t>RTA-1887782-V7N8 - Nol card Top up balance not reflected</t>
  </si>
  <si>
    <t>For card TagId: 0282282599, ENBD Bank has sent a promotional top-up for AED 408/- on 04-NOV-25 with an expiry date 02-JAN-2028 in Promotional top-up file PR041125.001. Per the promotional top-up functionality, customer has to use the card at Metro/Parking L1 in order to get the promotional amount given by bank. However, in this case after the promotional top-up whitelist for AED 408/- created on 04-NOV-2025, customer not used his card in any Metro/Parking L1 till 09-FEB-2026 and used the nol card on 10-FEB-2026 but not reflected in the nol card due to whitelist quota full.   However, promotional top-ups are not eligible to refund as promotional top-ups are complimentary topups given by Bank with set expiry to receive on to the cards. Hence, it cannot be refunded.   No OCHS issue. Hope this helps you to clarify the issue to customer.   Tag Id: 0282282599 Card Id: 1227433787354752 Top-up Amount: Aed 408 Top-up Date: 04-NOV-25 16:48:20 Promotional Top up File name: PR041125.001 Reference Number: BANKNET-2025-11-02-2147886 (ENBD Bank) Whitelist Id: 2 Whitelist Created Time: 04-NOV-2025 17:00:59 Whitelist Expiry Date: 02-JAN-2028 00:00:00 Whitelist Status: PEN</t>
  </si>
  <si>
    <t>INC000001319293</t>
  </si>
  <si>
    <t>RTA-1887129-M1T2 - nol top up</t>
  </si>
  <si>
    <t>The reported incident is already addressed in the ticket INC000001318029, Hence created the ticket again which is duplicate.  As the reported incident is already addressed kindly verify and close the ticket.</t>
  </si>
  <si>
    <t>INC000001319292</t>
  </si>
  <si>
    <t>request for  NOC REACTIVATION - NOC-22102025-2433</t>
  </si>
  <si>
    <t>INC000001319291</t>
  </si>
  <si>
    <t>BUS-2175</t>
  </si>
  <si>
    <t>Intervention completed Cico 1 blank screen, cico 2 hanging. Reset both cico. All cico operational.</t>
  </si>
  <si>
    <t>INC000001319288</t>
  </si>
  <si>
    <t>INC000001319287</t>
  </si>
  <si>
    <t>Reactivait IR164 Design NOC  Landscape Water Feature Hessa St with Mohd bin Zayed Road</t>
  </si>
  <si>
    <t>Status has been changed for ROW NOC Department</t>
  </si>
  <si>
    <t>INC000001319286</t>
  </si>
  <si>
    <t>Reactivate IR186 Design NOC Landscape  NOC-24112025-2608</t>
  </si>
  <si>
    <t>INC000001319285</t>
  </si>
  <si>
    <t>Software Installing Request-Digital Signature</t>
  </si>
  <si>
    <t>Created new user account in Digital Signature system</t>
  </si>
  <si>
    <t>INC000001319284</t>
  </si>
  <si>
    <t>TVM-262193</t>
  </si>
  <si>
    <t>INC000001319282</t>
  </si>
  <si>
    <t>To check the Portal Timeout Exception logs</t>
  </si>
  <si>
    <t>INC000001319280</t>
  </si>
  <si>
    <t>TUM-263110</t>
  </si>
  <si>
    <t>DUPLICATE TICKET   Reason: duplicate INC000001319146  Action:  Attender Name: Amjad</t>
  </si>
  <si>
    <t>INC000001319277</t>
  </si>
  <si>
    <t>Ebrahim</t>
  </si>
  <si>
    <t>NEW HQ 2C</t>
  </si>
  <si>
    <t>eahussain</t>
  </si>
  <si>
    <t>Ebrahim.Hussain@RTA.ae</t>
  </si>
  <si>
    <t>INC000001319276</t>
  </si>
  <si>
    <t>1632688_Threat Activity Detected</t>
  </si>
  <si>
    <t>INC000001319275</t>
  </si>
  <si>
    <t>Pulikkunnummel</t>
  </si>
  <si>
    <t>password was successfully reset</t>
  </si>
  <si>
    <t>mapulikkunnummel</t>
  </si>
  <si>
    <t>Mohammed.Pulikkunnummel@RTA.ae</t>
  </si>
  <si>
    <t>INC000001319274</t>
  </si>
  <si>
    <t>DUPLICATE TICKET  Reason: duplicate INC000001319146  Action:  Attender Name: Amjad</t>
  </si>
  <si>
    <t>INC000001319272</t>
  </si>
  <si>
    <t>BS32E-482-Ras Al Khor 9-2 - M2</t>
  </si>
  <si>
    <t>Reason :No power  Action  : Thrid party issue  Attend Time :11:00</t>
  </si>
  <si>
    <t>INC000001319271</t>
  </si>
  <si>
    <t>Unable to Cancel or Accept the contract</t>
  </si>
  <si>
    <t>application already rejected application already rejected application already rejected</t>
  </si>
  <si>
    <t>INC000001319270</t>
  </si>
  <si>
    <t>password reset issue</t>
  </si>
  <si>
    <t>INC000001319269</t>
  </si>
  <si>
    <t>FC updating issue.</t>
  </si>
  <si>
    <t>Engineer can process Stuck FCs now.</t>
  </si>
  <si>
    <t>INC000001319268</t>
  </si>
  <si>
    <t>Palani</t>
  </si>
  <si>
    <t>Ravanappan</t>
  </si>
  <si>
    <t>Unable to submit my IPP2026 to line mgr</t>
  </si>
  <si>
    <t>Dear Palani,  You may now add the objectives from your current IPP 2026 performance form. Kindly check.  Regards</t>
  </si>
  <si>
    <t>pkravanappan</t>
  </si>
  <si>
    <t>Palani.Ravanappan@rta.ae</t>
  </si>
  <si>
    <t>INC000001319267</t>
  </si>
  <si>
    <t xml:space="preserve">Change mobile numbers </t>
  </si>
  <si>
    <t>INC000001319266</t>
  </si>
  <si>
    <t>Anwer</t>
  </si>
  <si>
    <t>Unable to Save RFT in Maximo – Request for Support</t>
  </si>
  <si>
    <t>msanwer</t>
  </si>
  <si>
    <t>Mohamed.Anwer@rta.ae</t>
  </si>
  <si>
    <t>INC000001319265</t>
  </si>
  <si>
    <t>Restart Staging servers for Windows Server Security Patch update.</t>
  </si>
  <si>
    <t>Gous Sayed</t>
  </si>
  <si>
    <t>GISTEC</t>
  </si>
  <si>
    <t>The Staging servers were successfully restarted on 16/02/2026 to apply the Windows Server Security Patch update. An email, including screenshots, has been sent to the RTAGIS team</t>
  </si>
  <si>
    <t>gistec_gssayed</t>
  </si>
  <si>
    <t>INC000001319263</t>
  </si>
  <si>
    <t>TUM-263110 NBX JAM Please inform brinks  Cash box changed.  15:12 – 02/20/2026</t>
  </si>
  <si>
    <t>INC000001319262</t>
  </si>
  <si>
    <t>Saud</t>
  </si>
  <si>
    <t>Aldosari</t>
  </si>
  <si>
    <t>SESAldosari</t>
  </si>
  <si>
    <t>Saud.EAldosari@rta.ae</t>
  </si>
  <si>
    <t>INC000001319260</t>
  </si>
  <si>
    <t>INC000001319259</t>
  </si>
  <si>
    <t>DTS</t>
  </si>
  <si>
    <t>Re: Theory Test Pending Payment Clearance Error</t>
  </si>
  <si>
    <t>Saima Khan</t>
  </si>
  <si>
    <t>DTS Support</t>
  </si>
  <si>
    <t>Non-Technical |  User Clarification About Exam Eligibility</t>
  </si>
  <si>
    <t>techvista_skkhan</t>
  </si>
  <si>
    <t>DTSSupport</t>
  </si>
  <si>
    <t>DTSSupport@rta.ae</t>
  </si>
  <si>
    <t>INC000001319258</t>
  </si>
  <si>
    <t>Revenue - eNOC  2025</t>
  </si>
  <si>
    <t>Revenue Information are shared with the Engineer.</t>
  </si>
  <si>
    <t>INC000001319256</t>
  </si>
  <si>
    <t>User  VPN Account has been unlocked , Please try Reconnect</t>
  </si>
  <si>
    <t>INC000001319252</t>
  </si>
  <si>
    <t>Request 16494874</t>
  </si>
  <si>
    <t>INC000001319249</t>
  </si>
  <si>
    <t>MaximoKinan - Reminder::: Asset Relocation Request 12603516</t>
  </si>
  <si>
    <t>This request is assigned to you automatically from the Automation System.</t>
  </si>
  <si>
    <t>MAHAbdallah</t>
  </si>
  <si>
    <t>Mohamad.AAbdallah@rta.ae</t>
  </si>
  <si>
    <t>INC000001319248</t>
  </si>
  <si>
    <t>TVM-262156</t>
  </si>
  <si>
    <t>As we checked the logs of TVM#262156, we saw that the card#0331315630 encountered a banknote jamming at 21:26:37  However the machine was not able to catch the amount inserted. Please verify with BRINKS team if they have collected the excess amount ================== 19.02.2026;21:25:54.304;ContentCSC;LogOnlyEvent;TagIdInvolved,ACSC,0331315630 19.02.2026;21:25:57.779;ContentCSC;ButtonPressed;btnNav01;"Card Top up" 19.02.2026;21:25:57.859;ContentCSC;SetScreen;ChooseAttrPurseTopupValueCSC 19.02.2026;21:25:59.541;ChooseAttrPurseTopupValueCSC;ButtonPressed;btnNav02;"AED 10.00" 19.02.2026;21:25:59.561;ChooseAttrPurseTopupValueCSC;SetScreen;PaymentSummaryAddValue 19.02.2026;21:26:13.291;PaymentSummaryAddValue;ButtonPressed;btnPayWithCash;"" 19.02.2026;21:26:13.311;PaymentSummaryAddValue;LogOnlyEvent;InvoicingStart;Coin,Note,Currency=,Amount=1000 19.02.2026;21:26:13.652;PaymentSummaryAddValue;LogOnlyEvent;InvoicingStart;true 19.02.2026;21:26:13.652;PaymentSummaryAddValue;SetScreen;PaymentAddValue 19.02.2026;21:26:14.883;PaymentAddValue;PaymentEnabled;Note 19.02.2026;21:26:15.344;PaymentAddValue;PaymentDisabled;Coin 19.02.2026;21:26:37.796;PaymentAddValue;PaymentDisabled;Note 19.02.2026;21:27:13.518;PaymentAddValue;ButtonPressed;language=ar 19.02.2026;21:27:13.518;PaymentAddValue;SetScreen;PaymentAddValue 19.02.2026;21:27:27.147;PaymentAddValue;ButtonPressed;control=back 19.02.2026;21:27:27.167;PaymentAddValue;LogOnlyEvent;InvoicingAbort;Result=false;FailedAmount=0</t>
  </si>
  <si>
    <t>INC000001319247</t>
  </si>
  <si>
    <t>Request 17006375</t>
  </si>
  <si>
    <t>INC000001319246</t>
  </si>
  <si>
    <t>MSAlbalooshi</t>
  </si>
  <si>
    <t>Maryam.SAlbalooshi@rta.ae</t>
  </si>
  <si>
    <t>INC000001319245</t>
  </si>
  <si>
    <t>????? ????? 15155017 Request</t>
  </si>
  <si>
    <t>INC000001319243</t>
  </si>
  <si>
    <t>as per the ticket attached from IT support INC000001319579  I took a remote session with the user, and we configured the Authenticator on his account. She will check with the IT team in the outsourcing company regarding the VPN software installation.</t>
  </si>
  <si>
    <t>INC000001319242</t>
  </si>
  <si>
    <t xml:space="preserve">Application is not allowing punch in/out </t>
  </si>
  <si>
    <t>myRTA</t>
  </si>
  <si>
    <t>the QR code and the full details has been sent to user in order to proceed with her punch</t>
  </si>
  <si>
    <t>INC000001319241</t>
  </si>
  <si>
    <t>Unable to register MFA for Tibco_support account</t>
  </si>
  <si>
    <t>Vivek Pal</t>
  </si>
  <si>
    <t>User confirmed, he is able to login into BMC application.</t>
  </si>
  <si>
    <t>INC000001319240</t>
  </si>
  <si>
    <t>Sahar</t>
  </si>
  <si>
    <t>sshamed</t>
  </si>
  <si>
    <t>Sahar.Hamed@rta.ae</t>
  </si>
  <si>
    <t>INC000001319238</t>
  </si>
  <si>
    <t>Nermin</t>
  </si>
  <si>
    <t>Sabaneh</t>
  </si>
  <si>
    <t>VPN Modify Access has been provided to the user profile</t>
  </si>
  <si>
    <t>V0033024</t>
  </si>
  <si>
    <t>avertra_nysabaneh</t>
  </si>
  <si>
    <t>Avertra_Nermin.Sabaneh@rta.ae</t>
  </si>
  <si>
    <t>INC000001319237</t>
  </si>
  <si>
    <t>VPN Re-Configuration Request</t>
  </si>
  <si>
    <t>INC000001319235</t>
  </si>
  <si>
    <t>Alnuaimi</t>
  </si>
  <si>
    <t>Maximo Error</t>
  </si>
  <si>
    <t>Report, new report created and the file has been sent to Requester.</t>
  </si>
  <si>
    <t>haalnuaimi</t>
  </si>
  <si>
    <t>Hamda.Alnuaimi@rta.ae</t>
  </si>
  <si>
    <t>INC000001319234</t>
  </si>
  <si>
    <t>Morjana Abdul Hamid</t>
  </si>
  <si>
    <t>Badri</t>
  </si>
  <si>
    <t>MABadry</t>
  </si>
  <si>
    <t>Morjana.Badri@rta.ae</t>
  </si>
  <si>
    <t>INC000001319233</t>
  </si>
  <si>
    <t>saaljasmi</t>
  </si>
  <si>
    <t>Shaikha.Aljasmi@rta.ae</t>
  </si>
  <si>
    <t>INC000001319232</t>
  </si>
  <si>
    <t>Qadri</t>
  </si>
  <si>
    <t>Maximo notifications -  SCG/CI/25-15181</t>
  </si>
  <si>
    <t>haqadri</t>
  </si>
  <si>
    <t>Hamza.Qadri@rta.ae</t>
  </si>
  <si>
    <t>INC000001319231</t>
  </si>
  <si>
    <t>Francis</t>
  </si>
  <si>
    <t>Sajay</t>
  </si>
  <si>
    <t>V0012877</t>
  </si>
  <si>
    <t>trl_fssajay</t>
  </si>
  <si>
    <t>Trl_Francis.Sajay@rta.ae</t>
  </si>
  <si>
    <t>INC000001319230</t>
  </si>
  <si>
    <t>Reason :5Aed jam   Action  : clear the jam   Attend Time :10:05</t>
  </si>
  <si>
    <t>INC000001319229</t>
  </si>
  <si>
    <t>Bahwan Varun</t>
  </si>
  <si>
    <t>Sethu</t>
  </si>
  <si>
    <t>Configured the VPN Profile and assisted in configuring the MFA and Ivanti client.</t>
  </si>
  <si>
    <t>V003187</t>
  </si>
  <si>
    <t>Bahwan_VSSethu</t>
  </si>
  <si>
    <t>Bahwan_Varun.VSethu@rta.ae</t>
  </si>
  <si>
    <t>INC000001319228</t>
  </si>
  <si>
    <t>Vijay</t>
  </si>
  <si>
    <t>Arunan</t>
  </si>
  <si>
    <t>vmarunan</t>
  </si>
  <si>
    <t>Vijay.Arunan@rta.ae</t>
  </si>
  <si>
    <t>INC000001319227</t>
  </si>
  <si>
    <t>REFRESHER TRAINING STATUS NOT UPDATED IN RTA</t>
  </si>
  <si>
    <t>if you start from SDDI complete renew from SDDI if you start from SDDI complete renew from SDDI</t>
  </si>
  <si>
    <t>INC000001319226</t>
  </si>
  <si>
    <t>Unlock VPN (fmalzarooni)</t>
  </si>
  <si>
    <t>Unlock VPN (fmalzarooni) Request has been Completed ,User Confirm On the same Hence ticket Closed.</t>
  </si>
  <si>
    <t>INC000001319225</t>
  </si>
  <si>
    <t>Trans Nowman Basha</t>
  </si>
  <si>
    <t>Pulk</t>
  </si>
  <si>
    <t>as per the user confirmation vpn and all url are working fine so we are closing the INC</t>
  </si>
  <si>
    <t>V0010902</t>
  </si>
  <si>
    <t>trans_napulk</t>
  </si>
  <si>
    <t>Trans_Nowmanbasha.Pulk@rta.ae</t>
  </si>
  <si>
    <t>INC000001319224</t>
  </si>
  <si>
    <t>hmobaid</t>
  </si>
  <si>
    <t>Hanan.Obaid@rta.ae</t>
  </si>
  <si>
    <t>INC000001319223</t>
  </si>
  <si>
    <t>1632548_Threat Activity Detected</t>
  </si>
  <si>
    <t>INC000001319221</t>
  </si>
  <si>
    <t>Thant</t>
  </si>
  <si>
    <t>Myo</t>
  </si>
  <si>
    <t>tzmyo</t>
  </si>
  <si>
    <t>Thant.Myo@rta.ae</t>
  </si>
  <si>
    <t>INC000001319220</t>
  </si>
  <si>
    <t>TOCC-Alert-Warning-P-260224939|OPEN|Browser monitor global outage</t>
  </si>
  <si>
    <t>there was a performance test on TARS env stg. and it is completed</t>
  </si>
  <si>
    <t>INC000001319219</t>
  </si>
  <si>
    <t>INC000001319218</t>
  </si>
  <si>
    <t>Thuraya</t>
  </si>
  <si>
    <t>taalmulla</t>
  </si>
  <si>
    <t>Thuraya.Almulla@rta.ae</t>
  </si>
  <si>
    <t>INC000001319214</t>
  </si>
  <si>
    <t>INC000001319213</t>
  </si>
  <si>
    <t>Reason: Nol card jam 5.5dhs 023 327 2590  Action: removed   Attender Name: Amjad  Attended Time: 10:07</t>
  </si>
  <si>
    <t>INC000001319210</t>
  </si>
  <si>
    <t>INC000001319209</t>
  </si>
  <si>
    <t>Nasr Eldin Kamal</t>
  </si>
  <si>
    <t>Sawi</t>
  </si>
  <si>
    <t>nksawi</t>
  </si>
  <si>
    <t>nasr.sawi@rta.ae</t>
  </si>
  <si>
    <t>INC000001319208</t>
  </si>
  <si>
    <t>Alalwi</t>
  </si>
  <si>
    <t>???? ????? ?? ?????? ??? ???? ????? ??????? ?? ???</t>
  </si>
  <si>
    <t>New HQ 5c Licensing Agency</t>
  </si>
  <si>
    <t>Dear Hanan,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</si>
  <si>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hhalalwi</t>
  </si>
  <si>
    <t>Hanan.Alalwi@rta.ae</t>
  </si>
  <si>
    <t>INC000001319206</t>
  </si>
  <si>
    <t>occupational permit issue</t>
  </si>
  <si>
    <t>https://www.jhipster.tech/problem/problem-with-message{400, no category found for provided uts code}  UTS response  error  request  &lt;S:Body&gt; &lt;ns3:getLicenseInfo xmlns:ns3="http://www.rta.ae/EIP/Reports/Reports_Schema" xmlns:ns2="http://www.rta.ae/EIP/Fault/FaultSchema"&gt; &lt;ns3:request&gt; &lt;ns3:nationalNo&gt;784199882721352&lt;/ns3:nationalNo&gt; &lt;ns3:unifiedId&gt;0&lt;/ns3:unifiedId&gt; &lt;ns3:trafficProfileNo&gt;0&lt;/ns3:trafficProfileNo&gt; &lt;/ns3:request&gt; &lt;/ns3:getLicenseInfo&gt; &lt;/S:Body&gt; response  &lt;SOAP-ENV:Body&gt; &lt;ns:getLicenseInfoResponse xmlns:ns="http://www.rta.ae/EIP/Reports/Reports_Schema" xmlns:ns2="http://www.rta.ae/EIP/Fault/FaultSchema" xmlns:tns="http://www.rta.ae/EIP/Reports/Reports_WSDL" xmlns:tns1="http://schemas.tibco.com/amsb/rt/exceptions" xmlns:tns2="http://www.adpolice.gov.ae/" xmlns:xsi="http://www.w3.org/2001/XMLSchema-instance"&gt; &lt;ns:getLicenseInfoResult&gt; &lt;ns:responseCode&gt;2000&lt;/ns:responseCode&gt; &lt;ns:responseLevel&gt;INFO&lt;/ns:responseLevel&gt; &lt;ns:responseDesc&gt;Report generated successfully&lt;/ns:responseDesc&gt; &lt;ns:trafficProfileNo&gt;2190221003&lt;/ns:trafficProfileNo&gt; &lt;ns:drivingLicense&gt; &lt;ns:licenseNo&gt;3961307&lt;/ns:licenseNo&gt; &lt;ns:licenseSource&gt;2&lt;/ns:licenseSource&gt; &lt;/ns:drivingLicense&gt; &lt;ns:licenseIssueDate&gt;2019-09-25T11:28:53Z&lt;/ns:licenseIssueDate&gt; &lt;ns:licenseExpiryDate&gt;2026-09-25T11:28:53Z&lt;/ns:licenseExpiryDate&gt; &lt;ns:arabicName&gt;???????? ??????????????&lt;/ns:arabicName&gt; &lt;ns:englishName&gt;KING TORRENTE&lt;/ns:englishName&gt; &lt;ns:unifiedID&gt;56198080&lt;/ns:unifiedID&gt; &lt;ns:nationalNo&gt;784199882721352&lt;/ns:nationalNo&gt; &lt;ns:licenseStatus&gt;Active&lt;/ns:licenseStatus&gt; &lt;ns:gender&gt;U&lt;/ns:gender&gt; &lt;ns:birthDate&gt;1998-06-14T00:00:00Z&lt;/ns:birthDate&gt; &lt;ns:nationalityCode&gt;237&lt;/ns:nationalityCode&gt; &lt;ns:passportNo&gt;P5350430B&lt;/ns:passportNo&gt; &lt;ns:passportIssueDate&gt;1900-01-01T00:00:00Z&lt;/ns:passportIssueDate&gt; &lt;ns:passportExpiryDate&gt;2030-07-21T00:00:00Z&lt;/ns:passportExpiryDate&gt; &lt;ns:residenceNo&gt;201/2026/7/13892&lt;/ns:residenceNo&gt; &lt;ns:residenceEmirateCode&gt;2&lt;/ns:residenceEmirateCode&gt; &lt;ns:residenceExpiryDate&gt;2028-02-03T00:00:00Z&lt;/ns:residenceExpiryDate&gt; &lt;ns:homeAddress&gt;??????????????/??????????????????&lt;/ns:homeAddress&gt; &lt;ns:homeTelephoneNo&gt;0&lt;/ns:homeTelephoneNo&gt; &lt;ns:mobile&gt;0569050338&lt;/ns:mobile&gt; &lt;ns:email&gt;non@non.com&lt;/ns:email&gt; &lt;ns:LicenseTypes&gt; &lt;ns:LicenseType&gt; &lt;ns:licenseTypeCode&gt;2&lt;/ns:licenseTypeCode&gt; &lt;ns:gearCode&gt;2&lt;/ns:gearCode&gt; &lt;ns:issueDate&gt;2019-09-25T11:28:53Z&lt;/ns:issueDate&gt; &lt;ns:cancelDate&gt;2022-06-21T13:23:57Z&lt;/ns:cancelDate&gt; &lt;/ns:LicenseType&gt; &lt;/ns:LicenseTypes&gt; &lt;/ns:getLicenseInfoResult&gt; &lt;/ns:getLicenseInfoResponse&gt; &lt;/SOAP-ENV:Body&gt;</t>
  </si>
  <si>
    <t>INC000001319204</t>
  </si>
  <si>
    <t>Maram</t>
  </si>
  <si>
    <t>Almuathen</t>
  </si>
  <si>
    <t>Oracle Mobile Authenticator Reconfiguration on Personal Smart Phone</t>
  </si>
  <si>
    <t>UMM RAMOOL  HQ 2A</t>
  </si>
  <si>
    <t>Oracle Mobile Authenticator Request has been Completed Through Phone,User Confirm On the same Hence ticket Closed.</t>
  </si>
  <si>
    <t>RTA Email in Personal Smart Device</t>
  </si>
  <si>
    <t>MSAlmuathen</t>
  </si>
  <si>
    <t>Maram.Almuathen@rta.ae</t>
  </si>
  <si>
    <t>INC000001319203</t>
  </si>
  <si>
    <t>Aminco Shankar</t>
  </si>
  <si>
    <t>Bogati</t>
  </si>
  <si>
    <t>The password has been reset successfully and shared privately.</t>
  </si>
  <si>
    <t>V006271</t>
  </si>
  <si>
    <t>Aminco_SBBogati</t>
  </si>
  <si>
    <t>Aminco_SBBogati@rta.ae</t>
  </si>
  <si>
    <t>INC000001319202</t>
  </si>
  <si>
    <t>Modify VPN Access has been provided to the user</t>
  </si>
  <si>
    <t>asbilal</t>
  </si>
  <si>
    <t>Amal.Bilal@rta.ae</t>
  </si>
  <si>
    <t>INC000001319201</t>
  </si>
  <si>
    <t>cannot apply for VPN request</t>
  </si>
  <si>
    <t>the user profile has been updated and the VPN request 2469995 has been proceed successfully</t>
  </si>
  <si>
    <t>INC000001319200</t>
  </si>
  <si>
    <t>RTA-1888831-P4V4 complaint</t>
  </si>
  <si>
    <t>INC000001319198</t>
  </si>
  <si>
    <t>Mohsin</t>
  </si>
  <si>
    <t>Aftab</t>
  </si>
  <si>
    <t>The VPN connection has been reconfigured successfully.</t>
  </si>
  <si>
    <t>V0034233</t>
  </si>
  <si>
    <t>qpros_maaftab</t>
  </si>
  <si>
    <t>Qpros_Mohsin.Aftab@rta.ae</t>
  </si>
  <si>
    <t>INC000001319197</t>
  </si>
  <si>
    <t>Shahad</t>
  </si>
  <si>
    <t>SKHAhli</t>
  </si>
  <si>
    <t>Shahad.KAhli@rta.ae</t>
  </si>
  <si>
    <t>INC000001319196</t>
  </si>
  <si>
    <t>????? ?????? ??????</t>
  </si>
  <si>
    <t>INC000001319195</t>
  </si>
  <si>
    <t>INC000001319194</t>
  </si>
  <si>
    <t>Zinab</t>
  </si>
  <si>
    <t>Al Ahdal</t>
  </si>
  <si>
    <t>Vpn Access has been extended to the user profile</t>
  </si>
  <si>
    <t>V0032719</t>
  </si>
  <si>
    <t>trans_zealahdal</t>
  </si>
  <si>
    <t>Trans_Zinab.Alahdal@rta.ae</t>
  </si>
  <si>
    <t>INC000001319193</t>
  </si>
  <si>
    <t>Suspicious IP to RTA Portal on 20th Feb 2026</t>
  </si>
  <si>
    <t>Action has been taken by soar solution</t>
  </si>
  <si>
    <t>INC000001319191</t>
  </si>
  <si>
    <t>Reset VPN QR code  (msalmuathen)</t>
  </si>
  <si>
    <t>Reset VPN QR code Request has been Completed ,User Confirm On the same Hence ticket Closed.</t>
  </si>
  <si>
    <t>INC000001319189</t>
  </si>
  <si>
    <t>Albino</t>
  </si>
  <si>
    <t>Allado</t>
  </si>
  <si>
    <t>CSC Alert: VPN user ("ABALLADO") access from outside the approved country - 06022026-02</t>
  </si>
  <si>
    <t>moved from blocked group so we are closing the INC</t>
  </si>
  <si>
    <t>aballado</t>
  </si>
  <si>
    <t>Albino.Allado@rta.ae</t>
  </si>
  <si>
    <t>INC000001319188</t>
  </si>
  <si>
    <t>Active alarm: BNA1 nearly full  Replenished.  14:33 – 02/20/2026</t>
  </si>
  <si>
    <t>INC000001319187</t>
  </si>
  <si>
    <t>Intervention completed  Screen freezing  Replaced power manager and cable Restarted tvm Ping backend successfully Tvm operational</t>
  </si>
  <si>
    <t>INC000001319186</t>
  </si>
  <si>
    <t>ffalblooshi</t>
  </si>
  <si>
    <t>Fatma.FAlblooshi@rta.ae</t>
  </si>
  <si>
    <t>INC000001319184</t>
  </si>
  <si>
    <t>Shibu</t>
  </si>
  <si>
    <t>Cheriyekkara</t>
  </si>
  <si>
    <t>Login through VPN has Error</t>
  </si>
  <si>
    <t>Dear Shibu,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</si>
  <si>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SACheriyekkara</t>
  </si>
  <si>
    <t>Shibu.Cheriyekkara@rta.ae</t>
  </si>
  <si>
    <t>INC000001319183</t>
  </si>
  <si>
    <t>??? ?? ??????? ????? 1</t>
  </si>
  <si>
    <t>the reported issue is due to sunlight shadow/reflection on the finish marker, also the student had removed his seatbelt immediately before the exam end process is completed.   RCA: Shadow on the lines.</t>
  </si>
  <si>
    <t>INC000001319182</t>
  </si>
  <si>
    <t>Muntassir</t>
  </si>
  <si>
    <t>Khonsor</t>
  </si>
  <si>
    <t>Created new user account in DS system.</t>
  </si>
  <si>
    <t>V0034169</t>
  </si>
  <si>
    <t>avertra_makhonsor</t>
  </si>
  <si>
    <t>Avertra_Muntassir.Khonsor@rta.ae</t>
  </si>
  <si>
    <t>INC000001319181</t>
  </si>
  <si>
    <t>TUM-263088 NBX Jam Need to Change Cash Box Please assign to Brinks Team Change Cash Box with EI Technicians Thanks  Cash box changed.  11:26 – 02/20/2026</t>
  </si>
  <si>
    <t>INC000001319180</t>
  </si>
  <si>
    <t>Sathyakumar</t>
  </si>
  <si>
    <t>Kandasamy</t>
  </si>
  <si>
    <t>V0028040</t>
  </si>
  <si>
    <t>ebm_skkandasamy</t>
  </si>
  <si>
    <t>Ebm_Sathyakumar.Kandasamy@rta.ae</t>
  </si>
  <si>
    <t>INC000001319179</t>
  </si>
  <si>
    <t>NOC-31072025-2065 Reactivation</t>
  </si>
  <si>
    <t>INC000001319178</t>
  </si>
  <si>
    <t>Katia</t>
  </si>
  <si>
    <t>Kherroubi</t>
  </si>
  <si>
    <t>V0028302</t>
  </si>
  <si>
    <t>ultimate_kkkherroubi</t>
  </si>
  <si>
    <t>Ultimate_Katia.Kherroubi@rta.ae</t>
  </si>
  <si>
    <t>INC000001319177</t>
  </si>
  <si>
    <t>INC000001319176</t>
  </si>
  <si>
    <t>Elbahnasawy</t>
  </si>
  <si>
    <t>maelbahnasawy</t>
  </si>
  <si>
    <t>Mohammed.Elbahnasawy@rta.ae</t>
  </si>
  <si>
    <t>INC000001319175</t>
  </si>
  <si>
    <t>Khaja</t>
  </si>
  <si>
    <t>Subhani-Contractor</t>
  </si>
  <si>
    <t>To update ticket priority to Low #INC000001318348</t>
  </si>
  <si>
    <t>Priority has been updated to Low for the ticket #INC000001318348</t>
  </si>
  <si>
    <t>V0030480</t>
  </si>
  <si>
    <t>sequre_kisuhani</t>
  </si>
  <si>
    <t>Sequre_Khaja.Suhani@rta.ae</t>
  </si>
  <si>
    <t>INC000001319174</t>
  </si>
  <si>
    <t>ikhankhan</t>
  </si>
  <si>
    <t>Ismail.Khan@rta.ae</t>
  </si>
  <si>
    <t>INC000001319173</t>
  </si>
  <si>
    <t>AMohMohamed</t>
  </si>
  <si>
    <t>Ahmed.MMohamed@rta.ae</t>
  </si>
  <si>
    <t>INC000001319172</t>
  </si>
  <si>
    <t>Al-tawalbeh</t>
  </si>
  <si>
    <t>amaltawalbeh</t>
  </si>
  <si>
    <t>Ahmad.Altawalbeh@rta.ae</t>
  </si>
  <si>
    <t>INC000001319171</t>
  </si>
  <si>
    <t>INC000001319170</t>
  </si>
  <si>
    <t>amahassan</t>
  </si>
  <si>
    <t>Ahmed.MHassan@rta.ae</t>
  </si>
  <si>
    <t>INC000001319169</t>
  </si>
  <si>
    <t>Bastaki</t>
  </si>
  <si>
    <t>UMM RAMOOL NEW HQ 1A - METRO ARBITRATION TEAM</t>
  </si>
  <si>
    <t>moabastaki</t>
  </si>
  <si>
    <t>Mohammad.Bastaki@RTA.ae</t>
  </si>
  <si>
    <t>INC000001319168</t>
  </si>
  <si>
    <t>Sabil Abdulla</t>
  </si>
  <si>
    <t>Intranet Issue Pop-Up username and password frequently</t>
  </si>
  <si>
    <t>Issue Resolved Through Remote Access,User Confirm On the same Hence ticket closed  -Cleare cach  -reset browser  -remove temp -remove old password in credentail manager  -gpupdate /force -ipconfig /flushdns</t>
  </si>
  <si>
    <t>tsabdulla</t>
  </si>
  <si>
    <t>Talal.Abdulla@rta.ae</t>
  </si>
  <si>
    <t>INC000001319167</t>
  </si>
  <si>
    <t>1632414_Threat Activity Detected</t>
  </si>
  <si>
    <t>INC000001319166</t>
  </si>
  <si>
    <t>1632422_Threat Activity Detected</t>
  </si>
  <si>
    <t>INC000001319165</t>
  </si>
  <si>
    <t>To update ticket priority to Low INC000001318345</t>
  </si>
  <si>
    <t>Priority has been updated to Low for the ticket #INC000001318345</t>
  </si>
  <si>
    <t>INC000001319164</t>
  </si>
  <si>
    <t>Intervention Completed. All cico AVM not connected. No connection from ISI client. Forwarded the bus to AVM team.</t>
  </si>
  <si>
    <t>INC000001319162</t>
  </si>
  <si>
    <t>NOC-29092025-2033 Reactivation</t>
  </si>
  <si>
    <t>INC000001319161</t>
  </si>
  <si>
    <t>24112025-2558</t>
  </si>
  <si>
    <t>INC000001319160</t>
  </si>
  <si>
    <t>As we checked the logs of TVM#262228, we saw that the card#0357706944  had a topup transaction of 50 AED, but got jammed on 19:51:03 and the amount was not capture by the machine. Please check with BRINKS team if they have collected excess of 50 AED  =================== 19.02.2026;19:50:32.873;ContentCSC;LogOnlyEvent;TagIdInvolved,ACSC,0357706944 19.02.2026;19:50:34.476;ContentCSC;ButtonPressed;btnNav01;"Card Top up" 19.02.2026;19:50:34.536;ContentCSC;SetScreen;ChooseAttrPurseTopupValueCSC 19.02.2026;19:50:34.846;ChooseAttrPurseTopupValueCSC;TimerElapsed;payment 19.02.2026;19:50:36.749;ChooseAttrPurseTopupValueCSC;ButtonPressed;btnNav06;"AED 50.00" 19.02.2026;19:50:36.769;ChooseAttrPurseTopupValueCSC;SetScreen;PaymentSummaryAddValue 19.02.2026;19:50:38.131;PaymentSummaryAddValue;ButtonPressed;btnPayWithCash;"" 19.02.2026;19:50:38.141;PaymentSummaryAddValue;LogOnlyEvent;InvoicingStart;Coin,Note,Currency=,Amount=5000 19.02.2026;19:50:39.543;PaymentSummaryAddValue;LogOnlyEvent;InvoicingStart;true 19.02.2026;19:50:39.543;PaymentSummaryAddValue;SetScreen;PaymentAddValue 19.02.2026;19:50:40.745;PaymentAddValue;PaymentDisabled;Coin 19.02.2026;19:50:41.235;PaymentAddValue;PaymentEnabled;Note 19.02.2026;19:51:03.137;PaymentAddValue;PaymentDisabled;Note 19.02.2026;19:51:17.437;PaymentAddValue;ButtonPressed;control=cancel 19.02.2026;19:51:17.467;PaymentAddValue;LogOnlyEvent;InvoicingAbort;Result=false;FailedAmount=0 19.02.2026;19:51:17.477;PaymentAddValue;SetScreen; ===================</t>
  </si>
  <si>
    <t>INC000001319159</t>
  </si>
  <si>
    <t>16876715 ???  RTA-1888407-N3W8 ????  Request</t>
  </si>
  <si>
    <t>INC000001319158</t>
  </si>
  <si>
    <t>Irfan</t>
  </si>
  <si>
    <t>MaximoSrini: Request to Re-route Work Order # 6349088 (Body # 2013)</t>
  </si>
  <si>
    <t>IRAKhan</t>
  </si>
  <si>
    <t>Irfan.RKhan@rta.ae</t>
  </si>
  <si>
    <t>INC000001319157</t>
  </si>
  <si>
    <t>BUS-2767</t>
  </si>
  <si>
    <t>Intervention completed Cico 1 and 3 no reading nolcard, found both cico commission with same position. Recommissioned both cico. All cico operational.</t>
  </si>
  <si>
    <t>INC000001319156</t>
  </si>
  <si>
    <t>Rendon</t>
  </si>
  <si>
    <t>Enojardo</t>
  </si>
  <si>
    <t>MaximoSrini: Subject: Removal of bus nos. 2005 from the billing list</t>
  </si>
  <si>
    <t>rienojardo</t>
  </si>
  <si>
    <t>Rendon.Enojardo@rta.ae</t>
  </si>
  <si>
    <t>INC000001319155</t>
  </si>
  <si>
    <t>Reason: No customer   Action: No transaction device working fine  Attended Time: 8:30</t>
  </si>
  <si>
    <t>INC000001319154</t>
  </si>
  <si>
    <t>Gulshan Rai Sehgal</t>
  </si>
  <si>
    <t>V0033216</t>
  </si>
  <si>
    <t>tms_ssgulshanraisehg</t>
  </si>
  <si>
    <t>Tms_Sameer.Gulshanraisehgal@rta.ae</t>
  </si>
  <si>
    <t>INC000001319153</t>
  </si>
  <si>
    <t>Ziyad</t>
  </si>
  <si>
    <t>Mourched</t>
  </si>
  <si>
    <t>Guide the user to login to Automation system with MS edge browser.</t>
  </si>
  <si>
    <t>SABKHA -BUS STATION</t>
  </si>
  <si>
    <t>zcmourched</t>
  </si>
  <si>
    <t>Ziyad.Mourched@rta.ae</t>
  </si>
  <si>
    <t>INC000001319152</t>
  </si>
  <si>
    <t>Hani</t>
  </si>
  <si>
    <t>Abouzeid</t>
  </si>
  <si>
    <t>VPN Configuration  Request</t>
  </si>
  <si>
    <t>VPN has been connected and working fine</t>
  </si>
  <si>
    <t>hmabouzeid</t>
  </si>
  <si>
    <t>Hani.Abouzeid@rta.ae</t>
  </si>
  <si>
    <t>INC000001319151</t>
  </si>
  <si>
    <t>As we checked the transaction of TVM#262179 in our system we found that the transaction encountered a payment_error. Claim is valid for 30 AED  Transaction Details: * TRANSACTION_ID: 4450820564 * RECORD_TIMESTAMP: 2026-02-19 08:07:26 * USER_ID: 262179 * VALUE: 0 * STATUS: payment_error * DETAILS:   + Complaint.AcceptedAmt: 3000   + Complaint.ComplaintID: C26217900420   + Complaint.InvalidAmt: 3000   + Complaint.Note: 0   + Complaint.Notes: 1000,1000,1000   + Complaint.RefundAmt: 0   + Complaint.TagID: 0294383088   + Receipt Number: S262179260219080722</t>
  </si>
  <si>
    <t>INC000001319150</t>
  </si>
  <si>
    <t>Reason :5Aed jam   Action  : clear the jam   Attend Time :8:00</t>
  </si>
  <si>
    <t>INC000001319148</t>
  </si>
  <si>
    <t>Active alarm: BNA1 nearly full  Replenished.  11:01 – 02/20/2026</t>
  </si>
  <si>
    <t>INC000001319147</t>
  </si>
  <si>
    <t>TUM-263020</t>
  </si>
  <si>
    <t>Reason: Nol card jam ( 034 170 1845 )  Action: Removed Nol card jam    Attender Name : Mohammed zabir  Attended Time: 8:10</t>
  </si>
  <si>
    <t>INC000001319146</t>
  </si>
  <si>
    <t>Reason: NBX JAM  Action: Please inform brinks   Attender Name: Amjad  Attended Time: waiting for brinks</t>
  </si>
  <si>
    <t>INC000001319145</t>
  </si>
  <si>
    <t>INC000001319143</t>
  </si>
  <si>
    <t>1632281_Threat Activity Detected</t>
  </si>
  <si>
    <t>INC000001319142</t>
  </si>
  <si>
    <t>Single Risk Event: machine RTAUEVSTSOMST1 infected with Unproven.Insight, action Quarantined</t>
  </si>
  <si>
    <t>Full scan of the server RTAUEVSTSOMST1  completed and malicious files are detected.</t>
  </si>
  <si>
    <t>Antivirus</t>
  </si>
  <si>
    <t>INC000001319141</t>
  </si>
  <si>
    <t>INC000001319140</t>
  </si>
  <si>
    <t>Reason:- NBX Jam   Action:- Cashbox Changed with Brinks Team, Fault Cleared   Attender :- Azeez   Attended Time:-11:22    Reason:- NBX Jam Need to Change Cash Box Please assign to Brinks Team Change Cash Box With EI Technicians Thanks   Action:-   Attender :- Azeez   Attended Time:-Waiting for Brinks Team</t>
  </si>
  <si>
    <t>INC000001319138</t>
  </si>
  <si>
    <t>1632208_Threat Activity Detected</t>
  </si>
  <si>
    <t>INC000001319137</t>
  </si>
  <si>
    <t>Reason :Bna malfunction   Action  : clear the alarm   Attend Time :7:20</t>
  </si>
  <si>
    <t>INC000001319136</t>
  </si>
  <si>
    <t>Hassa</t>
  </si>
  <si>
    <t>Hall</t>
  </si>
  <si>
    <t>Inrix layer is not showing in GIS map</t>
  </si>
  <si>
    <t>Rahul Jitendra Prasad Singh-Contractor</t>
  </si>
  <si>
    <t>GIS - INRIX Traffic Layer</t>
  </si>
  <si>
    <t>There was an activity scheduled for Linux Patching on 20th 1AM to 4AM and under that, pgsql also listed.  Post restart we verify the services and after 2 hours we found connectivity lost error in logs. we verify that pgsql instance was running as usual, so we restaretd the service to gain the conenction</t>
  </si>
  <si>
    <t>cns_abanabtawi</t>
  </si>
  <si>
    <t>HAHall</t>
  </si>
  <si>
    <t>Hassa.Hall@rta.ae</t>
  </si>
  <si>
    <t>INC000001319134</t>
  </si>
  <si>
    <t>1632177_Threat Activity Detected</t>
  </si>
  <si>
    <t>INC000001319133</t>
  </si>
  <si>
    <t>1632192_Threat Activity Detected</t>
  </si>
  <si>
    <t>INC000001319132</t>
  </si>
  <si>
    <t>TVM-262216</t>
  </si>
  <si>
    <t>INC000001319131</t>
  </si>
  <si>
    <t>Week3 Weekly health check in RTAHQ &amp; Remote locations - February 2026</t>
  </si>
  <si>
    <t>The Week 3 weekly health check for the CEO Meeting Room, peformed by Aesthetix has been completed.</t>
  </si>
  <si>
    <t>INC000001319130</t>
  </si>
  <si>
    <t>The Week 3 weekly health check for the IOC Smart Monitoring Room, peformed by Aesthetix has been completed.</t>
  </si>
  <si>
    <t>INC000001319129</t>
  </si>
  <si>
    <t>Week3 Day5 Daily &amp; weekly health check in RTAHQ &amp; Remote locations - February 2026</t>
  </si>
  <si>
    <t>The Week 3 Day 5 Daily health check for Customer Happiness Center Umm Ramool has been completed.</t>
  </si>
  <si>
    <t>INC000001319128</t>
  </si>
  <si>
    <t>The Week 3 Day 5 Daily health check for Al Wasl Auditorium has been completed.</t>
  </si>
  <si>
    <t>INC000001319127</t>
  </si>
  <si>
    <t>The Week 3 Day 5 Daily health check for 8B, 8C &amp; 9B Critical Area has been completed.</t>
  </si>
  <si>
    <t>INC000001319126</t>
  </si>
  <si>
    <t>1632116_Threat Activity Detected</t>
  </si>
  <si>
    <t>INC000001319125</t>
  </si>
  <si>
    <t>1632117_Threat Activity Detected</t>
  </si>
  <si>
    <t>INC000001319123</t>
  </si>
  <si>
    <t>Device error 0X133</t>
  </si>
  <si>
    <t>Required registry fix has been pushed to the affected devices.. No further action require</t>
  </si>
  <si>
    <t>INC000001319122</t>
  </si>
  <si>
    <t>Action required - Authentication is needed : Phishing Email</t>
  </si>
  <si>
    <t>Mail Blocking</t>
  </si>
  <si>
    <t>We have blocked below ID/Domain in email gateway and revoked email from mentioned recipient.  •	info@ses.4live.it (sender) •	@mail.ses.4live.it</t>
  </si>
  <si>
    <t>Domain/Email Blacklisting</t>
  </si>
  <si>
    <t>INC000001319121</t>
  </si>
  <si>
    <t>Israr Ahmad Khan-Contractor</t>
  </si>
  <si>
    <t>Dear Team,  Provided URLs have been blocked on RTA proxy.  https[:]//account.renewals[.]courses/normalization.html?enters= https[:]//logon.references[.]live</t>
  </si>
  <si>
    <t>INC000001319120</t>
  </si>
  <si>
    <t>SMARTEMS: request to deploy file in staging environment</t>
  </si>
  <si>
    <t>Techm Ashiq Chembantakath</t>
  </si>
  <si>
    <t>Portal Ops - Middleware</t>
  </si>
  <si>
    <t>Oracle Apps Service</t>
  </si>
  <si>
    <t>Deployed file in the SMARTEMS staging as request by application team</t>
  </si>
  <si>
    <t>Oracle Apps service</t>
  </si>
  <si>
    <t>INC000001319119</t>
  </si>
  <si>
    <t>ec3</t>
  </si>
  <si>
    <t>itservicedesk</t>
  </si>
  <si>
    <t>Enterprise Command &amp; Control Center</t>
  </si>
  <si>
    <t>DMS powerbi dashboard not updating</t>
  </si>
  <si>
    <t>Ahmad Anabtawi</t>
  </si>
  <si>
    <t>EC3 Data Pipeline - High</t>
  </si>
  <si>
    <t>Power BI Workflow - TRA - iTraffic - DMS</t>
  </si>
  <si>
    <t>issue resolved after restarting the spark job</t>
  </si>
  <si>
    <t>Backend Service Restart</t>
  </si>
  <si>
    <t>Backend Services Restarted</t>
  </si>
  <si>
    <t>ec3_itservicedesk</t>
  </si>
  <si>
    <t>ec3_itservicedesk@rta.ae</t>
  </si>
  <si>
    <t>INC000001319117</t>
  </si>
  <si>
    <t>Christy</t>
  </si>
  <si>
    <t>Cheriyan</t>
  </si>
  <si>
    <t>URL access request</t>
  </si>
  <si>
    <t>Request for URL Access</t>
  </si>
  <si>
    <t>We have whitelisted the below mentioned URL.  Kindly verify the access.  busbenchmarking.huddle.net</t>
  </si>
  <si>
    <t>cacheriyan</t>
  </si>
  <si>
    <t>Christy.Cheriyan@rta.ae</t>
  </si>
  <si>
    <t>INC000001319115</t>
  </si>
  <si>
    <t>Parking Fines System request - 570767</t>
  </si>
  <si>
    <t>Needful done as requested, pls check.</t>
  </si>
  <si>
    <t>INC000001319114</t>
  </si>
  <si>
    <t>VPN account have been configured and connected.</t>
  </si>
  <si>
    <t>INC000001319113</t>
  </si>
  <si>
    <t>Marzoughi</t>
  </si>
  <si>
    <t>hemarzoughi</t>
  </si>
  <si>
    <t>Hassan.Marzoughi@rta.ae</t>
  </si>
  <si>
    <t>INC000001319112</t>
  </si>
  <si>
    <t>BUS-2758</t>
  </si>
  <si>
    <t>Intervention Completed. No issue found. Tested with nolcard successfully. All cico working fine.</t>
  </si>
  <si>
    <t>EOD Not Updated</t>
  </si>
  <si>
    <t>INC000001319111</t>
  </si>
  <si>
    <t>SARAVANAKUMAR</t>
  </si>
  <si>
    <t>KARUPPASAMY</t>
  </si>
  <si>
    <t>RTA standard software installation request - MS office on server</t>
  </si>
  <si>
    <t>MS office has been installed on the server</t>
  </si>
  <si>
    <t>V004758</t>
  </si>
  <si>
    <t>Emircom_SKKaruppasam</t>
  </si>
  <si>
    <t>Emircom_Saravana.Karuppasamy@rta.ae</t>
  </si>
  <si>
    <t>INC000001319110</t>
  </si>
  <si>
    <t>Suspicious IP to RTA Portal on 20 February 2026, 03:04:18</t>
  </si>
  <si>
    <t>INC000001319109</t>
  </si>
  <si>
    <t>BUS-1105</t>
  </si>
  <si>
    <t>INC000001319108</t>
  </si>
  <si>
    <t>INC000001319107</t>
  </si>
  <si>
    <t>TVM-262195</t>
  </si>
  <si>
    <t>INC000001319106</t>
  </si>
  <si>
    <t>TVM-262194</t>
  </si>
  <si>
    <t>INC000001319105</t>
  </si>
  <si>
    <t>RTPI-SAT-46L1-WM-2020-1103</t>
  </si>
  <si>
    <t>Reason: PM   Action: PM Done   Attender Name: Kishor Bangera   Attend Time: 23:10</t>
  </si>
  <si>
    <t>INC000001319104</t>
  </si>
  <si>
    <t>RTPI-SAT-46L1-WM-2020-1106</t>
  </si>
  <si>
    <t>Reason: PM   Action: PM Done   Attender Name: Kishor Bangera   Attend Time: 23 15</t>
  </si>
  <si>
    <t>INC000001319103</t>
  </si>
  <si>
    <t>INC000001319102</t>
  </si>
  <si>
    <t>RTPI-SAT-46L1-WM-2020-1102</t>
  </si>
  <si>
    <t>Reason: PM   Action: PM Done   Attender Name: Kishor Bangera   Attend Time: 23:05</t>
  </si>
  <si>
    <t>INC000001319101</t>
  </si>
  <si>
    <t>RTPI-UNI-75P1-FS-2020-1068</t>
  </si>
  <si>
    <t>Reason: PM   Action: PM Done   Attended Time: 23:00  Name : NOUSHAD</t>
  </si>
  <si>
    <t>INC000001319100</t>
  </si>
  <si>
    <t>RTPI-GUB-46L1-WM-2020-1094</t>
  </si>
  <si>
    <t>Reason: PM   Action: PM Done   Attended Time: 21:38  Name : NOUSHAD</t>
  </si>
  <si>
    <t>INC000001319099</t>
  </si>
  <si>
    <t>RTPI-GUB-46L1-WM-2020-1082</t>
  </si>
  <si>
    <t>INC000001319098</t>
  </si>
  <si>
    <t>RTPI-INC-G6-46P1-FS-2020-1081</t>
  </si>
  <si>
    <t>Reason : PM Card No.:   Customer Name:      Action : PM done   Attendee Name:  Jasper Attended Time : 22:50</t>
  </si>
  <si>
    <t>INC000001319097</t>
  </si>
  <si>
    <t>Share folder has been remapped  \\rta.global\fileserver001\Share5$\CTSS\TSG\</t>
  </si>
  <si>
    <t>INC000001319096</t>
  </si>
  <si>
    <t>RTPI-INC-46L1-WM-2020-1084</t>
  </si>
  <si>
    <t>Reason :  PM Card No.:   Customer Name:      Action : PM done  Attendee Name:  Jasper Attended Time : 22:43</t>
  </si>
  <si>
    <t>INC000001319095</t>
  </si>
  <si>
    <t>RTPI-GLV-EP-01/340004</t>
  </si>
  <si>
    <t>Reason:- Preventive Maintenance   Action:- Done   Attender :- Azeez   Attended Time:-13:50</t>
  </si>
  <si>
    <t>INC000001319094</t>
  </si>
  <si>
    <t>Sarafudheen</t>
  </si>
  <si>
    <t>Mukari</t>
  </si>
  <si>
    <t>smmukari</t>
  </si>
  <si>
    <t>Sarafudheen.Mukari@rta.ae</t>
  </si>
  <si>
    <t>INC000001319093</t>
  </si>
  <si>
    <t>RTPI-GUB-EP-04/340108</t>
  </si>
  <si>
    <t>Reason: PM  Action: DONE  Attender Name: Amjad  Attended Time: 11:30</t>
  </si>
  <si>
    <t>INC000001319092</t>
  </si>
  <si>
    <t>RTPI-GUB-EP-03/340025</t>
  </si>
  <si>
    <t>INC000001319091</t>
  </si>
  <si>
    <t>RTPI-GUB-EP-02/340106</t>
  </si>
  <si>
    <t>INC000001319090</t>
  </si>
  <si>
    <t>RTPI-GUB-EP-01/340036</t>
  </si>
  <si>
    <t>INC000001319089</t>
  </si>
  <si>
    <t>BUS-2705</t>
  </si>
  <si>
    <t>intervention completed no issue found copied backup file tested block id and nol card all cico operational</t>
  </si>
  <si>
    <t>INC000001319088</t>
  </si>
  <si>
    <t>BUS-6188</t>
  </si>
  <si>
    <t>Intervention completed cico position 4 blankscreen,reset cico all cico operational</t>
  </si>
  <si>
    <t>INC000001319086</t>
  </si>
  <si>
    <t>TUM-263109</t>
  </si>
  <si>
    <t>Reason:- Preventive Maintenance   Action:- Done   Attender :- Azeez   Attended Time:-13:40</t>
  </si>
  <si>
    <t>INC000001319084</t>
  </si>
  <si>
    <t>20020(RTA HQ)</t>
  </si>
  <si>
    <t>Reason: Emergency access only in RTA HQ  Action: Can't do PM  Attended Time:</t>
  </si>
  <si>
    <t>INC000001319083</t>
  </si>
  <si>
    <t>Suspicious IP to RTA Portal on 20 February 2026, 02:04:31</t>
  </si>
  <si>
    <t>INC000001319082</t>
  </si>
  <si>
    <t>EXPO RTPI - MR50L-R26-E1-2-Business Bay - M2 (Alert ID: '252224')</t>
  </si>
  <si>
    <t>Reason :Offline  Action  : Offline auto reslove   Attend Time :6:30</t>
  </si>
  <si>
    <t>INC000001319081</t>
  </si>
  <si>
    <t>1631947_Threat Activity Detected</t>
  </si>
  <si>
    <t>INC000001319080</t>
  </si>
  <si>
    <t>Abnormal Web requests detected from 103.10.56.140</t>
  </si>
  <si>
    <t>INC000001319079</t>
  </si>
  <si>
    <t>Suspicious IP to RTA Portal on 20 February 2026, 01:04:53</t>
  </si>
  <si>
    <t>INC000001319078</t>
  </si>
  <si>
    <t>1631926_Threat Activity Detected</t>
  </si>
  <si>
    <t>INC000001319077</t>
  </si>
  <si>
    <t>1631923_Threat Activity Detected</t>
  </si>
  <si>
    <t>INC000001319076</t>
  </si>
  <si>
    <t>Request to update AV.</t>
  </si>
  <si>
    <t>AV Symantec has been updated using live update option.</t>
  </si>
  <si>
    <t>RIALsuwaidi</t>
  </si>
  <si>
    <t>Reem.AAlsuwaidi@rta.ae</t>
  </si>
  <si>
    <t>INC000001319075</t>
  </si>
  <si>
    <t>BNA1 nearly full  Replenished   20/02/2026 time 0633hrs</t>
  </si>
  <si>
    <t>INC000001319074</t>
  </si>
  <si>
    <t>1631875_Threat Activity Detected</t>
  </si>
  <si>
    <t>INC000001319073</t>
  </si>
  <si>
    <t>TOCC-Alert-warning- P-260225438 | OPEN | Memory saturation</t>
  </si>
  <si>
    <t>We have restarted our services and Memory saturation is normal now.</t>
  </si>
  <si>
    <t>INC000001319072</t>
  </si>
  <si>
    <t>Request to reset oracle authenticator app</t>
  </si>
  <si>
    <t>Oracle authenticator device has been reset successfully.</t>
  </si>
  <si>
    <t>INC000001319071</t>
  </si>
  <si>
    <t>INC000001319070</t>
  </si>
  <si>
    <t>TOCC-Alert-warning-P-260225408|OPEN|Low Disk Space</t>
  </si>
  <si>
    <t>186GB free space available in the drive</t>
  </si>
  <si>
    <t>INC000001319069</t>
  </si>
  <si>
    <t>1631821_Threat Activity Detected</t>
  </si>
  <si>
    <t>INC000001319068</t>
  </si>
  <si>
    <t>1631826_Threat Activity Detected</t>
  </si>
  <si>
    <t>INC000001319067</t>
  </si>
  <si>
    <t>1631827_Threat Activity Detected</t>
  </si>
  <si>
    <t>INC000001319066</t>
  </si>
  <si>
    <t>Reason: card stuck  Action: removed nol card (card no #0255969420)(balance 3aed) Attended Time:(tutz)</t>
  </si>
  <si>
    <t>INC000001319065</t>
  </si>
  <si>
    <t>Alboom</t>
  </si>
  <si>
    <t>VPN configuration  Request</t>
  </si>
  <si>
    <t>aaalboom</t>
  </si>
  <si>
    <t>Amna.Alboom@rta.ae</t>
  </si>
  <si>
    <t>INC000001319064</t>
  </si>
  <si>
    <t>Booking a Driving Test</t>
  </si>
  <si>
    <t>INC000001319063</t>
  </si>
  <si>
    <t>Urgent: Ownership Change Issue in TARS System</t>
  </si>
  <si>
    <t>Dear User,  The ownership has been reverted for the vehicle : LLV2C3B26T0207027 and for vehicle : LSJW74U63SZ028142, has been deleted from TARS system. Kindly verify</t>
  </si>
  <si>
    <t>INC000001319062</t>
  </si>
  <si>
    <t>DUPLICATE TICKET  Please refer   INC000001319039</t>
  </si>
  <si>
    <t>INC000001319061</t>
  </si>
  <si>
    <t>INC000001319060</t>
  </si>
  <si>
    <t>Suspicious IP to RTA Portal on 19 February 2026, 22:08:14</t>
  </si>
  <si>
    <t>INC000001319059</t>
  </si>
  <si>
    <t>Change of vehicle ownership</t>
  </si>
  <si>
    <t>customer can resume journey without issue</t>
  </si>
  <si>
    <t>INC000001319058</t>
  </si>
  <si>
    <t>DUPLICATE TICKET Please refer   INC000001319039</t>
  </si>
  <si>
    <t>INC000001319057</t>
  </si>
  <si>
    <t>1631789_Threat Activity Detected</t>
  </si>
  <si>
    <t>INC000001319055</t>
  </si>
  <si>
    <t>PTAM TV not working</t>
  </si>
  <si>
    <t>Stewart Fernandes</t>
  </si>
  <si>
    <t>Rebooted the NUC, restarted the ActivU services, and pushed the Silver TV content. The TV is now functioning normally, as confirmed by the PTAM users.</t>
  </si>
  <si>
    <t>INC000001319053</t>
  </si>
  <si>
    <t>URL is inaccessible in PR-JP-LIVE-3</t>
  </si>
  <si>
    <t>PR-JP-LIVE-3 service has been restarted manually.</t>
  </si>
  <si>
    <t>INC000001319052</t>
  </si>
  <si>
    <t>Plate ownership certificate</t>
  </si>
  <si>
    <t>Plate 25052 F does not have a certificate print log, which indicates that it is old data. Please refer this case back to the Business team to decide how to proceed with such cases.</t>
  </si>
  <si>
    <t>INC000001319050</t>
  </si>
  <si>
    <t>Single Risk Event: machine RTA-CAS-CSC-650 infected with Hosts File Change, action Details pending</t>
  </si>
  <si>
    <t>asaiibrahim</t>
  </si>
  <si>
    <t>Amna.Ibrahim@rta.ae</t>
  </si>
  <si>
    <t>INC000001319049</t>
  </si>
  <si>
    <t>please note that you user account has been activated on the automation system please login to https://direct.rta.ae/ before the end of this day otherwise your account will get disabled automatically by the system.</t>
  </si>
  <si>
    <t>INC000001319048</t>
  </si>
  <si>
    <t>9608241601- Tars Error</t>
  </si>
  <si>
    <t>Dear User,  Kindly pass the startDateTime of the present contract : 9608241601 , higher than the endDateTime of the previous agreement : 9608234637 for the vehicle : WVWGT2CD9SW222553.</t>
  </si>
  <si>
    <t>INC000001319047</t>
  </si>
  <si>
    <t>9608241186 | Tars Error</t>
  </si>
  <si>
    <t>Dear user,    We have noticed that the contract "did:50032433:9608237645" has not been closed with the correct time zone,   the end date time doesn't have the UTC format, kindly pass the correct time format while closing any contract.  Kindly give the start date time greater than close time of the previous contract, kindly verify once</t>
  </si>
  <si>
    <t>INC000001319046</t>
  </si>
  <si>
    <t>BUS-6391</t>
  </si>
  <si>
    <t>Intervention completed Tested with block number and Nol cad All cico operational</t>
  </si>
  <si>
    <t>INC000001319045</t>
  </si>
  <si>
    <t>The journey pending the final result from CIS The final result submitted and the customer can try now</t>
  </si>
  <si>
    <t>INC000001319044</t>
  </si>
  <si>
    <t>Reason: card payment disabled  Action: rebooted  Attended Time:(tutz)21:55</t>
  </si>
  <si>
    <t>INC000001319043</t>
  </si>
  <si>
    <t>INC000001319042</t>
  </si>
  <si>
    <t>Roshan</t>
  </si>
  <si>
    <t>Prasad</t>
  </si>
  <si>
    <t>(Vectra) CSC Alert - Outbound Communication towards Suspicious Domain-19022026-03</t>
  </si>
  <si>
    <t>Based on user response. We will continue to monitor the system and report if any such alerts are received again. Hence ticket closed</t>
  </si>
  <si>
    <t>rdprasad</t>
  </si>
  <si>
    <t>Roshan.Prasad@rta.ae</t>
  </si>
  <si>
    <t>INC000001319041</t>
  </si>
  <si>
    <t>INC000001319040</t>
  </si>
  <si>
    <t>CSC Alert- VPN_Authentication failed multiple times for user 'UNITED_MWWANG'-19022026-05</t>
  </si>
  <si>
    <t>According to the received confirmation from the relevant team, and the user response ticket has been closed</t>
  </si>
  <si>
    <t>INC000001319039</t>
  </si>
  <si>
    <t>Intervention completed  Tvm restarting screen  Reset power manager  Restarted tvm Tvm operational</t>
  </si>
  <si>
    <t>INC000001319038</t>
  </si>
  <si>
    <t>BS27L-49</t>
  </si>
  <si>
    <t>Reason : Device Offline  Card No.:   Customer Name:      Action : Online after restart   Attendee Name:  Jasper Attended Time : 21:21</t>
  </si>
  <si>
    <t>INC000001319037</t>
  </si>
  <si>
    <t>CSC Alert- VPN_Authentication failed multiple times for user 'hejamshidi'-19022026-04</t>
  </si>
  <si>
    <t>According to the user respond and confirmation received over email from the relevant team the ticket is closed</t>
  </si>
  <si>
    <t>INC000001319036</t>
  </si>
  <si>
    <t>TUM-263054</t>
  </si>
  <si>
    <t>Reason: NOL CARD JAM   Action: Removed jammed card(031 473 1936)  Attender Name: Kishor Bangera   Attend Time: 19:30</t>
  </si>
  <si>
    <t>INC000001319035</t>
  </si>
  <si>
    <t>EXPO RTPI - MN32E-DDDMS-Dubai Design District - M2 (Alert ID: '252218')</t>
  </si>
  <si>
    <t>Reason:   Action: Cancel this ticket for E I  Attender Name: Kishor Bangera   Attend Time:</t>
  </si>
  <si>
    <t>INC000001319034</t>
  </si>
  <si>
    <t>Moussa</t>
  </si>
  <si>
    <t>V0033776</t>
  </si>
  <si>
    <t>tmebs_aamoussa</t>
  </si>
  <si>
    <t>Tmebs_Amr.Moussa@rta.ae</t>
  </si>
  <si>
    <t>INC000001319033</t>
  </si>
  <si>
    <t>??? ????? ??? ????</t>
  </si>
  <si>
    <t>The plate is Wanted for Dubai Police The customer must visit the Dubai Police to check Why It's wanted</t>
  </si>
  <si>
    <t>INC000001319032</t>
  </si>
  <si>
    <t>MS Excel Issue</t>
  </si>
  <si>
    <t>MS office professional</t>
  </si>
  <si>
    <t>- Repaired MS Office Online  - User has confirmed the solution; hence, ticket closed</t>
  </si>
  <si>
    <t>INC000001319031</t>
  </si>
  <si>
    <t>TVM-262214</t>
  </si>
  <si>
    <t>INC000001319030</t>
  </si>
  <si>
    <t>Aldhaheri</t>
  </si>
  <si>
    <t>Emergency Info email not working.</t>
  </si>
  <si>
    <t>Emergency Info mailbox has been reconfigured in Outlook, and all functions are now operating normally.</t>
  </si>
  <si>
    <t>AJAldhaheri</t>
  </si>
  <si>
    <t>Ahmed.Aldhaheri@rta.ae</t>
  </si>
  <si>
    <t>INC000001319029</t>
  </si>
  <si>
    <t>INC000001319028</t>
  </si>
  <si>
    <t>Reason: Duplicate ticket   Action: Cancel this ticket   Attender Name: Kishor Bangera   Attend Time: Original ticket number:INC000001318318-DUPLICATE TICKET</t>
  </si>
  <si>
    <t>INC000001319027</t>
  </si>
  <si>
    <t>TOCC-Alert-Warning-Alert-P-260222137|OPEN|Server Time NTP Offset</t>
  </si>
  <si>
    <t>Shaju Chacko-Contractor</t>
  </si>
  <si>
    <t>The mentioned server Time has been corrected and updated.</t>
  </si>
  <si>
    <t>INC000001319026</t>
  </si>
  <si>
    <t>Moin Uddin</t>
  </si>
  <si>
    <t>Project Closure - Study of Emirate wide Unified Traffic Incident Management Platform on OPMS</t>
  </si>
  <si>
    <t>The issue has been updated, kindly check and confirm if you are able to submit the project closure. And let us know if you need any support or guidance.</t>
  </si>
  <si>
    <t>mmuddin</t>
  </si>
  <si>
    <t>Mohammed.Moinuddin@rta.ae</t>
  </si>
  <si>
    <t>INC000001319025</t>
  </si>
  <si>
    <t>report related to Private paid parking plots shared with business</t>
  </si>
  <si>
    <t>INC000001319024</t>
  </si>
  <si>
    <t>??? ?? ??? ???????? (CDD, EAD)</t>
  </si>
  <si>
    <t>??? ?????  CDD, EAD ????? ?????</t>
  </si>
  <si>
    <t>INC000001319023</t>
  </si>
  <si>
    <t>?????? ?? ???? ?? ???? ???????? ????????</t>
  </si>
  <si>
    <t>there was issue due to convert from manual to automatic solved try now</t>
  </si>
  <si>
    <t>INC000001319022</t>
  </si>
  <si>
    <t>Mohiuddin Afroz</t>
  </si>
  <si>
    <t>RAS AL KHAIMAH SALIK</t>
  </si>
  <si>
    <t>Assisted user with unlocking his account using self-service link successfully</t>
  </si>
  <si>
    <t>SMAfroz</t>
  </si>
  <si>
    <t>Syed.Afroz@rta.ae</t>
  </si>
  <si>
    <t>INC000001319021</t>
  </si>
  <si>
    <t>Badawieh</t>
  </si>
  <si>
    <t>Srour</t>
  </si>
  <si>
    <t>License printer Issue</t>
  </si>
  <si>
    <t>Emirates Mutasim Khalifa</t>
  </si>
  <si>
    <t>Printer Driver issue</t>
  </si>
  <si>
    <t>Procedure for work: 6.1.1 Open the printer cover 6.1.2 Clean all printers Roller to ensure that the card can move smoothly without jam. 6.1.3 Clean all the printers’ sensors. 6.1.4 Remove all the dust from the Cleaning Roller by washing it by water. 6.1.5 Clean the print head. 6.1.6 Close the printer cover. 6.1.7 Clean the air filter from the dust; this is important for printer cool system. 6.1.8 Check All the belts, springs &amp; other minor parts if need change. 6.1.9 Checking the printer counter. 6.1.10 Checking the printer driver and make sure it is working fine. 6.1.11 Make a test print and check the result of the printed card. ABBREVIATIONS: The abbreviations used in the SOP are as follows: SOP -</t>
  </si>
  <si>
    <t>Printer Hardware</t>
  </si>
  <si>
    <t>Card printer issue</t>
  </si>
  <si>
    <t>bbsrour</t>
  </si>
  <si>
    <t>Badawieh.Srour@rta.ae</t>
  </si>
  <si>
    <t>INC000001319020</t>
  </si>
  <si>
    <t>INC000001319019</t>
  </si>
  <si>
    <t>Possession Certificate</t>
  </si>
  <si>
    <t>Duplicate with https://dev.azure.com/LicensingAgency/Licensing%20Systems%20Support/_workitems/edit/301267</t>
  </si>
  <si>
    <t>INC000001319018</t>
  </si>
  <si>
    <t>Almaqbali</t>
  </si>
  <si>
    <t>CSC Alert : Scan Failure Detected -06022026-06</t>
  </si>
  <si>
    <t>Techm Mazin Kinaish</t>
  </si>
  <si>
    <t>Delete unwanted software's from control panel / empty recycle bin / disable windows search indexing   disable browser plug in / run registry cleaner   Remove old user's profiles from C drive   Shrink space from D drive and added to C drive   restart the machine</t>
  </si>
  <si>
    <t>FRAlmaqbali</t>
  </si>
  <si>
    <t>Fatma.Almaqbali@rta.ae</t>
  </si>
  <si>
    <t>INC000001319017</t>
  </si>
  <si>
    <t>Obtain Driving License</t>
  </si>
  <si>
    <t>license already issued before from 28/01/2026 it was due to ????? ?????  journey closed  EPS 55175314 ????? ????? ????? ??????? ????? ????? ????? ????? (?? ???? ??? ????) 16403196</t>
  </si>
  <si>
    <t>INC000001319016</t>
  </si>
  <si>
    <t>Techvista Adnan</t>
  </si>
  <si>
    <t>CSC Alert:VPN user ("TECHVISTA_AAAHMED") access from outside the approved country-19022026-03</t>
  </si>
  <si>
    <t>to be Closed as Duplicate with INC000001317730</t>
  </si>
  <si>
    <t>V003332</t>
  </si>
  <si>
    <t>Techvista_AAAhmed</t>
  </si>
  <si>
    <t>Techvista_Adnan.Ahmed@rta.ae</t>
  </si>
  <si>
    <t>INC000001319015</t>
  </si>
  <si>
    <t>BNA1 nearly full   Replenished  19/02/2026    20:40</t>
  </si>
  <si>
    <t>INC000001319014</t>
  </si>
  <si>
    <t>Single Risk Event: machine RTA-CAS-HRD-130 infected with ACM.Rgsvr-CPE!g1, action Details pending</t>
  </si>
  <si>
    <t>- Full scan completed and 0 file infected.</t>
  </si>
  <si>
    <t>INC000001319013</t>
  </si>
  <si>
    <t>BUS-6373</t>
  </si>
  <si>
    <t>Intervention Completed. Cico 2 blank screen. Reset cico. All cico operational.</t>
  </si>
  <si>
    <t>INC000001319010</t>
  </si>
  <si>
    <t>Khamis</t>
  </si>
  <si>
    <t>Alfalasi</t>
  </si>
  <si>
    <t>Khatib Venkata Paluvadi</t>
  </si>
  <si>
    <t>The Assignments have been created for Khamis as per the user request</t>
  </si>
  <si>
    <t>koalfalasi</t>
  </si>
  <si>
    <t>Khamis.Alfalasi@rta.ae</t>
  </si>
  <si>
    <t>INC000001319009</t>
  </si>
  <si>
    <t>??? ?????? ??????? ?? ???? ????? ?? ?????? ???????? ??? ???? ??? ??? ??? ?????? ??????  29-12-2029</t>
  </si>
  <si>
    <t>INC000001319008</t>
  </si>
  <si>
    <t>TUM-263000</t>
  </si>
  <si>
    <t>Reason: note jam 5 dh  Action: cleared  Attended Time: 17:04</t>
  </si>
  <si>
    <t>INC000001319007</t>
  </si>
  <si>
    <t>Khatib Venkata</t>
  </si>
  <si>
    <t>Paluvadi</t>
  </si>
  <si>
    <t>TOCC-Alert- tafteesh.rta.ae_SSL - SSLCertificateMonitor - Critical - [ Health of tafteesh.rta.ae_SSL</t>
  </si>
  <si>
    <t>,OLD HQ UMM RAMOOL</t>
  </si>
  <si>
    <t>Certificate expird</t>
  </si>
  <si>
    <t>Certificate generated and copied to below path.  \\10.11.112.128\D$\Generate CSR\FEB 2026\  \\10.11.98.26\C$\Generate CSR\FEB 2026\</t>
  </si>
  <si>
    <t>Request SSL Internal certificate Creation / Renewal</t>
  </si>
  <si>
    <t>V003511</t>
  </si>
  <si>
    <t>Khatib_VRPaluvadi</t>
  </si>
  <si>
    <t>Khatib_Venkata.Paluvadi@rta.ae</t>
  </si>
  <si>
    <t>INC000001319005</t>
  </si>
  <si>
    <t>INC000001319004</t>
  </si>
  <si>
    <t>1631469_Threat Activity Detected</t>
  </si>
  <si>
    <t>INC000001319003</t>
  </si>
  <si>
    <t>1631470_Threat Activity Detected</t>
  </si>
  <si>
    <t>INC000001319002</t>
  </si>
  <si>
    <t>??? ?? ??? ????????</t>
  </si>
  <si>
    <t>Sync issue member is removed and trade license is synced</t>
  </si>
  <si>
    <t>INC000001319001</t>
  </si>
  <si>
    <t>Suspicious IP to RTA Portal on 19 February 2026, 16:07:38</t>
  </si>
  <si>
    <t>INC000001319000</t>
  </si>
  <si>
    <t>as user requested unlocked the VPN</t>
  </si>
  <si>
    <t>KYOAlblooshi</t>
  </si>
  <si>
    <t>Khalid.YoAlblooshi@rta.ae</t>
  </si>
  <si>
    <t>INC000001318999</t>
  </si>
  <si>
    <t>????? ????? ???</t>
  </si>
  <si>
    <t>INC000001318997</t>
  </si>
  <si>
    <t>Web Jet</t>
  </si>
  <si>
    <t>Alert</t>
  </si>
  <si>
    <t>[HPWJA] Gray Ink Cartridge Supply Threshold HP Designjet T7200 HP Only, HP Only\Localy Con</t>
  </si>
  <si>
    <t>Toner</t>
  </si>
  <si>
    <t>Toner Request- Proactive Webjet</t>
  </si>
  <si>
    <t>Gray Ink Cartridge has been replaced</t>
  </si>
  <si>
    <t>wja</t>
  </si>
  <si>
    <t>wja@rta.global</t>
  </si>
  <si>
    <t>INC000001318996</t>
  </si>
  <si>
    <t>[HPWJA] Cyan Cartridge Supply Threshold HP Color LaserJet M553 HP Only, HP Only\Models\M55</t>
  </si>
  <si>
    <t>Duplicate Ticket INC000001318998</t>
  </si>
  <si>
    <t>INC000001318995</t>
  </si>
  <si>
    <t>1631440_Threat Activity Detected</t>
  </si>
  <si>
    <t>INC000001318994</t>
  </si>
  <si>
    <t>Avaya Syed</t>
  </si>
  <si>
    <t>As per the bmc note, we have added user (avaya_ammohammed) in _cctraining@rta.ae group please check.</t>
  </si>
  <si>
    <t>V001178</t>
  </si>
  <si>
    <t>Avaya_SMDawood</t>
  </si>
  <si>
    <t>Avaya_Syed.Dawood@rta.ae</t>
  </si>
  <si>
    <t>INC000001318993</t>
  </si>
  <si>
    <t>BUS-2452</t>
  </si>
  <si>
    <t>Intervention completed Found switch issue Kindly forward to the FAMCO team</t>
  </si>
  <si>
    <t>INC000001318992</t>
  </si>
  <si>
    <t>As per the bmc note, we have added user (avaya_mmgibrahim) in _cctraining@rta.ae group and removed from _CCL&amp;DTeam@rta.ae group please check.</t>
  </si>
  <si>
    <t>INC000001318991</t>
  </si>
  <si>
    <t>Re: How to renew permit and trade  license in tars  {7005281}</t>
  </si>
  <si>
    <t>Dear user, The company trade license is updated in TARS, kindly verify</t>
  </si>
  <si>
    <t>INC000001318990</t>
  </si>
  <si>
    <t>Abbasi</t>
  </si>
  <si>
    <t>Functional Account Login Issue</t>
  </si>
  <si>
    <t>We have shared new password with requestor.</t>
  </si>
  <si>
    <t>V0031061</t>
  </si>
  <si>
    <t>techvista_waabbasi</t>
  </si>
  <si>
    <t>Techvista_Waleed.Abbasi@rta.ae</t>
  </si>
  <si>
    <t>INC000001318989</t>
  </si>
  <si>
    <t>The data has been shared, please check and confirm.</t>
  </si>
  <si>
    <t>INC000001318988</t>
  </si>
  <si>
    <t>Aljawi</t>
  </si>
  <si>
    <t>Access has been provided as per the request, kindly check and confirm the same.</t>
  </si>
  <si>
    <t>MAAljawi</t>
  </si>
  <si>
    <t>Mohammad.Aljawi@rta.ae</t>
  </si>
  <si>
    <t>INC000001318987</t>
  </si>
  <si>
    <t xml:space="preserve">?????? ??? ????? ?? ??? ???? ???? ???? </t>
  </si>
  <si>
    <t>Dear User, Kindly Disconnect the VPN and check.</t>
  </si>
  <si>
    <t>INC000001318986</t>
  </si>
  <si>
    <t>Add user to RTAWLAN request</t>
  </si>
  <si>
    <t>As per the bmc note, we have added user (alsahra_fzaljirjawi) in RTA WLAN group please check.</t>
  </si>
  <si>
    <t>INC000001318985</t>
  </si>
  <si>
    <t>1631359_Threat Activity Detected</t>
  </si>
  <si>
    <t>INC000001318984</t>
  </si>
  <si>
    <t>1631360_Threat Activity Detected</t>
  </si>
  <si>
    <t>INC000001318983</t>
  </si>
  <si>
    <t>Avaya Moamen</t>
  </si>
  <si>
    <t>Abdelgawwad</t>
  </si>
  <si>
    <t>Shared folder access has been granted to the user.  \\Rta.global\fileserver001\Share3$\Contact Center\Admin Team \\Rta.global\fileserver001\Share3$\Contact Center\Quality</t>
  </si>
  <si>
    <t>V001956</t>
  </si>
  <si>
    <t>Avaya_MAAbdelgawwad</t>
  </si>
  <si>
    <t>Avaya_Moamen.Abdelgawwad@rta.ae</t>
  </si>
  <si>
    <t>INC000001318982</t>
  </si>
  <si>
    <t>1631363_Threat Activity Detected</t>
  </si>
  <si>
    <t>INC000001318981</t>
  </si>
  <si>
    <t>1631368_Threat Activity Detected</t>
  </si>
  <si>
    <t>INC000001318980</t>
  </si>
  <si>
    <t>As per the below request, we have checked mobile number is already updated in IAM system, please check and confirm.</t>
  </si>
  <si>
    <t>INC000001318979</t>
  </si>
  <si>
    <t>INC000001318978</t>
  </si>
  <si>
    <t>INC000001318977</t>
  </si>
  <si>
    <t>Rashid</t>
  </si>
  <si>
    <t>????? ??? ?????? ?????? ??? ???? ????? ???????</t>
  </si>
  <si>
    <t>Dear Mohammed,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Regards</t>
  </si>
  <si>
    <t>marashid</t>
  </si>
  <si>
    <t>Mohammed.Rashid@rta.ae</t>
  </si>
  <si>
    <t>INC000001318976</t>
  </si>
  <si>
    <t>???? ??? ????</t>
  </si>
  <si>
    <t>The plate was locked for another transaction The customer bought the plate successfully after the locking released</t>
  </si>
  <si>
    <t>INC000001318974</t>
  </si>
  <si>
    <t>BUS-2115</t>
  </si>
  <si>
    <t>Intervention Completed. Update cico manually. Tested successfully. All cico operational.</t>
  </si>
  <si>
    <t>INC000001318972</t>
  </si>
  <si>
    <t>Reset password has been done from SelfService</t>
  </si>
  <si>
    <t>INC000001318970</t>
  </si>
  <si>
    <t>Update Power Bi Desktop Request</t>
  </si>
  <si>
    <t>Power Bi Desktop has been updated</t>
  </si>
  <si>
    <t>saali</t>
  </si>
  <si>
    <t>Syed.AAli@rta.ae</t>
  </si>
  <si>
    <t>INC000001318968</t>
  </si>
  <si>
    <t>Extension has been provided so we are closing the INC</t>
  </si>
  <si>
    <t>INC000001318967</t>
  </si>
  <si>
    <t>aabalmarzooqi</t>
  </si>
  <si>
    <t>Alia.Almarzooqi@rta.ae</t>
  </si>
  <si>
    <t>INC000001318966</t>
  </si>
  <si>
    <t>Buddhika</t>
  </si>
  <si>
    <t>Patikirimudiyanselage</t>
  </si>
  <si>
    <t>BPatikirimudiyansela</t>
  </si>
  <si>
    <t>Buddhika.Patikirimudiyansela@rta.ae</t>
  </si>
  <si>
    <t>INC000001318961</t>
  </si>
  <si>
    <t>accept the contract</t>
  </si>
  <si>
    <t>there was issue with DTS  request  {"header":{"sourceSystemType":"RTA","sourceSystemId":"DLS","transactionDateTime":"23/02/2026","actionType":"SIGN"},"requestBody":{"requestNumber":"OLJ-8587895","requestDateTime":"23/02/2026","fileType":"STANDARD","serviceType":"STANDARD","isSigned":"TRUE"}}   response  {"requestNumber":"OLJ-8587895","statusCode":"500","statusDescription":"Internal Error"}</t>
  </si>
  <si>
    <t>INC000001318960</t>
  </si>
  <si>
    <t>Anura</t>
  </si>
  <si>
    <t>Jagodage</t>
  </si>
  <si>
    <t>asjagodage</t>
  </si>
  <si>
    <t>Anura.Jagodage@rta.ae</t>
  </si>
  <si>
    <t>INC000001318959</t>
  </si>
  <si>
    <t>Mufseer</t>
  </si>
  <si>
    <t>Mansoor</t>
  </si>
  <si>
    <t>Shreya Mishra</t>
  </si>
  <si>
    <t>User Confirmed that he is able to access the VPN. Hence we are resolving this ticket. Attached email below.</t>
  </si>
  <si>
    <t>mmmansoor</t>
  </si>
  <si>
    <t>Mufseer.Mansoor@rta.ae</t>
  </si>
  <si>
    <t>INC000001318956</t>
  </si>
  <si>
    <t>Ultimate Mohamed</t>
  </si>
  <si>
    <t>Mohamed Al Tohamy-contractor</t>
  </si>
  <si>
    <t>V0025948</t>
  </si>
  <si>
    <t>ultimate_mmmohamedal</t>
  </si>
  <si>
    <t>Ultimate_Mohamedmostafa.Mohamedaltohamy@rta.ae</t>
  </si>
  <si>
    <t>INC000001318955</t>
  </si>
  <si>
    <t>Re: deactivate the report</t>
  </si>
  <si>
    <t>Non-Technical | User Clarification About Instructor process</t>
  </si>
  <si>
    <t>INC000001318954</t>
  </si>
  <si>
    <t>Kamaldeep</t>
  </si>
  <si>
    <t>Sahu</t>
  </si>
  <si>
    <t>Issue with Benchmarking Service in Automation System</t>
  </si>
  <si>
    <t>access &amp; role has been gratned for the benchmarking service as per the attached letter</t>
  </si>
  <si>
    <t>kssahu</t>
  </si>
  <si>
    <t>Kamaldeep.Sahu@rta.ae</t>
  </si>
  <si>
    <t>INC000001318952</t>
  </si>
  <si>
    <t>MaximoSrini: Asset Decommissioning Request 3186601 / Status APPR</t>
  </si>
  <si>
    <t>AALIHamadi</t>
  </si>
  <si>
    <t>Abdallah.AliHamadi@rta.ae</t>
  </si>
  <si>
    <t>INC000001318951</t>
  </si>
  <si>
    <t>We have checked all the requested users are already created in E-transport application.  #	Name	I-D	Username	Contact no	Category needed	Request type 1	Hamad Yaqoob Yousef Almansoori	13660	hyalmansoori	056/7504014	Admin	New account 2	Mohammed Hamed Shaker	6329	mhshaker	050/3033788	Admin	New account 3	Riad Hamed Abdelhadi Mohamed Elfeki	11309	rhalfiqy	056/1080767	Supervisor	New account 5	Abbas Fouad Abbas	2301	afabbas	050/4613585	Supervisor	Activation 6	Nour Eldin Mohamed Mohamed	4462	nmmohammed	050/7699514	Supervisor	Activation 7	Ead Rashid Al Mutlk	4868	eralmutlk	050/6633082	Supervisor	Activation 4	Abdalla Emadeldin Abdalla Mohamed	86989	srsl_aemohamed	056/9954570	Supervisor	Upgrade account</t>
  </si>
  <si>
    <t>INC000001318949</t>
  </si>
  <si>
    <t>configure DNS forwarder once connectivity</t>
  </si>
  <si>
    <t>Network</t>
  </si>
  <si>
    <t>as per the request, created the DNS Forwarder to below IP.10.81.18.11/10.81.18.12</t>
  </si>
  <si>
    <t>INC000001318947</t>
  </si>
  <si>
    <t>AI Search Staging Server - CI CD - Sudo Access.</t>
  </si>
  <si>
    <t>Staging Support</t>
  </si>
  <si>
    <t>The VM-level snapshot  backup of the STG server (IP: 10.11.65.179, Host name: RTAUEVAISRCHST1) and retain it for a period of 1 Year backup.</t>
  </si>
  <si>
    <t>Backup Services</t>
  </si>
  <si>
    <t>Backup Configuration</t>
  </si>
  <si>
    <t>Backup for Server logs</t>
  </si>
  <si>
    <t>INC000001318946</t>
  </si>
  <si>
    <t>1631258_Threat Activity Detected</t>
  </si>
  <si>
    <t>INC000001318945</t>
  </si>
  <si>
    <t>1631267_Threat Activity Detected</t>
  </si>
  <si>
    <t>INC000001318944</t>
  </si>
  <si>
    <t>1631279_Threat Activity Detected</t>
  </si>
  <si>
    <t>INC000001318942</t>
  </si>
  <si>
    <t>remove the manual for the portal</t>
  </si>
  <si>
    <t>Faizan Mhate</t>
  </si>
  <si>
    <t>Intranet</t>
  </si>
  <si>
    <t>Policy archived from the policy portal as requested</t>
  </si>
  <si>
    <t>INC000001318941</t>
  </si>
  <si>
    <t>Andrea</t>
  </si>
  <si>
    <t>Ladisla</t>
  </si>
  <si>
    <t>Email from SMD -Unfortunately, OneDrive is not approved service within RTA as of now</t>
  </si>
  <si>
    <t>apladisla</t>
  </si>
  <si>
    <t>Andrea.Ladisla@rta.ae</t>
  </si>
  <si>
    <t>INC000001318939</t>
  </si>
  <si>
    <t>Suspicious IP to RTA Portal on 19 February 2026, 14:08:39</t>
  </si>
  <si>
    <t>INC000001318936</t>
  </si>
  <si>
    <t>UNABLE TO ENTER AGREEMENTS DUE TO OWNERCHANGE</t>
  </si>
  <si>
    <t>Dear user, The mentioned vehicle RKLKUBAG8R0505286 is now deleted in TARS , kindly verify</t>
  </si>
  <si>
    <t>INC000001318935</t>
  </si>
  <si>
    <t>Bahrani</t>
  </si>
  <si>
    <t>AAAlBahrani</t>
  </si>
  <si>
    <t>Ali.Albahrani@rta.ae</t>
  </si>
  <si>
    <t>INC000001318933</t>
  </si>
  <si>
    <t>.. meeting with Hadi for e-ticketing overall idea</t>
  </si>
  <si>
    <t>meeting done with Hadi to understand the project</t>
  </si>
  <si>
    <t>INC000001318932</t>
  </si>
  <si>
    <t>.. Meeting with DCT on the process review plan preparation</t>
  </si>
  <si>
    <t>met with paul to clarify and review the process review plan</t>
  </si>
  <si>
    <t>INC000001318931</t>
  </si>
  <si>
    <t>VEHICLE ALREADY BORROW OUT</t>
  </si>
  <si>
    <t>Dear User, The specific vehicle mentioned AUH 97520-12 is already having an active borrowing with the did did:1220213165:1733554644049, kindly close the borrowing and create a new one for the same vehicle</t>
  </si>
  <si>
    <t>INC000001318929</t>
  </si>
  <si>
    <t>.Process Review Plan Preparation</t>
  </si>
  <si>
    <t>Updated the process review plan</t>
  </si>
  <si>
    <t>INC000001318928</t>
  </si>
  <si>
    <t>customers list has been updated with the list mentioned in the ticket</t>
  </si>
  <si>
    <t>INC000001318927</t>
  </si>
  <si>
    <t>Intervention completed no issue found copied backup files tested block id and nol card all cico operational</t>
  </si>
  <si>
    <t>INC000001318926</t>
  </si>
  <si>
    <t>Firewall rule modification</t>
  </si>
  <si>
    <t>Dear Team,  Firewall matrix is implemented.</t>
  </si>
  <si>
    <t>INC000001318925</t>
  </si>
  <si>
    <t>CPM system issue</t>
  </si>
  <si>
    <t>The user didn't get approval from DCT team yet.</t>
  </si>
  <si>
    <t>INC000001318923</t>
  </si>
  <si>
    <t>Shaiban Ghanim Shaiban</t>
  </si>
  <si>
    <t>Unable to login to TMS</t>
  </si>
  <si>
    <t>Dear Huda,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Regards</t>
  </si>
  <si>
    <t>hsshaiban</t>
  </si>
  <si>
    <t>huda.shaiban@rta.ae</t>
  </si>
  <si>
    <t>INC000001318922</t>
  </si>
  <si>
    <t>Re: Please Update LP Info in RTA - 16790777</t>
  </si>
  <si>
    <t>Technical | Integration Issue from Etraffic to DTS Regarding Permit Renewal</t>
  </si>
  <si>
    <t>INC000001318921</t>
  </si>
  <si>
    <t>INC000001318920</t>
  </si>
  <si>
    <t>Elsebaey</t>
  </si>
  <si>
    <t>Please note that your user profile has been activated please login to automation " https://direct.rta.ae/ " before the end of this day otherwise the user profile will get deactivated automatically by the end of this day.</t>
  </si>
  <si>
    <t>V0017129</t>
  </si>
  <si>
    <t>redblueblur_aeelseba</t>
  </si>
  <si>
    <t>Redblueblur_Alaa.Elsebaey@rta.ae</t>
  </si>
  <si>
    <t>INC000001318918</t>
  </si>
  <si>
    <t>Unlock account Issue</t>
  </si>
  <si>
    <t>Unlock account has been done.  Account is getting locked from email service</t>
  </si>
  <si>
    <t>INC000001318917</t>
  </si>
  <si>
    <t>As per the bmc note, we have added user (avaya_maabdelgawwad) in _CC Quality Team group and removed from _Ccteamleaders group please check.</t>
  </si>
  <si>
    <t>INC000001318916</t>
  </si>
  <si>
    <t>Tvm 2172 Intervention completed  Bna malfunction 10aed jammed in bna Removed jam and kept inside tvm Restarted tvm TVM operational</t>
  </si>
  <si>
    <t>INC000001318915</t>
  </si>
  <si>
    <t>UEDC CRAH Unit PM work for the month of feb 2026</t>
  </si>
  <si>
    <t>PM work completed and found all system is normal.</t>
  </si>
  <si>
    <t>INC000001318912</t>
  </si>
  <si>
    <t>Anwahi</t>
  </si>
  <si>
    <t>RASHIDYA -AIRPORT TUNNEL</t>
  </si>
  <si>
    <t>user account has been activated, user should log in the Automation today ( 19/2/2026 ) before (00:00), or the system will deactivate the account again automatically. log in link : https://direct.rta.ae/</t>
  </si>
  <si>
    <t>maanwahi</t>
  </si>
  <si>
    <t>Mohammad.Anwahi@rta.ae</t>
  </si>
  <si>
    <t>INC000001318910</t>
  </si>
  <si>
    <t>Issues retrieving Attached Documents and cannot see approved NOCs</t>
  </si>
  <si>
    <t>Documents can be downloaded from internally uploaded documents</t>
  </si>
  <si>
    <t>INC000001318908</t>
  </si>
  <si>
    <t>Lamia</t>
  </si>
  <si>
    <t>Alkhoori</t>
  </si>
  <si>
    <t>LYAlkhoori</t>
  </si>
  <si>
    <t>Lamia.Alkhoori@rta.ae</t>
  </si>
  <si>
    <t>INC000001318905</t>
  </si>
  <si>
    <t>INC000001318903</t>
  </si>
  <si>
    <t>Techm Ahmad</t>
  </si>
  <si>
    <t>Khantomany</t>
  </si>
  <si>
    <t>BMC not accessible from outside RTA network.</t>
  </si>
  <si>
    <t>We have re-pushed user details in BMC application, please try to login now</t>
  </si>
  <si>
    <t>V009279</t>
  </si>
  <si>
    <t>Techm_AMKhantomany</t>
  </si>
  <si>
    <t>Techm_Ahmad.Khantomany@rta.ae</t>
  </si>
  <si>
    <t>INC000001318902</t>
  </si>
  <si>
    <t>Utilize part of right of the way - URGENT</t>
  </si>
  <si>
    <t>INC000001318901</t>
  </si>
  <si>
    <t>ROWPS-04022026-5097- Request for Timing 24 Hours</t>
  </si>
  <si>
    <t>We have changed permit approved time from “08:30 AM to 05:00 PM” to “24 hours”. As discussed, no changes in duration is done from our side..</t>
  </si>
  <si>
    <t>INC000001318900</t>
  </si>
  <si>
    <t>Location information to be changed</t>
  </si>
  <si>
    <t>We have changed community details as mentioned below -      ROWPS-02022026-5165,  Community: Al Wasl  Community number: 343           ROWPS-03022026-5296  Community: Jumeirah 1  Community number: 332        ROWPS-05022026-5169  Community: Jumeirah 1  Community number: 332</t>
  </si>
  <si>
    <t>INC000001318899</t>
  </si>
  <si>
    <t>We have changed the community details as mentioned below –         ROWPS-24012026-5180  Community: Al Wasl  Community number: 343</t>
  </si>
  <si>
    <t>INC000001318898</t>
  </si>
  <si>
    <t>DS415- Request for Reactivation Construction NOC-25112025-2347 /(AREA 04) ALSAFA /NDM Rout</t>
  </si>
  <si>
    <t>Customer is advised to Coordinate with DEWA for Approval on Reactivation.</t>
  </si>
  <si>
    <t>INC000001318897</t>
  </si>
  <si>
    <t>service authority RTA and DEWA which were submitted with Parking slots and not referred to</t>
  </si>
  <si>
    <t>As discussed, please find attached applications with service authority RTA and DEWA which were submitted with Parking slots and not referred to Parking automation.</t>
  </si>
  <si>
    <t>INC000001318895</t>
  </si>
  <si>
    <t>ROW services section manager account</t>
  </si>
  <si>
    <t>We have reactivated engr. Khalid’s account on ROWPS system.</t>
  </si>
  <si>
    <t>INC000001318894</t>
  </si>
  <si>
    <t>We did the configuration successfully and it is successfully connected.</t>
  </si>
  <si>
    <t>hsalketbi</t>
  </si>
  <si>
    <t>Hamda.Alketbi@rta.ae</t>
  </si>
  <si>
    <t>INC000001318893</t>
  </si>
  <si>
    <t>UPDATING APPLICATION   ROWPS-07012026-5245</t>
  </si>
  <si>
    <t>INC000001318892</t>
  </si>
  <si>
    <t>Rakesh</t>
  </si>
  <si>
    <t>Patel</t>
  </si>
  <si>
    <t>RTA WLAN access request</t>
  </si>
  <si>
    <t>As per the bmc note, we have added below users in RTA WLAN group please check.</t>
  </si>
  <si>
    <t>V0033237</t>
  </si>
  <si>
    <t>arup_rapatel</t>
  </si>
  <si>
    <t>Arup_Rakesh.Patel@rta.ae</t>
  </si>
  <si>
    <t>INC000001318891</t>
  </si>
  <si>
    <t>Request for Approval – ROWPS Application No. ROWPS-03022026-5397</t>
  </si>
  <si>
    <t>Application is already approved by ROW Engineer and is pending for fee payment.</t>
  </si>
  <si>
    <t>INC000001318890</t>
  </si>
  <si>
    <t>R1193/1 - Development of Al Ras Urban Walk.</t>
  </si>
  <si>
    <t>We have created new project type - R1193/1 under service authority – RTA and assigned it to Engr. Mostafa Ammar.   Changes will reflect post automatic restart of services at midnight.</t>
  </si>
  <si>
    <t>INC000001318889</t>
  </si>
  <si>
    <t>unable to punch in (photo attached )</t>
  </si>
  <si>
    <t>INC000001318888</t>
  </si>
  <si>
    <t>OPMS Technology Sub-Portfolio access</t>
  </si>
  <si>
    <t>Access has been provided as per the request, kindly login into OPMS system through intranet portal.</t>
  </si>
  <si>
    <t>INC000001318887</t>
  </si>
  <si>
    <t>Amna Ali</t>
  </si>
  <si>
    <t>Shared folder access request</t>
  </si>
  <si>
    <t>AAAMutawa</t>
  </si>
  <si>
    <t>Amna.AlMutawa@rta.ae</t>
  </si>
  <si>
    <t>INC000001318886</t>
  </si>
  <si>
    <t>INC000001318885</t>
  </si>
  <si>
    <t>Clarification Regarding Unstamped Drawing – Application No. ROWPS-14012026-5244</t>
  </si>
  <si>
    <t>We have stamped the below highlighted document from backend</t>
  </si>
  <si>
    <t>INC000001318884</t>
  </si>
  <si>
    <t>please find attached all actions performed by Nasser on ROWPS system from 10 March 2025 to 24 October 2025.</t>
  </si>
  <si>
    <t>INC000001318883</t>
  </si>
  <si>
    <t>Esquire Salim</t>
  </si>
  <si>
    <t>As per the process user after raised a extention ticket user profile will automatically removed from _VPN DISABLE GROUP , now VPN profile is extended till the mention expiry</t>
  </si>
  <si>
    <t>V001694</t>
  </si>
  <si>
    <t>Esquire_SJShaikh</t>
  </si>
  <si>
    <t>Esquire_Salim.Shaikh@rta.ae</t>
  </si>
  <si>
    <t>INC000001318882</t>
  </si>
  <si>
    <t>ROW Permits System-Solar vending machine at Al Qudra</t>
  </si>
  <si>
    <t>INC000001318881</t>
  </si>
  <si>
    <t>As discussed, please find attached all actions performed by you on ROWPS system from 10 March 2025 to 24 October 2025.</t>
  </si>
  <si>
    <t>INC000001318880</t>
  </si>
  <si>
    <t>ROWPS-12012026-5387</t>
  </si>
  <si>
    <t>We have stamped the below highlighted drawings document from backend.</t>
  </si>
  <si>
    <t>INC000001318878</t>
  </si>
  <si>
    <t>Khasteh</t>
  </si>
  <si>
    <t>EKKhasteh</t>
  </si>
  <si>
    <t>Ebrahim.Khasteh@rta.ae</t>
  </si>
  <si>
    <t>INC000001318877</t>
  </si>
  <si>
    <t>Belal</t>
  </si>
  <si>
    <t>Maramah</t>
  </si>
  <si>
    <t>RTA Automation System login Activation (BAMaramah)</t>
  </si>
  <si>
    <t>bamaramah</t>
  </si>
  <si>
    <t>Belal.Maramah@rta.ae</t>
  </si>
  <si>
    <t>INC000001318876</t>
  </si>
  <si>
    <t>mhuahmed</t>
  </si>
  <si>
    <t>Maryam.Ahmed@rta.ae</t>
  </si>
  <si>
    <t>INC000001318875</t>
  </si>
  <si>
    <t>Alam</t>
  </si>
  <si>
    <t>Create DNS record</t>
  </si>
  <si>
    <t>As per the request, created the DNS record. rtauevrhvmstg1.rta.ae 10.11.205.20</t>
  </si>
  <si>
    <t>V0029921</t>
  </si>
  <si>
    <t>techvista_maalam</t>
  </si>
  <si>
    <t>Techvista_Mohammad.Alam@rta.ae</t>
  </si>
  <si>
    <t>INC000001318873</t>
  </si>
  <si>
    <t>unable to login</t>
  </si>
  <si>
    <t>Archana Karkala</t>
  </si>
  <si>
    <t>Sphera ESG System</t>
  </si>
  <si>
    <t>Application Re-installation</t>
  </si>
  <si>
    <t>The Enterprise Sustainability Management System is now online, and the access has been fully restored for all users.</t>
  </si>
  <si>
    <t>License Issue</t>
  </si>
  <si>
    <t>User License Not Available</t>
  </si>
  <si>
    <t>aehussain</t>
  </si>
  <si>
    <t>Ahmed.Hussain@rta.ae</t>
  </si>
  <si>
    <t>INC000001318872</t>
  </si>
  <si>
    <t>Epic Waseem</t>
  </si>
  <si>
    <t>considering this as an duplicate ticket (INC000001318871) so closing this INC</t>
  </si>
  <si>
    <t>V002029</t>
  </si>
  <si>
    <t>Epic_WKKhan</t>
  </si>
  <si>
    <t>Epic_Waseem.Khan@rta.ae</t>
  </si>
  <si>
    <t>INC000001318871</t>
  </si>
  <si>
    <t>as per the logs user logged into the VPN and no response to the mail hope so all urls are working so we are closing this INC</t>
  </si>
  <si>
    <t>INC000001318870</t>
  </si>
  <si>
    <t>Request for approval and technical support NOC-08012026-2549</t>
  </si>
  <si>
    <t>Engineer Can Process Stuck NOCs now.</t>
  </si>
  <si>
    <t>INC000001318869</t>
  </si>
  <si>
    <t>Kalantar</t>
  </si>
  <si>
    <t>makalantar</t>
  </si>
  <si>
    <t>Mohammad.Kalantar@rta.ae</t>
  </si>
  <si>
    <t>INC000001318868</t>
  </si>
  <si>
    <t>YAHMAlali</t>
  </si>
  <si>
    <t>Yousif.AHAlali@rta.ae</t>
  </si>
  <si>
    <t>INC000001318866</t>
  </si>
  <si>
    <t>TEST BOOKING ERROR</t>
  </si>
  <si>
    <t>customer already booked exam on 23/02/2026</t>
  </si>
  <si>
    <t>INC000001318865</t>
  </si>
  <si>
    <t>jmahammadi</t>
  </si>
  <si>
    <t>Jassimmahmood.Alhammadi@rta.ae</t>
  </si>
  <si>
    <t>INC000001318864</t>
  </si>
  <si>
    <t>Shahzada</t>
  </si>
  <si>
    <t>Nawaz</t>
  </si>
  <si>
    <t>sfnawaz</t>
  </si>
  <si>
    <t>Shahzada.Nawaz@rta.ae</t>
  </si>
  <si>
    <t>INC000001318863</t>
  </si>
  <si>
    <t>User confirmed that his VPN is working fine. Hence we are resolving this ticket. Attached email below.</t>
  </si>
  <si>
    <t>INC000001318862</t>
  </si>
  <si>
    <t>INC000001318860</t>
  </si>
  <si>
    <t>Transskills Ahmed</t>
  </si>
  <si>
    <t>Eltayeb</t>
  </si>
  <si>
    <t>V005606</t>
  </si>
  <si>
    <t>Transskills_AAEltaye</t>
  </si>
  <si>
    <t>Transskills_Ahmed.Eltayeb@rta.ae</t>
  </si>
  <si>
    <t>INC000001318859</t>
  </si>
  <si>
    <t>Nuaman</t>
  </si>
  <si>
    <t>Cannot access EMS</t>
  </si>
  <si>
    <t>Please to communicate with Admin service through their channels for any EMS related matter.</t>
  </si>
  <si>
    <t>HANuaman</t>
  </si>
  <si>
    <t>Hanan.Nuaman@rta.ae</t>
  </si>
  <si>
    <t>INC000001318858</t>
  </si>
  <si>
    <t>Alharthi</t>
  </si>
  <si>
    <t>HSAlharthi</t>
  </si>
  <si>
    <t>Hamda.Alharthi@rta.ae</t>
  </si>
  <si>
    <t>INC000001318857</t>
  </si>
  <si>
    <t>Qamasha</t>
  </si>
  <si>
    <t>qmalmarri</t>
  </si>
  <si>
    <t>Qamasha.Almarri@rta.ae</t>
  </si>
  <si>
    <t>INC000001318856</t>
  </si>
  <si>
    <t>Below mentioned applications are transferred to your account.     15012026-5080  26012026-5107</t>
  </si>
  <si>
    <t>INC000001318855</t>
  </si>
  <si>
    <t>ASAlmarri</t>
  </si>
  <si>
    <t>Asma.Almarri@rta.ae</t>
  </si>
  <si>
    <t>INC000001318854</t>
  </si>
  <si>
    <t>Delegation of ROWPS user</t>
  </si>
  <si>
    <t>We have configured engr. Ibtissam’s account as coordinator of section – RFM – Lighting and traffic system maintenance.</t>
  </si>
  <si>
    <t>INC000001318853</t>
  </si>
  <si>
    <t>ROWPS-04022026-5158</t>
  </si>
  <si>
    <t>We have change duration of application – from “From 09-02-2026 to 15-02-2026” to “From 05-02-2026 to 15-02-2026”</t>
  </si>
  <si>
    <t>INC000001318852</t>
  </si>
  <si>
    <t>Rowps system stats</t>
  </si>
  <si>
    <t>As discussed, please find attached applications which were assigned to engr. Fatima from 15 Dec 25 to 5 Jan 26 and please find below KPI for this duration –</t>
  </si>
  <si>
    <t>INC000001318851</t>
  </si>
  <si>
    <t>Request to Add Trailers to Permit-ROWPS-04022026-5112</t>
  </si>
  <si>
    <t>We have added the below trailer vehicles from backend –</t>
  </si>
  <si>
    <t>INC000001318850</t>
  </si>
  <si>
    <t>Cleaned the temp files, disk cleanup, and clear the cache files and restarted the device and working normal.</t>
  </si>
  <si>
    <t>INC000001318849</t>
  </si>
  <si>
    <t>Please find below steps to submit an application which was sent back by ROW Engineer for modification –      -          Click on Current applications  -          Open the application by clicking on preview button  -          Click on Update mode as shown in screenshot below.  -          Then click on update permit.  -          Make the necessary changes (update plot number to 3181153) as requested by ROW Engineer and submit.</t>
  </si>
  <si>
    <t>INC000001318848</t>
  </si>
  <si>
    <t>ROWPS - New user</t>
  </si>
  <si>
    <t>As per your below email, we have configured engr. Fatima’s account under Traffic – Integration &amp; soft mobility.</t>
  </si>
  <si>
    <t>INC000001318847</t>
  </si>
  <si>
    <t>user confirmed vpn access  so closing the INC</t>
  </si>
  <si>
    <t>smoalhammadi</t>
  </si>
  <si>
    <t>Salim.MAlhammadi@rta.ae</t>
  </si>
  <si>
    <t>INC000001318846</t>
  </si>
  <si>
    <t>Parking registration Fees Payment request</t>
  </si>
  <si>
    <t>We have changed duration of application - ROWPS-29012026-5226 Parking app – 556655 from “From 21-02-2026 to 22-02-2026” to “From 28-02-2026 to 01-03-2026”</t>
  </si>
  <si>
    <t>INC000001318845</t>
  </si>
  <si>
    <t>January applications</t>
  </si>
  <si>
    <t>Please find below count of applications referred to your section in January 2026. Please find attached master sheet for the same..</t>
  </si>
  <si>
    <t>INC000001318844</t>
  </si>
  <si>
    <t>Request for Approval to Delegate ROWPS applications</t>
  </si>
  <si>
    <t>We have configured engr. Wajid as coordinator of section now.     And transferred below applications from your account to engr. Wajid –      ROWPS-02022026-5422, ROWPS-02022026-5169, ROWPS-30012026-5243, ROWPS-26012026-5370, ROWPS-22012026-5096</t>
  </si>
  <si>
    <t>INC000001318842</t>
  </si>
  <si>
    <t>Request to adjust the parking reservation date - ROWPS-28012026-5353</t>
  </si>
  <si>
    <t>We have changed duration of application - ROWPS-28012026-5353 Parking app – 551686 from “From 30-01-2026 to 28-02-2026” to “From 06-02-2026 to 12-02-2026”</t>
  </si>
  <si>
    <t>INC000001318841</t>
  </si>
  <si>
    <t>Ammar</t>
  </si>
  <si>
    <t>Hajj</t>
  </si>
  <si>
    <t>Share folder access provided as per the request. Path :  \\rta.global\fileserver001\RTA\CTSS\Procurement\???? ??????? ??????? User: haqadri Approver: Mohamed Essa Mohamed Essa Alrowaished</t>
  </si>
  <si>
    <t>AAHajj</t>
  </si>
  <si>
    <t>Ammar.Hajj@rta.ae</t>
  </si>
  <si>
    <t>INC000001318840</t>
  </si>
  <si>
    <t>INC000001318839</t>
  </si>
  <si>
    <t>RTA TSPS : New Enquiry submitted by - Vinod Kumar</t>
  </si>
  <si>
    <t>INC000001318838</t>
  </si>
  <si>
    <t>Account activation</t>
  </si>
  <si>
    <t>We have reactivated your account on ROWPS system.</t>
  </si>
  <si>
    <t>INC000001318837</t>
  </si>
  <si>
    <t>Enable to open the system</t>
  </si>
  <si>
    <t>Dear Amrah,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Regards</t>
  </si>
  <si>
    <t>INC000001318836</t>
  </si>
  <si>
    <t>Heni</t>
  </si>
  <si>
    <t>Hendaoui</t>
  </si>
  <si>
    <t>V0011835</t>
  </si>
  <si>
    <t>proxym_hbhendaoui</t>
  </si>
  <si>
    <t>Proxym_Heni.Hendaoui@rta.ae</t>
  </si>
  <si>
    <t>INC000001318835</t>
  </si>
  <si>
    <t>faaljaziri</t>
  </si>
  <si>
    <t>Fahad.Aljaziri@rta.ae</t>
  </si>
  <si>
    <t>INC000001318832</t>
  </si>
  <si>
    <t>Muhsin</t>
  </si>
  <si>
    <t xml:space="preserve"> Abdulhassan Al-Khadhar</t>
  </si>
  <si>
    <t>MAKhadhar</t>
  </si>
  <si>
    <t>muhsin.alkhadhar@rta.ae</t>
  </si>
  <si>
    <t>INC000001318831</t>
  </si>
  <si>
    <t>Okool Vipin</t>
  </si>
  <si>
    <t>Kalluveettil</t>
  </si>
  <si>
    <t>V0010972</t>
  </si>
  <si>
    <t>okool_vkkalluveettil</t>
  </si>
  <si>
    <t>Okool_Vipin.Kalluveettil@rta.ae</t>
  </si>
  <si>
    <t>INC000001318830</t>
  </si>
  <si>
    <t>Access has been extended for the VPN profile , please check.</t>
  </si>
  <si>
    <t>INC000001318828</t>
  </si>
  <si>
    <t>user already having access to requested urls so we are closing the INC</t>
  </si>
  <si>
    <t>INC000001318827</t>
  </si>
  <si>
    <t>.784198967851381-INAM GILL MAQSOOD-payment method</t>
  </si>
  <si>
    <t>Loay Mounir</t>
  </si>
  <si>
    <t>Non-Technical | Cancel old contract</t>
  </si>
  <si>
    <t>techvista_ldmounir</t>
  </si>
  <si>
    <t>INC000001318826</t>
  </si>
  <si>
    <t>Mohammed Nazar</t>
  </si>
  <si>
    <t>Khader Moideen</t>
  </si>
  <si>
    <t>Maximo Upgrade Project Storage Allocation Request for DB Servers</t>
  </si>
  <si>
    <t>Jyotsana Kumar</t>
  </si>
  <si>
    <t>Allocation completed as requested, hence resolving the ticket.</t>
  </si>
  <si>
    <t>V0033544</t>
  </si>
  <si>
    <t>bahwan_makhadermoide</t>
  </si>
  <si>
    <t>Bahwan_Mohammednazar.Khadermoideen@rta.ae</t>
  </si>
  <si>
    <t>INC000001318825</t>
  </si>
  <si>
    <t>Haneen</t>
  </si>
  <si>
    <t>Musleh</t>
  </si>
  <si>
    <t>Unlock VPN (Trans_HAMusleh)</t>
  </si>
  <si>
    <t>V004239</t>
  </si>
  <si>
    <t>Trans_HAMusleh</t>
  </si>
  <si>
    <t>Trans_Haneen.Musleh@rta.ae</t>
  </si>
  <si>
    <t>INC000001318824</t>
  </si>
  <si>
    <t>Samiha</t>
  </si>
  <si>
    <t>Mousa</t>
  </si>
  <si>
    <t>samousa</t>
  </si>
  <si>
    <t>Samiha.Mousa@rta.ae</t>
  </si>
  <si>
    <t>INC000001318822</t>
  </si>
  <si>
    <t>.GOLDEN VISA - DIRECT TEST COURSE - 25176983 / 16830911</t>
  </si>
  <si>
    <t>Non-Technical | Transfer Golden Visa Student</t>
  </si>
  <si>
    <t>INC000001318821</t>
  </si>
  <si>
    <t>amohamali</t>
  </si>
  <si>
    <t>Abdulla.Altalay@rta.ae</t>
  </si>
  <si>
    <t>INC000001318819</t>
  </si>
  <si>
    <t>Hend</t>
  </si>
  <si>
    <t>Alnasser</t>
  </si>
  <si>
    <t>HAAlnasser</t>
  </si>
  <si>
    <t>Hend.Alnasser@rta.ae</t>
  </si>
  <si>
    <t>INC000001318818</t>
  </si>
  <si>
    <t>INC000001318817</t>
  </si>
  <si>
    <t>V0034150</t>
  </si>
  <si>
    <t>trans_mzibrahim</t>
  </si>
  <si>
    <t>Trans_Mohammad.Ibrahim@rta.ae</t>
  </si>
  <si>
    <t>INC000001318816</t>
  </si>
  <si>
    <t>VPN account reset request</t>
  </si>
  <si>
    <t>Reset has been done for the VPN profile</t>
  </si>
  <si>
    <t>VPN Account Reset</t>
  </si>
  <si>
    <t>INC000001318815</t>
  </si>
  <si>
    <t>Alzidi</t>
  </si>
  <si>
    <t>Profile Configuration Request</t>
  </si>
  <si>
    <t>The request has been completed after copying the data from the old profile to the new one. The user was guided to raise an email restoration request to retrieve all emails from the old account to the new account.</t>
  </si>
  <si>
    <t>V0033799</t>
  </si>
  <si>
    <t>tms_haalzidi</t>
  </si>
  <si>
    <t>Tms_Hassan.Alzidi@rta.ae</t>
  </si>
  <si>
    <t>INC000001318814</t>
  </si>
  <si>
    <t>Reason:- Nol Card Jam in BNA (030 100 4396)  Action:- Card jam Cleared   Attender :- Azeez   Attended Time:-17:17 ---------------------------------------  Reason: no issue found  Action: working fine  Attended Time: 16:00</t>
  </si>
  <si>
    <t>INC000001318813</t>
  </si>
  <si>
    <t>Active alarm: BNA1 nearly full  Replenished.  14:00 – 02/19/2026</t>
  </si>
  <si>
    <t>INC000001318812</t>
  </si>
  <si>
    <t>INC000001318811</t>
  </si>
  <si>
    <t>NOC-16022026-2175</t>
  </si>
  <si>
    <t>It is a business Rule that these NOCs are not passed to Traffic Engineering Department.</t>
  </si>
  <si>
    <t>INC000001318810</t>
  </si>
  <si>
    <t>Awais</t>
  </si>
  <si>
    <t>VPN Account has been reset please scan the New QR code by using the below link https://ettisal.rta.ae/vpn</t>
  </si>
  <si>
    <t>akhahmad</t>
  </si>
  <si>
    <t>Awais.Ahmad@rta.ae</t>
  </si>
  <si>
    <t>INC000001318808</t>
  </si>
  <si>
    <t>Abdulwali</t>
  </si>
  <si>
    <t>Nusari</t>
  </si>
  <si>
    <t>Generic ID Creation</t>
  </si>
  <si>
    <t>Below generic id has been created and access granted to the users.  ID name :Integration Section Email Address : IntegrationSection@rta.ae</t>
  </si>
  <si>
    <t>Request for Generic ID Creation (RE)</t>
  </si>
  <si>
    <t>AHNusari</t>
  </si>
  <si>
    <t>Abdulwali.Nusari@rta.ae</t>
  </si>
  <si>
    <t>INC000001318807</t>
  </si>
  <si>
    <t>Alanood</t>
  </si>
  <si>
    <t>Alhedban</t>
  </si>
  <si>
    <t>V0012799</t>
  </si>
  <si>
    <t>tsme_aaalhedban</t>
  </si>
  <si>
    <t>Tsme_Alanood.Alhedban@rta.ae</t>
  </si>
  <si>
    <t>INC000001318806</t>
  </si>
  <si>
    <t>INC000001318805</t>
  </si>
  <si>
    <t>Jafar</t>
  </si>
  <si>
    <t>jmaabdulla</t>
  </si>
  <si>
    <t>jafar.mohammad@Rta.ae</t>
  </si>
  <si>
    <t>INC000001318804</t>
  </si>
  <si>
    <t>Majdeyah</t>
  </si>
  <si>
    <t>Al Awadhi</t>
  </si>
  <si>
    <t>the mentioned request has been proceed successfully with the ticket INC000001320060 as per the automation logs</t>
  </si>
  <si>
    <t>maaalawadhi</t>
  </si>
  <si>
    <t>Majdeyah.AlAwadhi@RTA.ae</t>
  </si>
  <si>
    <t>INC000001318803</t>
  </si>
  <si>
    <t>Conduent Merwyn</t>
  </si>
  <si>
    <t>Pinto</t>
  </si>
  <si>
    <t>V006951</t>
  </si>
  <si>
    <t>Conduent_MPPinto</t>
  </si>
  <si>
    <t>Conduent_Merwyn.Pinto@rta.ae</t>
  </si>
  <si>
    <t>INC000001318802</t>
  </si>
  <si>
    <t>Shared folder access has been granted to the users.  Folder Path: \\rta.global\fileserver001\Share6$\SCG\DCP\1- DCP MAIN - Shared Folder\TUV - Quality 4.0 Folder Owner: dcp_sa Folder Access:  User Name	Type Of Access tuvr_hmahmed	Read And Write	 nsshadid	Read And Write		  mabdalawadhi	Modify</t>
  </si>
  <si>
    <t>INC000001318801</t>
  </si>
  <si>
    <t>Password reset Request - New Joiner</t>
  </si>
  <si>
    <t>User is unable to reset password via self-service, password has been reset and shared privately</t>
  </si>
  <si>
    <t>INC000001318800</t>
  </si>
  <si>
    <t>Hamzeh</t>
  </si>
  <si>
    <t>Abulawi</t>
  </si>
  <si>
    <t>Revoke BMC Service Request User Access as per Approval from IAM</t>
  </si>
  <si>
    <t>BMC Service Request User access has been revoked as user profile has been disabled.</t>
  </si>
  <si>
    <t>Tibco_Maximo</t>
  </si>
  <si>
    <t>V0029854</t>
  </si>
  <si>
    <t>isoft_hdabulawi</t>
  </si>
  <si>
    <t>Isoft_Hamzeh.Abulawi@rta.ae</t>
  </si>
  <si>
    <t>INC000001318798</t>
  </si>
  <si>
    <t>Yamani</t>
  </si>
  <si>
    <t>OMYamani</t>
  </si>
  <si>
    <t>Omar.Yamani@rta.ae</t>
  </si>
  <si>
    <t>INC000001318797</t>
  </si>
  <si>
    <t>Site: Khaledbin Waleed 2 DPU: KBW2DPU32 Date: 2/19/2026 11:57:07 AM</t>
  </si>
  <si>
    <t>Okool Vipin Kalluveettil</t>
  </si>
  <si>
    <t>Bus Lane Enforcement</t>
  </si>
  <si>
    <t>Operational Service Request</t>
  </si>
  <si>
    <t>Vendor restarted the network services</t>
  </si>
  <si>
    <t>INC000001318796</t>
  </si>
  <si>
    <t>INC000001318795</t>
  </si>
  <si>
    <t>Zahidah</t>
  </si>
  <si>
    <t>aizahidah</t>
  </si>
  <si>
    <t>Ammar.Zahidah@rta.ae</t>
  </si>
  <si>
    <t>INC000001318794</t>
  </si>
  <si>
    <t>Alshirawy</t>
  </si>
  <si>
    <t>RTA Intranet and webistes issue</t>
  </si>
  <si>
    <t>UMM RAMOOL NEW HQ 2B</t>
  </si>
  <si>
    <t>AEAlshirawy</t>
  </si>
  <si>
    <t>Asma.Alshirawy@rta.ae</t>
  </si>
  <si>
    <t>INC000001318793</t>
  </si>
  <si>
    <t>INC000001318791</t>
  </si>
  <si>
    <t>Rouz Hasan</t>
  </si>
  <si>
    <t>Al Zuben</t>
  </si>
  <si>
    <t>rhzuben</t>
  </si>
  <si>
    <t>rouz.alzuben@rta.ae</t>
  </si>
  <si>
    <t>INC000001318790</t>
  </si>
  <si>
    <t>Unable to return_14389AUH16 securitydata@diamondlease.com</t>
  </si>
  <si>
    <t>Dear User,  The Email return approval has been done for the vehicle 14389AUH16, kindly verify now once</t>
  </si>
  <si>
    <t>INC000001318789</t>
  </si>
  <si>
    <t>Hiral</t>
  </si>
  <si>
    <t>Bharadia</t>
  </si>
  <si>
    <t>V0032080</t>
  </si>
  <si>
    <t>okool_hjbharadia</t>
  </si>
  <si>
    <t>Okool_Hiral.Bharadia@rta.ae</t>
  </si>
  <si>
    <t>INC000001318788</t>
  </si>
  <si>
    <t>Yasmin</t>
  </si>
  <si>
    <t>Almushrakh</t>
  </si>
  <si>
    <t>we guided the user on how to reset the Adobe Acrobat Pro password and then the issue got solved.</t>
  </si>
  <si>
    <t>YKAlmushrakh</t>
  </si>
  <si>
    <t>Yasmin.Almushrakh@rta.ae</t>
  </si>
  <si>
    <t>INC000001318787</t>
  </si>
  <si>
    <t>Abougazia</t>
  </si>
  <si>
    <t>User confirmed that his VPN is working now. Hence we are resolving this ticket. Attached email below.</t>
  </si>
  <si>
    <t>mnaabougazia</t>
  </si>
  <si>
    <t>Mohamed.Abougazia@rta.ae</t>
  </si>
  <si>
    <t>INC000001318786</t>
  </si>
  <si>
    <t>Gheyath</t>
  </si>
  <si>
    <t>Mohammed Hashem</t>
  </si>
  <si>
    <t>User, Request has been returned to concerned department as required</t>
  </si>
  <si>
    <t>gmhashem</t>
  </si>
  <si>
    <t>Gheyath.Hashem@rta.ae</t>
  </si>
  <si>
    <t>INC000001318785</t>
  </si>
  <si>
    <t>The fine locked on DLS journey OLJ-8499152 released now try again</t>
  </si>
  <si>
    <t>INC000001318784</t>
  </si>
  <si>
    <t>RTAWLAN Connecting Issue</t>
  </si>
  <si>
    <t>Wrong Credentials</t>
  </si>
  <si>
    <t>INC000001318783</t>
  </si>
  <si>
    <t>Alzaabi</t>
  </si>
  <si>
    <t>AMAlzaabi</t>
  </si>
  <si>
    <t>Alia.Alzaabi@rta.ae</t>
  </si>
  <si>
    <t>INC000001318782</t>
  </si>
  <si>
    <t>BUS-6374</t>
  </si>
  <si>
    <t>INC000001318778</t>
  </si>
  <si>
    <t>Najjar</t>
  </si>
  <si>
    <t>as user requested Modification has been done</t>
  </si>
  <si>
    <t>V0031189</t>
  </si>
  <si>
    <t>avertra_fanajjar</t>
  </si>
  <si>
    <t>Avertra_Farah.Najjar@rta.ae</t>
  </si>
  <si>
    <t>INC000001318775</t>
  </si>
  <si>
    <t>Shabeer</t>
  </si>
  <si>
    <t>Madathodi</t>
  </si>
  <si>
    <t>Reset smart employee account Request</t>
  </si>
  <si>
    <t>Reset has been done so user will be able to punch from the new device</t>
  </si>
  <si>
    <t>Samadathodi</t>
  </si>
  <si>
    <t>Shabeer.Madathodi@rta.ae</t>
  </si>
  <si>
    <t>INC000001318774</t>
  </si>
  <si>
    <t>BS27L-207-Hor Al Anz, Turnoff 1 - M1</t>
  </si>
  <si>
    <t>With reference to your Email, we would like to inform that our team has attended the complaint &amp; found already RTPI is working Fine ( ref attached pic ). So kindly close the case.</t>
  </si>
  <si>
    <t>INC000001318773</t>
  </si>
  <si>
    <t>Shehadeh</t>
  </si>
  <si>
    <t>Corporate Planning &amp; Development</t>
  </si>
  <si>
    <t>maodeh</t>
  </si>
  <si>
    <t>Mohammad.Odeh@rta.ae</t>
  </si>
  <si>
    <t>INC000001318772</t>
  </si>
  <si>
    <t>Lokesh</t>
  </si>
  <si>
    <t>Shukla</t>
  </si>
  <si>
    <t>Password Reset Issue</t>
  </si>
  <si>
    <t>V0026323</t>
  </si>
  <si>
    <t>techm_lsshukla</t>
  </si>
  <si>
    <t>Techm_Lokesh.Shukla@rta.ae</t>
  </si>
  <si>
    <t>INC000001318767</t>
  </si>
  <si>
    <t>Fadha</t>
  </si>
  <si>
    <t>AL Zubaidi</t>
  </si>
  <si>
    <t>faalzubaidi</t>
  </si>
  <si>
    <t>Fadha.ALZubaidi@rta.ae</t>
  </si>
  <si>
    <t>INC000001318764</t>
  </si>
  <si>
    <t>Yosra</t>
  </si>
  <si>
    <t>Ali Saleh Ali</t>
  </si>
  <si>
    <t>YAAli</t>
  </si>
  <si>
    <t>Yosra.Ali@rta.ae</t>
  </si>
  <si>
    <t>INC000001318762</t>
  </si>
  <si>
    <t>GRP + Smart employee  Access</t>
  </si>
  <si>
    <t>INC000001318760</t>
  </si>
  <si>
    <t>RTAWLAN Access Request</t>
  </si>
  <si>
    <t>As per the bmc note, we have added user (tms_haalzidi) in RTA WLAN group please check.</t>
  </si>
  <si>
    <t>INC000001318759</t>
  </si>
  <si>
    <t>????? ?? ??????? ?????? ?????</t>
  </si>
  <si>
    <t>its an old journey , and there is another journey  lost/damged plate done after , however the plate  already delivered , and the current journey should be closed  close journey be script</t>
  </si>
  <si>
    <t>INC000001318758</t>
  </si>
  <si>
    <t>Avaya Maimoona</t>
  </si>
  <si>
    <t>Baloch</t>
  </si>
  <si>
    <t>user was not able to edit in word</t>
  </si>
  <si>
    <t>update the licene and sign in again</t>
  </si>
  <si>
    <t>V006650</t>
  </si>
  <si>
    <t>Avaya_MMBaloch</t>
  </si>
  <si>
    <t>Avaya_Maimoona.Baloch@rta.ae</t>
  </si>
  <si>
    <t>INC000001318756</t>
  </si>
  <si>
    <t>Suleiman</t>
  </si>
  <si>
    <t>Hardware Replacement</t>
  </si>
  <si>
    <t>we have reviewed the details with the IT Asset team. current laptop is 3 years and 8 months old. As per the ITD policy, devices are eligible for replacement after 5 years of use. the current laptop has been fixed by changing the battery and repaired the screen edge</t>
  </si>
  <si>
    <t>HASuleiman</t>
  </si>
  <si>
    <t>Hussein.Suleiman@rta.ae</t>
  </si>
  <si>
    <t>INC000001318754</t>
  </si>
  <si>
    <t>V0031660</t>
  </si>
  <si>
    <t>cns_masyed</t>
  </si>
  <si>
    <t>Cns_Mansoor.Syed@rta.ae</t>
  </si>
  <si>
    <t>INC000001318753</t>
  </si>
  <si>
    <t>NOC-09022026-2206 Transfer</t>
  </si>
  <si>
    <t>NOC is transferred to Eng Ziad Account as advised.</t>
  </si>
  <si>
    <t>INC000001318752</t>
  </si>
  <si>
    <t>NOC</t>
  </si>
  <si>
    <t>Engineer Can process Stuck NOCs now.</t>
  </si>
  <si>
    <t>INC000001318751</t>
  </si>
  <si>
    <t>Sherine</t>
  </si>
  <si>
    <t>As checked user LOG , there is no issue in User VPN Access connecting</t>
  </si>
  <si>
    <t>sasahmed</t>
  </si>
  <si>
    <t>Sherine.Ahmed@rta.ae</t>
  </si>
  <si>
    <t>INC000001318750</t>
  </si>
  <si>
    <t>Request cancelation required LP No : 17166707</t>
  </si>
  <si>
    <t>Non-Technical | Cancel  old Transfer File Requests</t>
  </si>
  <si>
    <t>INC000001318749</t>
  </si>
  <si>
    <t>Salik</t>
  </si>
  <si>
    <t>RTA\Salik</t>
  </si>
  <si>
    <t>Email Account activation request</t>
  </si>
  <si>
    <t>We have enabled the account in IAM system and in all downstream system, please ask user to reset password and try to login with new password today otherwise based on 90 days login and reset password policy, system automatically disable user account in AD application.    User Login: MISMMOHAMED</t>
  </si>
  <si>
    <t>V0012334</t>
  </si>
  <si>
    <t>mismmohamed</t>
  </si>
  <si>
    <t>Mohamed.IMohamed@rta.ae</t>
  </si>
  <si>
    <t>INC000001318747</t>
  </si>
  <si>
    <t>Access for MOM - Minutes of meeting</t>
  </si>
  <si>
    <t>Kindly note the MOM profile has been updated.</t>
  </si>
  <si>
    <t>INC000001318745</t>
  </si>
  <si>
    <t>humohassan</t>
  </si>
  <si>
    <t>Huda.Hassan@rta.ae</t>
  </si>
  <si>
    <t>INC000001318744</t>
  </si>
  <si>
    <t>??? ?? ??????? ????? ??? 3</t>
  </si>
  <si>
    <t>The reported issue is due to dirt &amp; tire marks on the lines, we had advised the yard to clean/re-paint the lines properly.   RCA: Dirt on the lines.</t>
  </si>
  <si>
    <t>INC000001318743</t>
  </si>
  <si>
    <t>Smart employee Access</t>
  </si>
  <si>
    <t>Kindly note the vacation role has been cancelled.</t>
  </si>
  <si>
    <t>FAAldhuhoori</t>
  </si>
  <si>
    <t>Fatima.Aldhuhoori@rta.ae</t>
  </si>
  <si>
    <t>INC000001318741</t>
  </si>
  <si>
    <t>EMS production database</t>
  </si>
  <si>
    <t>INC000001318740</t>
  </si>
  <si>
    <t>Carmelito</t>
  </si>
  <si>
    <t>Canete</t>
  </si>
  <si>
    <t>Scanner Issue</t>
  </si>
  <si>
    <t>Helping user throw phone to change lock to  (on) from back side   Restart the scanner , tested by user working fine</t>
  </si>
  <si>
    <t>Scanner</t>
  </si>
  <si>
    <t>N/W Scanner Issues</t>
  </si>
  <si>
    <t>Clcanete</t>
  </si>
  <si>
    <t>Carmelito.Canete@rta.ae</t>
  </si>
  <si>
    <t>INC000001318738</t>
  </si>
  <si>
    <t>UEDC access to Financial Audit authority team to performing the audit.</t>
  </si>
  <si>
    <t>Communicated with security and access has been granted as requested.</t>
  </si>
  <si>
    <t>INC000001318737</t>
  </si>
  <si>
    <t>Munir</t>
  </si>
  <si>
    <t>MaximoSrini: 6389195</t>
  </si>
  <si>
    <t>mmahmad</t>
  </si>
  <si>
    <t>Munir.Ahmad@RTA.ae</t>
  </si>
  <si>
    <t>INC000001318736</t>
  </si>
  <si>
    <t>Re: Tasriya Renewal - #12332829</t>
  </si>
  <si>
    <t>Non-Technical | Instructor Permit Renewal As per DI Request</t>
  </si>
  <si>
    <t>INC000001318735</t>
  </si>
  <si>
    <t>????? ???????</t>
  </si>
  <si>
    <t>The request is invalid because the customer already has an active permit on vehicle (I 2664).  The other vehicle is not displayed since its license has already expired. As a result, the customer cannot apply for a tinting permit on an expired vehicle. Therefore, it does not appear in the list of eligible vehicles.</t>
  </si>
  <si>
    <t>INC000001318734</t>
  </si>
  <si>
    <t>INC000001318731</t>
  </si>
  <si>
    <t>Request to enable the Right Shift + Alt keyboard shortcut for changing language.</t>
  </si>
  <si>
    <t>The request has been completed after modifying the registry key.</t>
  </si>
  <si>
    <t>V0032492</t>
  </si>
  <si>
    <t>trans_niibrahim</t>
  </si>
  <si>
    <t>Trans_Nour.Ibrahim@rta.ae</t>
  </si>
  <si>
    <t>INC000001318730</t>
  </si>
  <si>
    <t>Dina</t>
  </si>
  <si>
    <t>Elgamassy</t>
  </si>
  <si>
    <t>dkelgamassy</t>
  </si>
  <si>
    <t>Dina.Elgamassy@rta.ae</t>
  </si>
  <si>
    <t>INC000001318729</t>
  </si>
  <si>
    <t>INC000001318727</t>
  </si>
  <si>
    <t>Western Binona Exclusion</t>
  </si>
  <si>
    <t>STafteesh Validation is excluded for the Company as per director approval.</t>
  </si>
  <si>
    <t>INC000001318726</t>
  </si>
  <si>
    <t>Abdulkarem</t>
  </si>
  <si>
    <t>aaabdulkarem</t>
  </si>
  <si>
    <t>Amal.Abdulkarem@rta.ae</t>
  </si>
  <si>
    <t>INC000001318725</t>
  </si>
  <si>
    <t>Majida</t>
  </si>
  <si>
    <t>Naqi</t>
  </si>
  <si>
    <t>Asset collection for the resigned user.</t>
  </si>
  <si>
    <t>Asset collection</t>
  </si>
  <si>
    <t>request will be closed as it's duplicated with ticket No. INC000001314439</t>
  </si>
  <si>
    <t>Asset Collection</t>
  </si>
  <si>
    <t>mmnaqi</t>
  </si>
  <si>
    <t>Majida.Naqi@rta.ae</t>
  </si>
  <si>
    <t>INC000001318722</t>
  </si>
  <si>
    <t>kindly share the production logs from both nodes of MarineRentalApp</t>
  </si>
  <si>
    <t>Techm Shabbeer Ahmed</t>
  </si>
  <si>
    <t>Logs</t>
  </si>
  <si>
    <t>Shared the production logs of MarineRentalApp from both nodes.</t>
  </si>
  <si>
    <t>INC000001318721</t>
  </si>
  <si>
    <t>Request for instructors and assessors report</t>
  </si>
  <si>
    <t>Non-Technical |  Report is sent to Maryam</t>
  </si>
  <si>
    <t>INC000001318720</t>
  </si>
  <si>
    <t>MaximoKinan - ITSR-16137   ITS1000</t>
  </si>
  <si>
    <t>There is a limit for the (Model) as 40 characters in GRP.</t>
  </si>
  <si>
    <t>HABHassan</t>
  </si>
  <si>
    <t>Huda.AHassan@rta.ae</t>
  </si>
  <si>
    <t>INC000001318719</t>
  </si>
  <si>
    <t>Alaaeldin</t>
  </si>
  <si>
    <t>MaximoSrini: M1009/WF3 Revised JMS for BW2528617 (Supply of Spare Part New Pump and LED re</t>
  </si>
  <si>
    <t>ATMohamed</t>
  </si>
  <si>
    <t>Alaaeldin.Mohamed@rta.ae</t>
  </si>
  <si>
    <t>INC000001318718</t>
  </si>
  <si>
    <t>Enable to close the audit request  Request # 24783</t>
  </si>
  <si>
    <t>the mentioned requests has been updated and proceed successfully</t>
  </si>
  <si>
    <t>YMMussa</t>
  </si>
  <si>
    <t>Youssef.Mussa@rta.ae</t>
  </si>
  <si>
    <t>INC000001318716</t>
  </si>
  <si>
    <t>Sanqoor</t>
  </si>
  <si>
    <t>Oracle configuration request "Automation"</t>
  </si>
  <si>
    <t>We did reset for the Oracle authenticator and successfully the Automation got opened after that</t>
  </si>
  <si>
    <t>mgsanqoor</t>
  </si>
  <si>
    <t>Maitha.Sanqoor@rta.ae</t>
  </si>
  <si>
    <t>INC000001318715</t>
  </si>
  <si>
    <t>Sufian</t>
  </si>
  <si>
    <t>Othman</t>
  </si>
  <si>
    <t>Pradeep Malleshappa</t>
  </si>
  <si>
    <t>Requested VPN Access has been provided to the user profile</t>
  </si>
  <si>
    <t>V0026145</t>
  </si>
  <si>
    <t>avertra_soothman</t>
  </si>
  <si>
    <t>Avertra_Sufian.Othman@rta.ae</t>
  </si>
  <si>
    <t>INC000001318714</t>
  </si>
  <si>
    <t>Bizri</t>
  </si>
  <si>
    <t>RTAWLAN Access</t>
  </si>
  <si>
    <t>As per the bmc note, we have added user (STRATEGY_KBBIZRI) in RTA WLAN group please check.</t>
  </si>
  <si>
    <t>V0034705</t>
  </si>
  <si>
    <t>strategy_kbbizri</t>
  </si>
  <si>
    <t>Strategy_Karim.Bizri@rta.ae</t>
  </si>
  <si>
    <t>INC000001318713</t>
  </si>
  <si>
    <t>Adam</t>
  </si>
  <si>
    <t>????? ??????? / ????</t>
  </si>
  <si>
    <t>The reported issue is due to sunlight shadow/reflection &amp; the student immediately removed the seat belt before the exam end process is completed.   RCA: Light Shadow/reflection + the student immediately removed the seat belt before the exam end</t>
  </si>
  <si>
    <t>AGAlbloushi</t>
  </si>
  <si>
    <t>Adam.Albloushi@rta.ae</t>
  </si>
  <si>
    <t>INC000001318710</t>
  </si>
  <si>
    <t>ASKKhalfan</t>
  </si>
  <si>
    <t>Ali.Khalfan@rta.ae</t>
  </si>
  <si>
    <t>INC000001318709</t>
  </si>
  <si>
    <t>Jasem</t>
  </si>
  <si>
    <t>Ivanti has been uninstalled   New Ivanti has been installed and the issue solved</t>
  </si>
  <si>
    <t>jmalmulla</t>
  </si>
  <si>
    <t>Jasem.Almulla@rta.ae</t>
  </si>
  <si>
    <t>INC000001318708</t>
  </si>
  <si>
    <t>INC000001318707</t>
  </si>
  <si>
    <t>Upon checking, we found that student removed the seatbelt immediately before exam end reading process is completed.   RCA: The removed the seatbelt immediately before exam end reading process is completed.</t>
  </si>
  <si>
    <t>INC000001318706</t>
  </si>
  <si>
    <t>Nijood</t>
  </si>
  <si>
    <t>Zarefa</t>
  </si>
  <si>
    <t>ndzarefa</t>
  </si>
  <si>
    <t>Nijood.Zarefa@rta.ae</t>
  </si>
  <si>
    <t>INC000001318705</t>
  </si>
  <si>
    <t>NOL top-up channels - undocumented channels</t>
  </si>
  <si>
    <t>Kindly find my comment below and marked in yellow color for reference.   As the reported incident is addressed kindly verify and close the ticket.</t>
  </si>
  <si>
    <t>INC000001318704</t>
  </si>
  <si>
    <t>VPN Access has been Extended to the user profile</t>
  </si>
  <si>
    <t>INC000001318703</t>
  </si>
  <si>
    <t>.Showing Error: Invalid Response from Driving Training System (TFN:17237304)</t>
  </si>
  <si>
    <t>INC000001318702</t>
  </si>
  <si>
    <t>Request to change the default apps for PDF files and Outlook messages.</t>
  </si>
  <si>
    <t>The request has been completed by setting Microsoft Outlook as the default app for .msg files and Adobe Reader as the default app for .pdf files.</t>
  </si>
  <si>
    <t>INC000001318701</t>
  </si>
  <si>
    <t>Hassan alajmi</t>
  </si>
  <si>
    <t>Halima Salem</t>
  </si>
  <si>
    <t>licensing departmen Deira</t>
  </si>
  <si>
    <t xml:space="preserve">GIS Data Update &amp; Import Request Request Information 2514631 INC000001318701 Project Name / Purpose * ????? ?????? Business Requirements * Business Requirements * ????? ??? ????? ????? ?????? (????? ?????) ???? ??? ????? 2026 Project Name / Purpose * ????? ??? ????? ????? ?????? (????? ?????) ???? ??? ????? 2026  Change implemented  </t>
  </si>
  <si>
    <t>ahalajami</t>
  </si>
  <si>
    <t>abdullah.alajmi@rta.ae</t>
  </si>
  <si>
    <t>INC000001318700</t>
  </si>
  <si>
    <t>Seraj</t>
  </si>
  <si>
    <t>Said</t>
  </si>
  <si>
    <t>New LAN cable request</t>
  </si>
  <si>
    <t>Al Aweer Depot</t>
  </si>
  <si>
    <t>New cable handed to user in operation</t>
  </si>
  <si>
    <t>sasaid</t>
  </si>
  <si>
    <t>Seraj.Said@rta.ae</t>
  </si>
  <si>
    <t>INC000001318699</t>
  </si>
  <si>
    <t>Rahman</t>
  </si>
  <si>
    <t>VPN Access has been provided to the user profile</t>
  </si>
  <si>
    <t>mhrahman</t>
  </si>
  <si>
    <t>Mubarak.Rahman@rta.ae</t>
  </si>
  <si>
    <t>INC000001318698</t>
  </si>
  <si>
    <t>Webex meetings access issue</t>
  </si>
  <si>
    <t>user will check for future meetings and if same is happening he will revert back</t>
  </si>
  <si>
    <t>INC000001318697</t>
  </si>
  <si>
    <t>Reason:- No Power   Action:- Third-party issue Please Cancel The Ticket from EI side Thanks   Attender :- Azeez   Attended Time:-  Remarks:-</t>
  </si>
  <si>
    <t>INC000001318696</t>
  </si>
  <si>
    <t>Refund Case(s) require manual approval email notification not received BMC#1318696</t>
  </si>
  <si>
    <t>From: Alexandra Vanessa Mondala-Contractor Sent: Wednesday, February 18, 2026 9:08 AM To: Harish Potluri &lt;hpotluri@octopus.com.hk&gt;; Nagaraju Parepally &lt;nparepally@octopus.com.hk&gt; Cc: Electronic Ibrahim Abdualla Suliman-contractor &lt;Electronic_Ibrahim.Suliman@rta.ae&gt;; Maysoon Abdul Latif Abdulallah Qasim &lt;Maysoon.Qasim@rta.ae&gt;; Amna Mangoosh Al-Ali &lt;Amna.Alali@rta.ae&gt; Subject: RE: Manual refund  Dear @Nagaraju Parepally,  Kindly assist as the above mail, we are not receiving any for Manual Refund since 16-02-2026. Please do the needful as customers are inquiring and following up through Call centre.  Best Regards,  ???????? ?????? ??????? Alexandra Vanessa Mondala   From: Nagaraju Parepally &lt;nparepally@octopus.com.hk&gt; Sent: Friday, 20 February 2026 4:22 PM To: Locus Chan (Secondment) &lt;elis_locuschan@octopus.com.hk&gt; Cc: Nero Tang &lt;nerotang@octopus.com.hk&gt;; Wilson Hung &lt;wilsonhung@octopus.com.hk&gt;; Satish Kumar Punukollu &lt;skpunukollu@octopus.com.hk&gt;; Billy Lai (Secondment) &lt;billylai@octopus.com.hk&gt;; Harish Potluri &lt;hpotluri@octopus.com.hk&gt; Subject: mantis#927 RE: Manual refund email notification not received - Refund Case(s) require manual approval Importance: High  Dear Locus,  From 16-Feb-2026, the enclosed email notification is not sent to RTA, the end of day task “Manual Refund Approval Notifi” is completed every day and there are pending refund cases exists but still the enclosed email notification is not sent from OCHS. The records are not inserted in the notification_Request table and there is no error noticed in the logs. Kinldy verify and provide the solution to send the enclosed email notification after the eod task. Thank you  select trunc(process_date),count(*) from rta.refund_case where APPROVAL_STATUS='PEN' and auto_appr_validation_status&gt;0 group by trunc(process_date) order by count(*) desc 15-02-2026 00:00:00 56 16-02-2026 00:00:00 98 17-02-2026 00:00:00 112 18-02-2026 00:00:00 83 19-02-2026 00:00:00 5 select count(*) from rta.refund_case where APPROVAL_STATUS='PEN' and auto_appr_validation_status&gt;0 COUNT(*) ----------        786  Was8888 log in ap2  2026-02-20 03:58:27 INFO com.octopuscards.cbo.rta.scheduling.refundadministration.ManualRefundRequiredNotificationTask - ManualRefundRequiredNotificationTask begin 2026-02-20 03:58:27 DEBUG com.octopuscards.cbo.rta.util.common.RuntimeExceptionLoggingProxy - calling method sendNotification() of the instance 71c16f66. of class class com.octopuscards.cbo.rta.service.refundadministration.ManualRefundRequiredNotificationServiceImpl 2026-02-20 03:58:27 INFO com.octopuscards.cbo.rta.service.refundadministration.ManualRefundRequiredNotificationServiceImpl - 4 ManualRefundNotificationRecipent obtained 2026-02-20 03:58:29 INFO com.octopuscards.cbo.rta.service.refundadministration.ManualRefundRequiredNotificationServiceImpl - Sending manual refund required notification to 4 recipient(s) 2026-02-20 03:58:30 INFO com.octopuscards.cbo.rta.scheduling.refundadministration.ManualRefundRequiredNotificationTask - ManualRefundRequiredNotificationTask completed 2026-02-20 03:58:30 INFO com.octopuscards.framework.taskmanager.webservice.TaskExecutorImpl - TMR30036 execute task manualRefundRequiredNotificationTask completed  Regards, Nagaraju   From: Locus Chan (Secondment) &lt;elis_locuschan@octopus.com.hk&gt; Sent: Friday, 20 February 2026 9:42 PM To: Nagaraju Parepally &lt;nparepally@octopus.com.hk&gt;; Ray Cheung &lt;raycheung@octopus.com.hk&gt; Cc: Nero Tang &lt;nerotang@octopus.com.hk&gt;; Wilson Hung &lt;wilsonhung@octopus.com.hk&gt;; Satish Kumar Punukollu &lt;skpunukollu@octopus.com.hk&gt;; Billy Lai (Secondment) &lt;billylai@octopus.com.hk&gt;; Harish Potluri &lt;hpotluri@octopus.com.hk&gt; Subject: RE: mantis#927 RE: Manual refund email notification not received - Refund Case(s) require manual approval  Dear Ray,  Is there way to check if any email sent from OCHS exchange/postfix to ‘Maysoon.Qasim@rta.ae’, ‘Edc_alexandra.Mondala@rta.ae’, ‘Electronic_Mohammed.Ali@rta.ae’ or ‘Electronic_Ibrahim.Suliman@rta.ae’ between 16-Feb to 20-Feb   Dear Nagaraju,  From the log I see no difference between 10-Feb to 19-Feb. Everyday it sent to 4 recipients. Let me check with Ray.</t>
  </si>
  <si>
    <t>INC000001318695</t>
  </si>
  <si>
    <t>Smart Traffic configuration on Edge</t>
  </si>
  <si>
    <t>INC000001318693</t>
  </si>
  <si>
    <t>MJASAlali</t>
  </si>
  <si>
    <t>Maitha.JAlali@rta.ae</t>
  </si>
  <si>
    <t>INC000001318692</t>
  </si>
  <si>
    <t>All the Buses whose PDI has been completed has been added to the BUS Route Visit Inspection checklist</t>
  </si>
  <si>
    <t>INC000001318690</t>
  </si>
  <si>
    <t>Automation system .</t>
  </si>
  <si>
    <t>mentioned admin pages have been granted to the user as required, user only need to log in/ log out to find the new pages</t>
  </si>
  <si>
    <t>INC000001318689</t>
  </si>
  <si>
    <t>Shared folder access has been granted to the user.  Folder Path:  \\rta.global\fileserver001\RTA1$\SMD\SPD Section Folder Owner: analreyashi Folder Access:  User Name	Type Of Access sabasaeed	Modify</t>
  </si>
  <si>
    <t>INC000001318688</t>
  </si>
  <si>
    <t>Syeda</t>
  </si>
  <si>
    <t>Riaz</t>
  </si>
  <si>
    <t>V0024379</t>
  </si>
  <si>
    <t>techvista_smuriaz</t>
  </si>
  <si>
    <t>Techvista_Syeda.MRiaz@rta.ae</t>
  </si>
  <si>
    <t>INC000001318687</t>
  </si>
  <si>
    <t>Unable to view rejected line items - CTSS/SS/24-10</t>
  </si>
  <si>
    <t>User, contract lines are showing now.</t>
  </si>
  <si>
    <t>INC000001318684</t>
  </si>
  <si>
    <t>INC000001318683</t>
  </si>
  <si>
    <t>Mathath</t>
  </si>
  <si>
    <t>Rajeesh Rajan Nambiar</t>
  </si>
  <si>
    <t>Request to update SLA configuration and service window to Bronze and 10x5 for ESG group in BMC.</t>
  </si>
  <si>
    <t>Bronze SLA has been updated with service window 10x5 – 7:30 AM to 5:30 PM MON to FRI</t>
  </si>
  <si>
    <t>SLA Configuration</t>
  </si>
  <si>
    <t>MRNambiar</t>
  </si>
  <si>
    <t>Mathath.Nambiar@rta.ae</t>
  </si>
  <si>
    <t>INC000001318682</t>
  </si>
  <si>
    <t>Al Saeedi</t>
  </si>
  <si>
    <t>Browser Configuration</t>
  </si>
  <si>
    <t>Browser has been configured successfully.</t>
  </si>
  <si>
    <t>faalsaeedi</t>
  </si>
  <si>
    <t>Fatima.Alsaeedi@rta.ae</t>
  </si>
  <si>
    <t>INC000001318681</t>
  </si>
  <si>
    <t>pdf not opening</t>
  </si>
  <si>
    <t>taskmanager - app history - adobe end task - cmd gpupdate /force</t>
  </si>
  <si>
    <t>hmohalhammadi</t>
  </si>
  <si>
    <t>Hoda.MAlhammadi@rta.ae</t>
  </si>
  <si>
    <t>INC000001318680</t>
  </si>
  <si>
    <t>The data has been shared by email.</t>
  </si>
  <si>
    <t>INC000001318679</t>
  </si>
  <si>
    <t>Dheyab</t>
  </si>
  <si>
    <t>Guided user to unlock account via Self Service</t>
  </si>
  <si>
    <t>hadheyab</t>
  </si>
  <si>
    <t>Hamad.Dheyab@rta.ae</t>
  </si>
  <si>
    <t>INC000001318678</t>
  </si>
  <si>
    <t>Unable to Process NOC</t>
  </si>
  <si>
    <t>INC000001318677</t>
  </si>
  <si>
    <t>????? ????? ???????17234130</t>
  </si>
  <si>
    <t>INC000001318676</t>
  </si>
  <si>
    <t>Smart employee Access as per attached circular</t>
  </si>
  <si>
    <t>INC000001318674</t>
  </si>
  <si>
    <t>15794063 - FILE TRANSFER REQUEST ERROR</t>
  </si>
  <si>
    <t>Non-Technical | User Clarification About Amend Learning File</t>
  </si>
  <si>
    <t>INC000001318673</t>
  </si>
  <si>
    <t>.15794063 - FILE TRANSFER REQUEST ERROR</t>
  </si>
  <si>
    <t>INC000001318672</t>
  </si>
  <si>
    <t>16786546 / ERROR IN APPROVAL / TM352505 {7003542}</t>
  </si>
  <si>
    <t>INC000001318671</t>
  </si>
  <si>
    <t>Fayazahmed</t>
  </si>
  <si>
    <t>Rafi-Contractor</t>
  </si>
  <si>
    <t>remove the SCCM (RTAUEVSCCMAP1) from backup tool.</t>
  </si>
  <si>
    <t>Backup has been removed from backup tool. Hence closing the ticket.</t>
  </si>
  <si>
    <t>Backup for Operating System</t>
  </si>
  <si>
    <t>V0026342</t>
  </si>
  <si>
    <t>techm_fmrafi</t>
  </si>
  <si>
    <t>Techm_Fayazahmed.Rafi@rta.ae</t>
  </si>
  <si>
    <t>INC000001318670</t>
  </si>
  <si>
    <t>Ahmet</t>
  </si>
  <si>
    <t>Dogru</t>
  </si>
  <si>
    <t>Resolved by reset the network setting, restart the system. And now it's connected to RTAWLAN</t>
  </si>
  <si>
    <t>abdogru</t>
  </si>
  <si>
    <t>Ahmet.Dogru@rta.ae</t>
  </si>
  <si>
    <t>INC000001318669</t>
  </si>
  <si>
    <t>mohammed</t>
  </si>
  <si>
    <t>shaker</t>
  </si>
  <si>
    <t>as per user email, the username has been activated. So, you can close the ticket.  Thanks for your cooperation…</t>
  </si>
  <si>
    <t>Request For Generic ID Creation</t>
  </si>
  <si>
    <t>mhshaker</t>
  </si>
  <si>
    <t>mohammed.shaker@RTA.ae</t>
  </si>
  <si>
    <t>INC000001318668</t>
  </si>
  <si>
    <t>As we checked the logs of TVM#262179, we saw that the card#0244395984 encountered a banknote jamming at 22:15:33 However the amount inserted was not captured by the machine, Please check with BRINKS team if they have collected the excess 100 AED  ================== 18.02.2026;22:14:25.727;ContentCSC;LogOnlyEvent;TagIdInvolved,ACSC,0244395984 18.02.2026;22:14:28.291;ContentCSC;ButtonPressed;btnNav01;"Card Top up" 18.02.2026;22:14:28.351;ContentCSC;SetScreen;ChooseAttrPurseTopupValueCSC 18.02.2026;22:14:33.969;ChooseAttrPurseTopupValueCSC;ButtonPressed;btnNav07;"AED 100.00" 18.02.2026;22:14:33.989;ChooseAttrPurseTopupValueCSC;SetScreen;PaymentSummaryAddValue 18.02.2026;22:14:38.215;PaymentSummaryAddValue;ButtonPressed;btnPayWithCash;"" 18.02.2026;22:14:38.225;PaymentSummaryAddValue;LogOnlyEvent;InvoicingStart;Coin,Note,Currency=,Amount=10000 18.02.2026;22:14:39.297;PaymentSummaryAddValue;LogOnlyEvent;InvoicingStart;true 18.02.2026;22:14:39.307;PaymentSummaryAddValue;SetScreen;PaymentAddValue 18.02.2026;22:14:40.699;PaymentAddValue;PaymentEnabled;Note 18.02.2026;22:14:41.200;PaymentAddValue;PaymentDisabled;Coin 18.02.2026;22:15:33.435;PaymentAddValue;PaymentDisabled;Note 18.02.2026;22:15:40.705;PaymentAddValue;TimerElapsed;payment 18.02.2026;22:15:40.725;PaymentAddValue;LogOnlyEvent;InvoicingAbort;Result=false;FailedAmount=0 18.02.2026;22:15:40.745;PaymentAddValue;SetScreen; ==================</t>
  </si>
  <si>
    <t>INC000001318667</t>
  </si>
  <si>
    <t>Automation System Request.</t>
  </si>
  <si>
    <t>the mentioned request has been cancelled as requested by the service owner</t>
  </si>
  <si>
    <t>AMOHAAlbloushi</t>
  </si>
  <si>
    <t>Amna.Albloushi@rta.ae</t>
  </si>
  <si>
    <t>INC000001318666</t>
  </si>
  <si>
    <t>Email issue</t>
  </si>
  <si>
    <t>Unable to Send/Receive Mails(RE)</t>
  </si>
  <si>
    <t>Unable To Send / Receive Mails</t>
  </si>
  <si>
    <t>INC000001318665</t>
  </si>
  <si>
    <t>Nahla</t>
  </si>
  <si>
    <t>nmoahmed</t>
  </si>
  <si>
    <t>Nahla.Ahmed@rta.ae</t>
  </si>
  <si>
    <t>INC000001318664</t>
  </si>
  <si>
    <t>TOCC-Alert-Warning-P-260223666|OPEN|Low Disk Space</t>
  </si>
  <si>
    <t>Highlighted drives are read-only ,please ignore any alert other than below drives :  Active EDMS drives till March 2026: Y: ENOC2</t>
  </si>
  <si>
    <t>INC000001318663</t>
  </si>
  <si>
    <t>????? ????? 17235965</t>
  </si>
  <si>
    <t>INC000001318662</t>
  </si>
  <si>
    <t>Opening file issue - Vinita {7001081}</t>
  </si>
  <si>
    <t>INC000001318661</t>
  </si>
  <si>
    <t>.rta error</t>
  </si>
  <si>
    <t>INC000001318659</t>
  </si>
  <si>
    <t>INC000001318657</t>
  </si>
  <si>
    <t>Chafiq</t>
  </si>
  <si>
    <t>Jellal</t>
  </si>
  <si>
    <t>cajellal</t>
  </si>
  <si>
    <t>Chafiq.Jellal@rta.ae</t>
  </si>
  <si>
    <t>INC000001318656</t>
  </si>
  <si>
    <t>Revoke BMC Incident User Access as per Approval from IAM</t>
  </si>
  <si>
    <t>BMC Incident User access has been revoked as user profile has been disabled.</t>
  </si>
  <si>
    <t>INC000001318655</t>
  </si>
  <si>
    <t>DUPLICATE TICKET Reason:- Duplicate Ticket please Cancel Original Ticket No  INC000001318439  Action:-   Attended Time:-  Remarks:-</t>
  </si>
  <si>
    <t>INC000001318654</t>
  </si>
  <si>
    <t>ISSUE RTA FINAL TEST BOOKING ERROR/16562853</t>
  </si>
  <si>
    <t>INC000001318653</t>
  </si>
  <si>
    <t>Revoke BMC Infrastructure Change User Access as per Approval from IAM</t>
  </si>
  <si>
    <t>BMC Infrastructure Change User access has been revoked as user profile has been disabled.</t>
  </si>
  <si>
    <t>INC000001318651</t>
  </si>
  <si>
    <t>1.The lookup fields available from the CRM 2.A list of all certificates stored under DOCUMENT_NAME</t>
  </si>
  <si>
    <t>Required details has been shared.</t>
  </si>
  <si>
    <t>INC000001318650</t>
  </si>
  <si>
    <t>Reason :10Aed jam   Action  : clear the jam   Attend Time :10:35</t>
  </si>
  <si>
    <t>INC000001318649</t>
  </si>
  <si>
    <t>Marian</t>
  </si>
  <si>
    <t>Younan</t>
  </si>
  <si>
    <t>Share folder access provided as per the request Path : \rta.global\fileserver001\Share1$\Strategy and Corporate Performance\Internal\Corporate Performance Section\E 2025\PTA\TSD User: mmyounan Approver: Ali Saif Juma Alsawaya Alnuaimi</t>
  </si>
  <si>
    <t>MMYounan</t>
  </si>
  <si>
    <t>Marian.Younan@rta.ae</t>
  </si>
  <si>
    <t>INC000001318646</t>
  </si>
  <si>
    <t>my login ID is not working</t>
  </si>
  <si>
    <t>Non-Technical | User Clarification , User cannot access DTS</t>
  </si>
  <si>
    <t>INC000001318645</t>
  </si>
  <si>
    <t>24122025-2453</t>
  </si>
  <si>
    <t>Department Status is changed for Roads Department.</t>
  </si>
  <si>
    <t>INC000001318644</t>
  </si>
  <si>
    <t>.Error Problem {6985697}</t>
  </si>
  <si>
    <t>INC000001318643</t>
  </si>
  <si>
    <t>DLS ERROR - TM353441 {7003939}</t>
  </si>
  <si>
    <t>INC000001318641</t>
  </si>
  <si>
    <t>.error message {7001400}</t>
  </si>
  <si>
    <t>INC000001318639</t>
  </si>
  <si>
    <t>guided user to reset password through link in sms</t>
  </si>
  <si>
    <t>INC000001318638</t>
  </si>
  <si>
    <t>add to MS office 365 group</t>
  </si>
  <si>
    <t>We have added below user in MS office 365 group, please check.    KMAlshehhi</t>
  </si>
  <si>
    <t>INC000001318637</t>
  </si>
  <si>
    <t>TUM-263045</t>
  </si>
  <si>
    <t>Reason:- Bank Note jam 10dh   Action:- Note jam Cleared, Battery Changed   Attender :- Azeez   Attended Time:-10:29  Remarks:-</t>
  </si>
  <si>
    <t>INC000001318635</t>
  </si>
  <si>
    <t>Invalid Response Error – Learning Permit Issuance {7001161}</t>
  </si>
  <si>
    <t>INC000001318634</t>
  </si>
  <si>
    <t>INC000001318633</t>
  </si>
  <si>
    <t>NOCs Reactivation - 19/02/2026</t>
  </si>
  <si>
    <t>NOCs are reactivated as per business approval.</t>
  </si>
  <si>
    <t>INC000001318632</t>
  </si>
  <si>
    <t>iPad request \ PTA</t>
  </si>
  <si>
    <t>Muhammed Alneil</t>
  </si>
  <si>
    <t>IPad</t>
  </si>
  <si>
    <t>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t>
  </si>
  <si>
    <t>MABDAAlali</t>
  </si>
  <si>
    <t>Mohamed.AHAlali@rta.ae</t>
  </si>
  <si>
    <t>INC000001318631</t>
  </si>
  <si>
    <t>Wadha</t>
  </si>
  <si>
    <t>Shukry</t>
  </si>
  <si>
    <t>washukry</t>
  </si>
  <si>
    <t>Wadha.Shukry@rta.ae</t>
  </si>
  <si>
    <t>INC000001318630</t>
  </si>
  <si>
    <t>INC000001318628</t>
  </si>
  <si>
    <t>Laila</t>
  </si>
  <si>
    <t>Alzarouni</t>
  </si>
  <si>
    <t>Enterprise vault issue</t>
  </si>
  <si>
    <t>Mano Suresh Manoharan</t>
  </si>
  <si>
    <t>Data Archival</t>
  </si>
  <si>
    <t>Checked with user and confirmed that the issue is resolved now, checked on server side and given manual syn &amp; run on mailbox, Ev working fine now, Hence closing the case, if any issues please reach out to us.</t>
  </si>
  <si>
    <t>LIAlzarouni</t>
  </si>
  <si>
    <t>Laila.Alzarouni@rta.ae</t>
  </si>
  <si>
    <t>INC000001318627</t>
  </si>
  <si>
    <t>Hessah</t>
  </si>
  <si>
    <t>Alhassan</t>
  </si>
  <si>
    <t>Connect Laptop to Projector in Meeting Room</t>
  </si>
  <si>
    <t>Projectors</t>
  </si>
  <si>
    <t>The user's laptop is configured for screen duplication.</t>
  </si>
  <si>
    <t>HSIAlhassan</t>
  </si>
  <si>
    <t>Hessah.SAlhassan@rta.ae</t>
  </si>
  <si>
    <t>INC000001318623</t>
  </si>
  <si>
    <t>Request to provide new Mouse  for Director</t>
  </si>
  <si>
    <t>Mouse</t>
  </si>
  <si>
    <t>laptop drivers have been updated and mouse is working fine</t>
  </si>
  <si>
    <t>INC000001318621</t>
  </si>
  <si>
    <t>Shared folder access has been granted to the user.  Folder Path: \\rta.global\fileserver001\Share2$\Rail Agency Folder\Rail Right Of Way Services Folder Owner: mmoalshehhi Folder Access:  User Name	Type Of Access tmabdelwahab	Read And Write</t>
  </si>
  <si>
    <t>INC000001318620</t>
  </si>
  <si>
    <t xml:space="preserve">?????? ??????? </t>
  </si>
  <si>
    <t>Reapplied the permission by Server team &amp; user is able to receive email</t>
  </si>
  <si>
    <t>INC000001318619</t>
  </si>
  <si>
    <t>TVM-264000</t>
  </si>
  <si>
    <t>TVM-264000 Need to top up Nol cards informed by Brinks Team.  Nol card refilled.  10:25 – 02/19/2026</t>
  </si>
  <si>
    <t>Change Card Magazine</t>
  </si>
  <si>
    <t>INC000001318614</t>
  </si>
  <si>
    <t>Abdalhafeez</t>
  </si>
  <si>
    <t>Database Activity Monitoring - Site Visit</t>
  </si>
  <si>
    <t>Communicated with site security and access will be provided as requested.</t>
  </si>
  <si>
    <t>V0033547</t>
  </si>
  <si>
    <t>transguard_ammohamme</t>
  </si>
  <si>
    <t>Transguard_Abdalhafeez.Mohammed@rta.ae</t>
  </si>
  <si>
    <t>INC000001318611</t>
  </si>
  <si>
    <t>Raheel</t>
  </si>
  <si>
    <t>Enterprise vault Issue  Enterprise vault</t>
  </si>
  <si>
    <t>Checked on the server side and Initiated a manual sync &amp; run on user mailbox in server side. Freed up space. Monitored the mailbox for 2-3 days and found the mailbox is having free space after initiating the manual run &amp; sync on mailbox. Ev is working fine and issue resolved. Found quota as Achieved completed. Attaching screenshot fo refrence.Since this case is pending for long,  we are closing the case, if user facing any issues please check on the mailbox if all the items are archived or kindly do manual archiving on all items.</t>
  </si>
  <si>
    <t>RMMohamed</t>
  </si>
  <si>
    <t>Raheel.Mohamed@rta.ae</t>
  </si>
  <si>
    <t>INC000001318610</t>
  </si>
  <si>
    <t>We have increased 10 GB Quota on share folder.  \\rta.global\fileserver001\Share6$\SCG\PED\IPD</t>
  </si>
  <si>
    <t>INC000001318609</t>
  </si>
  <si>
    <t>Reason:- Bank Note jam 5dh   Action:- Note jam Cleared, BNA Changed   Attender :-  Azeez   Attended Time:-10:46  Remarks:-</t>
  </si>
  <si>
    <t>INC000001318608</t>
  </si>
  <si>
    <t>auto approved application,, NOC-12022026-2822</t>
  </si>
  <si>
    <t>Department status is changed for Traffic Engineering as per approval.</t>
  </si>
  <si>
    <t>INC000001318607</t>
  </si>
  <si>
    <t>?? ??????? ?? ???? ??????? ??? ?????? ?????? ????? ????? ???? ?? ???? ???????? ??? ?? ?????? ????? ?? ?????? ????? ??????? ??? ???? ?? ???? ???? ??? ???? ????? ????? ????? ??? ?????? ?? ????? ??? ???? ???? ???? ?????? ??????? ???? ???? ?????? Hello QUAD WHEELS CAR WASHING company, Your request number 185667 for Noc (Renew trade license) request is approved. Please click the link to get (https://traffic.rta.ae/trfesrv/public_resources/shortener.do?v=tpRTOPhCB) No Objection certificate Have a nice day!</t>
  </si>
  <si>
    <t>INC000001318606</t>
  </si>
  <si>
    <t>Luma</t>
  </si>
  <si>
    <t>Shajrawi</t>
  </si>
  <si>
    <t>lashajrawi</t>
  </si>
  <si>
    <t>Luma.Shajrawi@rta.ae</t>
  </si>
  <si>
    <t>INC000001318605</t>
  </si>
  <si>
    <t>INC000001318604</t>
  </si>
  <si>
    <t>Intervention completed Bna malfunction 2*10aed jammed in bna Removed jam and kept inside tvm Restarted tvm TVM operational</t>
  </si>
  <si>
    <t>INC000001318603</t>
  </si>
  <si>
    <t>Vehicle Registration Renewal</t>
  </si>
  <si>
    <t>??????? ????? ???? ?????? ??????? ????? ???? ?????? ??????? ????? ???? ?????? ??????? ????? ???? ??????</t>
  </si>
  <si>
    <t>INC000001318602</t>
  </si>
  <si>
    <t>sthussain</t>
  </si>
  <si>
    <t>Syed.THussain@rta.ae</t>
  </si>
  <si>
    <t>INC000001318601</t>
  </si>
  <si>
    <t>Suspicious IP to RTA Portal on 19 February 2026, 09:06:43</t>
  </si>
  <si>
    <t>INC000001318600</t>
  </si>
  <si>
    <t>the mentioned requests has been updated as requested with the new service owner account</t>
  </si>
  <si>
    <t>INC000001318599</t>
  </si>
  <si>
    <t>Checked on the server side and Initiated a manual sync &amp; run on user mailbox in server side. Freed up space. Monitored the mailbox for 2-3 days and found the mailbox is having free space after initiating the manual run &amp; sync on mailbox. Found quota as Achieved completed. Attaching screenshot fo refrence.Since this case is pending for long,  we are closing the case, if user facing any issues please check on the mailbox if all the items are archived or kindly do manual archiving on all items.</t>
  </si>
  <si>
    <t>INC000001318598</t>
  </si>
  <si>
    <t>Unlock account request</t>
  </si>
  <si>
    <t>INC000001318592</t>
  </si>
  <si>
    <t>Thekrayat</t>
  </si>
  <si>
    <t>Al Mahdi</t>
  </si>
  <si>
    <t>The opened observations are not shown in the page</t>
  </si>
  <si>
    <t>Application Documentation</t>
  </si>
  <si>
    <t>As discussed with the User in the teams there are facilities assigned to the user as the secondary coordinator and once assigned the user shall start getting the observations</t>
  </si>
  <si>
    <t>V0025191</t>
  </si>
  <si>
    <t>srsl_taalmahdi</t>
  </si>
  <si>
    <t>Srsl_Thekrayat.Almahdi@rta.ae</t>
  </si>
  <si>
    <t>INC000001318591</t>
  </si>
  <si>
    <t>Ibtihal</t>
  </si>
  <si>
    <t>Sawalha</t>
  </si>
  <si>
    <t>Communicated with site security and escorted the auditor as requested.</t>
  </si>
  <si>
    <t>V0012936</t>
  </si>
  <si>
    <t>epic_issawalha</t>
  </si>
  <si>
    <t>Epic_Ibtihal.Sawalha@rta.ae</t>
  </si>
  <si>
    <t>INC000001318590</t>
  </si>
  <si>
    <t>Khwaileh</t>
  </si>
  <si>
    <t>Checked on the server side and Initiated a manual sync &amp; run on user mailbox in server side. Freed up space. Monitored the mailbox for 2-3 days and found the mailbox is having free space after initiating the manual run &amp; sync on mailbox. EV is working fine now and issue resolved. Attaching screenshot fo refrence.Since this case is pending for long,  we are closing the case, if user facing any issues please check on the mailbox if all the items are archived or kindly do manual archiving on all items.</t>
  </si>
  <si>
    <t>hykhwaileh</t>
  </si>
  <si>
    <t>Hassan.Khwaileh@rta.ae</t>
  </si>
  <si>
    <t>INC000001318589</t>
  </si>
  <si>
    <t>Millath-Contractor</t>
  </si>
  <si>
    <t>V0026509</t>
  </si>
  <si>
    <t>proxym_mmmillath</t>
  </si>
  <si>
    <t>Proxym_Mohamedsirazul.Millath@rta.ae</t>
  </si>
  <si>
    <t>INC000001318586</t>
  </si>
  <si>
    <t>Marah</t>
  </si>
  <si>
    <t>Punching error</t>
  </si>
  <si>
    <t>V0033263</t>
  </si>
  <si>
    <t>alsahra_mjalazzam</t>
  </si>
  <si>
    <t>Alsahra_Marah.Alazzam@rta.ae</t>
  </si>
  <si>
    <t>INC000001318582</t>
  </si>
  <si>
    <t>Needful done as requested, please check and confirm.</t>
  </si>
  <si>
    <t>INC000001318580</t>
  </si>
  <si>
    <t>TUM-263063</t>
  </si>
  <si>
    <t>DUPLICATE TICKET Reason:- Duplicate Ticket please Cancel Original Ticket No   INC000001318557 Action:-   Attended Time:-  Remarks:-</t>
  </si>
  <si>
    <t>INC000001318579</t>
  </si>
  <si>
    <t>??? ?? ??????? ????? 3</t>
  </si>
  <si>
    <t>INC000001318578</t>
  </si>
  <si>
    <t>Reason:- NBX Jam  Action:- Cashbox Changed with Brinks Team Fault Cleared  Attender :- Azeez   Attended Time:-10:20  Remarks:-</t>
  </si>
  <si>
    <t>INC000001318577</t>
  </si>
  <si>
    <t>Your mailbox is almost full.</t>
  </si>
  <si>
    <t>SAHAlmheiri</t>
  </si>
  <si>
    <t>Shamma.AAlmheiri@rta.ae</t>
  </si>
  <si>
    <t>INC000001318575</t>
  </si>
  <si>
    <t>hmoalketbi</t>
  </si>
  <si>
    <t>Hind.Alketbi@rta.ae</t>
  </si>
  <si>
    <t>INC000001318574</t>
  </si>
  <si>
    <t>TUM-263038</t>
  </si>
  <si>
    <t>Reason:- Nol Card Jam in BNA (025 323 2763)  Action:- Card jam Cleared ,Repair card Reader  Attender :- Azeez   Attended Time:-09:24  Remarks:-</t>
  </si>
  <si>
    <t>INC000001318573</t>
  </si>
  <si>
    <t>BUS-6358</t>
  </si>
  <si>
    <t>INC000001318571</t>
  </si>
  <si>
    <t>Requesting to provide Employee ID, User Department , Section Name for the attached list.</t>
  </si>
  <si>
    <t>Please find the requested data in attached sheet as shared on mail.</t>
  </si>
  <si>
    <t>INC000001318570</t>
  </si>
  <si>
    <t>??? ?? ??????? ????? 4</t>
  </si>
  <si>
    <t>The reported issue is due on sunlight reflection on the camera.  RCA: Light reflection on the lines.</t>
  </si>
  <si>
    <t>INC000001318569</t>
  </si>
  <si>
    <t>????? ??????? / ??????????</t>
  </si>
  <si>
    <t>INC000001318568</t>
  </si>
  <si>
    <t>File application error</t>
  </si>
  <si>
    <t>there was error with attachment . change pic of foreign license and try again</t>
  </si>
  <si>
    <t>INC000001318567</t>
  </si>
  <si>
    <t>INC000001318566</t>
  </si>
  <si>
    <t>Fagery</t>
  </si>
  <si>
    <t>AV Defenition Update</t>
  </si>
  <si>
    <t>AV Defenition has been updated successfully.</t>
  </si>
  <si>
    <t>V0025973</t>
  </si>
  <si>
    <t>avaya_mhfagery</t>
  </si>
  <si>
    <t>Avaya_Mohamed.Fagery@rta.ae</t>
  </si>
  <si>
    <t>INC000001318565</t>
  </si>
  <si>
    <t>Alsaffar</t>
  </si>
  <si>
    <t>maalsaffar</t>
  </si>
  <si>
    <t>Mohamed.Alsaffar@RTA.ae</t>
  </si>
  <si>
    <t>INC000001318564</t>
  </si>
  <si>
    <t>VPN Access has been Extended to the use profile</t>
  </si>
  <si>
    <t>amustafa</t>
  </si>
  <si>
    <t>ali.mustafa@rta.ae</t>
  </si>
  <si>
    <t>INC000001318563</t>
  </si>
  <si>
    <t>Gahalla</t>
  </si>
  <si>
    <t>PTA - 3 Floor</t>
  </si>
  <si>
    <t>mmgahalla</t>
  </si>
  <si>
    <t>Marwa.Gahalla@RTA.ae</t>
  </si>
  <si>
    <t>INC000001318562</t>
  </si>
  <si>
    <t>Alkaf</t>
  </si>
  <si>
    <t>osalkaf</t>
  </si>
  <si>
    <t>omar.alkaf@rta.ae</t>
  </si>
  <si>
    <t>INC000001318561</t>
  </si>
  <si>
    <t>User VPN Account has been reset  please scan the New QR code</t>
  </si>
  <si>
    <t>INC000001318560</t>
  </si>
  <si>
    <t>Roudha</t>
  </si>
  <si>
    <t>Alattar</t>
  </si>
  <si>
    <t>VPN Account Unlock Request</t>
  </si>
  <si>
    <t>User VPN account has been unlocked</t>
  </si>
  <si>
    <t>ROAlattar</t>
  </si>
  <si>
    <t>Roudha.Alattar@rta.ae</t>
  </si>
  <si>
    <t>INC000001318559</t>
  </si>
  <si>
    <t>??? ?? ??????? ????? ??? 5</t>
  </si>
  <si>
    <t>INC000001318558</t>
  </si>
  <si>
    <t>Suspicious IP to RTA Portal on 19 February 2026, 08:05:29</t>
  </si>
  <si>
    <t>INC000001318557</t>
  </si>
  <si>
    <t>Reason:- NBX Jam   Action:- Cashbox Changed with Brinks Team Fault Cleared  Attender :- Azeez   Attended Time:-10:20  Remarks:-</t>
  </si>
  <si>
    <t>INC000001318555</t>
  </si>
  <si>
    <t>????? ??????? // ?????</t>
  </si>
  <si>
    <t>INC000001318554</t>
  </si>
  <si>
    <t>INC000001318553</t>
  </si>
  <si>
    <t>RTA Remote location  access for MAP vendors to perform ups pm activity</t>
  </si>
  <si>
    <t>Access has been given and escorted the vendor as requested</t>
  </si>
  <si>
    <t>INC000001318552</t>
  </si>
  <si>
    <t>RTA  Remote location  UPS pm work for the month of Feb2026</t>
  </si>
  <si>
    <t>UPS pm work has been completed found all system has working in normal condition</t>
  </si>
  <si>
    <t>INC000001318551</t>
  </si>
  <si>
    <t>RTA  Al Kawaneej &amp; Jabel Ali Bus depot  UPS pm work for the month of Feb2026</t>
  </si>
  <si>
    <t>INC000001318550</t>
  </si>
  <si>
    <t>INC000001318549</t>
  </si>
  <si>
    <t>Salama</t>
  </si>
  <si>
    <t>Saif</t>
  </si>
  <si>
    <t>Connection Issue - CCTVs</t>
  </si>
  <si>
    <t>Ashish Sharma</t>
  </si>
  <si>
    <t>EC3 Interface - CCTV - Critical</t>
  </si>
  <si>
    <t>TRA CCTV</t>
  </si>
  <si>
    <t>Please note the below mentioned camera were working then itself after your team had sent the email to TRA. The issue was from the source.  Please confirm the same and I will proceed to close the ticket.</t>
  </si>
  <si>
    <t>Third Party - CCTV Feed Source</t>
  </si>
  <si>
    <t>Source Refreshed Feed</t>
  </si>
  <si>
    <t>ssasaif</t>
  </si>
  <si>
    <t>Salama.Saif@rta.ae</t>
  </si>
  <si>
    <t>INC000001318548</t>
  </si>
  <si>
    <t>??? ?? ??????? ??? 5</t>
  </si>
  <si>
    <t>INC000001318547</t>
  </si>
  <si>
    <t>1630643_Threat Activity Detected</t>
  </si>
  <si>
    <t>INC000001318546</t>
  </si>
  <si>
    <t>1630650_Threat Activity Detected</t>
  </si>
  <si>
    <t>INC000001318545</t>
  </si>
  <si>
    <t xml:space="preserve">Salim Ali Humaid </t>
  </si>
  <si>
    <t>the Laptop age is 4Y,9M  an Email has been sent to the user to reopen a new Ticket after 3 months</t>
  </si>
  <si>
    <t>ASHumaid</t>
  </si>
  <si>
    <t>Ali.Humaid@rta.ae</t>
  </si>
  <si>
    <t>INC000001318544</t>
  </si>
  <si>
    <t>Active alarm: BNA1 nearly full  Replenished.  08:44 – 02/19/2026</t>
  </si>
  <si>
    <t>INC000001318543</t>
  </si>
  <si>
    <t>User AD account has been unlocked</t>
  </si>
  <si>
    <t>INC000001318542</t>
  </si>
  <si>
    <t>Reason: Nol card jam ( 027 895 6917 )  Action: Removed Nol card jam   Attender Name: Mohammed zabir  Attended Time: 9:11  Remarks:</t>
  </si>
  <si>
    <t>INC000001318541</t>
  </si>
  <si>
    <t>Active alarm: BNA1 nearly full  Replenished.  08:46 – 02/19/2026</t>
  </si>
  <si>
    <t>INC000001318540</t>
  </si>
  <si>
    <t>Abdelmaguid</t>
  </si>
  <si>
    <t>VPN account has been configured and connected.</t>
  </si>
  <si>
    <t>V0012834</t>
  </si>
  <si>
    <t>okool_msabdelmaguid</t>
  </si>
  <si>
    <t>Okool_Mohamed.Abdelmaguid@rta.ae</t>
  </si>
  <si>
    <t>INC000001318539</t>
  </si>
  <si>
    <t>Power connection seems to be disconnected in: Site: Naif DPU:  NaifDPU 3 Date: 2/19/2026 7:28:29 AM</t>
  </si>
  <si>
    <t>Vendor visited the site and restarted the network devices and the DPU and devices started capturing events</t>
  </si>
  <si>
    <t>INC000001318538</t>
  </si>
  <si>
    <t>Site: Khaledbin Waleed 1 DPU:  KBW1DPU23 Date: 2/19/2026 7:23:00 AM</t>
  </si>
  <si>
    <t>INC000001318537</t>
  </si>
  <si>
    <t>Intervention completed  Ecard encoder communication error Reset csc module and cable Restarted tvm TVM operational</t>
  </si>
  <si>
    <t>INC000001318536</t>
  </si>
  <si>
    <t>TVM-262151</t>
  </si>
  <si>
    <t>INC000001318535</t>
  </si>
  <si>
    <t>ASBloushi</t>
  </si>
  <si>
    <t>Abdallah.Bloushi@rta.ae</t>
  </si>
  <si>
    <t>INC000001318534</t>
  </si>
  <si>
    <t>Site: Khaledbin Waleed 2 DPU:  KBW2DPU28 Date: 2/18/2026 1:18:16 PM</t>
  </si>
  <si>
    <t>Vendor visited the site and restarted the DPu and the network devices</t>
  </si>
  <si>
    <t>INC000001318533</t>
  </si>
  <si>
    <t>Alkurdi</t>
  </si>
  <si>
    <t>V0025237</t>
  </si>
  <si>
    <t>srsl_bmalkurdi</t>
  </si>
  <si>
    <t>Srsl_Basheer.Alkurdi@rta.ae</t>
  </si>
  <si>
    <t>INC000001318531</t>
  </si>
  <si>
    <t>Suspicious IP to RTA Portal on 19 February 2026, 07:04:40</t>
  </si>
  <si>
    <t>INC000001318530</t>
  </si>
  <si>
    <t>Request 17148628</t>
  </si>
  <si>
    <t>INC000001318529</t>
  </si>
  <si>
    <t>Request 17209375</t>
  </si>
  <si>
    <t>INC000001318528</t>
  </si>
  <si>
    <t>Alarm text: The note vault is almost full.  Replenished.  12:02- 02/19/2026</t>
  </si>
  <si>
    <t>INC000001318527</t>
  </si>
  <si>
    <t>????? ????? 16803603 - 17166726 - 16999343 Request</t>
  </si>
  <si>
    <t>INC000001318526</t>
  </si>
  <si>
    <t>Reason:- NBX Jam 10dh   Action:- Note jam Cleared, Fault Cleared   Attender:- Azeez   Attended Time:-09:05  Remarks:-</t>
  </si>
  <si>
    <t>INC000001318525</t>
  </si>
  <si>
    <t>Complaint 16664633</t>
  </si>
  <si>
    <t>INC000001318522</t>
  </si>
  <si>
    <t>1630522_Threat Activity Detected</t>
  </si>
  <si>
    <t>INC000001318521</t>
  </si>
  <si>
    <t>TUM-263091</t>
  </si>
  <si>
    <t>Reason :Nol card jam No: 037 027 6453  Action  : Remove jam nol card   Attend Time :8:15</t>
  </si>
  <si>
    <t>INC000001318520</t>
  </si>
  <si>
    <t>INC000001318519</t>
  </si>
  <si>
    <t>Reason: Paper low   Action: Adjusted paper roll &amp; cleared alarm   Attended Time: 10:29  Remarks:</t>
  </si>
  <si>
    <t>INC000001318518</t>
  </si>
  <si>
    <t>TOCC-Alert-Warning-P-260224432|OPEN|Memory saturation</t>
  </si>
  <si>
    <t>INC000001318517</t>
  </si>
  <si>
    <t>Suspicious IP to RTA Portal on 19 February 2026, 05:04:13</t>
  </si>
  <si>
    <t>INC000001318516</t>
  </si>
  <si>
    <t>1630461_Threat Activity Detected</t>
  </si>
  <si>
    <t>INC000001318515</t>
  </si>
  <si>
    <t>1630465_Threat Activity Detected</t>
  </si>
  <si>
    <t>INC000001318513</t>
  </si>
  <si>
    <t>EC3 Silver &amp; Gold Room Weekly Health Check</t>
  </si>
  <si>
    <t>The Week 3 weekly health check for the EC3 Silver &amp; Gold Room, peformed by Aesthetix has been completed.</t>
  </si>
  <si>
    <t>INC000001318512</t>
  </si>
  <si>
    <t>EC3 Media Room Weekly Health Check</t>
  </si>
  <si>
    <t>The Week 3 weekly health check for the EC3 Media Room, peformed by Aesthetix has been completed.</t>
  </si>
  <si>
    <t>INC000001318511</t>
  </si>
  <si>
    <t>The Week 3 Day 4 Daily health check for Customer Happiness Center Umm Ramool has been completed.</t>
  </si>
  <si>
    <t>INC000001318510</t>
  </si>
  <si>
    <t>The Week 3 Day 4 Daily health check for Al Wasl Auditorium has been completed.</t>
  </si>
  <si>
    <t>INC000001318509</t>
  </si>
  <si>
    <t>The Week 3 Day 4 Daily health check for 8B, 8C &amp; 9B Critical Area has been completed.</t>
  </si>
  <si>
    <t>INC000001318508</t>
  </si>
  <si>
    <t>We have pushed the required registry fix to the affected device.. No further action required</t>
  </si>
  <si>
    <t>INC000001318507</t>
  </si>
  <si>
    <t>Maximo access request</t>
  </si>
  <si>
    <t>As per the below request and approvals, we have created requested user in Maximo application, please check.   User login: rta_saahmad Employee No: V0033653</t>
  </si>
  <si>
    <t>V0033653</t>
  </si>
  <si>
    <t>rta_saahmad</t>
  </si>
  <si>
    <t>Rta_Suleiman.Ahmad@rta.ae</t>
  </si>
  <si>
    <t>INC000001318506</t>
  </si>
  <si>
    <t>Techvista Shadab</t>
  </si>
  <si>
    <t>Beg</t>
  </si>
  <si>
    <t>PTSS: request to deploy file in staging environment</t>
  </si>
  <si>
    <t>Deployed file in the PTSS staging as request by application team</t>
  </si>
  <si>
    <t>V006142</t>
  </si>
  <si>
    <t>Techvista_SABeg</t>
  </si>
  <si>
    <t>Techvista_Shadab.Beg@rta.ae</t>
  </si>
  <si>
    <t>INC000001318505</t>
  </si>
  <si>
    <t>1630413_Threat Activity Detected</t>
  </si>
  <si>
    <t>INC000001318504</t>
  </si>
  <si>
    <t>TOCC-Alert-Warning-P-260224359|OPEN|Low Disk Space</t>
  </si>
  <si>
    <t>Microland Ajillal Sureshkumar</t>
  </si>
  <si>
    <t>old file removed and system working as expected.</t>
  </si>
  <si>
    <t>Monitoring Addition / Deletion</t>
  </si>
  <si>
    <t>INC000001318503</t>
  </si>
  <si>
    <t>Bus-1971</t>
  </si>
  <si>
    <t>INC000001318502</t>
  </si>
  <si>
    <t>INC000001318501</t>
  </si>
  <si>
    <t>Reason:- Out of Service   Action:- Reboot Device Working Fine   Attender:-   Azeez   Attended Time:-06:15  Remarks:-</t>
  </si>
  <si>
    <t>INC000001318500</t>
  </si>
  <si>
    <t>BUS-1741</t>
  </si>
  <si>
    <t>Intervention completed all cico operational tested block id and nol card all cico operational</t>
  </si>
  <si>
    <t>INC000001318499</t>
  </si>
  <si>
    <t>INC000001318498</t>
  </si>
  <si>
    <t>URL is inaccessible in  DR-JP-API-2</t>
  </si>
  <si>
    <t>DR-JP-API-2 service is restarted automatically.</t>
  </si>
  <si>
    <t>INC000001318497</t>
  </si>
  <si>
    <t>INC000001318496</t>
  </si>
  <si>
    <t>URL is inaccessible in DR-JP-API-2</t>
  </si>
  <si>
    <t>INC000001318495</t>
  </si>
  <si>
    <t>1630274_Threat Activity Detected</t>
  </si>
  <si>
    <t>INC000001318494</t>
  </si>
  <si>
    <t>DR-JP-API-2 service has been restarted manually.</t>
  </si>
  <si>
    <t>INC000001318493</t>
  </si>
  <si>
    <t>DR-JP-API-1 service has been restarted manually.</t>
  </si>
  <si>
    <t>INC000001318492</t>
  </si>
  <si>
    <t>1630253_Threat Activity Detected</t>
  </si>
  <si>
    <t>INC000001318491</t>
  </si>
  <si>
    <t>INC000001318489</t>
  </si>
  <si>
    <t>INC000001318488</t>
  </si>
  <si>
    <t>TOM-327683</t>
  </si>
  <si>
    <t>INC000001318486</t>
  </si>
  <si>
    <t>INC000001318485</t>
  </si>
  <si>
    <t>TVM-262192</t>
  </si>
  <si>
    <t>INC000001318484</t>
  </si>
  <si>
    <t>RTPI-MOE-EP-04/2/340090</t>
  </si>
  <si>
    <t>Reason:pm Action: done  Attended Time:(tutz)19:34</t>
  </si>
  <si>
    <t>INC000001318483</t>
  </si>
  <si>
    <t>RTPI-MOE-EP-04/1/340055</t>
  </si>
  <si>
    <t>Reason:pm Action: done  Attended Time:(tutz)19:24</t>
  </si>
  <si>
    <t>INC000001318482</t>
  </si>
  <si>
    <t>RTPI-MOE-EP-03/2/340120</t>
  </si>
  <si>
    <t>Reason:pm Action: done  Attended Time:(tutz)19:10</t>
  </si>
  <si>
    <t>INC000001318481</t>
  </si>
  <si>
    <t>RTPI-MOE-EP-03/1/340057</t>
  </si>
  <si>
    <t>Reason:pm Action: done  Attended Time:(tutz)19:00</t>
  </si>
  <si>
    <t>INC000001318480</t>
  </si>
  <si>
    <t>RTPI-GUB-75P1-FS-2020-1065</t>
  </si>
  <si>
    <t>INC000001318479</t>
  </si>
  <si>
    <t>RTPI-GUB-46L1-WM-2020-1087</t>
  </si>
  <si>
    <t>Reason:- Preventive Maintenance   Action:- Done   Attender :- Azeez   Attended Time:-11:40  Remarks:-</t>
  </si>
  <si>
    <t>INC000001318478</t>
  </si>
  <si>
    <t>RTPI-GUB-46L1-WM-2020-1086</t>
  </si>
  <si>
    <t>Reason:- Preventive Maintenance   Action:- Done   Attender :- Azeez   Attended Time:-10:50  Remarks:-</t>
  </si>
  <si>
    <t>INC000001318477</t>
  </si>
  <si>
    <t>Reason : PM Card No.:   Customer Name:      Action : PM done   Attendee Name:  Jasper Attended Time : 19:38</t>
  </si>
  <si>
    <t>INC000001318476</t>
  </si>
  <si>
    <t>TUM-263080</t>
  </si>
  <si>
    <t>Reason: PM  Action: Done pm  Attended Time: 11:14</t>
  </si>
  <si>
    <t>INC000001318475</t>
  </si>
  <si>
    <t>BUS-1894</t>
  </si>
  <si>
    <t>Our intervention completed  Reset all moxa cables  All cico operational  Tested</t>
  </si>
  <si>
    <t>INC000001318474</t>
  </si>
  <si>
    <t>MMAbdelrahman</t>
  </si>
  <si>
    <t>Mohamed.Abdelrahman@rta.ae</t>
  </si>
  <si>
    <t>INC000001318473</t>
  </si>
  <si>
    <t>kaalmulla</t>
  </si>
  <si>
    <t>Khalid.AAlmulla@rta.ae</t>
  </si>
  <si>
    <t>INC000001318472</t>
  </si>
  <si>
    <t>BIS-1964</t>
  </si>
  <si>
    <t>Our intervention completed  Cico 1 no power  Reconnected power  All cico operational  Tested</t>
  </si>
  <si>
    <t>INC000001318471</t>
  </si>
  <si>
    <t>TVM-262165</t>
  </si>
  <si>
    <t>INC000001318470</t>
  </si>
  <si>
    <t>Please refer to INC000001318467.</t>
  </si>
  <si>
    <t>INC000001318469</t>
  </si>
  <si>
    <t>DUPLICATE TICKET  Please refer to INC000001318467</t>
  </si>
  <si>
    <t>INC000001318468</t>
  </si>
  <si>
    <t>TUM-263007</t>
  </si>
  <si>
    <t>Reason:  NOL CARD JAM   Action: Removed jammed card(029 034 5388)  Attender Name: Kishor Bangera   Attend Time: 00:34</t>
  </si>
  <si>
    <t>INC000001318467</t>
  </si>
  <si>
    <t>Intervention completed  TVM on restarting screen  Reset mcu cables and restarted tvm Ping backend successfully Tvm operational</t>
  </si>
  <si>
    <t>INC000001318465</t>
  </si>
  <si>
    <t>Reason : Card Jam                 Card No.: 034 244 4999 (35.50aed)   Customer Name:                    Action : Card Cleared  Attendee Name: Jasper Attended Time : 23:29</t>
  </si>
  <si>
    <t>INC000001318464</t>
  </si>
  <si>
    <t xml:space="preserve">TOCC-Alert-Warning-RTAUEVTIBBWSAP2(10.11.97.149) - Partition Details of the Device(%) for </t>
  </si>
  <si>
    <t>That for notifying us , we have cleaned up the D drive of BWSAP2.</t>
  </si>
  <si>
    <t>INC000001318463</t>
  </si>
  <si>
    <t>Attended Time: waiting for brinks  Replenished.  08:22 – 02/19/2026</t>
  </si>
  <si>
    <t>INC000001318462</t>
  </si>
  <si>
    <t>DUPLICATE TICKET  Reason:  Duplicate ticket   Action: Cancel this ticket   Attender Name: Kishor Bangera   Attend Time: Original ticket number:INC000001318458</t>
  </si>
  <si>
    <t>INC000001318458</t>
  </si>
  <si>
    <t>Reason: technical issue  Action: fixed  Attended Time:(tutz)18:30</t>
  </si>
  <si>
    <t>INC000001318457</t>
  </si>
  <si>
    <t>Loren</t>
  </si>
  <si>
    <t>Alhusain</t>
  </si>
  <si>
    <t>As per the request, VPN access is successfully extended for the user - lbalhusain. Hence resolving the incident.</t>
  </si>
  <si>
    <t>LBAlhusain</t>
  </si>
  <si>
    <t>Loren.Alhusain@rta.ae</t>
  </si>
  <si>
    <t>INC000001318456</t>
  </si>
  <si>
    <t>Ablagh</t>
  </si>
  <si>
    <t>As per the service request, VPN access is successfully extended for the user -maablagh. Hence resolving the incident.</t>
  </si>
  <si>
    <t>maablagh</t>
  </si>
  <si>
    <t>Mohammad.Ablagh@rta.ae</t>
  </si>
  <si>
    <t>INC000001318454</t>
  </si>
  <si>
    <t>Almaamari</t>
  </si>
  <si>
    <t>as discussed with user over the call VPN is working so we are closing the INC</t>
  </si>
  <si>
    <t>AMAlmaamari</t>
  </si>
  <si>
    <t>Abdulrahman.Almaamari@rta.ae</t>
  </si>
  <si>
    <t>INC000001318451</t>
  </si>
  <si>
    <t>TUM-263046 Change cash box  Cash box changed.  10:11 – 02/19/2026</t>
  </si>
  <si>
    <t>INC000001318449</t>
  </si>
  <si>
    <t>Butt</t>
  </si>
  <si>
    <t>RTA account request</t>
  </si>
  <si>
    <t>We have enabled the account in IAM system and in all downstream system, please ask user to reset password and try to login with new password today otherwise based on 90 days login and reset password policy, system automatically disable user account in AD application.    User Login: MUBUTT</t>
  </si>
  <si>
    <t>V0028296</t>
  </si>
  <si>
    <t>mubutt</t>
  </si>
  <si>
    <t>Muhammad.UButt@rta.ae</t>
  </si>
  <si>
    <t>INC000001318448</t>
  </si>
  <si>
    <t>Active alarm: BNA1 nearly full  Replenished.  16:22 – 02/19/2026</t>
  </si>
  <si>
    <t>INC000001318447</t>
  </si>
  <si>
    <t>The customer has old journey sent for payment and cancelled transaction id  we reject the journey and now working fine</t>
  </si>
  <si>
    <t>INC000001318446</t>
  </si>
  <si>
    <t>CSC Alert:VPN-Secondary authentication failed multiple times for SSALEBRI-18022026-04</t>
  </si>
  <si>
    <t>According to the confirmation received over email from the relevant team hence closing the ticket</t>
  </si>
  <si>
    <t>INC000001318445</t>
  </si>
  <si>
    <t>Reason:- NBX Jam   Action:- Changed Cashbox With Brinks Team Fault Cleared  Attender:- Azeez   Attended Time:-08:20  Remarks:-</t>
  </si>
  <si>
    <t>INC000001318444</t>
  </si>
  <si>
    <t>Abnormal Web requests detected from 91.244.197.80</t>
  </si>
  <si>
    <t>Based on our analysis, mentioned Threat Match Value is Malicious. Hence, we have blocked the same on perimeter devices.</t>
  </si>
  <si>
    <t>INC000001318443</t>
  </si>
  <si>
    <t>??? ?? ?????? ??? ????? ????</t>
  </si>
  <si>
    <t>The journey was pending confirmation The journey confirmed and the customer can try now</t>
  </si>
  <si>
    <t>INC000001318441</t>
  </si>
  <si>
    <t>Active alarm: BNA1 nearly full  Replenished.  08:45 – 02/19/2029</t>
  </si>
  <si>
    <t>INC000001318439</t>
  </si>
  <si>
    <t>Reason:- NBX Jam   Action:- Cashbox Changed with Brinks Team, Fault Cleared  Attender :- Azeez   Attended Time:-10:01  Remarks:-</t>
  </si>
  <si>
    <t>INC000001318433</t>
  </si>
  <si>
    <t>there was fine locked by another request released now ty again</t>
  </si>
  <si>
    <t>INC000001318425</t>
  </si>
  <si>
    <t>Infosys Manish</t>
  </si>
  <si>
    <t>Vijay Kumar Jain</t>
  </si>
  <si>
    <t>ITD AMX BPM Platform - Backup and Restoration</t>
  </si>
  <si>
    <t>Database Management</t>
  </si>
  <si>
    <t>Request for Database backup / Database Backup Restoration</t>
  </si>
  <si>
    <t>Required servers backup has been configured and updated to the stakeholder. Hence closing the ticket.</t>
  </si>
  <si>
    <t>Backup for Application</t>
  </si>
  <si>
    <t>V001294</t>
  </si>
  <si>
    <t>Infosys_MKVijaykumar</t>
  </si>
  <si>
    <t>Infosys_Manish.Vijaykumarjain@rta.ae</t>
  </si>
  <si>
    <t>INC000001318424</t>
  </si>
  <si>
    <t>Ghareeb</t>
  </si>
  <si>
    <t xml:space="preserve">Create new users to the TMS system </t>
  </si>
  <si>
    <t>As per below request we have added below user in TMS application, please check.  V0031597 V0031636 V0031637 V0031638 V0031639 rta_shaldaajeh reach_myzakaria reach_aawabir tms_SGElhosieny tms_abahmedadeel tms_AAMathews  Note: We are not able to find highlighted user in IAM system, kindly provide correct RTA user Login in order to check in IAM system.</t>
  </si>
  <si>
    <t>V0025056</t>
  </si>
  <si>
    <t>ucmc_mgghareeb</t>
  </si>
  <si>
    <t>Ucmc_Mohamed.Ghareeb@rta.ae</t>
  </si>
  <si>
    <t>INC000001318421</t>
  </si>
  <si>
    <t>Ashqar</t>
  </si>
  <si>
    <t>As per the bmc note, we have added user (SIA_MAASHQAR) in RTA WLAN group please check.</t>
  </si>
  <si>
    <t>V0034684</t>
  </si>
  <si>
    <t>sia_maashqar</t>
  </si>
  <si>
    <t>Sia_Mohammed.Ashqar@rta.ae</t>
  </si>
  <si>
    <t>INC000001318420</t>
  </si>
  <si>
    <t>Alriyati</t>
  </si>
  <si>
    <t>Modification to sTafteesh Request</t>
  </si>
  <si>
    <t>The Asset Jogging Track KIOSK 5 has been made inactive and now not visible in the Plan and the Assignments</t>
  </si>
  <si>
    <t>maalriyati</t>
  </si>
  <si>
    <t>Mustafa.Alriyati@rta.ae</t>
  </si>
  <si>
    <t>INC000001318418</t>
  </si>
  <si>
    <t>security Awareness dashboard  request</t>
  </si>
  <si>
    <t>We have re-pushed below user profile in phishrod application</t>
  </si>
  <si>
    <t>fiali</t>
  </si>
  <si>
    <t>Fatima.IAli@rta.ae</t>
  </si>
  <si>
    <t>INC000001318415</t>
  </si>
  <si>
    <t>TUM-263088 Change Cash box by EI.  Cash box changed.  11:13 -02/19/2026.</t>
  </si>
  <si>
    <t>INC000001318412</t>
  </si>
  <si>
    <t>CSC Alert - Scan Failure Detected - 18022026-04</t>
  </si>
  <si>
    <t>- 180+GB has been freed from the C partition, and Full scan started.</t>
  </si>
  <si>
    <t>INC000001318411</t>
  </si>
  <si>
    <t>Received email confirmation from user that VPN access has been confirmed; hence, ticket closed</t>
  </si>
  <si>
    <t>ahabdelrahman</t>
  </si>
  <si>
    <t>Ammar.Abdelrahman@rta.ae</t>
  </si>
  <si>
    <t>INC000001318409</t>
  </si>
  <si>
    <t>Shams</t>
  </si>
  <si>
    <t>Actually the X-FleetManager application not workin</t>
  </si>
  <si>
    <t>QUSAIS -GARAGE</t>
  </si>
  <si>
    <t>Issue is auto resolved and monitoring of the same for assessment. No further malfunctioning reports received.</t>
  </si>
  <si>
    <t>suahmed</t>
  </si>
  <si>
    <t>Shams.Ahmed@RTA.ae</t>
  </si>
  <si>
    <t>INC000001318405</t>
  </si>
  <si>
    <t>TUM-263052</t>
  </si>
  <si>
    <t>An error occurred during the Brinks team's cash replenishment. Please cancel the ticket</t>
  </si>
  <si>
    <t>INC000001318400</t>
  </si>
  <si>
    <t>Samsung EI Test</t>
  </si>
  <si>
    <t>This device is for EI testing only. Please cancel this ticket.</t>
  </si>
  <si>
    <t>INC000001318398</t>
  </si>
  <si>
    <t>CSC Alert:VPN-High Number of Login Failures from same user Account AHABDELRAHMAN within1</t>
  </si>
  <si>
    <t>Based on user confirmation, the relevant team over email, the ticket has been closed</t>
  </si>
  <si>
    <t>INC000001318397</t>
  </si>
  <si>
    <t>INC000001318393</t>
  </si>
  <si>
    <t>pending issue MUHAMMAD JAMEEL MEWA KHAN</t>
  </si>
  <si>
    <t>Non-Technical | Instructor Permit task assigned to team as requwsted</t>
  </si>
  <si>
    <t>INC000001318392</t>
  </si>
  <si>
    <t>CSC Alert- (Vectra) - Suspect Brute Force Activity: RDP Brute Force from 172.29.113.117-18022026-02</t>
  </si>
  <si>
    <t>INC000001318387</t>
  </si>
  <si>
    <t>based on our investigation , we did not found any preserved plate for this traffic file and all approvals expired as the company registered all plates.</t>
  </si>
  <si>
    <t>INC000001318386</t>
  </si>
  <si>
    <t>Al amiri</t>
  </si>
  <si>
    <t>UMM RAMOOL -  HQ</t>
  </si>
  <si>
    <t>VPN access has been provided, user was informed, no assistance is required hence closing the ticket.</t>
  </si>
  <si>
    <t>wmalamiri</t>
  </si>
  <si>
    <t>Waleed.Alamiri@RTA.ae</t>
  </si>
  <si>
    <t>INC000001318383</t>
  </si>
  <si>
    <t>????? ????? 1720734</t>
  </si>
  <si>
    <t>INC000001318382</t>
  </si>
  <si>
    <t>RTA - A003738</t>
  </si>
  <si>
    <t>can not find the screen number in the list - ! which bus station ?</t>
  </si>
  <si>
    <t>INC000001318381</t>
  </si>
  <si>
    <t>??????? ??????? ?????1722430</t>
  </si>
  <si>
    <t>INC000001318377</t>
  </si>
  <si>
    <t>Shanilka</t>
  </si>
  <si>
    <t>Jayamanna</t>
  </si>
  <si>
    <t>Three reminder calls were made to the user with no response. As per the process, the ticket will be closed.  Should you need any assistance in the meantime please call us on the following number Tel: +971(4) 290-5858-Option 4 We assure you of our best attention at all times</t>
  </si>
  <si>
    <t>V0033937</t>
  </si>
  <si>
    <t>trapeze_sjjayamanna</t>
  </si>
  <si>
    <t>Trapeze_Shanilka.Jayamanna@rta.ae</t>
  </si>
  <si>
    <t>INC000001318371</t>
  </si>
  <si>
    <t>: BNA1 nearly full  Replenished  18/02/2026   18:50</t>
  </si>
  <si>
    <t>INC000001318368</t>
  </si>
  <si>
    <t>DLS LOGIN ERROR</t>
  </si>
  <si>
    <t>Non-Technical | Giving Access to Users</t>
  </si>
  <si>
    <t>INC000001318367</t>
  </si>
  <si>
    <t>Sleem</t>
  </si>
  <si>
    <t>V0033752</t>
  </si>
  <si>
    <t>ymsleem</t>
  </si>
  <si>
    <t>Youssef.Sleem@rta.ae</t>
  </si>
  <si>
    <t>INC000001318366</t>
  </si>
  <si>
    <t>Rahuldas</t>
  </si>
  <si>
    <t>Poovathingal</t>
  </si>
  <si>
    <t>The Asset Name has been changed as per the request of the user</t>
  </si>
  <si>
    <t>RPPoovathingal</t>
  </si>
  <si>
    <t>Rahuldas.Poovathingal@rta.ae</t>
  </si>
  <si>
    <t>INC000001318364</t>
  </si>
  <si>
    <t>INC000001318363</t>
  </si>
  <si>
    <t>Change Cash box  Cash box changed  19/02/2026    18:30</t>
  </si>
  <si>
    <t>INC000001318360</t>
  </si>
  <si>
    <t>Mina</t>
  </si>
  <si>
    <t>Sanad</t>
  </si>
  <si>
    <t>V0034640</t>
  </si>
  <si>
    <t>mbsanad</t>
  </si>
  <si>
    <t>Mina.Sanad@rta.ae</t>
  </si>
  <si>
    <t>INC000001318357</t>
  </si>
  <si>
    <t>Registration error {7000433}</t>
  </si>
  <si>
    <t>Non-Technical | User Clairification EDMS issue</t>
  </si>
  <si>
    <t>INC000001318353</t>
  </si>
  <si>
    <t>As discussed on team’s call, kindly confirm if you can see all project and let us know if you need any support or guidance.</t>
  </si>
  <si>
    <t>INC000001318352</t>
  </si>
  <si>
    <t>RTA Automation System not working  Kamaldeep Sahu</t>
  </si>
  <si>
    <t>INC000001318348</t>
  </si>
  <si>
    <t>Qumatic system Issue</t>
  </si>
  <si>
    <t>Issue resolved after fixing Network latency issue from RTA network team</t>
  </si>
  <si>
    <t>smalzaabi</t>
  </si>
  <si>
    <t>Shamsa.Alzaabi@rta.ae</t>
  </si>
  <si>
    <t>INC000001318347</t>
  </si>
  <si>
    <t>Fadi</t>
  </si>
  <si>
    <t>Contact info</t>
  </si>
  <si>
    <t>As per the below request, Extension number has been updated, please check and confirm.</t>
  </si>
  <si>
    <t>fakhalaf</t>
  </si>
  <si>
    <t>Fadi.Khalaf@rta.ae</t>
  </si>
  <si>
    <t>INC000001318345</t>
  </si>
  <si>
    <t>Resolved after fixing Network latency issue from RTA network team</t>
  </si>
  <si>
    <t>VPN Related Issue</t>
  </si>
  <si>
    <t>INC000001318336</t>
  </si>
  <si>
    <t>Request to Update Punch-In Time in System</t>
  </si>
  <si>
    <t>INC000001318329</t>
  </si>
  <si>
    <t>Marwan Ashraf</t>
  </si>
  <si>
    <t>V0034108</t>
  </si>
  <si>
    <t>ultimate_mhaali</t>
  </si>
  <si>
    <t>Ultimate_Marwanashraf.Ali@rta.ae</t>
  </si>
  <si>
    <t>INC000001318325</t>
  </si>
  <si>
    <t>MES1.0|?????? ??????? ?????? ???? ???? ??????? ?????</t>
  </si>
  <si>
    <t>non technical: not an issue and explaind to user as per business no fine can be issued without traffic file number</t>
  </si>
  <si>
    <t>INC000001318323</t>
  </si>
  <si>
    <t>MES 1.0|???  ????? ?? ????????? ??? ????? 2026</t>
  </si>
  <si>
    <t>technical: report has been extracted from DB for the user</t>
  </si>
  <si>
    <t>INC000001318322</t>
  </si>
  <si>
    <t>MES 1.0 | Support RE: ?????? ????? ?? ??????</t>
  </si>
  <si>
    <t>technical: task has been assigned to user manually</t>
  </si>
  <si>
    <t>INC000001318321</t>
  </si>
  <si>
    <t>MES1.0| transaction details report service code203</t>
  </si>
  <si>
    <t>INC000001318320</t>
  </si>
  <si>
    <t>MES1.0|????? ????? ??????? scooter rental</t>
  </si>
  <si>
    <t>INC000001318319</t>
  </si>
  <si>
    <t>Existing Data / Voice Socket</t>
  </si>
  <si>
    <t>Informed the user, That should to contact with admin team for telephone line request Admin Support Center asc@rta.ae    Please note that the subject ticket will be canceled.</t>
  </si>
  <si>
    <t>INC000001318315</t>
  </si>
  <si>
    <t>Shatha</t>
  </si>
  <si>
    <t>Abdelsalam Al Hajri</t>
  </si>
  <si>
    <t>policy request has been updated, email sent to user with details</t>
  </si>
  <si>
    <t>saalhajri</t>
  </si>
  <si>
    <t>Shatha.Alhajri@rta.ae</t>
  </si>
  <si>
    <t>INC000001318314</t>
  </si>
  <si>
    <t>INC000001318310</t>
  </si>
  <si>
    <t>INC000001318306</t>
  </si>
  <si>
    <t>INC000001318301</t>
  </si>
  <si>
    <t>Hammadi</t>
  </si>
  <si>
    <t>User confirmed that he is able to connect to the VPN. Hence we are resolving this ticket. Attached email below.</t>
  </si>
  <si>
    <t>mahhammadi</t>
  </si>
  <si>
    <t>Maryam.Hammadi@rta.ae</t>
  </si>
  <si>
    <t>INC000001318299</t>
  </si>
  <si>
    <t>Alastair</t>
  </si>
  <si>
    <t>Mclennan</t>
  </si>
  <si>
    <t>AMclennan</t>
  </si>
  <si>
    <t>Alastair.Mclennan@rta.ae</t>
  </si>
  <si>
    <t>INC000001318298</t>
  </si>
  <si>
    <t>Kausar</t>
  </si>
  <si>
    <t>Created New User Account in Digital Signature System</t>
  </si>
  <si>
    <t>kjrasheed</t>
  </si>
  <si>
    <t>Kausar.Rasheed@rta.ae</t>
  </si>
  <si>
    <t>INC000001318292</t>
  </si>
  <si>
    <t>Add to Enterprise vault</t>
  </si>
  <si>
    <t>As per the request, we have enabled EV access for the user mailbox. Now EV is working as per RTA policy. Inititaed a manual run &amp; sync on the user mailbox. Freed up space. User having free space now. Please close outlook and check on EV tab will appear now, User can also access the EV web link - https://archive.rtadataarchive.ae/enterprisevault/Search/Shell.aspx for accessing archived emails outside RTA , Attaching screenshot for reference. Hence closing the ticket. If user having any issues please reach out to us with new ticket.</t>
  </si>
  <si>
    <t>INC000001318290</t>
  </si>
  <si>
    <t>Atfeh</t>
  </si>
  <si>
    <t>Request to clear SLA breach for the ticket #INC000001318169</t>
  </si>
  <si>
    <t>SLA breach has been cleared for the ticket # INC000001318169</t>
  </si>
  <si>
    <t>V0026466</t>
  </si>
  <si>
    <t>avertra_mratfeh</t>
  </si>
  <si>
    <t>Avertra_Mohammad.Atfeh@rta.ae</t>
  </si>
  <si>
    <t>INC000001318287</t>
  </si>
  <si>
    <t>Final Clearance reactivation list-18-02-2026</t>
  </si>
  <si>
    <t>FCs are reactivated as per business approval.</t>
  </si>
  <si>
    <t>INC000001318282</t>
  </si>
  <si>
    <t>Rifai</t>
  </si>
  <si>
    <t>CR 26-17120 Certification Estimated date change</t>
  </si>
  <si>
    <t>mhrifai</t>
  </si>
  <si>
    <t>Mohammad.Rifai@rta.ae</t>
  </si>
  <si>
    <t>INC000001318281</t>
  </si>
  <si>
    <t>REQ-DB Scripts:  CR 26-17120 Certification Estimated date change</t>
  </si>
  <si>
    <t>INC000001318280</t>
  </si>
  <si>
    <t>khamis</t>
  </si>
  <si>
    <t>LA/MED/008 - bond release issue</t>
  </si>
  <si>
    <t>zskhamis</t>
  </si>
  <si>
    <t>Zainab.Khamis@RTA.ae</t>
  </si>
  <si>
    <t>INC000001318279</t>
  </si>
  <si>
    <t>Elhosieny</t>
  </si>
  <si>
    <t>3 reminders have been sent to the user with no response; as per process, the ticket will be closed.</t>
  </si>
  <si>
    <t>V0033212</t>
  </si>
  <si>
    <t>tms_sgelhosieny</t>
  </si>
  <si>
    <t>Tms_Sahar.Elhosieny@rta.ae</t>
  </si>
  <si>
    <t>INC000001318274</t>
  </si>
  <si>
    <t>Alghnemat</t>
  </si>
  <si>
    <t>Please note out of 2 reported Dubai Police CCTV camera, 1 camera is working now and 1 camera has a power issue as reported by the Dubai Police team which will be a long term issue with this camera.</t>
  </si>
  <si>
    <t>mwalghnemat</t>
  </si>
  <si>
    <t>Marwan.Alghnemat@rta.ae</t>
  </si>
  <si>
    <t>INC000001318271</t>
  </si>
  <si>
    <t>Saood</t>
  </si>
  <si>
    <t>User account status in Digital Signature</t>
  </si>
  <si>
    <t>sahalrais</t>
  </si>
  <si>
    <t>Saood.Alrais@rta.ae</t>
  </si>
  <si>
    <t>INC000001318266</t>
  </si>
  <si>
    <t>All the below tickets has been cancelled as per request  INC000001313887 INC000001316833 INC000001316963 INC000001318037 INC000001317054</t>
  </si>
  <si>
    <t>INC000001318263</t>
  </si>
  <si>
    <t>extension has been provided So we are closing the INC</t>
  </si>
  <si>
    <t>oasalsuwaidi</t>
  </si>
  <si>
    <t>Omar.Alsuwaidi@rta.ae</t>
  </si>
  <si>
    <t>INC000001318261</t>
  </si>
  <si>
    <t>Fakhruddin</t>
  </si>
  <si>
    <t>Kw</t>
  </si>
  <si>
    <t>V0033425</t>
  </si>
  <si>
    <t>techvista_fmkw</t>
  </si>
  <si>
    <t>Techvista_Fakhruddin.Kw@rta.ae</t>
  </si>
  <si>
    <t>INC000001318260</t>
  </si>
  <si>
    <t>Qayed</t>
  </si>
  <si>
    <t>As per the bmc note, we have added user (saalsaadi) in _assetsmanagement@rta.ae group please check.</t>
  </si>
  <si>
    <t>AHQayed</t>
  </si>
  <si>
    <t>Abdulla.Qayed@rta.ae</t>
  </si>
  <si>
    <t>INC000001318259</t>
  </si>
  <si>
    <t>Narayanmoorthy</t>
  </si>
  <si>
    <t>Umapathy</t>
  </si>
  <si>
    <t>Share folder access provided as per the request. Path : \\rta.global\fileserver001\Share7$\PTA\TS\TSD-Projects\ User: nuumapathy Approver: Nuha Rashed Khamis Almukhaini Aljneibi</t>
  </si>
  <si>
    <t>nuumapathy</t>
  </si>
  <si>
    <t>Narayanmoorthy.Umapathy@rta.ae</t>
  </si>
  <si>
    <t>INC000001318258</t>
  </si>
  <si>
    <t>INC000001318257</t>
  </si>
  <si>
    <t>as per the logs user is accessing VPN and hope so all urls are working as expected and we are not getting any response in mail so we are closing the INC</t>
  </si>
  <si>
    <t>INC000001318256</t>
  </si>
  <si>
    <t>Abu Qadourah</t>
  </si>
  <si>
    <t>V0031662</t>
  </si>
  <si>
    <t>avertra_maabuqadoura</t>
  </si>
  <si>
    <t>Avertra_Mohammad.Abuqadourah@rta.ae</t>
  </si>
  <si>
    <t>INC000001318254</t>
  </si>
  <si>
    <t>As per the service request, we added the requested IPs/Ports of applications/services to the user VPN profile. Sent Mail to the user to check the same by reconnecting to the VPN. We are resolving this ticket, since it is just a adding/removing of application/services. Attached email below.</t>
  </si>
  <si>
    <t>INC000001318250</t>
  </si>
  <si>
    <t>Venkatkrishna</t>
  </si>
  <si>
    <t>Sundaram</t>
  </si>
  <si>
    <t>VPN Access has been provided to the user role</t>
  </si>
  <si>
    <t>V0034489</t>
  </si>
  <si>
    <t>protiviti_vssundaram</t>
  </si>
  <si>
    <t>Protiviti_Venkatkrishna.Sundaram@rta.ae</t>
  </si>
  <si>
    <t>INC000001318249</t>
  </si>
  <si>
    <t>Shared folder access has been granted to the users.  Folder Path: "\\rta.global\fileserver001\Share2$\Rail Agency Folder\???? ????? ????????" Folder Owner: wahassan Folder Access:  User Name	Type Of Access mhuahmed	Modify		  gmhashem	Modify</t>
  </si>
  <si>
    <t>INC000001318246</t>
  </si>
  <si>
    <t>INC000001318236</t>
  </si>
  <si>
    <t>Techm Navas</t>
  </si>
  <si>
    <t>Makkar</t>
  </si>
  <si>
    <t>Maximo Tram Upgrade Go-Live War Room</t>
  </si>
  <si>
    <t>Database - SQL</t>
  </si>
  <si>
    <t>Backup configuration of the below requested server has been completed</t>
  </si>
  <si>
    <t>V004745</t>
  </si>
  <si>
    <t>Techm_NTMakkar</t>
  </si>
  <si>
    <t>Techm_Navas.Makkar@rta.ae</t>
  </si>
  <si>
    <t>INC000001318235</t>
  </si>
  <si>
    <t>Share folder access provided as per the request. Path : \\rta.global\fileserver001\Share5$\TRA\RFM\Road Maintenance Section Users: mmsamin  mmahmed	 msalshehhi mzhalloush Approver: Ahmad Abdulla Mohd Abdulla Baba Aish</t>
  </si>
  <si>
    <t>INC000001318225</t>
  </si>
  <si>
    <t>Mulkiya/License printers Configuration Request</t>
  </si>
  <si>
    <t>MABDAAli</t>
  </si>
  <si>
    <t>Mohamad.AbdAli@rta.ae</t>
  </si>
  <si>
    <t>INC000001318214</t>
  </si>
  <si>
    <t>REQ-DB Scripts: - Invoice no. 01/2026 contract no. SCG/ECC/25-15751</t>
  </si>
  <si>
    <t>INC000001318212</t>
  </si>
  <si>
    <t>request 2495190 is not able to proceed or approve</t>
  </si>
  <si>
    <t>no technical issue, we contacted the user and we guided her to inform the director to approve all the activities in the plan in order to proceed</t>
  </si>
  <si>
    <t>moalzarooni</t>
  </si>
  <si>
    <t>Muna.Alzarooni@rta.ae</t>
  </si>
  <si>
    <t>INC000001318209</t>
  </si>
  <si>
    <t>OLJ-8580998 Request to Cancel Exchange Application and Assistance with Traffic File Access</t>
  </si>
  <si>
    <t>Non-Technical | User Clarification About Learning File</t>
  </si>
  <si>
    <t>INC000001318207</t>
  </si>
  <si>
    <t>Request 17046758</t>
  </si>
  <si>
    <t>INC000001318205</t>
  </si>
  <si>
    <t>External Monitor</t>
  </si>
  <si>
    <t>Techm Nabeesu Mohamed</t>
  </si>
  <si>
    <t>Based on update from ITD, We regret to inform you that your request can not be processed, Please note that as per RTA policy terms and conditions your request for external monitor request is not approved .</t>
  </si>
  <si>
    <t>INC000001318204</t>
  </si>
  <si>
    <t>Clear EMS Cache</t>
  </si>
  <si>
    <t>INC000001318200</t>
  </si>
  <si>
    <t>Al Hashemi</t>
  </si>
  <si>
    <t>Asset  retag request</t>
  </si>
  <si>
    <t>Physical Verification</t>
  </si>
  <si>
    <t>CMDB update</t>
  </si>
  <si>
    <t>IPAD retagged process has been done</t>
  </si>
  <si>
    <t>INC000001318198</t>
  </si>
  <si>
    <t>Falamarzi</t>
  </si>
  <si>
    <t>Automation Request..</t>
  </si>
  <si>
    <t>user profile has been updated as requested and linked to the current section manager, also the request 2516681 has been forwarded to Mr.Saif</t>
  </si>
  <si>
    <t>HHAFalamarzi</t>
  </si>
  <si>
    <t>Hind.HFalamarzi@rta.ae</t>
  </si>
  <si>
    <t>INC000001318195</t>
  </si>
  <si>
    <t>V0032509</t>
  </si>
  <si>
    <t>ultimate_wsaboueida</t>
  </si>
  <si>
    <t>Ultimate_Wissam.Aboueida@rta.ae</t>
  </si>
  <si>
    <t>INC000001318194</t>
  </si>
  <si>
    <t>Abdelkhalek</t>
  </si>
  <si>
    <t>SFTP access has been granted, Kindly use RTA ID and password</t>
  </si>
  <si>
    <t>V0029940</t>
  </si>
  <si>
    <t>Techvista_Ahmed.Abdelkhalek@rta.ae</t>
  </si>
  <si>
    <t>INC000001318193</t>
  </si>
  <si>
    <t>Transfer request - Automation .</t>
  </si>
  <si>
    <t>The mentioned request has been updated with the correct manager and proceed successfully and now it is pending with Ms. Shaikha Ahmed Sultan Alrahoomi Almeheiri .</t>
  </si>
  <si>
    <t>SYAlhammadi</t>
  </si>
  <si>
    <t>Sara.Alhammadi@rta.ae</t>
  </si>
  <si>
    <t>INC000001318192</t>
  </si>
  <si>
    <t>Work done category to be added for the tram insurance invoice</t>
  </si>
  <si>
    <t>INC000001318191</t>
  </si>
  <si>
    <t>Laptop has been provided to the user. CMDB updated</t>
  </si>
  <si>
    <t>New Joiner Request</t>
  </si>
  <si>
    <t>Laptop Request</t>
  </si>
  <si>
    <t>INC000001318190</t>
  </si>
  <si>
    <t>Request for the Generic ID creation</t>
  </si>
  <si>
    <t>Unfortunately SMD has not approved the request with below comment "We recommend using a named individual account for BMC in line with the standard naming convention, ensuring a single person is accountable. Since the sheet identifies only one primary owner the account intended shall never be generic, the user should instead be assigned a named access account with the appropriate scope."</t>
  </si>
  <si>
    <t>MHAlnasser</t>
  </si>
  <si>
    <t>Meera.Alnasser@rta.ae</t>
  </si>
  <si>
    <t>INC000001318183</t>
  </si>
  <si>
    <t>Smart Employee access</t>
  </si>
  <si>
    <t>wrobaid</t>
  </si>
  <si>
    <t>Wafa.Obaid@rta.ae</t>
  </si>
  <si>
    <t>INC000001318178</t>
  </si>
  <si>
    <t>Salma Mahmoud</t>
  </si>
  <si>
    <t>remove the ticket as per the manager request</t>
  </si>
  <si>
    <t>INC000001318176</t>
  </si>
  <si>
    <t>u??? ???? ????? ?????? ???????? ??? ????? ???????</t>
  </si>
  <si>
    <t>- ???? ????????? ?????? - 15309 - ??? ??? ?????? - 14464 accounts have been activated in the Automation, the user should proceed and apply the request before the end of today or the system will deactivate the accounts again automatically in case they didn't logged in the Automation system</t>
  </si>
  <si>
    <t>INC000001318175</t>
  </si>
  <si>
    <t>Automation issue</t>
  </si>
  <si>
    <t>user profile has been updated, and she submitted the request 2513364 successfully</t>
  </si>
  <si>
    <t>INC000001318172</t>
  </si>
  <si>
    <t>INC000001318168</t>
  </si>
  <si>
    <t>Request to configure the PPDM backup</t>
  </si>
  <si>
    <t>Jeetesh Soni</t>
  </si>
  <si>
    <t>Backup Management</t>
  </si>
  <si>
    <t>Integration</t>
  </si>
  <si>
    <t>PPDM deployment completed successfully over OCP production and backup configuration is completed successfully.</t>
  </si>
  <si>
    <t>INC000001318163</t>
  </si>
  <si>
    <t>WAF Onboarding  for smarttest rta ae application.</t>
  </si>
  <si>
    <t>Vishwas Vishwakarama</t>
  </si>
  <si>
    <t>the New load balancer ip address has been provided to for RTA CHAT staging application.  10.11.68.27</t>
  </si>
  <si>
    <t>Request for Static IP Address</t>
  </si>
  <si>
    <t>akalkindi</t>
  </si>
  <si>
    <t>Ali.KAlkindi@rta.ae</t>
  </si>
  <si>
    <t>INC000001318152</t>
  </si>
  <si>
    <t>Tvs Mustafa</t>
  </si>
  <si>
    <t>Abdelghany</t>
  </si>
  <si>
    <t>Request for Firewall Rule modification-CRQ60232</t>
  </si>
  <si>
    <t>V004327</t>
  </si>
  <si>
    <t>Tvs_MEAbdelghany</t>
  </si>
  <si>
    <t>Tvs_Mustafa.Abdelghany@rta.ae</t>
  </si>
  <si>
    <t>INC000001318151</t>
  </si>
  <si>
    <t>Masoud</t>
  </si>
  <si>
    <t>To whitelist the external domain mail</t>
  </si>
  <si>
    <t>Services</t>
  </si>
  <si>
    <t>The sender email address has been added to whitelisted. kindly check new emails from the sender.</t>
  </si>
  <si>
    <t>wnmasoud</t>
  </si>
  <si>
    <t>Wafa.Masoud@rta.ae</t>
  </si>
  <si>
    <t>INC000001318150</t>
  </si>
  <si>
    <t>Observed long execution times in scheduled jobs. Performing performance tuning.</t>
  </si>
  <si>
    <t>Increased JVM size of the application and which reduced 5-6 hours of daily execution time.</t>
  </si>
  <si>
    <t>INC000001318149</t>
  </si>
  <si>
    <t>Al Ammari</t>
  </si>
  <si>
    <t>Rail Agency Quality, Health, Safety &amp; Sustainability Office</t>
  </si>
  <si>
    <t>access &amp; role has ben granted for the mentioned user as requested by the service owner</t>
  </si>
  <si>
    <t>LAAlammari</t>
  </si>
  <si>
    <t>layla.ammari@rta.ae</t>
  </si>
  <si>
    <t>INC000001318146</t>
  </si>
  <si>
    <t>Hassan Al Ameeri</t>
  </si>
  <si>
    <t>email from the dep coordinator to close the ticket and she will proceed with the mentioned requests</t>
  </si>
  <si>
    <t>mhamiri</t>
  </si>
  <si>
    <t>mohammed.alameeri@rta.ae</t>
  </si>
  <si>
    <t>INC000001318145</t>
  </si>
  <si>
    <t>Vishwas</t>
  </si>
  <si>
    <t>Vishwakarama</t>
  </si>
  <si>
    <t>WAF Implementation for RTA CHAT Application (chat rta ae)</t>
  </si>
  <si>
    <t>the New load balancer ip address has been provided to for RTA CHAT staging application.  10.11.68.145</t>
  </si>
  <si>
    <t>V0022212</t>
  </si>
  <si>
    <t>fireware_vssavekpunw</t>
  </si>
  <si>
    <t>Fireware_Vishwasram.Savekpunwasi@rta.ae</t>
  </si>
  <si>
    <t>INC000001318141</t>
  </si>
  <si>
    <t>NOC-09022026-2133</t>
  </si>
  <si>
    <t>NOC is transferred to Eng Saeed.</t>
  </si>
  <si>
    <t>INC000001318137</t>
  </si>
  <si>
    <t>6B1,6B2,6B4 -Temp/Humidity  sensor unplugged in DCIM</t>
  </si>
  <si>
    <t>Reported 6b1 and 6b2 sensor's are replaced and 6b4 battery replaced.   Reported sensors working normally.</t>
  </si>
  <si>
    <t>INC000001318131</t>
  </si>
  <si>
    <t>Dalia</t>
  </si>
  <si>
    <t>Hajjat</t>
  </si>
  <si>
    <t>Mobile allowances service in Automation - Minor Change</t>
  </si>
  <si>
    <t>The required change has been implemented and went live with the latest deployment.</t>
  </si>
  <si>
    <t>Minor Upgrade</t>
  </si>
  <si>
    <t>dmhajjat</t>
  </si>
  <si>
    <t>Dalia.Hajjat@rta.ae</t>
  </si>
  <si>
    <t>INC000001318129</t>
  </si>
  <si>
    <t>Najwa</t>
  </si>
  <si>
    <t>AlHamedh</t>
  </si>
  <si>
    <t>Account activation Request</t>
  </si>
  <si>
    <t>nkalhamedh</t>
  </si>
  <si>
    <t>Najwa.AlHamedh@rta.ae</t>
  </si>
  <si>
    <t>INC000001318126</t>
  </si>
  <si>
    <t>Sufail</t>
  </si>
  <si>
    <t>Pandiyala</t>
  </si>
  <si>
    <t>V-number is not visible in the system</t>
  </si>
  <si>
    <t>Please find below user details:   User Login	Employee No	Email	Display Name OKOOL_HIHUSSAIN	V0034797	Okool_Hazratali.Hussain@rta.ae	Hazrat Ali Iqbal Hussain-Contractor OKOOL_MMISSA	V0034801	Okool_Magedissa.Issa@rta.ae	Maged Issa Mohamed Issa-Contractor OKOOL_MBSHEHRIYAR	V0034800	Okool_Muhammad.Shehriyar@rta.ae	Muhammad Bilal Shehriyar-Contractor OKOOL_NGPEDDIRAJU	V0034799	Okool_Narayanarao.Peddiraju@rta.ae	Narayana Rao Gundumenu Peddi Raju-Contractor OKOOL_YHUSMAN	V0034798	Okool_Yaqoobshah.Usman@rta.ae	Yaqoob Shah Hazrat Usman-Contractor OKOOL_TGRABANI	V0034796	Okool_Tausifahmad.Rabani@rta.ae	Tausif Ahmad Ghulam Rabani-Contractor</t>
  </si>
  <si>
    <t>V0024312</t>
  </si>
  <si>
    <t>okool_skpandiyala</t>
  </si>
  <si>
    <t>Okool_Sufail.Pandiyala@rta.ae</t>
  </si>
  <si>
    <t>INC000001318125</t>
  </si>
  <si>
    <t>Request for removing all devices on smart employee apps</t>
  </si>
  <si>
    <t>amissa</t>
  </si>
  <si>
    <t>Abdulrahman.Issa@rta.ae</t>
  </si>
  <si>
    <t>INC000001318124</t>
  </si>
  <si>
    <t>Created new user account in DS system</t>
  </si>
  <si>
    <t>INC000001318122</t>
  </si>
  <si>
    <t>Please see below comments for not reported evd's;</t>
  </si>
  <si>
    <t>INC000001318112</t>
  </si>
  <si>
    <t>BNA1 nearly full  Replenished  18/02/2026   18:48</t>
  </si>
  <si>
    <t>INC000001318111</t>
  </si>
  <si>
    <t>UEDC - DCIM Preventive Maintenance February - 2026</t>
  </si>
  <si>
    <t>DCIM tool 2026 February Preventive maintenance completed.</t>
  </si>
  <si>
    <t>INC000001318108</t>
  </si>
  <si>
    <t>V-Number is not Visible for applying RTA ID CARD</t>
  </si>
  <si>
    <t>Please find user details as shared on mail and share the same with user.</t>
  </si>
  <si>
    <t>INC000001318107</t>
  </si>
  <si>
    <t>Ala</t>
  </si>
  <si>
    <t>Abusaal</t>
  </si>
  <si>
    <t>Automation System Reactivation Request</t>
  </si>
  <si>
    <t>V0012940</t>
  </si>
  <si>
    <t>national_ayabusaal</t>
  </si>
  <si>
    <t>National_Ala.Abusaal@rta.ae</t>
  </si>
  <si>
    <t>INC000001318106</t>
  </si>
  <si>
    <t>Share folder permission Issue</t>
  </si>
  <si>
    <t>Share Folder Issue</t>
  </si>
  <si>
    <t>Shared Folder Permission issue</t>
  </si>
  <si>
    <t>User has only R/W access and not modify access to edit any files</t>
  </si>
  <si>
    <t>Shared Folder Permission Issue</t>
  </si>
  <si>
    <t>INC000001318102</t>
  </si>
  <si>
    <t>This service request is similar as in the ticket -INC000001318254. Hence we updated our notes on the same, kindly refer to the ticket - INC000001318254. Since this is a similar ticket, Hence we are resolving this ticket.</t>
  </si>
  <si>
    <t>INC000001318100</t>
  </si>
  <si>
    <t>Access to "Request for Financial Claim"</t>
  </si>
  <si>
    <t>access has been gratned as requested by the service owner</t>
  </si>
  <si>
    <t>INC000001318099</t>
  </si>
  <si>
    <t>.GOLDEN VISA - DIRECT TEST COURSE - 24519150 / 16383641</t>
  </si>
  <si>
    <t>INC000001318097</t>
  </si>
  <si>
    <t>Abu Eideh</t>
  </si>
  <si>
    <t>nmabueideh</t>
  </si>
  <si>
    <t>Nabil.AbuEideh@RTA.ae</t>
  </si>
  <si>
    <t>INC000001318096</t>
  </si>
  <si>
    <t>Add to enterprise vault</t>
  </si>
  <si>
    <t>hhalshamsi</t>
  </si>
  <si>
    <t>Hessa.Alshamsi@rta.ae</t>
  </si>
  <si>
    <t>INC000001318094</t>
  </si>
  <si>
    <t>Avaya Sherif Mahmoud Mohamed</t>
  </si>
  <si>
    <t xml:space="preserve">IDOS is not giving results </t>
  </si>
  <si>
    <t>the  resolve and it relater to the ticket 1318053  service interruption</t>
  </si>
  <si>
    <t>V00469</t>
  </si>
  <si>
    <t>Avaya_SMHussein</t>
  </si>
  <si>
    <t>Avaya_Sherifmahmoudmohamed.Hussein@rta.ae</t>
  </si>
  <si>
    <t>INC000001318084</t>
  </si>
  <si>
    <t>Salha</t>
  </si>
  <si>
    <t xml:space="preserve">Unable to forward "Bond Release" Request </t>
  </si>
  <si>
    <t>Bassel Al Deraawy</t>
  </si>
  <si>
    <t>Workflow -reinitiated to the contract coordinator</t>
  </si>
  <si>
    <t>SOKhamis</t>
  </si>
  <si>
    <t>Salha.Khamis@rta.ae</t>
  </si>
  <si>
    <t>INC000001318083</t>
  </si>
  <si>
    <t>Khurisat</t>
  </si>
  <si>
    <t>This is an duplicate request already received same request for this same user #INC000001318077, working on this ticket.</t>
  </si>
  <si>
    <t>V0011368</t>
  </si>
  <si>
    <t>iron_orkhurisat</t>
  </si>
  <si>
    <t>Iron_Omar.Khurisat@rta.ae</t>
  </si>
  <si>
    <t>INC000001318080</t>
  </si>
  <si>
    <t>AlHaatemi</t>
  </si>
  <si>
    <t>AirWatch system access request</t>
  </si>
  <si>
    <t>Ebm Emthias Salam</t>
  </si>
  <si>
    <t>BYOD-AIRWATCH</t>
  </si>
  <si>
    <t>UMM RAMOOL NEW HQ 7A -CONTRACT AND PURCHASING</t>
  </si>
  <si>
    <t>User account has been activated in Airwatch. Kindly enroll in device</t>
  </si>
  <si>
    <t>amalhatemi</t>
  </si>
  <si>
    <t>Ahmed.Alhatemi@rta.ae</t>
  </si>
  <si>
    <t>INC000001318078</t>
  </si>
  <si>
    <t>MN32E-DDDMS-Dubai Design District - M2 (Alert ID: '252187')</t>
  </si>
  <si>
    <t>Reason:- No power Third Party issue please Cancel the Ticket from EI side Thanks   Action:-   Name :-Azeez   Attended Time:-  Remarks:-</t>
  </si>
  <si>
    <t>INC000001318077</t>
  </si>
  <si>
    <t>The Scanner returned to store and CMDB updated.</t>
  </si>
  <si>
    <t>INC000001318076</t>
  </si>
  <si>
    <t>CEC307B_Project Two - Request for clarification</t>
  </si>
  <si>
    <t>Customer is advised to contact RFM Department.</t>
  </si>
  <si>
    <t>INC000001318063</t>
  </si>
  <si>
    <t>Issue has been resolved relaunching the application.</t>
  </si>
  <si>
    <t>INC000001318060</t>
  </si>
  <si>
    <t>Nadeem</t>
  </si>
  <si>
    <t>Faraq</t>
  </si>
  <si>
    <t>WF Notification: CR 25-16863</t>
  </si>
  <si>
    <t>nmfaraq</t>
  </si>
  <si>
    <t>Nadeem.Faraq@rta.ae</t>
  </si>
  <si>
    <t>INC000001318059</t>
  </si>
  <si>
    <t>Majan</t>
  </si>
  <si>
    <t>unable to map shared folder</t>
  </si>
  <si>
    <t>Unable to map shared folder</t>
  </si>
  <si>
    <t>Mapped shared folder for the user \\rta.global\fileserver001\RTA\TRA\Road Dept\Prequalification_Road Facilities- Electro-Mechanical</t>
  </si>
  <si>
    <t>Unable To Access Shared Folder</t>
  </si>
  <si>
    <t>nmmajan</t>
  </si>
  <si>
    <t>Noora.Majan@rta.ae</t>
  </si>
  <si>
    <t>INC000001318057</t>
  </si>
  <si>
    <t>INC000001318055</t>
  </si>
  <si>
    <t>Raunaq</t>
  </si>
  <si>
    <t>Dubey</t>
  </si>
  <si>
    <t>Unable to select partnership title -ref screenshot</t>
  </si>
  <si>
    <t>no technical issue, the user doesn't has any approved and closed RMP request so he can't select any previous RMP, the business requirements and the current implementations allow the user to select only from his previous approved closed RMP requests</t>
  </si>
  <si>
    <t>RDDubey</t>
  </si>
  <si>
    <t>Raunaq.Dubey@rta.ae</t>
  </si>
  <si>
    <t>INC000001318052</t>
  </si>
  <si>
    <t>Sahubar Sulaiman</t>
  </si>
  <si>
    <t>The shared FW matrix has been implemented</t>
  </si>
  <si>
    <t>INC000001318046</t>
  </si>
  <si>
    <t xml:space="preserve">Unable to find Partnership Title in RMP request </t>
  </si>
  <si>
    <t>duplicated ticket for the same user and the same case with reference ID l INC000001318055 (no technical issue, the user doesn't has any approved and closed RMP request so he can't select any previous RMP, the business requirements and the current implementations allow the user to select only from his previous approved closed RMP requests)</t>
  </si>
  <si>
    <t>INC000001318045</t>
  </si>
  <si>
    <t xml:space="preserve"> Services don't appear </t>
  </si>
  <si>
    <t>INC000001318040</t>
  </si>
  <si>
    <t>EDMS Request</t>
  </si>
  <si>
    <t>user added to edms and proviced required access as per requested</t>
  </si>
  <si>
    <t>mabahli</t>
  </si>
  <si>
    <t>Mohamed.Ahli@rta.ae</t>
  </si>
  <si>
    <t>INC000001318039</t>
  </si>
  <si>
    <t>New CR for Metro insurance contract</t>
  </si>
  <si>
    <t>Training, User guidance/Training manuals, steps have been provided.</t>
  </si>
  <si>
    <t>INC000001318036</t>
  </si>
  <si>
    <t>PCard application rejected without reason</t>
  </si>
  <si>
    <t>on 12-02-2026 customer applied for the new Pcard(Student) from Nolpay app with the reference id A996944260212164712. on 13-FEB-26 10:38:10 card services team rejected the application manually with the user id "MAQasim".  Kindly check with the card services team why the application was rejected with out remarks.  NO OCHS Issue.    As the reported incident is addressed kindly verify and close the ticket.</t>
  </si>
  <si>
    <t>INC000001318035</t>
  </si>
  <si>
    <t>Mawiya</t>
  </si>
  <si>
    <t>Yasin</t>
  </si>
  <si>
    <t>mzyasin</t>
  </si>
  <si>
    <t>Mawiya.Yasin@rta.ae</t>
  </si>
  <si>
    <t>INC000001318031</t>
  </si>
  <si>
    <t>RTA-1876892-G0Q1 - Pcard renewal application rejection request from customer</t>
  </si>
  <si>
    <t>The nol tag "1004091490 " is linked with mobile loginid "isabelpm".  On 20-JAN-2026 17:36:34 customer applied for the replacement for nol tag 1004091490 with the refund reason as "Damage/Lost of Card".  On 20-JAN-2026 17:36:34 card refund and replacement refund case was created in the system as part of the replacement.  On 20-JAN-2026 17:36:34 Replacement Apllication Id 451147 was verified and customer did not initiated the payment.  On 20-FEB-2026 23:30:30 application was rejected by the "RejectOverdueTask" due to payment incomplete.  As the customer applied for the replacement with the reason as "Damage/Lost of Card" so the card status is updated to "Disabled".  As customer is eligible to apply for the replacement again with the reason as "Damage/Lost of Card" but due to the ABT Portal issue he can not submit the replacement, Kindly advise the customer as per the RTA Internal Operational Process.  Tag Id: 1004091490 Card Id: 1208655494850176 Refund Reference ID: D091490260120173632 Refund Reason: Damage/Lost of Card   RTA created the card refund case with the refund method as cash and approved the card refund case and informed the customer to apply for the new card.  Refund ID: 1283353 Creation Date: 23-02-2026 09:28:30 Refund Reason: Damage/Lost of Card Remaining Value: 13.50 Service Charge: 5.00 Actual Refund Value: 8.50 Payment Method: Cash Approval Status: APP Approval Date: 23-02-2026 09:28:51  As the reported incident is addressed kindly verify and close the ticket.</t>
  </si>
  <si>
    <t>INC000001318029</t>
  </si>
  <si>
    <t>RTA-1887129-M1T2 - Nol card Top up balance not reflected</t>
  </si>
  <si>
    <t>Customer top up the reported nol card 0354034555 from RTA Mobile APP On 22-SEP-2025 07:36:46 with the amount of aed 50 as payment is accepted by DeG and pending whitelist file was created on the same day with the expiry date as 21-MAR-2026 but the top up amount aed 50 is not reflected on the nol card as customer not used the card after the top up till 01-FEB-2026 and started using the card from 02-FEB-2026 onwards.  Due to whitelist quota full the top up amount will not reflect in the nol card even if customer used.   As requested, uploaded the data patch in BMC#1318029 &amp; Mantis#922 tickets. Kindly execute the provided data patch in OCHS Production DB and advise the customer as per RTA Internal Operational Process.  Tag Id: 0354034555 Card Id: 1260308128561024 Top-up Amount: Aed 50 Top-up Date: 22-SEP-2025 07:36:46 SP Transaction No: E2145652285E8530003761648(EPAY_MOBILE) Whitelist Id: 5 Whitelist Created Time: 22-SEP-2025 08:30:09 Whitelist Expiry Date: 21-MAR-2026 08:30:08 Whitelist Status: PEN   As the reported incident is addressed kindly verify and close the ticket.</t>
  </si>
  <si>
    <t>INC000001318027</t>
  </si>
  <si>
    <t>Aldrin</t>
  </si>
  <si>
    <t>Pineda</t>
  </si>
  <si>
    <t>LAN connection (cable) not working</t>
  </si>
  <si>
    <t>Operation - Cabling</t>
  </si>
  <si>
    <t>Replaced faulty data socket as requested</t>
  </si>
  <si>
    <t>Network Cabling</t>
  </si>
  <si>
    <t>Data / Voice Socket Issue</t>
  </si>
  <si>
    <t>agpineda</t>
  </si>
  <si>
    <t>Aldrin.Pineda@rta.ae</t>
  </si>
  <si>
    <t>INC000001318024</t>
  </si>
  <si>
    <t>Maisoun</t>
  </si>
  <si>
    <t>Haddad</t>
  </si>
  <si>
    <t>User is getting locked out from Exchange Server (outlook)</t>
  </si>
  <si>
    <t>mmajhaddad</t>
  </si>
  <si>
    <t>Maisoun.Haddad@rta.ae</t>
  </si>
  <si>
    <t>INC000001318020</t>
  </si>
  <si>
    <t>Dareen</t>
  </si>
  <si>
    <t>Abdelrahman Al Safarini-Contractor</t>
  </si>
  <si>
    <t xml:space="preserve">??? ????? punch in ?punch out ?? ?????? ?????? ?? </t>
  </si>
  <si>
    <t>no technical issue, we contacted the user and we informed her that there is a mistake in the punches and we guided her to apply for add punch in order to correct the time sheet for her</t>
  </si>
  <si>
    <t>V0025594</t>
  </si>
  <si>
    <t>alsahra_daabdelrahma</t>
  </si>
  <si>
    <t>Alsahra_Dareendaoud.Abdelrahmanalsafarini@rta.ae</t>
  </si>
  <si>
    <t>INC000001318019</t>
  </si>
  <si>
    <t>Fayis</t>
  </si>
  <si>
    <t>Siddique</t>
  </si>
  <si>
    <t>ACCESS TO STAFTEESH</t>
  </si>
  <si>
    <t>Done as requested to create user access to sTafteesh</t>
  </si>
  <si>
    <t>fksiddique</t>
  </si>
  <si>
    <t>Fayis.Siddique@rta.ae</t>
  </si>
  <si>
    <t>INC000001318018</t>
  </si>
  <si>
    <t>RTA-1885181-M6D1 - Nol card Top up balance not reflected</t>
  </si>
  <si>
    <t>Customer top up the reported nol card 0356583138 from EIB Bank On 08-FEB-26 22:31:49 with the amount of aed 560 as payment is accepted by DeG and pending whitelist file was created on the same day with the expiry date as 25-JAN-2030 but the top up amount aed 560 is not reflected on the nol card as customer used the card after the top up in business entity "Mercury".  As the details are avialbe in whitelist file in SFTP location, kindly inform the customer to use the nol card in any Metro Gates, Online Parking Meters, Solar Top-up Machines or on NolPay App so that the top-up amount will reflect into the nol card after whitelist execution at L1 device level.   Tag Id: 0356583138 Card Id: 1199701717317504 Top-up Amount: Aed 560 Top-up Date: 08-FEB-26 22:31:49 Source Reference Id: 1770575428139953(EIB Bank) Whitelist Id: 55 Whitelist Created Time: 08-FEB-2026 22:31:49 Whitelist Expiry Date: 25-JAN-2030 00:00:00 Whitelist Status: PEN   As the reported incident is addressed kindly verify and close the ticket.</t>
  </si>
  <si>
    <t>INC000001318015</t>
  </si>
  <si>
    <t>Elkashef</t>
  </si>
  <si>
    <t>Checked on the server side and Initiated a manual sync &amp; run on user mailbox in server side. Freed up space. EV is working as per RTA policy. As per the ITD review, user mailbox quota has been increased now. Hence closing the case as it is aged one, if user facing any issues please do manual archving on all folders and emails available on mailbox and do the clean up on calender items as well.</t>
  </si>
  <si>
    <t>ASElkashef</t>
  </si>
  <si>
    <t>Ahmed.Elkashef@rta.ae</t>
  </si>
  <si>
    <t>INC000001318009</t>
  </si>
  <si>
    <t>INC000001317999</t>
  </si>
  <si>
    <t>Bulk Refund Request</t>
  </si>
  <si>
    <t>RTA requested to prepare the technical memo in the enclosed email communication to address the issue related to the bulk refund request.  From: Lovy Kattarath Ismail &lt;lovy.Ismail@rta.ae&gt; Sent: Friday, February 20, 2026 3:42 AM To: Samer Younes &lt;Samer.Younes@rta.ae&gt;; Nagaraju Parepally &lt;nparepally@octopus.com.hk&gt; Cc: Ganesh Guptha &lt;GaneshGuptha.RajendraGuptha@rta.ae&gt;; Abdelaziz Mohamed Hassan Abdalla Alhammadi &lt;Abdelaziz.Alhammadi@rta.ae&gt;; Hanan Mohamed Al Obaidli &lt;Hanan.AlObaidli@rta.ae&gt;; Opaida Saleem Alsulaiman &lt;Opaida.Alsulaiman@rta.ae&gt;; Ammar Ahmad Mohammad Al Hamadi &lt;Ammar.AhHamadi@rta.ae&gt;; Billy Lai (Secondment) &lt;billylai@octopus.com.hk&gt;; Harish Potluri &lt;hpotluri@octopus.com.hk&gt;; Wilson Hung &lt;wilsonhung@octopus.com.hk&gt;; Ernest Wong &lt;ernestwong@octopus.com.hk&gt;; Satish Kumar Punukollu &lt;skpunukollu@octopus.com.hk&gt;; Locus Chan (Secondment) &lt;elis_locuschan@octopus.com.hk&gt; Subject: RE: Request for Support in Bulk Refund to Enhance Customer Experience   @Nagaraju Parepally – please share the technical memo  Regards Lovy   As requested, OKL Prepared the technical memo and submitted to RTA with the data patch script.  From: Locus Chan (Secondment) &lt;elis_locuschan@octopus.com.hk&gt; Sent: Friday, 20 February 2026 2:10 PM To: Lovy Kattarath Ismail &lt;lovy.Ismail@rta.ae&gt;; Samer Younes &lt;Samer.Younes@rta.ae&gt;; Nagaraju Parepally &lt;nparepally@octopus.com.hk&gt; Cc: Ganesh Guptha &lt;GaneshGuptha.RajendraGuptha@rta.ae&gt;; Abdelaziz Mohamed Hassan Abdalla Alhammadi &lt;Abdelaziz.Alhammadi@rta.ae&gt;; Hanan Mohamed Al Obaidli &lt;Hanan.AlObaidli@rta.ae&gt;; Opaida Saleem Alsulaiman &lt;Opaida.Alsulaiman@rta.ae&gt;; Ammar Ahmad Mohammad Al Hamadi &lt;Ammar.AhHamadi@rta.ae&gt;; Billy Lai (Secondment) &lt;billylai@octopus.com.hk&gt;; Harish Potluri &lt;hpotluri@octopus.com.hk&gt;; Wilson Hung &lt;wilsonhung@octopus.com.hk&gt;; Ernest Wong &lt;ernestwong@octopus.com.hk&gt;; Satish Kumar Punukollu &lt;skpunukollu@octopus.com.hk&gt; Subject: RE: Request for Support in Bulk Refund to Enhance Customer Experience  Dear Lovy,  Please find the attached TechMemo#0415 and corresponding data patch script for your review and approval. Thank you.  Regards,  Locus Chan Assistant Project Manager Transport Business   RTA requested OKL to execute the scripts in the enclosed email communication.  From: Lovy Kattarath Ismail &lt;lovy.Ismail@rta.ae&gt; Sent: 20 February 2026 19:34 To: Locus Chan (Secondment) &lt;elis_locuschan@octopus.com.hk&gt;; Samer Younes &lt;Samer.Younes@rta.ae&gt;; Nagaraju Parepally &lt;nparepally@octopus.com.hk&gt;; Opaida Saleem Alsulaiman &lt;Opaida.Alsulaiman@rta.ae&gt; Cc: Ganesh Guptha &lt;GaneshGuptha.RajendraGuptha@rta.ae&gt;; Abdelaziz Mohamed Hassan Abdalla Alhammadi &lt;Abdelaziz.Alhammadi@rta.ae&gt;; Hanan Mohamed Al Obaidli &lt;Hanan.AlObaidli@rta.ae&gt;; Ammar Ahmad Mohammad Al Hamadi &lt;Ammar.AhHamadi@rta.ae&gt;; Billy Lai (Secondment) &lt;billylai@octopus.com.hk&gt;; Harish Potluri &lt;hpotluri@octopus.com.hk&gt;; Wilson Hung &lt;wilsonhung@octopus.com.hk&gt;; Ernest Wong &lt;ernestwong@octopus.com.hk&gt;; Satish Kumar Punukollu &lt;skpunukollu@octopus.com.hk&gt; Subject: RE: Request for Support in Bulk Refund to Enhance Customer Experience   @Nagaraju Parepally and @Locus Chan (Secondment) – please execute the data patch. Please see the below instructions from SMD for the execution. All approvals received  • Execution must be conducted through a PAM-managed privileged account only. • Just-In-Time (JIT) access shall be enabled with defined time-bound authorization. • Full session recording and command-level logging must be enforced. • Segregation of Duties must be maintained, the individual preparing the refund file must not execute the SQL script. • Prior approvals are required from the Business Owner (TSD), Database Owner, and Finance. • Access must be restricted to the specific database objects necessary for this activity. • This approval is valid for the referenced change request. • An independent reconciliation report must be completed within 24 hours of execution. • Audit logs must be reviewed to verify the legitimacy and accuracy of all transactions.  @Opaida Saleem Alsulaiman – please verify  Regards Lovy    As RTA approved OKL implemented the Technical Memo#415 and informed RTA as the pending whitelist records created in system.  From: Nagaraju Parepally &lt;nparepally@octopus.com.hk&gt; Sent: Friday, 20 February 2026 8:24 PM To: Lovy Kattarath Ismail &lt;lovy.Ismail@rta.ae&gt;; Locus Chan (Secondment) &lt;elis_locuschan@octopus.com.hk&gt;; Samer Younes &lt;Samer.Younes@rta.ae&gt;; Opaida Saleem Alsulaiman &lt;Opaida.Alsulaiman@rta.ae&gt; Cc: Ganesh Guptha &lt;GaneshGuptha.RajendraGuptha@rta.ae&gt;; Abdelaziz Mohamed Hassan Abdalla Alhammadi &lt;Abdelaziz.Alhammadi@rta.ae&gt;; Hanan Mohamed Al Obaidli &lt;Hanan.AlObaidli@rta.ae&gt;; Ammar Ahmad Mohammad Al Hamadi &lt;Ammar.AhHamadi@rta.ae&gt;; Billy Lai (Secondment) &lt;billylai@octopus.com.hk&gt;; Harish Potluri &lt;hpotluri@octopus.com.hk&gt;; Wilson Hung &lt;wilsonhung@octopus.com.hk&gt;; Ernest Wong &lt;ernestwong@octopus.com.hk&gt;; Satish Kumar Punukollu &lt;skpunukollu@octopus.com.hk&gt; Subject: mantis#916 - RE: Request for Support in Bulk Refund to Enhance Customer Experience -BMC#1317999      Warning: This email originated from outside of the organization. Do not click links or open attachments unless you verified the sender mail address and know the content is safe!  Dear Lovy,  As per the RTA approval, OKL implemented the Technical Memo 0415 in OCHS Production environment through PAM and the pending whitelist records are created for the mentioned nol cards. The audit trial / spool of the SQL scripts are saved in the production report server1 C:\TM415. Thank you  Regards, Nagaraju  From: Nagaraju Parepally &lt;nparepally@octopus.com.hk&gt; Sent: Saturday, 21 February 2026 10:20 PM To: Lovy Kattarath Ismail &lt;lovy.Ismail@rta.ae&gt;; Locus Chan (Secondment) &lt;elis_locuschan@octopus.com.hk&gt;; Samer Younes &lt;Samer.Younes@rta.ae&gt;; Opaida Saleem Alsulaiman &lt;Opaida.Alsulaiman@rta.ae&gt; Cc: Ganesh Guptha &lt;GaneshGuptha.RajendraGuptha@rta.ae&gt;; Abdelaziz Mohamed Hassan Abdalla Alhammadi &lt;Abdelaziz.Alhammadi@rta.ae&gt;; Hanan Mohamed Al Obaidli &lt;Hanan.AlObaidli@rta.ae&gt;; Ammar Ahmad Mohammad Al Hamadi &lt;Ammar.AhHamadi@rta.ae&gt;; Billy Lai (Secondment) &lt;billylai@octopus.com.hk&gt;; Harish Potluri &lt;hpotluri@octopus.com.hk&gt;; Wilson Hung &lt;wilsonhung@octopus.com.hk&gt;; Ernest Wong &lt;ernestwong@octopus.com.hk&gt;; Satish Kumar Punukollu &lt;skpunukollu@octopus.com.hk&gt; Subject: RE: mantis#916 - RE: Request for Support in Bulk Refund to Enhance Customer Experience -BMC#1317999  Dear Lovy,  Among 516 nol cards, the top up amounts are reflected in 301 nol cards and I have exported the whitelist details and copied into the production report server1 (C:\TM415). As the file can’t be copied through PAM, I will share the report on Monday with the requested details. Thank you  Fig: whitelist status    Regards, Nagaraju  From: Lovy Kattarath Ismail &lt;lovy.Ismail@rta.ae&gt; Sent: 21 February 2026 21:51 To: Nagaraju Parepally &lt;nparepally@octopus.com.hk&gt;; Locus Chan (Secondment) &lt;elis_locuschan@octopus.com.hk&gt;; Samer Younes &lt;Samer.Younes@rta.ae&gt;; Opaida Saleem Alsulaiman &lt;Opaida.Alsulaiman@rta.ae&gt; Cc: Ganesh Guptha &lt;GaneshGuptha.RajendraGuptha@rta.ae&gt;; Abdelaziz Mohamed Hassan Abdalla Alhammadi &lt;Abdelaziz.Alhammadi@rta.ae&gt;; Hanan Mohamed Al Obaidli &lt;Hanan.AlObaidli@rta.ae&gt;; Ammar Ahmad Mohammad Al Hamadi &lt;Ammar.AhHamadi@rta.ae&gt;; Billy Lai (Secondment) &lt;billylai@octopus.com.hk&gt;; Harish Potluri &lt;hpotluri@octopus.com.hk&gt;; Wilson Hung &lt;wilsonhung@octopus.com.hk&gt;; Ernest Wong &lt;ernestwong@octopus.com.hk&gt;; Satish Kumar Punukollu &lt;skpunukollu@octopus.com.hk&gt; Subject: RE: mantis#916 - RE: Request for Support in Bulk Refund to Enhance Customer Experience -BMC#1317999  Dear Nagaraju, Please share the report regarding the whitelist status and include the mobile number if it exists  Regards Lovy   As the reported incident is addressed kindly verify and close the ticket.</t>
  </si>
  <si>
    <t>INC000001317998</t>
  </si>
  <si>
    <t>DeG Payment Amount - Nov 2025</t>
  </si>
  <si>
    <t>As per the enclosed email communication the settlement amount from Deg for Nov 2025 was clarified to the RTA  As the reported incident is addressed kindly verify and close the ticket.</t>
  </si>
  <si>
    <t>INC000001317991</t>
  </si>
  <si>
    <t>Font issue</t>
  </si>
  <si>
    <t>Received confirmation from user over email that the issue got resolved</t>
  </si>
  <si>
    <t>nmbastaki</t>
  </si>
  <si>
    <t>Nawal.Bastaki@RTA.ae</t>
  </si>
  <si>
    <t>INC000001317990</t>
  </si>
  <si>
    <t>Safy</t>
  </si>
  <si>
    <t>Abdrabou</t>
  </si>
  <si>
    <t>the request 2509779 and user profile has been updated with the mentioned manager as requested by the initiator</t>
  </si>
  <si>
    <t>V0013</t>
  </si>
  <si>
    <t>avaya_saabdrabou</t>
  </si>
  <si>
    <t>Avaya_Safy.Abdrabou@rta.ae</t>
  </si>
  <si>
    <t>INC000001317988</t>
  </si>
  <si>
    <t>Request for Firewall Rule modification-CRQ60229</t>
  </si>
  <si>
    <t>INC000001317987</t>
  </si>
  <si>
    <t>To check socket timeout exception logs</t>
  </si>
  <si>
    <t>Issue is not from sTafteesh side, Email has been sent</t>
  </si>
  <si>
    <t>INC000001317980</t>
  </si>
  <si>
    <t>??? ?????</t>
  </si>
  <si>
    <t>The old data was pushed from DET side with old expiry date.   The new data is pushed and comparison recreated and the new expiry date is reflected on trade license</t>
  </si>
  <si>
    <t>INC000001317977</t>
  </si>
  <si>
    <t>MAXIMO NOT OPEINING GOOGLE CHROME</t>
  </si>
  <si>
    <t>We have checked with user, he is able to login into maximo system.</t>
  </si>
  <si>
    <t>INC000001317975</t>
  </si>
  <si>
    <t>Almalik</t>
  </si>
  <si>
    <t>Inform user to login with atalmalik@rta.ae</t>
  </si>
  <si>
    <t>V0034760</t>
  </si>
  <si>
    <t>atalmalik</t>
  </si>
  <si>
    <t>Abdulla.Almalik@rta.ae</t>
  </si>
  <si>
    <t>INC000001317945</t>
  </si>
  <si>
    <t>Request 16854164</t>
  </si>
  <si>
    <t>INC000001317943</t>
  </si>
  <si>
    <t>Request 16804210</t>
  </si>
  <si>
    <t>INC000001317942</t>
  </si>
  <si>
    <t>Request 16264418</t>
  </si>
  <si>
    <t>INC000001317921</t>
  </si>
  <si>
    <t>Yousif Al Qassim</t>
  </si>
  <si>
    <t>CSC Alert - Scan Failure Detected - 17022026-07</t>
  </si>
  <si>
    <t>User turned of the laptop before the scan got completed. User is having space in C Drive now. WHile tried to run full scan already one active scan is running in background.</t>
  </si>
  <si>
    <t>kyalqassim</t>
  </si>
  <si>
    <t>Khulood.Alqassim@rta.ae</t>
  </si>
  <si>
    <t>INC000001317908</t>
  </si>
  <si>
    <t>New Laptop Request - New joiner</t>
  </si>
  <si>
    <t>INC000001317906</t>
  </si>
  <si>
    <t>INC000001317903</t>
  </si>
  <si>
    <t>Required registry fix has been pushed to the affected device.. No further action require</t>
  </si>
  <si>
    <t>INC000001317901</t>
  </si>
  <si>
    <t>As per the below request and approval, we have extended below users till 29 February 2028 in IAM system please check.</t>
  </si>
  <si>
    <t>INC000001317899</t>
  </si>
  <si>
    <t>Al Shehabi</t>
  </si>
  <si>
    <t>AL RUWAYYA -AL RUWAYYA BUS DEPOT</t>
  </si>
  <si>
    <t>Please find below user details and share the same with user:  Employee Number	V0034624 E-mail	Srsl_Almitwalli.Abdelghani@rta.ae User Login	SRSL_AAABDELGHANI Display Name	Almitwalli Abrahim Abdelghani-Contractor  We have updated requested users mobile number in IAM system and in all downstream application.</t>
  </si>
  <si>
    <t>hmalshehabi</t>
  </si>
  <si>
    <t>Hussain.Alshehabi@rta.ae</t>
  </si>
  <si>
    <t>INC000001317882</t>
  </si>
  <si>
    <t>Ilia</t>
  </si>
  <si>
    <t>Volozhanin</t>
  </si>
  <si>
    <t>31JULY26_Network Folder Change Access</t>
  </si>
  <si>
    <t>V0033128</t>
  </si>
  <si>
    <t>intertech_iivolozhan</t>
  </si>
  <si>
    <t>Intertech_Ilia.Volozhanin@rta.ae</t>
  </si>
  <si>
    <t>INC000001317881</t>
  </si>
  <si>
    <t>Phishrod reporter plug-in  has been installed on the user's machine</t>
  </si>
  <si>
    <t>INC000001317868</t>
  </si>
  <si>
    <t>BS27L-449-Sheikh Rashid Road Intersection 2 - M1</t>
  </si>
  <si>
    <t>Reason: no power third party issue  Action: checked Attended Time:00:10(18-2-2026)</t>
  </si>
  <si>
    <t>INC000001317867</t>
  </si>
  <si>
    <t>BS27L-278-Deira, Old Souq 1 - M1</t>
  </si>
  <si>
    <t>Reason: offline   Action: rebooted   Attender Name: Amjad  Attended Time: 10:00  Remarks:</t>
  </si>
  <si>
    <t>INC000001317866</t>
  </si>
  <si>
    <t>MR50L-R15-E2-Garhoud - M1</t>
  </si>
  <si>
    <t>Reason: offline  Action: rebooted  Attended Time:23:55(17-2-2026)</t>
  </si>
  <si>
    <t>INC000001317864</t>
  </si>
  <si>
    <t>BS27L-092- Karama, Dubai Municipality Center</t>
  </si>
  <si>
    <t>Reason: offline  Action: rebooted  Attended Time:23:50</t>
  </si>
  <si>
    <t>INC000001317861</t>
  </si>
  <si>
    <t>BS27L-81-British Council 1 - M1</t>
  </si>
  <si>
    <t>Reason: offline  Action: rebooted  Attended Time:23:45(17-2-2026)</t>
  </si>
  <si>
    <t>INC000001317860</t>
  </si>
  <si>
    <t>Reason:- Power issue from Third party   Action:- Please Cancel This Ticket from EI side Thanks   Name :-Azeez   Attended Time:-  Remarks:-</t>
  </si>
  <si>
    <t>INC000001317857</t>
  </si>
  <si>
    <t>BS27L-724-Dubai Intercontinental Hotel - M1</t>
  </si>
  <si>
    <t>Reason:- Duplicate Ticket please Cancel Original Ticket No  INC000001317792/DUPLICATE TICKET</t>
  </si>
  <si>
    <t>INC000001317845</t>
  </si>
  <si>
    <t>MR50L-R19-E1-02-Burjuman - M1 MR50L-R19-E1-02-Burjuman - M1</t>
  </si>
  <si>
    <t>Reason: offline  Action: rebooted  Attended Time:23:20</t>
  </si>
  <si>
    <t>INC000001317842</t>
  </si>
  <si>
    <t>Techvista Rehmat</t>
  </si>
  <si>
    <t>V003333</t>
  </si>
  <si>
    <t>Techvista_RMAli</t>
  </si>
  <si>
    <t>Techvista_Rehmat.Ali@rta.ae</t>
  </si>
  <si>
    <t>INC000001317839</t>
  </si>
  <si>
    <t>BS27L-889-Majid English School 2</t>
  </si>
  <si>
    <t>Reason : Device is not working     Card No.:  Customer Name:       Action : Device back to online after reboot  Attendee Name:  Jasper Attended Time : 23:03</t>
  </si>
  <si>
    <t>INC000001317837</t>
  </si>
  <si>
    <t>BS27L-508-Ras Al Khor 2-1 - M2</t>
  </si>
  <si>
    <t>Reason: offline  Action: re boot  Attended Time: 23:10</t>
  </si>
  <si>
    <t>INC000001317834</t>
  </si>
  <si>
    <t>MR50L-R23-E1-Emirates Tower - M1</t>
  </si>
  <si>
    <t>Reason: offline  Action: rebooted  Attended Time:22:20</t>
  </si>
  <si>
    <t>INC000001317833</t>
  </si>
  <si>
    <t>BS27L-406-Omer Bin Al Khattab School 2 - M1</t>
  </si>
  <si>
    <t>Reason:- Offline   Action:- Restart Device Back to online  Attender :-Azeez  Attended Time:-22:06</t>
  </si>
  <si>
    <t>INC000001317832</t>
  </si>
  <si>
    <t>Request to clear SLA breach for #INC000001317343</t>
  </si>
  <si>
    <t>SLA Breach has been cleared for Response SLA Breach for ticket #INC000001317343</t>
  </si>
  <si>
    <t>INC000001317825</t>
  </si>
  <si>
    <t>As per call with the user, the device profile has been reset again, and agreed with user to start using the new device.</t>
  </si>
  <si>
    <t>INC000001317823</t>
  </si>
  <si>
    <t>Submitting RTA ID for Maximo Account</t>
  </si>
  <si>
    <t>We have enabled the account in IAM system and in all downstream system, please ask user to reset password and try to login with new password today otherwise based on 90 days login and reset password policy, system automatically disable user account in AD application.</t>
  </si>
  <si>
    <t>INC000001317822</t>
  </si>
  <si>
    <t>Gafoor</t>
  </si>
  <si>
    <t>Vendor Account Unable to Create in RTA Automation</t>
  </si>
  <si>
    <t>company details has been added to the create/update vendor account service</t>
  </si>
  <si>
    <t>MSGafoor</t>
  </si>
  <si>
    <t>Mohamed.Gafoor@rta.ae</t>
  </si>
  <si>
    <t>INC000001317820</t>
  </si>
  <si>
    <t>IAM Onboarding Group creation</t>
  </si>
  <si>
    <t>As per the request, created the group and shared</t>
  </si>
  <si>
    <t>INC000001317819</t>
  </si>
  <si>
    <t>Renjumon</t>
  </si>
  <si>
    <t>Pillai</t>
  </si>
  <si>
    <t>V0032546</t>
  </si>
  <si>
    <t>world_ropillai</t>
  </si>
  <si>
    <t>World_Renjumon.Pillai@rta.ae</t>
  </si>
  <si>
    <t>INC000001317818</t>
  </si>
  <si>
    <t>TOCC-Alert-warning- P-260222376 | OPEN | Memory saturation</t>
  </si>
  <si>
    <t>The server memory reached 99.89% because FME jobs and WebGISDR backup are running in the server. As shown in the attachment, it was only a temporary spike and the memory usage has now come down to normal.  The GISTEC team has checked and everything is working fine now.  Therefore, we are closing the ticket.</t>
  </si>
  <si>
    <t>INC000001317817</t>
  </si>
  <si>
    <t>Saritha</t>
  </si>
  <si>
    <t>Alva</t>
  </si>
  <si>
    <t>V0017045</t>
  </si>
  <si>
    <t>cadd_saalva</t>
  </si>
  <si>
    <t>Cadd_Saritha.Alva@rta.ae</t>
  </si>
  <si>
    <t>INC000001317815</t>
  </si>
  <si>
    <t>RMS "Store Commerce" has been installed and activated successfully on the user's machine after getting the confirmation from the business and the SAM team</t>
  </si>
  <si>
    <t>myismail</t>
  </si>
  <si>
    <t>mohamed.yehya@rta.ae</t>
  </si>
  <si>
    <t>INC000001317812</t>
  </si>
  <si>
    <t>This ticket will be closed, as another incident has been raised and is currently in progress. We are still waiting for the approval process to be completed for installing and activating RMS Store Commerce on the user’s machine</t>
  </si>
  <si>
    <t>INC000001317811</t>
  </si>
  <si>
    <t>Abdollah</t>
  </si>
  <si>
    <t>Mallah</t>
  </si>
  <si>
    <t>ammallah</t>
  </si>
  <si>
    <t>Abdollah.Mallah@rta.ae</t>
  </si>
  <si>
    <t>INC000001317810</t>
  </si>
  <si>
    <t>Alyasi</t>
  </si>
  <si>
    <t>e-transport  request</t>
  </si>
  <si>
    <t>The request has been resolved and closed.  Please find the attached report as shared in email.</t>
  </si>
  <si>
    <t>ahalyasi</t>
  </si>
  <si>
    <t>Ali.Alyasi@rta.ae</t>
  </si>
  <si>
    <t>INC000001317808</t>
  </si>
  <si>
    <t>Faridoon</t>
  </si>
  <si>
    <t>AMFaridoon</t>
  </si>
  <si>
    <t>Ahmad.Faridoon@rta.ae</t>
  </si>
  <si>
    <t>INC000001317805</t>
  </si>
  <si>
    <t>Sell Vehicle</t>
  </si>
  <si>
    <t>Selected buyer with traffic number 15054699 has non-payable fines with ticket number 15054699 (circular ticket)</t>
  </si>
  <si>
    <t>INC000001317802</t>
  </si>
  <si>
    <t>Reason: duplicate INC000001317867</t>
  </si>
  <si>
    <t>INC000001317801</t>
  </si>
  <si>
    <t>Reason: offline  Action: rebooted  Attended Time:21:30</t>
  </si>
  <si>
    <t>INC000001317795</t>
  </si>
  <si>
    <t>Reason: offline  Action: re boot  Attended Time: 21:30</t>
  </si>
  <si>
    <t>INC000001317792</t>
  </si>
  <si>
    <t>Reason:- Offline   Action:- Restart Device Back to online   Attender :-  Azeez   Attended Time:-21:30</t>
  </si>
  <si>
    <t>INC000001317791</t>
  </si>
  <si>
    <t>MR50L-R24-E2-Financial Center (Seaside) - M1</t>
  </si>
  <si>
    <t>Reason: offline  Action: re boot  Attended Time: 21:10</t>
  </si>
  <si>
    <t>INC000001317770</t>
  </si>
  <si>
    <t>Reason : Device is not working Card No.:   Customer Name:      Action : Device is back to online after Reboot  Attendee Name:  Jasper Attended Time : 23:03</t>
  </si>
  <si>
    <t>INC000001317768</t>
  </si>
  <si>
    <t>Single Risk Event: machine RTAUEVCRMRPLB3 infected with Unproven.Insight, action Quarantined</t>
  </si>
  <si>
    <t>AV full scan completed couldn't find any infected files</t>
  </si>
  <si>
    <t>INC000001317767</t>
  </si>
  <si>
    <t>MR50L-R15-E1-Garhoud - M1</t>
  </si>
  <si>
    <t>Reason: offline  Action: rebooted  Attended Time:21:10</t>
  </si>
  <si>
    <t>INC000001317765</t>
  </si>
  <si>
    <t>Reason: offline  Action: rebooted  Attended Time:19:30(17-2-2026)</t>
  </si>
  <si>
    <t>INC000001317761</t>
  </si>
  <si>
    <t>mahmalzarooni</t>
  </si>
  <si>
    <t>Maitha.Alzarooni@rta.ae</t>
  </si>
  <si>
    <t>INC000001317752</t>
  </si>
  <si>
    <t>Techm Ashiq</t>
  </si>
  <si>
    <t>Chembantakath</t>
  </si>
  <si>
    <t>PTSS: Request to test connectivity with external integration</t>
  </si>
  <si>
    <t>Connectivity</t>
  </si>
  <si>
    <t>Verified the connectivity with external integration from PTSS servers as request by application team</t>
  </si>
  <si>
    <t>V004697</t>
  </si>
  <si>
    <t>Techm_ACChembantakat</t>
  </si>
  <si>
    <t>Techm_Ashiq.Chembantakath@rta.ae</t>
  </si>
  <si>
    <t>INC000001317748</t>
  </si>
  <si>
    <t>Printer hardware issue</t>
  </si>
  <si>
    <t>INC000001317747</t>
  </si>
  <si>
    <t>VPN user ("afalbarashdi") access using expired account - 17022026-06</t>
  </si>
  <si>
    <t>as per the CSC Requested , user VPN profile has been added to manual blocked group</t>
  </si>
  <si>
    <t>INC000001317746</t>
  </si>
  <si>
    <t>ABT Microsoft software and license</t>
  </si>
  <si>
    <t>The requested softwares (Windows server 2022 std and SQL server 2022 Enterprise) to Mr Saravana's laptop</t>
  </si>
  <si>
    <t>Software Management</t>
  </si>
  <si>
    <t>Software download requests</t>
  </si>
  <si>
    <t>INC000001317738</t>
  </si>
  <si>
    <t>Office 365 license has been activated on the user ID. Kindly use your  RTA ID and password to login the Teams and activate office applications.  Please check after 20-30mins, contact ITSupport if you need additional assistance.</t>
  </si>
  <si>
    <t>INC000001317732</t>
  </si>
  <si>
    <t>[HPWJA] Black Cartridge Supply Threshold HP Color LaserJet M553 HP Only, HP Only\Models\M5</t>
  </si>
  <si>
    <t>INC000001317731</t>
  </si>
  <si>
    <t>NOC-19112025-2308</t>
  </si>
  <si>
    <t>INC000001317730</t>
  </si>
  <si>
    <t>CSC Alert:VPN user ("TECHVISTA_AAAHMED") access from outside the approved country - 17022026-05</t>
  </si>
  <si>
    <t>as CSC team requested we moved user to Blocked group so we are closing the INC</t>
  </si>
  <si>
    <t>INC000001317729</t>
  </si>
  <si>
    <t>Dashboard</t>
  </si>
  <si>
    <t>The Paid journeys can't be cancelled from the Transaction history  GC Investigation :  There's function on DB once the journey got changed status it will call this function and fill the transaction history for this journey in some case after the journey got completed it doesn't fill the transaction history as of work around we delete the draft history for this customer and we are checking the root Cause and fix it.</t>
  </si>
  <si>
    <t>INC000001317721</t>
  </si>
  <si>
    <t>Created new user account in Digital Signature system.</t>
  </si>
  <si>
    <t>INC000001317718</t>
  </si>
  <si>
    <t>SPAM Email received</t>
  </si>
  <si>
    <t>We have blocked the sender Email ID "Seemab.syeda@vinsys.ae" in email gateway and revoked   email from user "Epic_Waseem.Khan@rta.ae".</t>
  </si>
  <si>
    <t>INC000001317712</t>
  </si>
  <si>
    <t>TVM-264011 Change Cash Box  Cash box changed.  17:30 – 02/17/2026</t>
  </si>
  <si>
    <t>INC000001317704</t>
  </si>
  <si>
    <t>Alozn</t>
  </si>
  <si>
    <t>????? ??? ???? ???? ?????? ????????</t>
  </si>
  <si>
    <t>AEAlozn</t>
  </si>
  <si>
    <t>Ahmad.Alozn@rta.ae</t>
  </si>
  <si>
    <t>INC000001317703</t>
  </si>
  <si>
    <t>unable to create "Gift Received" request</t>
  </si>
  <si>
    <t>employee profile has been updated we contacted the user and he confirmed that the case has been solved</t>
  </si>
  <si>
    <t>V0031710</t>
  </si>
  <si>
    <t>trans_imahmad</t>
  </si>
  <si>
    <t>Trans_Ibrahim.Ahmad@rta.ae</t>
  </si>
  <si>
    <t>INC000001317701</t>
  </si>
  <si>
    <t>Elrayan</t>
  </si>
  <si>
    <t>Abdelsadig</t>
  </si>
  <si>
    <t>V0032669</t>
  </si>
  <si>
    <t>okool_eoabdelsadig</t>
  </si>
  <si>
    <t>Okool_Elrayan.Abdelsadig@rta.ae</t>
  </si>
  <si>
    <t>INC000001317697</t>
  </si>
  <si>
    <t>INC000001317690</t>
  </si>
  <si>
    <t>Fix Required for VehicleChangePlateTransactionDate</t>
  </si>
  <si>
    <t>@Adnan Youssef Asaad-Contractor , the ticket is not clear for us, as the mentioned view for the vehicle booklet contains (End time)as they mentioned, and the issue is related to the end time of the receipt, also they mentioned  (after the fix), which fix and what's the business.</t>
  </si>
  <si>
    <t>INC000001317685</t>
  </si>
  <si>
    <t>DUPLICATE TICKET Reason: duplicate  Action: cancel ticket  Attended Time:</t>
  </si>
  <si>
    <t>INC000001317683</t>
  </si>
  <si>
    <t>Email issue not appearing in search in outlook</t>
  </si>
  <si>
    <t>User confirmed the issue had been solved.</t>
  </si>
  <si>
    <t>INC000001317682</t>
  </si>
  <si>
    <t>smart employe didn't work today</t>
  </si>
  <si>
    <t>INC000001317677</t>
  </si>
  <si>
    <t>Cable installation in MDC</t>
  </si>
  <si>
    <t>non-cateogrised Requests</t>
  </si>
  <si>
    <t>Fiber patching, testing and labelling work completed as requested</t>
  </si>
  <si>
    <t>Request for Datacenter Cabling</t>
  </si>
  <si>
    <t>INC000001317675</t>
  </si>
  <si>
    <t>Unable to schedule or send a Microsoft Teams meeti</t>
  </si>
  <si>
    <t>INC000001317672</t>
  </si>
  <si>
    <t>RTA x Abdulla Almarzooqi</t>
  </si>
  <si>
    <t>INC000001317669</t>
  </si>
  <si>
    <t>Maximo TRAM - DB Backup Configuration</t>
  </si>
  <si>
    <t>Maximo TRAM - DB Backup has been configured. Attached the screen shot for reference.</t>
  </si>
  <si>
    <t>INC000001317667</t>
  </si>
  <si>
    <t>Alahmady</t>
  </si>
  <si>
    <t>Maximo delegate</t>
  </si>
  <si>
    <t>mfalahmady</t>
  </si>
  <si>
    <t>mohammed.farid@rta.ae</t>
  </si>
  <si>
    <t>INC000001317666</t>
  </si>
  <si>
    <t>EMS Openshift: UAT Application deployment ems-backend-20260122-1(redeploy)</t>
  </si>
  <si>
    <t>Execute DB scripts for Production Servers</t>
  </si>
  <si>
    <t>Deployed image in EMS Openshift UAT environment as requested by application team.</t>
  </si>
  <si>
    <t>INC000001317665</t>
  </si>
  <si>
    <t>Removing Wrapper service on EMS UAT Environment</t>
  </si>
  <si>
    <t>Testing has been done , not required for other node for now</t>
  </si>
  <si>
    <t>INC000001317662</t>
  </si>
  <si>
    <t>Soil Investigation Analysis</t>
  </si>
  <si>
    <t>Soil Investigation analysis is shared with the Engineer.</t>
  </si>
  <si>
    <t>INC000001317659</t>
  </si>
  <si>
    <t xml:space="preserve">GIS Data Update &amp; Import Request Request Information 2515748 INC000001317659 Project Name / Purpose * ????? ?????? Business Requirements * Transactional Data Updates updated and posted to RTA map. kindly check and confirm Implemented Data Layer: CUSTOMER HAPPINESS CENTERS  Request implemented successfully  </t>
  </si>
  <si>
    <t>INC000001317657</t>
  </si>
  <si>
    <t>Tamimi</t>
  </si>
  <si>
    <t>The Microsoft account has been successfully reset. MS Authenticator was installed on the mobile device and synchronized via QR code. Furthermore, Outlook has been properly configured and tested on the mobile app. Verified that all services are synchronized and working as expected.</t>
  </si>
  <si>
    <t>msmaltamimi</t>
  </si>
  <si>
    <t>Mohamad.Altamimi@rta.ae</t>
  </si>
  <si>
    <t>INC000001317653</t>
  </si>
  <si>
    <t>Hussam</t>
  </si>
  <si>
    <t>Shehada</t>
  </si>
  <si>
    <t>RTA/TO/23-7016</t>
  </si>
  <si>
    <t>hsshehada</t>
  </si>
  <si>
    <t>Hussam.Shehada@rta.ae</t>
  </si>
  <si>
    <t>INC000001317648</t>
  </si>
  <si>
    <t>Request for Static IP address (Internal only) for Printers, Attendance machine and access control</t>
  </si>
  <si>
    <t>Dear Ashiq,  Please find the below static IP address as requested.  10.11.18.249-10.11.18.252 10.11.75.231-10.11.75.238</t>
  </si>
  <si>
    <t>INC000001317639</t>
  </si>
  <si>
    <t>Keep getting Inbox full mails</t>
  </si>
  <si>
    <t>INC000001317638</t>
  </si>
  <si>
    <t>Eisa</t>
  </si>
  <si>
    <t>HDMI cable</t>
  </si>
  <si>
    <t>VGA Cables</t>
  </si>
  <si>
    <t>Power cable and HDMI cable has been provided to the user</t>
  </si>
  <si>
    <t>eaali</t>
  </si>
  <si>
    <t>Eisa.Ali@rta.ae</t>
  </si>
  <si>
    <t>INC000001317637</t>
  </si>
  <si>
    <t>Nian</t>
  </si>
  <si>
    <t>Laptop replacement with Mobile Workstation</t>
  </si>
  <si>
    <t>Informed user that that request for mobile workstation is non-standard hardware which is not available on our IT Service catalogue. Please send an official memo to ITD through Tarasul system to proceed further.</t>
  </si>
  <si>
    <t>Laptop Replacement With Work Station</t>
  </si>
  <si>
    <t>AHUNian</t>
  </si>
  <si>
    <t>Ali.HNian@rta.ae</t>
  </si>
  <si>
    <t>INC000001317636</t>
  </si>
  <si>
    <t>Unexpected Server Reboot in dev</t>
  </si>
  <si>
    <t>Project support</t>
  </si>
  <si>
    <t>10.14.64.137 Development server was got rebooted and came up automatically. There is no critical error or event in the server.</t>
  </si>
  <si>
    <t>Staging support</t>
  </si>
  <si>
    <t>V0029083</t>
  </si>
  <si>
    <t>okool_sihussain</t>
  </si>
  <si>
    <t>Okool_Samar.Hussain@rta.ae</t>
  </si>
  <si>
    <t>INC000001317635</t>
  </si>
  <si>
    <t>TOCC-Alert-Warning-P-260221899 | OPEN | Multiple infrastructure problems</t>
  </si>
  <si>
    <t>Now CPU saturation is normal and service are running.</t>
  </si>
  <si>
    <t>INC000001317631</t>
  </si>
  <si>
    <t>Loloh</t>
  </si>
  <si>
    <t>AL Ali</t>
  </si>
  <si>
    <t>Laptop Slowness Issue "Disk C Full"</t>
  </si>
  <si>
    <t>PC slowness issue  KBA00013671  New Laptop Replacement Request are opened INC000001318675</t>
  </si>
  <si>
    <t>lalali</t>
  </si>
  <si>
    <t>Loloh.ALAli@rta.ae</t>
  </si>
  <si>
    <t>INC000001317617</t>
  </si>
  <si>
    <t>Kouta-Contractor</t>
  </si>
  <si>
    <t>Fully scanned the endpoint with AV and deleted the quarantined items. Cleared the cache and Temp files. Ran full system virus scan and no risks were found.</t>
  </si>
  <si>
    <t>V0031598</t>
  </si>
  <si>
    <t>experts_mrkouta</t>
  </si>
  <si>
    <t>Experts_Mohamed.Kouta@rta.ae</t>
  </si>
  <si>
    <t>INC000001317613</t>
  </si>
  <si>
    <t>V0034634</t>
  </si>
  <si>
    <t>cns_hnibrahim</t>
  </si>
  <si>
    <t>Cns_Hassan.Ibrahim@rta.ae</t>
  </si>
  <si>
    <t>INC000001317609</t>
  </si>
  <si>
    <t>Ebin</t>
  </si>
  <si>
    <t>Habel</t>
  </si>
  <si>
    <t>Email inbox full. not connected to archive vault</t>
  </si>
  <si>
    <t>V0032885</t>
  </si>
  <si>
    <t>okool_ehhabel</t>
  </si>
  <si>
    <t>Okool_Ebin.Habel@rta.ae</t>
  </si>
  <si>
    <t>INC000001317608</t>
  </si>
  <si>
    <t>Mudassir</t>
  </si>
  <si>
    <t>Siddiqi-Contractor</t>
  </si>
  <si>
    <t>V001060</t>
  </si>
  <si>
    <t>Transskills_MHSiddiq</t>
  </si>
  <si>
    <t>Transskills_Mudassir.Siddiqi@rta.ae</t>
  </si>
  <si>
    <t>INC000001317607</t>
  </si>
  <si>
    <t>Al Essa</t>
  </si>
  <si>
    <t>????? ????? ??????? ???? 2025 send item</t>
  </si>
  <si>
    <t>Dear Team,  Checked and found the user mailbox has been migrated to office online O365 and note that store and restore will not work for the user mailbox now.    Please do not click on the Store / Restore options from the Enterprise vault tab now onwards. This will not work and you can access the archived emails from search vault from EV tab or by double clicking the achieved items will open the original email, the mentioned issue with opening search vault is working fine now and can be accessed, user can confirm on the same. No further actions required from EV side.  User can access the archived emails from below EV web link or Search vault option from EV tab.  https://archive.rtadataarchive.ae/enterprisevault/Search/Shell.aspx  If any futher assistance is required, please reach out to us.</t>
  </si>
  <si>
    <t>eralessa</t>
  </si>
  <si>
    <t>Eman.Alessa@rta.ae</t>
  </si>
  <si>
    <t>INC000001317602</t>
  </si>
  <si>
    <t>(Vectra) CSC Alert-Suspicious Domain Activity-17022026-03</t>
  </si>
  <si>
    <t>Domain has been blocked on proxy</t>
  </si>
  <si>
    <t>INC000001317601</t>
  </si>
  <si>
    <t>Najeeb</t>
  </si>
  <si>
    <t>abdelhadi</t>
  </si>
  <si>
    <t>DELL Laptop Slowness Issue - RAM upgrade</t>
  </si>
  <si>
    <t>RAM has been upgraded and working fine</t>
  </si>
  <si>
    <t>RAM</t>
  </si>
  <si>
    <t>V0010982</t>
  </si>
  <si>
    <t>naabdelhadi</t>
  </si>
  <si>
    <t>Najeeb.Abdelhadi@rta.ae</t>
  </si>
  <si>
    <t>INC000001317598</t>
  </si>
  <si>
    <t>Namir</t>
  </si>
  <si>
    <t>IT Server  Malfunction (Sound)</t>
  </si>
  <si>
    <t>Informed the user, This does not belong to ITD. It is related to the telephone systems. Please check with the Admin team who manages the telephones.  Please note that the subject ticket will be canceled.</t>
  </si>
  <si>
    <t>non-categorised Requests</t>
  </si>
  <si>
    <t>mmnamir</t>
  </si>
  <si>
    <t>Mohammed.Namir@rta.ae</t>
  </si>
  <si>
    <t>INC000001317597</t>
  </si>
  <si>
    <t>eNOC application in last 10 years</t>
  </si>
  <si>
    <t>Number of Applications across the years are shared.</t>
  </si>
  <si>
    <t>INC000001317594</t>
  </si>
  <si>
    <t>Al Munji</t>
  </si>
  <si>
    <t>UMM RAMOOL NEW HQ 8B</t>
  </si>
  <si>
    <t>the user profile has been updated and the VPN request 2515754 has been submitted successfully</t>
  </si>
  <si>
    <t>msmunji</t>
  </si>
  <si>
    <t>Mohammed.AlMunji@rta.ae</t>
  </si>
  <si>
    <t>INC000001317592</t>
  </si>
  <si>
    <t>Nasra</t>
  </si>
  <si>
    <t>GRP Issue</t>
  </si>
  <si>
    <t>NMAlhammadi</t>
  </si>
  <si>
    <t>Nasra.Alhammadi@rta.ae</t>
  </si>
  <si>
    <t>INC000001317589</t>
  </si>
  <si>
    <t>Request for reactivate our application - NOC-17112025-2485  Fire Fighting</t>
  </si>
  <si>
    <t>INC000001317588</t>
  </si>
  <si>
    <t>Adham</t>
  </si>
  <si>
    <t>Abdelhafez</t>
  </si>
  <si>
    <t>Adding the new Buses to application</t>
  </si>
  <si>
    <t>Hyperion Profitability &amp; Cost Management</t>
  </si>
  <si>
    <t>Added the Buses to respective parents within Bus hierarchy</t>
  </si>
  <si>
    <t>aaabdelhafez</t>
  </si>
  <si>
    <t>Adham.Abdelhafez@rta.ae</t>
  </si>
  <si>
    <t>INC000001317584</t>
  </si>
  <si>
    <t>Alnajar</t>
  </si>
  <si>
    <t>jyalnajar</t>
  </si>
  <si>
    <t>Jamila.Alnajar@rta.ae</t>
  </si>
  <si>
    <t>INC000001317579</t>
  </si>
  <si>
    <t>Share folder access provided as per the request. Path : \\rta.global\fileserver001\Share5$\TRA\RFM\Asset Maturity Assessment-2023  User: fimurad	 Path : \\rta.global\fileserver001\Share5$\TRA\RFM\Asset Maturity Assessment-2023 Approver: Ahmad Abdulla Mohd Abdulla Baba Aish</t>
  </si>
  <si>
    <t>INC000001317578</t>
  </si>
  <si>
    <t>Shared folder access has been granted to the user.  Folder Path: "\\rta.global\Fileserver001\Share7$\RAIL\C &amp; P Rail Team Common Folder\Infrastructure Procurement Team" Folder Owner: msanwer Folder Access:  User Name	Type Of Access msanwer	        Modify</t>
  </si>
  <si>
    <t>INC000001317574</t>
  </si>
  <si>
    <t>.MAURICIO SANCHEZ DIAZ - 784-1984-1960815-7</t>
  </si>
  <si>
    <t>INC000001317570</t>
  </si>
  <si>
    <t>NOC-08012026-2327</t>
  </si>
  <si>
    <t>INC000001317568</t>
  </si>
  <si>
    <t>.12752596 GirimallappaJayaprakashYallatti ( file cancel more than 4years )</t>
  </si>
  <si>
    <t>INC000001317567</t>
  </si>
  <si>
    <t>18092025-0006...Forwarding Error</t>
  </si>
  <si>
    <t>Processor can work on stuck NOCs now.</t>
  </si>
  <si>
    <t>INC000001317566</t>
  </si>
  <si>
    <t>.16983069 - Error for booking Theory test</t>
  </si>
  <si>
    <t>INC000001317564</t>
  </si>
  <si>
    <t>A confirmation email has been attached for the asset collection as the user is currently working on a laptop, which serves as her primary system, eliminating the need to maintain an extra desktop. The separate request for the asset collection has been documented under ticket INC000001321073; therefore, all necessary actions have been completed and this ticket is now resolved.</t>
  </si>
  <si>
    <t>myalhammadi</t>
  </si>
  <si>
    <t>maryam.alhammadi@rta.ae</t>
  </si>
  <si>
    <t>INC000001317563</t>
  </si>
  <si>
    <t>user profile has been updated and the request 2516443 has been submitted and approved successfully</t>
  </si>
  <si>
    <t>INC000001317560</t>
  </si>
  <si>
    <t>.17236708 ??????? ???????</t>
  </si>
  <si>
    <t>INC000001317559</t>
  </si>
  <si>
    <t>INC000001317558</t>
  </si>
  <si>
    <t>Okleh</t>
  </si>
  <si>
    <t>enterprise vault</t>
  </si>
  <si>
    <t>V0032810</t>
  </si>
  <si>
    <t>trans_smokleh</t>
  </si>
  <si>
    <t>Trans_Suzan.Okleh@rta.ae</t>
  </si>
  <si>
    <t>INC000001317548</t>
  </si>
  <si>
    <t>Request for Re-active of Cancelled NOC-14112025-2182</t>
  </si>
  <si>
    <t>INC000001317546</t>
  </si>
  <si>
    <t>Sathish</t>
  </si>
  <si>
    <t>Delly</t>
  </si>
  <si>
    <t>Sathish Delly</t>
  </si>
  <si>
    <t>Dear Soheb,  We have implemented the firewall matrix and communicated already.  PFA. If any issue, please let me know.   Best Regards Sathish.D</t>
  </si>
  <si>
    <t>V0029857</t>
  </si>
  <si>
    <t>techm_sddelly</t>
  </si>
  <si>
    <t>Techm_Sathish.Delly@rta.ae</t>
  </si>
  <si>
    <t>INC000001317545</t>
  </si>
  <si>
    <t>.16837736// facing cts error</t>
  </si>
  <si>
    <t>INC000001317542</t>
  </si>
  <si>
    <t>Mohammed Abdullah</t>
  </si>
  <si>
    <t>Kindly note the MOM account has already been created.</t>
  </si>
  <si>
    <t>AMAbdullah</t>
  </si>
  <si>
    <t>Aisha.Abdullah@rta.ae</t>
  </si>
  <si>
    <t>INC000001317541</t>
  </si>
  <si>
    <t>.????? ????? 17233868</t>
  </si>
  <si>
    <t>INC000001317531</t>
  </si>
  <si>
    <t>.Request to Add Class on CTS for Student’s RTA Road Test Booking-25515273</t>
  </si>
  <si>
    <t>INC000001317530</t>
  </si>
  <si>
    <t>Atcom Ricky</t>
  </si>
  <si>
    <t>Namey</t>
  </si>
  <si>
    <t>Name of users whose extension numbers are to be changed in IAM and Outlook.</t>
  </si>
  <si>
    <t>V00441</t>
  </si>
  <si>
    <t>atcom_rnamey</t>
  </si>
  <si>
    <t>Atcom_ricky.namey@rta.ae</t>
  </si>
  <si>
    <t>INC000001317524</t>
  </si>
  <si>
    <t>Techm Abdul</t>
  </si>
  <si>
    <t>Raheem</t>
  </si>
  <si>
    <t>Laptop Issue.</t>
  </si>
  <si>
    <t>HQ Block A 5th Floor</t>
  </si>
  <si>
    <t>New ticket # INC000001320382 is raised for laptop replacementNew ticket # INC000001320382 is raised for laptop replacement</t>
  </si>
  <si>
    <t>V004724</t>
  </si>
  <si>
    <t>Techm_ARRaheem</t>
  </si>
  <si>
    <t>Techm_Abdul.Raheem@rta.ae</t>
  </si>
  <si>
    <t>INC000001317515</t>
  </si>
  <si>
    <t>.Unable to Book Road Test – Showing Pending Pre-Requisite Services 25118970</t>
  </si>
  <si>
    <t>Non-Technical |  User Clarification About Exam Eligibility Non-Technical |  User Clarification About Exam Eligibility</t>
  </si>
  <si>
    <t>INC000001317509</t>
  </si>
  <si>
    <t>.Error While applying for the Old File cancellation- 12379847</t>
  </si>
  <si>
    <t>INC000001317507</t>
  </si>
  <si>
    <t>Eissa</t>
  </si>
  <si>
    <t>Please note that there is a Ticket # INC000001321538  is raised for desktop replacement. New desktop will be released based on the same. hence closing this ticket.</t>
  </si>
  <si>
    <t>kieissa</t>
  </si>
  <si>
    <t>khadija.eissa@rta.ae</t>
  </si>
  <si>
    <t>INC000001317505</t>
  </si>
  <si>
    <t>Microsoft Windows Server Security Patching Schedule &amp; STAGING Deployment for February 2026</t>
  </si>
  <si>
    <t>GIS Staging database servers are rebooted with respect to the Windows Server Patch</t>
  </si>
  <si>
    <t>INC000001317501</t>
  </si>
  <si>
    <t>.Fw: Requesting for a solution</t>
  </si>
  <si>
    <t>INC000001317500</t>
  </si>
  <si>
    <t>.????? ????? /17236351</t>
  </si>
  <si>
    <t>INC000001317498</t>
  </si>
  <si>
    <t>.GOLDEN VISA DIRECT TEST</t>
  </si>
  <si>
    <t>INC000001317489</t>
  </si>
  <si>
    <t>IAM Slowness login.rta.ae</t>
  </si>
  <si>
    <t>We are monitoring the same and raised the case with oracle and prallely checking with wintel team as well</t>
  </si>
  <si>
    <t>INC000001317482</t>
  </si>
  <si>
    <t>Recording Permission - Coursera webinar</t>
  </si>
  <si>
    <t>Teams Recording feature enabled on the user id for the specific meeting and revoked the feature after the meeting.</t>
  </si>
  <si>
    <t>INC000001317479</t>
  </si>
  <si>
    <t>Ola</t>
  </si>
  <si>
    <t>Saleem Al Shaltoni</t>
  </si>
  <si>
    <t>she has confirmed to close the ticket as phone No. is updated now</t>
  </si>
  <si>
    <t>osalsholtoni</t>
  </si>
  <si>
    <t>Ola.Alshaltoni@rta.ae</t>
  </si>
  <si>
    <t>INC000001317476</t>
  </si>
  <si>
    <t>PJ SEW &amp; TELECOM Project - NOC re-activation-NOC no. 13112025-2512</t>
  </si>
  <si>
    <t>INC000001317474</t>
  </si>
  <si>
    <t>NOCs reactivation - 17/02/2026</t>
  </si>
  <si>
    <t>INC000001317472</t>
  </si>
  <si>
    <t>Buthaina</t>
  </si>
  <si>
    <t>Althahali</t>
  </si>
  <si>
    <t>External monitor Request</t>
  </si>
  <si>
    <t>Confirmed by the user that the request no longer required.</t>
  </si>
  <si>
    <t>Dismantle &amp; Refix AV Devices</t>
  </si>
  <si>
    <t>bkalthahali</t>
  </si>
  <si>
    <t>Buthaina.Althahali@rta.ae</t>
  </si>
  <si>
    <t>INC000001317471</t>
  </si>
  <si>
    <t>Distribution List Creation</t>
  </si>
  <si>
    <t>Below requested DL is created by AD team and requested user is also added in below group, please check and confirm.   DL Name: _CCTawasul Email Address : _ccTawasul@rta.ae  List Of Users:  avaya_trabdallah avaya_smhussein avaya_anshaaban avaya_hhgomaa msmohammed maalazzeh avaya_nmhussain avaya_oamohamedsalah avaya_sebakhsh avaya_saibrahim avaya_sbsharma avaya_srqureshi avaya_waissa</t>
  </si>
  <si>
    <t>INC000001317470</t>
  </si>
  <si>
    <t>Archana</t>
  </si>
  <si>
    <t>Karkala</t>
  </si>
  <si>
    <t>Oracle authenticator issue</t>
  </si>
  <si>
    <t>V0024979</t>
  </si>
  <si>
    <t>dit_akkarkala</t>
  </si>
  <si>
    <t>Dit_Archana.AKarkala@rta.ae</t>
  </si>
  <si>
    <t>INC000001317467</t>
  </si>
  <si>
    <t>Kinan Albouni</t>
  </si>
  <si>
    <t>Audio Systems</t>
  </si>
  <si>
    <t>ITD provided the Audio set up and support during the event. Dismatled the Audio system after the event.</t>
  </si>
  <si>
    <t>mkalbouni</t>
  </si>
  <si>
    <t>Mohammed.Albouni@rta.ae</t>
  </si>
  <si>
    <t>INC000001317464</t>
  </si>
  <si>
    <t>INC000001317460</t>
  </si>
  <si>
    <t xml:space="preserve">outlook mailbox keeps on getting full </t>
  </si>
  <si>
    <t>Checked and found EV access not enabled, we have enabled EV access for the user mailbox. Now EV is working as per RTA policy. Inititaed a manual run &amp; sync on the user mailbox. Freed up space. User having free space now. Please close outlook and check on EV tab will appear now, User can also access the EV web link - https://archive.rtadataarchive.ae/enterprisevault/Search/Shell.aspx for accessing archived emails outside RTA , Attaching screenshot for reference. Hence closing the ticket. If user having any issues please reach out to us with new ticket.</t>
  </si>
  <si>
    <t>INC000001317459</t>
  </si>
  <si>
    <t>Divya</t>
  </si>
  <si>
    <t>Kotain</t>
  </si>
  <si>
    <t>Unable to login to BMC</t>
  </si>
  <si>
    <t>We have checked with user and she is able to login in BMC application.</t>
  </si>
  <si>
    <t>V0012790</t>
  </si>
  <si>
    <t>cadd_drkotain</t>
  </si>
  <si>
    <t>Cadd_Divya.Kotain@rta.ae</t>
  </si>
  <si>
    <t>INC000001317456</t>
  </si>
  <si>
    <t>New folder has been created as per the request and provided access mentioned users.  Path : \\rta.global\fileserver001\Share7$\CTSS\TSG\TSG_AI_Centre_Colab Approver: Ali Ibrahim Ali Al Qassab</t>
  </si>
  <si>
    <t>INC000001317454</t>
  </si>
  <si>
    <t>.??? ?? ??? ??? ???? 16606679</t>
  </si>
  <si>
    <t>INC000001317453</t>
  </si>
  <si>
    <t>Yousaf</t>
  </si>
  <si>
    <t>Izhar</t>
  </si>
  <si>
    <t>VPN Access has been provided to the user role ,</t>
  </si>
  <si>
    <t>V0034641</t>
  </si>
  <si>
    <t>ymizhar</t>
  </si>
  <si>
    <t>Yousaf.Izhar@rta.ae</t>
  </si>
  <si>
    <t>INC000001317452</t>
  </si>
  <si>
    <t>Ansari</t>
  </si>
  <si>
    <t>alternate solution to open MKV files, you can use a media plyer</t>
  </si>
  <si>
    <t>ffansari</t>
  </si>
  <si>
    <t>Fahad.Ansari@rta.ae</t>
  </si>
  <si>
    <t>INC000001317447</t>
  </si>
  <si>
    <t>Sphera ESG System Down</t>
  </si>
  <si>
    <t>The issue is currently under investigation.  ------------------------------------------ 19-02-2026 10:38 The issue has been resolved and the system is back online.</t>
  </si>
  <si>
    <t>INC000001317446</t>
  </si>
  <si>
    <t>EV Access Request</t>
  </si>
  <si>
    <t>INC000001317444</t>
  </si>
  <si>
    <t>Generic ID access request</t>
  </si>
  <si>
    <t>We have provided accsss to below 3 users on AMDHappinessteam@rta.ae  samah.alsaadi@rta.ae  mohamed.yali@rta.ae  ayesha.aljasmi@rta.ae  And revoked the access of below users.  Maryam.Alyassi@rta.ae  Hassan.Tamimi@rta.ae</t>
  </si>
  <si>
    <t>INC000001317442</t>
  </si>
  <si>
    <t>.????? ????? 17211235</t>
  </si>
  <si>
    <t>INC000001317440</t>
  </si>
  <si>
    <t>.17232792 ????? ?????</t>
  </si>
  <si>
    <t>INC000001317439</t>
  </si>
  <si>
    <t>aulty voice socket 4C1-V024</t>
  </si>
  <si>
    <t>Network port issue</t>
  </si>
  <si>
    <t>Replaced faulty voice socket 4C1-V024</t>
  </si>
  <si>
    <t>INC000001317430</t>
  </si>
  <si>
    <t>Bat</t>
  </si>
  <si>
    <t>IPAD Configuration Request</t>
  </si>
  <si>
    <t>We have activated user account in Airwatch. IT support will help user to enroll device.</t>
  </si>
  <si>
    <t>akbat</t>
  </si>
  <si>
    <t>Abdul.Bat@rta.ae</t>
  </si>
  <si>
    <t>INC000001317429</t>
  </si>
  <si>
    <t>Request for RTA user login @email</t>
  </si>
  <si>
    <t>Please find below user details and share the same with user:   Employee Number	Display Name	E-mail	User Login V0033196	Latif Ullah Rehan-Contractor	Ultimate_Latif.Rehan@rta.ae	ULTIMATE_LUREHAN V0033193	Riyas Odayoth Aboobacker-Contractor	Ultimate_Riyas.Aboobacker@rta.ae	ULTIMATE_ROABOOBACKE V0033192	Jobin Thankachan Thankachan-Contractor	Ultimate_Jobin.Thankachan@rta.ae	ULTIMATE_JTTHANKACHA V0033188	Majidkhan Thajudeen Haneefa-Contractor	Ultimate_Majidkhan.Haneefa@rta.ae	ULTIMATE_MTHANEEFA V0033813	Abdul Vahid Moyinveedu-Contractor	Ultimate_Abdul.Moyinveedu@rta.ae	ULTIMATE_AVMOYINVEED V0033266	Himayat Ullah Zarullah-Contractor	Ultimate_Himayat.Zarullah@rta.ae	ULTIMATE_HUZARULLAH V0033812	Shanoop Kallam Punathil-Contractor	Ultimate_Shanoop.Punathil@rta.ae	ULTIMATE_SKPUNATHIL V0033719	Rehan Ullah Khan-Contractor	Ultimate_Rehan.Khan@rta.ae	ULTIMATE_RUKHAN V0033717	Ramesh Kumar Rajarathinam-Contractor	Ultimate_Ramesh.Rajarathinam@rta.ae	ULTIMATE_RKRAJARATHI V0033718	Shanavas Jamaludeen Jamaludeen-Contractor	Ultimate_Shanavas.Jamaludeen@rta.ae	ULTIMATE_SJJAMALUDEE V0033715	Hazrat Bilal Rafiq-Contractor	Ultimate_Hazrat.Rafiq@rta.ae	ULTIMATE_HBRAFIQ V0033714	Abdul Irshad Kombantakath-Contractor	Ultimate_Abdul.Kombantakath@rta.ae	ULTIMATE_AIKOMBANTAK V0034474	Udaya Kumar Shankara-Contractor	Ultimate_Udaya.Shankara@rta.ae	ULTIMATE_UKSHANKARA V0033726	Anu Mohanan Mohanan-Contractor	Ultimate_Anu.Mohanan@rta.ae	ULTIMATE_AMMOHANAN V0034473	Saju Appicherukkan Appicherukkan-Contractor	Ultimate_Saju.Appicherukkan@rta.ae	ULTIMATE_SAAPPICHERU V0033264	Hameed Ullah Zameen-Contractor	Ultimate_Hameed.Zameen@rta.ae	ULTIMATE_HUZAMEEN V0033811	Anilkumar Balakrishna Pillai-Contractor	Ultimate_Anilkumar.Pillai@rta.ae	ULTIMATE_ABPILLAI V0033810	Akshay Shaji Shaji-Contractor	Ultimate_Akshay.Shaji@rta.ae	ULTIMATE_ASSHAJI V0033808	Sohail Gul Juma-Contractor	Ultimate_Sohail.Juma@rta.ae	ULTIMATE_SGJUMA V0033807	Vijay Nechipelli Anand-Contractor	Ultimate_Vijay.Anand@rta.ae	ULTIMATE_VNANAND V0033806	Sajimon Sathyan Subhadra-Contractor	Ultimate_Sajimon.Subhadra@rta.ae	ULTIMATE_SSSUBHADRA V0033866	Din Muhammad Hazari-Contractor	Ultimate_Din.Hazari@rta.ae	ULTIMATE_DMHAZARI V0033865	Muhammad Shahzeb Mushtaq-Contractor	Ultimate_Muhammad.Mushtaq@rta.ae	ULTIMATE_MSMUSHTAQ V0033864	Abdul Khaliq Niaz-Contractor	Ultimate_Abdul.Niaz@rta.ae	ULTIMATE_AKNIAZ V0033863	Afsal Abdulvahab Abdul-Contractor	Ultimate_Afsal.Abdul@rta.ae	ULTIMATE_AAABDUL V0033869	Gulshan Rai Amar-Contractor	Ultimate_Gulshan.Amar@rta.ae	ULTIMATE_GRAMAR V0033868	Mubeen Khan Yaqoob-Contractor	Ultimate_Mubeen.Yaqoob@rta.ae	ULTIMATE_MKYAQOOB V0033867	Muhammad Younas Arbab-Contractor	Ultimate_Muhammad.Arbab@rta.ae	ULTIMATE_MYARBAB V0033870	Samiullah Shakirullah Samiullah-Contractor	Ultimate_Samiullah.Samiullah@rta.ae	ULTIMATE_SSSAMIULLAH V0033892	Muhammad Waqas Muhammad-Contractor	Ultimate_Muhammad.Muhammad@rta.ae	ULTIMATE_MWMUHAMMAD V0033871	Ahmad Ali Mir-Contractor	Ultimate_Ahmad.Mir@rta.ae	ULTIMATE_AAMIR V0033886	Noble Varkey Kuzhiyil-Contractor	Ultimate_Noble.Kuzhiyil@rta.ae	ULTIMATE_NVKUZHIYIL V0034472	Riyaz Abu Mohamed-Contractor	Ultimate_Riyaz.Mohamed@rta.ae	ULTIMATE_RAMOHAMED</t>
  </si>
  <si>
    <t>INC000001317422</t>
  </si>
  <si>
    <t>INC000001317421</t>
  </si>
  <si>
    <t>Shaju</t>
  </si>
  <si>
    <t>Chacko-Contractor</t>
  </si>
  <si>
    <t>User confirmed that, she is able to connect to VPN &amp; access all her servers. Hence we are resolving this ticket. Attached email below.</t>
  </si>
  <si>
    <t>V0030819</t>
  </si>
  <si>
    <t>dubait_svchacko</t>
  </si>
  <si>
    <t>Dubait_Shaju.Chacko@rta.ae</t>
  </si>
  <si>
    <t>INC000001317415</t>
  </si>
  <si>
    <t>INC000001317407</t>
  </si>
  <si>
    <t>To create a username and email for a new joiner.</t>
  </si>
  <si>
    <t>Please find below user details and share the same with user:  Employee Number 15978 E-mail Fatma.AlAhli@rta.ae User Login FALAHLI Display Name Fatma Ali Hassan Ali Ahli</t>
  </si>
  <si>
    <t>NIAlmarzooqi</t>
  </si>
  <si>
    <t>Najwa.Almarzooqi@rta.ae</t>
  </si>
  <si>
    <t>INC000001317406</t>
  </si>
  <si>
    <t>reapplied the permission , kindly restart outlook and check</t>
  </si>
  <si>
    <t>INC000001317396</t>
  </si>
  <si>
    <t>Unable to modify user group member</t>
  </si>
  <si>
    <t>Add/Remove from DL (RE)</t>
  </si>
  <si>
    <t>Access has been provided to user Hamad Yaqoob Yousef AlSheerawi AlMansoori for modifying the Group memberships of "_deira BS team".</t>
  </si>
  <si>
    <t>HYAlmansoori</t>
  </si>
  <si>
    <t>Hamad.Almansoori@rta.ae</t>
  </si>
  <si>
    <t>INC000001317395</t>
  </si>
  <si>
    <t>.17210848 ????? ?????</t>
  </si>
  <si>
    <t>INC000001317393</t>
  </si>
  <si>
    <t>Application rejected</t>
  </si>
  <si>
    <t>Customer is advised. to apply for a construction NOC.</t>
  </si>
  <si>
    <t>INC000001317382</t>
  </si>
  <si>
    <t>Modify VPN Access has been provided to the user role</t>
  </si>
  <si>
    <t>INC000001317373</t>
  </si>
  <si>
    <t>Hamdi</t>
  </si>
  <si>
    <t>RAM upgrade request</t>
  </si>
  <si>
    <t>MUHAISNAH -DUBAI TAXI OLD BUILDING</t>
  </si>
  <si>
    <t>Desktop RAM</t>
  </si>
  <si>
    <t>Laptop RAM upgraded to 16gb as requested.</t>
  </si>
  <si>
    <t>Laptop RAM</t>
  </si>
  <si>
    <t>hnsaleh</t>
  </si>
  <si>
    <t>Hamdi.Saleh@rta.ae</t>
  </si>
  <si>
    <t>INC000001317358</t>
  </si>
  <si>
    <t>Ayoub</t>
  </si>
  <si>
    <t>Alialmazem</t>
  </si>
  <si>
    <t>??? ?? ???? ??????? ?? RMS</t>
  </si>
  <si>
    <t>Done as requested by user to send fine to RMS</t>
  </si>
  <si>
    <t>amalialmazem</t>
  </si>
  <si>
    <t>Ayoub.Alialmazem@rta.ae</t>
  </si>
  <si>
    <t>INC000001317357</t>
  </si>
  <si>
    <t>As per the service request, we added the requested IPs of the application/services to the user VPN profile except the RDP access, since there is no Risk ID &amp; as per the SMD comments RDP to "Jump servers on non production" only without production access. Sent Mail to the user to check the same. Hence we are resolving this ticket.</t>
  </si>
  <si>
    <t>INC000001317351</t>
  </si>
  <si>
    <t>Access has been provided to user Hamad Yaqoob Yousef AlSheerawi AlMansoori for modifying the Group memberships of "_deira BS team"</t>
  </si>
  <si>
    <t>INC000001317347</t>
  </si>
  <si>
    <t>Abdelsalam</t>
  </si>
  <si>
    <t>Share folder access provided as per the request. Path : \\rta.global\fileserver001\Share5$\TRA\ITS\TMC - Deira User: amabdelsalam Approver: Hanan Ahmed Abdelghffar Abdelrahman Alsharif</t>
  </si>
  <si>
    <t>amabdelsalam</t>
  </si>
  <si>
    <t>Ahmed.Abdelsalam@rta.ae</t>
  </si>
  <si>
    <t>INC000001317345</t>
  </si>
  <si>
    <t>INC000001317342</t>
  </si>
  <si>
    <t>Share folder access provided as per the request. path : \\rta.global\fileserver001\RTA\TRA\T&amp;RA-CEO  User: mzyasin Approver: Hala Adil Almakt</t>
  </si>
  <si>
    <t>INC000001317302</t>
  </si>
  <si>
    <t>Required registry fix has been pushed to the affected device.. No further action required</t>
  </si>
  <si>
    <t>INC000001317296</t>
  </si>
  <si>
    <t>Request for creating external user in IBM ELM DoorsNG application</t>
  </si>
  <si>
    <t>Please find below user details and share the same with user:  Employee Number: V0034814 User Login: PAJV_DRRAJU Display Name: Dilip Raju-Contractor   Employee Number: V0034815 User Login: SYSTRA_KLLOPEZ Display Name: Kendely Lopez-Contractor   Employee Number: V0034817 User Login: MLCC_MNNIELSEN Display Name: Michael Nielsen-Contractor</t>
  </si>
  <si>
    <t>INC000001317292</t>
  </si>
  <si>
    <t>Request to Close User Account and Update BMC EMS Group</t>
  </si>
  <si>
    <t>BMC access has been revoked for the user #isoft_hamzeh.abulawi@rta.ae.  Also access to EMS group in BMC has been granted to #Isoft_AIBJouni@rta.ae.  RTA user account #isoft_amabdalmajeed@rta.ae is not available,</t>
  </si>
  <si>
    <t>INC000001317287</t>
  </si>
  <si>
    <t>Maher</t>
  </si>
  <si>
    <t>Mattit Marwan</t>
  </si>
  <si>
    <t>New Laptop Request - New Joiners - Tuesday 17.02.2026</t>
  </si>
  <si>
    <t>New laptop has been configured and handed to the user</t>
  </si>
  <si>
    <t>mmmattit</t>
  </si>
  <si>
    <t>maher.mattit@rta.ae</t>
  </si>
  <si>
    <t>INC000001317286</t>
  </si>
  <si>
    <t>Elmalah</t>
  </si>
  <si>
    <t>Common Services</t>
  </si>
  <si>
    <t>Reports/Information/Log Enabling</t>
  </si>
  <si>
    <t>Hello Team,  Access matrix to the mentioned share folder has been shared with user through IT Support and attached along with this ticket.</t>
  </si>
  <si>
    <t>afelmalah</t>
  </si>
  <si>
    <t>Ahmed.Elmalah@rta.ae</t>
  </si>
  <si>
    <t>INC000001317284</t>
  </si>
  <si>
    <t>iPad request</t>
  </si>
  <si>
    <t>INC000001317282</t>
  </si>
  <si>
    <t>License printer issue</t>
  </si>
  <si>
    <t>Printer Issue</t>
  </si>
  <si>
    <t>Firmware issue</t>
  </si>
  <si>
    <t>INC000001317280</t>
  </si>
  <si>
    <t>Qrieq</t>
  </si>
  <si>
    <t>kindly proceed with decommissioning and unpublishing of the  Expired Certificates on Production</t>
  </si>
  <si>
    <t>We have removed the DNS records of below as per the email from ITIS. Please let us know if any more action required from system side.  etaqyeem.rta.ae empa.rta.ae</t>
  </si>
  <si>
    <t>ATQrieq</t>
  </si>
  <si>
    <t>Amer.Qrieq@rta.ae</t>
  </si>
  <si>
    <t>INC000001317274</t>
  </si>
  <si>
    <t>Request to configure MS edge in IE mode to use smart traffic</t>
  </si>
  <si>
    <t>INC000001317250</t>
  </si>
  <si>
    <t>RTPI-ETI-EP-12/340121</t>
  </si>
  <si>
    <t>Reason : PM                       Card No.:             Customer Name:             Action : PM done  Attendee Name: Jasper  Attended Time : 21:10</t>
  </si>
  <si>
    <t>INC000001317234</t>
  </si>
  <si>
    <t>TOM-327711</t>
  </si>
  <si>
    <t>Preventive Maintenance completed. Cleaned and check TOM functionality. No issue found. TOM operational.</t>
  </si>
  <si>
    <t>INC000001317228</t>
  </si>
  <si>
    <t xml:space="preserve">????manager approval  ???? ???? ??????? </t>
  </si>
  <si>
    <t>no technical issue, Mr. Ahmad Abdulla Mohd Abdulla Baba Aish is already the Manager of Roads Maintenance Section, the vendors should apply for create update vendor account service and update their account or contact the IAM to update the line manager before they apply for the E-permit service</t>
  </si>
  <si>
    <t>INC000001317220</t>
  </si>
  <si>
    <t>IAM-Wintel:DepartmentShift</t>
  </si>
  <si>
    <t>User access has been revoked from below share folder.  W:\Share4\SCG\Knowledge and Innovation\Partnership Section W:\Share4\CASS\Customer Service\7 Stars Service\Evidences</t>
  </si>
  <si>
    <t>IAMSupport</t>
  </si>
  <si>
    <t>DFS - Network Folder Access Revoke</t>
  </si>
  <si>
    <t>V002104</t>
  </si>
  <si>
    <t>IAM.Support@rta.ae</t>
  </si>
  <si>
    <t>INC000001317216</t>
  </si>
  <si>
    <t>Block the below url on proxy/firewall</t>
  </si>
  <si>
    <t>INC000001317210</t>
  </si>
  <si>
    <t>Opaida</t>
  </si>
  <si>
    <t>Alsulaiman</t>
  </si>
  <si>
    <t>ABT Customer Portal DNS and IP (test zone creation)</t>
  </si>
  <si>
    <t>System</t>
  </si>
  <si>
    <t>Created the test zone (noltest.rta.ae) And tested the resolution , its working fine.</t>
  </si>
  <si>
    <t>osalsulaiman</t>
  </si>
  <si>
    <t>Opaida.Alsulaiman@rta.ae</t>
  </si>
  <si>
    <t>INC000001317201</t>
  </si>
  <si>
    <t>Anabtawi</t>
  </si>
  <si>
    <t>Automation ticket not available in BMC #1250373</t>
  </si>
  <si>
    <t>As discussed, the request # 2332395 was submitted in Automation on 16 Oct 2025.  BMC ticket was not created because of session timeout. We had identify it in Oct 2025 and corrected both Automation and BMC system by increasing session timeout to 1 minute, and after this we have not received any scenarios like this.  Since this ticket is very old, request you to raise new request for VPN access in Automation system.</t>
  </si>
  <si>
    <t>V0027419</t>
  </si>
  <si>
    <t>Cns_Ahmad.Anabtawi@rta.ae</t>
  </si>
  <si>
    <t>INC000001317200</t>
  </si>
  <si>
    <t>Shan</t>
  </si>
  <si>
    <t>password reset frailer</t>
  </si>
  <si>
    <t>We have checked our logs and user able to reset his password.</t>
  </si>
  <si>
    <t>V0026614</t>
  </si>
  <si>
    <t>eco_hashan</t>
  </si>
  <si>
    <t>Eco_Hafiz.Shan@rta.ae</t>
  </si>
  <si>
    <t>INC000001317197</t>
  </si>
  <si>
    <t>check the health of the network and infrastructure related to the Digital Signature application</t>
  </si>
  <si>
    <t>report mailed to user  so we are closing the INC</t>
  </si>
  <si>
    <t>INC000001317194</t>
  </si>
  <si>
    <t>Epic Aldrin</t>
  </si>
  <si>
    <t>No More Disk space on Shared Folder</t>
  </si>
  <si>
    <t>Hello Team,  Share Folder size has been increased with default 10GB size. Kindly check and let us know the status</t>
  </si>
  <si>
    <t>V004564</t>
  </si>
  <si>
    <t>Epic_AQPineda</t>
  </si>
  <si>
    <t>Epic_Aldrin.Pineda@rta.ae</t>
  </si>
  <si>
    <t>INC000001317181</t>
  </si>
  <si>
    <t>URGENT - GTFS data for 2024</t>
  </si>
  <si>
    <t>Service Request - Report Generation</t>
  </si>
  <si>
    <t>Other Reports Generation</t>
  </si>
  <si>
    <t>Requested GTFS static files was shared to the requestor.</t>
  </si>
  <si>
    <t>Service Request - Data</t>
  </si>
  <si>
    <t>Data Accuracy Verified</t>
  </si>
  <si>
    <t>INC000001317176</t>
  </si>
  <si>
    <t>Waqar</t>
  </si>
  <si>
    <t>Ayappally</t>
  </si>
  <si>
    <t xml:space="preserve">Remote Desktop connection Not working </t>
  </si>
  <si>
    <t>Network Port Issue</t>
  </si>
  <si>
    <t>wyayappally</t>
  </si>
  <si>
    <t>Waqar.Ayappally@rta.ae</t>
  </si>
  <si>
    <t>INC000001317171</t>
  </si>
  <si>
    <t>Emam</t>
  </si>
  <si>
    <t>Majeed</t>
  </si>
  <si>
    <t>enable EV to my email. My email storage is getting full.</t>
  </si>
  <si>
    <t>ermajeed</t>
  </si>
  <si>
    <t>Emam.Majeed@rta.ae</t>
  </si>
  <si>
    <t>INC000001317170</t>
  </si>
  <si>
    <t>Nabeel</t>
  </si>
  <si>
    <t>Naseer</t>
  </si>
  <si>
    <t>Enable Enterprise Vault for my email</t>
  </si>
  <si>
    <t>V0034635</t>
  </si>
  <si>
    <t>cns_nnnaseer</t>
  </si>
  <si>
    <t>Cns_Nabeel.Naseer@rta.ae</t>
  </si>
  <si>
    <t>INC000001317148</t>
  </si>
  <si>
    <t>Power Cable and connector (Backup)</t>
  </si>
  <si>
    <t>ec3 itservicedesk</t>
  </si>
  <si>
    <t>Power cable issue</t>
  </si>
  <si>
    <t>as per Soubhi/Sachin, a backup cable is not in GNSS scope, alternatively, requested to BUF/Suhaib by email</t>
  </si>
  <si>
    <t>Power Cable Issue</t>
  </si>
  <si>
    <t>INC000001317137</t>
  </si>
  <si>
    <t>sokutty</t>
  </si>
  <si>
    <t>Sajid.Kutty@RTA.ae</t>
  </si>
  <si>
    <t>INC000001317080</t>
  </si>
  <si>
    <t>Mulkiya/License printers Issue</t>
  </si>
  <si>
    <t>USB Printer Issue - Unable to Print  KBA00000346</t>
  </si>
  <si>
    <t>INC000001317057</t>
  </si>
  <si>
    <t>Adding FY26 to FY30 Years to Costing application</t>
  </si>
  <si>
    <t>Added the Years FY26 to FY30 to all the Costing applications</t>
  </si>
  <si>
    <t>INC000001317036</t>
  </si>
  <si>
    <t>Issue with Reply Option for Uploading Documents</t>
  </si>
  <si>
    <t>Replying to a comment with department decision is given is not allowed.</t>
  </si>
  <si>
    <t>INC000001317024</t>
  </si>
  <si>
    <t>External Monitor\ Khawaneej Depot</t>
  </si>
  <si>
    <t>Based on update from ITD, We regret to inform you that your request can not be processed,  Please note that as per RTA policy terms and conditions your request for external monitor request is not approved.</t>
  </si>
  <si>
    <t>MYOMohamad</t>
  </si>
  <si>
    <t>Mona.Mohamad@rta.ae</t>
  </si>
  <si>
    <t>INC000001317020</t>
  </si>
  <si>
    <t>Ucmc Prince</t>
  </si>
  <si>
    <t>Abraham</t>
  </si>
  <si>
    <t>M365 license has been assigned to user Ucmc_PAAbraham@rta.ae</t>
  </si>
  <si>
    <t>V003561</t>
  </si>
  <si>
    <t>Ucmc_PAAbraham</t>
  </si>
  <si>
    <t>Ucmc_Prince.Abraham@rta.ae</t>
  </si>
  <si>
    <t>INC000001317014</t>
  </si>
  <si>
    <t>Kirill</t>
  </si>
  <si>
    <t>Bochkarev</t>
  </si>
  <si>
    <t>As this email ID - Intertech_Kirill.Bochkarev@rta.ae is no longer a valid ID &amp; as per the below notes from SD team , unable to support the user. Hence We are resolving this ticket.</t>
  </si>
  <si>
    <t>V0033126</t>
  </si>
  <si>
    <t>intertech_kkbochkare</t>
  </si>
  <si>
    <t>Intertech_Kirill.Bochkarev@rta.ae</t>
  </si>
  <si>
    <t>INC000001316994</t>
  </si>
  <si>
    <t>Access  of below users revoked from mentioned path.  amalmaamari	Remove Access	Permanent	  oaabdulla	Remove Access	Permanent	  baabdulla	Remove Access	Permanent	  hjjaber	Remove Access	Permanent	  aibralali	Remove Access	Permanent	  myhamadi	Remove Access	Permanent	  maaalawadhi	Remove Access	Permanent  Path : \\rta.global\chairmanoffice\CO$\IUPQA\02. QoL Approver :Shaikha Ahmad Abdulla Bin Alshaikh Ahmad Alshaikh</t>
  </si>
  <si>
    <t>INC000001316991</t>
  </si>
  <si>
    <t>Request to display  attachments  on screen - Um Rummol Customer Happiness Center</t>
  </si>
  <si>
    <t>Uploaded the content in Deira CHC &amp; Umm Ramool CHC. Done</t>
  </si>
  <si>
    <t>INC000001316988</t>
  </si>
  <si>
    <t>INC000001316974</t>
  </si>
  <si>
    <t>????? ??????? ????? ????????</t>
  </si>
  <si>
    <t>the issue with the report that he not return the reference for ?????? ?????? ?????? issue solved and add the reference for ?????? ?????? ??????</t>
  </si>
  <si>
    <t>INC000001316972</t>
  </si>
  <si>
    <t>RTPI-MN32E-DDDMS-Dubai Design District (Alert ID: '251778')</t>
  </si>
  <si>
    <t>INC000001316970</t>
  </si>
  <si>
    <t>Parking Fines reports</t>
  </si>
  <si>
    <t>We identified the discrepancy in the previous months manually by attempting to extract the receipts that were confirmed after the end of the month, and if we follow that approach, the discrepancy is AED 6300 while the reported difference is 105,935.00. The amount we calculated was significantly lower than the below figures.  We have now applied a solution to address this issue, but it was not implemented at that time. The approach previously followed was inconsistent and cannot be applied to all months, as it requires knowing exactly which receipts were printed.  Additionally, when we generate the report now, the amount differs from the PDF you attached which makes it hard to identify the receipts that caused the difference.</t>
  </si>
  <si>
    <t>INC000001316927</t>
  </si>
  <si>
    <t>Mahra</t>
  </si>
  <si>
    <t>user profile is active and they last login 2/20/2026, 9:20 AM as per the automation logs</t>
  </si>
  <si>
    <t>mmaabdulla</t>
  </si>
  <si>
    <t>Mahra.Abdulla@rta.ae</t>
  </si>
  <si>
    <t>INC000001316925</t>
  </si>
  <si>
    <t>Dilip</t>
  </si>
  <si>
    <t>Saputhanthri</t>
  </si>
  <si>
    <t>RA/RPD/25-14386-</t>
  </si>
  <si>
    <t>V0030564</t>
  </si>
  <si>
    <t>okool_drsaputhanthri</t>
  </si>
  <si>
    <t>Okool_Dilip.Saputhanthri@rta.ae</t>
  </si>
  <si>
    <t>INC000001316920</t>
  </si>
  <si>
    <t>Laptop Battery Issue</t>
  </si>
  <si>
    <t>Laptop battery has been replaced with new one by AMC team</t>
  </si>
  <si>
    <t>Battery Issue</t>
  </si>
  <si>
    <t>naalnasser</t>
  </si>
  <si>
    <t>Nasser.Alnasser@rta.ae</t>
  </si>
  <si>
    <t>INC000001316915</t>
  </si>
  <si>
    <t>employee numbers of Parkin company</t>
  </si>
  <si>
    <t>the mentioned user list has been sent as requested by the admin team</t>
  </si>
  <si>
    <t>INC000001316912</t>
  </si>
  <si>
    <t>Osama</t>
  </si>
  <si>
    <t>Khudair</t>
  </si>
  <si>
    <t>Share folder remap request</t>
  </si>
  <si>
    <t>The shared folders have been mapped successfully.</t>
  </si>
  <si>
    <t>V0032670</t>
  </si>
  <si>
    <t>okool_ookhudair</t>
  </si>
  <si>
    <t>Okool_Osama.Khudair@rta.ae</t>
  </si>
  <si>
    <t>INC000001316909</t>
  </si>
  <si>
    <t>Andrey</t>
  </si>
  <si>
    <t>Dumanskiy</t>
  </si>
  <si>
    <t>user will raise new request to be sent to his manager directly</t>
  </si>
  <si>
    <t>V0034751</t>
  </si>
  <si>
    <t>intertec_aidumanskiy</t>
  </si>
  <si>
    <t>Intertec_Andrey.Dumanskiy@rta.ae</t>
  </si>
  <si>
    <t>INC000001316906</t>
  </si>
  <si>
    <t>[HPWJA] Yellow Cartridge Supply Threshold HP LaserJet 700 color MFP M775 HP Only, HP Only\</t>
  </si>
  <si>
    <t>INC000001316898</t>
  </si>
  <si>
    <t>Maha</t>
  </si>
  <si>
    <t>as troubleshooted on call and tested now VPN is connected and working no issue</t>
  </si>
  <si>
    <t>mhasali</t>
  </si>
  <si>
    <t>Maha.Ali@rta.ae</t>
  </si>
  <si>
    <t>INC000001316889</t>
  </si>
  <si>
    <t>Alajmi</t>
  </si>
  <si>
    <t>Mailbox Issue</t>
  </si>
  <si>
    <t>Delivery Failure Message</t>
  </si>
  <si>
    <t>Reapplied the permission, Kindly restart outlook and check</t>
  </si>
  <si>
    <t>Internal Mail Issues</t>
  </si>
  <si>
    <t>hhalajmi</t>
  </si>
  <si>
    <t>Huda.Alajmi@rta.ae</t>
  </si>
  <si>
    <t>INC000001316886</t>
  </si>
  <si>
    <t>Najat</t>
  </si>
  <si>
    <t>Phone Number Change</t>
  </si>
  <si>
    <t>We have updated requested users mobile number in IAM system.</t>
  </si>
  <si>
    <t>naabdalla</t>
  </si>
  <si>
    <t>Najat.Abdalla@rta.ae</t>
  </si>
  <si>
    <t>INC000001316876</t>
  </si>
  <si>
    <t>Lyna</t>
  </si>
  <si>
    <t>Michal-Contractor</t>
  </si>
  <si>
    <t>Monthly Health Check Ticket for OCC Service - Feb 2026</t>
  </si>
  <si>
    <t>Lyna Michal-Contractor</t>
  </si>
  <si>
    <t>Health check activity completed</t>
  </si>
  <si>
    <t>V0026280</t>
  </si>
  <si>
    <t>almoe_lmmichal</t>
  </si>
  <si>
    <t>Almoe_Lynanishi.Michal@rta.ae</t>
  </si>
  <si>
    <t>INC000001316872</t>
  </si>
  <si>
    <t>.Theory Test Booking Issues - 17216082</t>
  </si>
  <si>
    <t>INC000001316871</t>
  </si>
  <si>
    <t>.17230800 / ???? ???? ???? ???? ????????</t>
  </si>
  <si>
    <t>INC000001316868</t>
  </si>
  <si>
    <t>.??? ??? ???????? - 12260806</t>
  </si>
  <si>
    <t>INC000001316866</t>
  </si>
  <si>
    <t>NOC-08102025-2249 Reactivation</t>
  </si>
  <si>
    <t>INC000001316860</t>
  </si>
  <si>
    <t>.FW: LP issue</t>
  </si>
  <si>
    <t>INC000001316859</t>
  </si>
  <si>
    <t>User, User account update, as requested.</t>
  </si>
  <si>
    <t>INC000001316853</t>
  </si>
  <si>
    <t>.Unable to Book Theory Test_16982929 {6983374}</t>
  </si>
  <si>
    <t>INC000001316852</t>
  </si>
  <si>
    <t>A checked, user already having Read &amp; Write access on "RTA SoC" folder</t>
  </si>
  <si>
    <t>INC000001316849</t>
  </si>
  <si>
    <t>.Fw: pending perquisites</t>
  </si>
  <si>
    <t>INC000001316848</t>
  </si>
  <si>
    <t>Create account for ENOC</t>
  </si>
  <si>
    <t>Access to eNOC is via IAM Portal only.</t>
  </si>
  <si>
    <t>INC000001316847</t>
  </si>
  <si>
    <t>Requesting account activation/access</t>
  </si>
  <si>
    <t xml:space="preserve">ePre-Qualification </t>
  </si>
  <si>
    <t>Dear Amna,  kindly obtain approval from your direct manager to create new user for you in EPQ system.  Best regards, Hussein</t>
  </si>
  <si>
    <t>INC000001316843</t>
  </si>
  <si>
    <t>Malshan</t>
  </si>
  <si>
    <t>Alwis Weerasinghe</t>
  </si>
  <si>
    <t>SCG/SPD/5261/2024</t>
  </si>
  <si>
    <t>V0030614</t>
  </si>
  <si>
    <t>okool_msweerasinghe</t>
  </si>
  <si>
    <t>Okool_Malshan.Weerasinghe@rta.ae</t>
  </si>
  <si>
    <t>INC000001316842</t>
  </si>
  <si>
    <t>Aliya</t>
  </si>
  <si>
    <t>Marhoon</t>
  </si>
  <si>
    <t>Ethernet Cable Request</t>
  </si>
  <si>
    <t>Ethernet Cable has been provided to User</t>
  </si>
  <si>
    <t>AAMarhoon</t>
  </si>
  <si>
    <t>Aliya.Marhoon@rta.ae</t>
  </si>
  <si>
    <t>INC000001316837</t>
  </si>
  <si>
    <t>IR231 / NOC-17112025-2503 / PROPOSED LANDSCAPE WORKS AT SH.ZAYED BIN HAMDAN ZONE-1.</t>
  </si>
  <si>
    <t>INC000001316835</t>
  </si>
  <si>
    <t>Final Clearance reactivation list-16-02-2026</t>
  </si>
  <si>
    <t>INC000001316834</t>
  </si>
  <si>
    <t>.Remove old file in RTA</t>
  </si>
  <si>
    <t>INC000001316830</t>
  </si>
  <si>
    <t>Fishing email</t>
  </si>
  <si>
    <t>Domain has been blocked on proxy.</t>
  </si>
  <si>
    <t>INC000001316829</t>
  </si>
  <si>
    <t>.pending pre-request- 25600839</t>
  </si>
  <si>
    <t>INC000001316828</t>
  </si>
  <si>
    <t>.pending pre-request- 25118970</t>
  </si>
  <si>
    <t>INC000001316827</t>
  </si>
  <si>
    <t>BigData connectivity test with upgraded Tram Maximo 7.6.1</t>
  </si>
  <si>
    <t>Request to create/delete database user</t>
  </si>
  <si>
    <t>As per the request and approval, the user account is created for Bigdata.  User account needs to configure in the BIGData application</t>
  </si>
  <si>
    <t>INC000001316826</t>
  </si>
  <si>
    <t>Expo City Valley - TIS Validation Issue - FD NOC submission</t>
  </si>
  <si>
    <t>TIS Validation is failing cause the Study is in process.</t>
  </si>
  <si>
    <t>INC000001316824</t>
  </si>
  <si>
    <t>.pending perquisites</t>
  </si>
  <si>
    <t>INC000001316820</t>
  </si>
  <si>
    <t>.????? ????? 17234568</t>
  </si>
  <si>
    <t>INC000001316817</t>
  </si>
  <si>
    <t>.DIRECT TEST COURSE - 24383775 / 16416503</t>
  </si>
  <si>
    <t>Non-Technical | Transfer Direct Test Student</t>
  </si>
  <si>
    <t>INC000001316816</t>
  </si>
  <si>
    <t>New folder has been created in below path and provided access to requested usersonlt.  path : \\rta.global\fileserver001\RTA1$\TRA\ITS\Traffic Systems D&amp;I</t>
  </si>
  <si>
    <t>MMAAlsuwaidi</t>
  </si>
  <si>
    <t>Marwa.Alsuwaidi@rta.ae</t>
  </si>
  <si>
    <t>INC000001316815</t>
  </si>
  <si>
    <t>.????? ????? 17227818</t>
  </si>
  <si>
    <t>INC000001316812</t>
  </si>
  <si>
    <t>.KINDLY PLEASE CANCEL OLD FILE FROM RTA PORTAL : 15638969</t>
  </si>
  <si>
    <t>INC000001316811</t>
  </si>
  <si>
    <t>.LP No : 12498830 - RTA Yard Test - Pending prerequisite error</t>
  </si>
  <si>
    <t>INC000001316806</t>
  </si>
  <si>
    <t>INC000001316804</t>
  </si>
  <si>
    <t>INC000001316803</t>
  </si>
  <si>
    <t>.17232174-????????? ???? -????? ?????</t>
  </si>
  <si>
    <t>INC000001316797</t>
  </si>
  <si>
    <t>.Theory Test 17049221</t>
  </si>
  <si>
    <t>INC000001316792</t>
  </si>
  <si>
    <t>.Knowledge Test - Prerequisite Error-14026078</t>
  </si>
  <si>
    <t>INC000001316786</t>
  </si>
  <si>
    <t>.Permit renewal issue</t>
  </si>
  <si>
    <t>INC000001316782</t>
  </si>
  <si>
    <t>.17226695 ????? ????? ???????</t>
  </si>
  <si>
    <t>INC000001316781</t>
  </si>
  <si>
    <t>.RTA Error</t>
  </si>
  <si>
    <t>INC000001316779</t>
  </si>
  <si>
    <t>.Permits Not received</t>
  </si>
  <si>
    <t>INC000001316778</t>
  </si>
  <si>
    <t>Mohamed Al Bana</t>
  </si>
  <si>
    <t>?? ????? ?? ????? ??????? ??? ???? ??IPhone</t>
  </si>
  <si>
    <t>PTR Ramool</t>
  </si>
  <si>
    <t>the new QR code has been sent to the user please proceed with installing the MyRTA App</t>
  </si>
  <si>
    <t>AMBana</t>
  </si>
  <si>
    <t>amal.albana@rta.ae</t>
  </si>
  <si>
    <t>INC000001316777</t>
  </si>
  <si>
    <t>.NOT ABLE TO CHANGE TRAINING INTITUTE</t>
  </si>
  <si>
    <t>INC000001316774</t>
  </si>
  <si>
    <t>.Fw: TRANSFER RTA FILE REQUEST 15397521</t>
  </si>
  <si>
    <t>INC000001316769</t>
  </si>
  <si>
    <t>The both customers has same visa no returned from ICA</t>
  </si>
  <si>
    <t>INC000001316765</t>
  </si>
  <si>
    <t>Old requests need to be deleted</t>
  </si>
  <si>
    <t>mentioned requests have been cancelled as requested</t>
  </si>
  <si>
    <t>INC000001316764</t>
  </si>
  <si>
    <t>Soubhi</t>
  </si>
  <si>
    <t>Sloukgi-Contractor</t>
  </si>
  <si>
    <t>GI Access</t>
  </si>
  <si>
    <t>Access has been provided to user "cns_hnibrahim' on "ec3_itservicedesk@rta.ae " mailbox</t>
  </si>
  <si>
    <t>V0027433</t>
  </si>
  <si>
    <t>cns_spsloukgi</t>
  </si>
  <si>
    <t>Cns_Soubhi.Sloukgi@rta.ae</t>
  </si>
  <si>
    <t>INC000001316762</t>
  </si>
  <si>
    <t>INC000001316758</t>
  </si>
  <si>
    <t>Temporary Corrective Action</t>
  </si>
  <si>
    <t>workaround is provided, issue is resolved.</t>
  </si>
  <si>
    <t>Modify</t>
  </si>
  <si>
    <t>INC000001316755</t>
  </si>
  <si>
    <t>Request for Release of Bank Guarantee – Tender 12500651 Gift Baskets 2025/2026</t>
  </si>
  <si>
    <t>mibibrahim</t>
  </si>
  <si>
    <t>Mohammed.IbIbrahim@rta.ae</t>
  </si>
  <si>
    <t>INC000001316749</t>
  </si>
  <si>
    <t>Alfaouri</t>
  </si>
  <si>
    <t>dongle issue</t>
  </si>
  <si>
    <t>Replaced the docking station and is working</t>
  </si>
  <si>
    <t>ahalfaouri</t>
  </si>
  <si>
    <t>Abdallah.Alfaouri@rta.ae</t>
  </si>
  <si>
    <t>INC000001316744</t>
  </si>
  <si>
    <t>Okool Harinimohan</t>
  </si>
  <si>
    <t>Chandramohan</t>
  </si>
  <si>
    <t>Hello Team,  New generic ID has been created please find below the details  Display Name: PTABIDailyRidership@rta.ae email:  PTABIDailyRidership@rta.ae</t>
  </si>
  <si>
    <t>V0010965</t>
  </si>
  <si>
    <t>okool_hcchandramohan</t>
  </si>
  <si>
    <t>Okool_Harinimohan.Chandramohan@rta.ae</t>
  </si>
  <si>
    <t>INC000001316737</t>
  </si>
  <si>
    <t>Aboelkheir</t>
  </si>
  <si>
    <t>RTA Ipad Charging Cable_PTA</t>
  </si>
  <si>
    <t>Ipad Charging Cable was provided to user.</t>
  </si>
  <si>
    <t>amaboelkheir</t>
  </si>
  <si>
    <t>Ahmed.Aboelkheir@rta.ae</t>
  </si>
  <si>
    <t>INC000001316707</t>
  </si>
  <si>
    <t>INC000001316687</t>
  </si>
  <si>
    <t>NOC-16012026-2194 (Final Design NOC) - Revise Condition 1</t>
  </si>
  <si>
    <t>Condition is updated and Certificate is regenerated.</t>
  </si>
  <si>
    <t>INC000001316669</t>
  </si>
  <si>
    <t>Abd</t>
  </si>
  <si>
    <t>Shukair</t>
  </si>
  <si>
    <t>Informed user that request for monitor has been exceptionally approved by ITD. However budget transfer is required.  Budget required for 24 inch monitor : AED 950/-  Account name: ATS IT Equipment – Monitor Account Number: 21604 Budget Transfer should be from CAPEX to CAPEX Estimated delivery lead time - 3-4 weeks Please mention the ticket number in budget transfer system.  Note: We will close the ticket and once the budget is transferred we will reopen the ticket.</t>
  </si>
  <si>
    <t>Business Justifications</t>
  </si>
  <si>
    <t>aashukair</t>
  </si>
  <si>
    <t>Abd.Shukair@rta.ae</t>
  </si>
  <si>
    <t>INC000001316667</t>
  </si>
  <si>
    <t>Share folder access provided temporary as per the request.  Path : \\rta.global\Fileserver001\RTA1$\Rail Agency Folder1\NEW_Rail Maintenance Department\00_New Shared Folder\04_Sections\0401_Systems\Temp\Rail OT SOC (Security Operation Centre) Enhancement Project Technical Proposals users: kkkolicherla	Modify	Temporary	6/30/26, 12:00 AM jsrampurawala	Modify	Temporary	6/30/26, 12:00 AM hhalblooshi	Modify	Temporary	6/30/26, 12:00 AM bmaleassa	Modify	Temporary	6/30/26, 12:00 AM</t>
  </si>
  <si>
    <t>INC000001316656</t>
  </si>
  <si>
    <t>Hastus  Not Open</t>
  </si>
  <si>
    <t>Okool Deepali Prashant Sarwade</t>
  </si>
  <si>
    <t>Hustus</t>
  </si>
  <si>
    <t>User Account Activated in application</t>
  </si>
  <si>
    <t>Hastus</t>
  </si>
  <si>
    <t>mjmohamed</t>
  </si>
  <si>
    <t>Mohamed.JMohamed@RTA.ae</t>
  </si>
  <si>
    <t>INC000001316643</t>
  </si>
  <si>
    <t>Mohamoud</t>
  </si>
  <si>
    <t>Network IP address issue</t>
  </si>
  <si>
    <t>LAN issue</t>
  </si>
  <si>
    <t>Called user he confirmed LAN is working fine   Used Related K-base as near one to issue</t>
  </si>
  <si>
    <t>LAN Issue</t>
  </si>
  <si>
    <t>MAMohamoud</t>
  </si>
  <si>
    <t>Mahmoud.Mohamoud@rta.ae</t>
  </si>
  <si>
    <t>INC000001316609</t>
  </si>
  <si>
    <t>Network issue - device IP showing 169</t>
  </si>
  <si>
    <t>Jorden Roland Athaide</t>
  </si>
  <si>
    <t>no issues found user has network connectivity, monitored this system for multiple days hence closing this ticket attached screen shot for the same.</t>
  </si>
  <si>
    <t>INC000001316606</t>
  </si>
  <si>
    <t>TOM-327697</t>
  </si>
  <si>
    <t>INC000001316604</t>
  </si>
  <si>
    <t>GUB-EP-23/340113</t>
  </si>
  <si>
    <t>Reason:pm Action: done  Attended Time:tutz (16:10)(16-2-2026)</t>
  </si>
  <si>
    <t>INC000001316548</t>
  </si>
  <si>
    <t>CSC Alert : Suspicious IP to RTA Portal - 15022026-01</t>
  </si>
  <si>
    <t>the malicious source has been blocked on perimeter firewall via soar afer the analysis</t>
  </si>
  <si>
    <t>INC000001316538</t>
  </si>
  <si>
    <t>Suspicious IP to RTA Portal on 15 February 2026, 20:07:44</t>
  </si>
  <si>
    <t>IP blocked on perimeter fw as per analysis</t>
  </si>
  <si>
    <t>INC000001316535</t>
  </si>
  <si>
    <t>Intervention completed. Installed EVD 240, All CICO operational</t>
  </si>
  <si>
    <t>INC000001316455</t>
  </si>
  <si>
    <t>Avaya Ahmed</t>
  </si>
  <si>
    <t>Low Disk space</t>
  </si>
  <si>
    <t>The new 2 TB SSD has been upgraded and data cloning was completed.</t>
  </si>
  <si>
    <t>HDD</t>
  </si>
  <si>
    <t>V0066</t>
  </si>
  <si>
    <t>avaya_aali</t>
  </si>
  <si>
    <t>Avaya_Ahmed.Ali@rta.ae</t>
  </si>
  <si>
    <t>INC000001316449</t>
  </si>
  <si>
    <t>INC000001316410</t>
  </si>
  <si>
    <t>Malicious Traffic from IPs -15022026-01</t>
  </si>
  <si>
    <t>Bobin Bobin Paul-Contractor</t>
  </si>
  <si>
    <t>the malicious source has been blocked on perimeter firewall after the analysis</t>
  </si>
  <si>
    <t>INC000001316352</t>
  </si>
  <si>
    <t>TOM-327691</t>
  </si>
  <si>
    <t>INC000001316339</t>
  </si>
  <si>
    <t>MR50L-R34-E1-Dubai Internet City - B</t>
  </si>
  <si>
    <t>Reason: offline   Action: auto resolved   Attended Time: 6:00</t>
  </si>
  <si>
    <t>INC000001316338</t>
  </si>
  <si>
    <t>MR43L-R34-E2-Dubai Internet City - B</t>
  </si>
  <si>
    <t>Reason: offline   Action: auto resolved   Attended Time: 6:00  Remarks:</t>
  </si>
  <si>
    <t>INC000001316268</t>
  </si>
  <si>
    <t>Shared folder access has been granted to the user.   Folder Path: \\rta.global\fileserver001\Share1$\Strategy and Corporate Performance\Internal\Corporate Performance Section\E 2025\EAS Folder Owner: mhalzehmi Folder Access:  User Name	Type Of Access	Duration Of Access	Expiry Date zakhamis	Read And Write	Temporary	30?/6?/2026 12:00 ? oadodeh		Read And Write	Temporary	30?/6?/2026 12:00 ? ytbraik		Read And Write	Temporary	30?/6?/2026 12:00 ? saalemadi	Read And Write	Temporary</t>
  </si>
  <si>
    <t>INC000001316194</t>
  </si>
  <si>
    <t>Mu'ath</t>
  </si>
  <si>
    <t>Hirzallah</t>
  </si>
  <si>
    <t>Record awareness sessions for Change Management project + tools using MS. TEAMS.</t>
  </si>
  <si>
    <t>Teams recording has been enabled for the user Muath Abdelqader Abdelqader Hirzallah. Kindly advise the user to sign out of Teams and sign in again. Please also perform a test meeting recording before proceeding with the actual meeting.</t>
  </si>
  <si>
    <t>mahirzallah</t>
  </si>
  <si>
    <t>Muath.Hirzallah@rta.ae</t>
  </si>
  <si>
    <t>INC000001316159</t>
  </si>
  <si>
    <t>Reason:- Preventive Maintenance   Action:- Done   Attender :- Azeez   Attended Time:-13:16</t>
  </si>
  <si>
    <t>INC000001316157</t>
  </si>
  <si>
    <t>Reason:- Preventive Maintenance   Action:- Done   Attended Time:-12:50</t>
  </si>
  <si>
    <t>INC000001316153</t>
  </si>
  <si>
    <t>Masri</t>
  </si>
  <si>
    <t>Assets has been returned to store</t>
  </si>
  <si>
    <t>Resigned user</t>
  </si>
  <si>
    <t>Asset Return</t>
  </si>
  <si>
    <t>AKMasri</t>
  </si>
  <si>
    <t>Abdullah.Masri@rta.ae</t>
  </si>
  <si>
    <t>INC000001316149</t>
  </si>
  <si>
    <t>Al Safadi</t>
  </si>
  <si>
    <t>the assets has been returned to store</t>
  </si>
  <si>
    <t>AOAlsafadi</t>
  </si>
  <si>
    <t>Ahmed.Alsafadi@rta.ae</t>
  </si>
  <si>
    <t>INC000001316147</t>
  </si>
  <si>
    <t>Techm Arun</t>
  </si>
  <si>
    <t>Muraleedharan</t>
  </si>
  <si>
    <t>Request for Firewall Rule modification CRQ59913</t>
  </si>
  <si>
    <t>Dear Emthias,  Firewall matrix has been implemented, please check the service and update.  Best Regards Sathish.D</t>
  </si>
  <si>
    <t>V004706</t>
  </si>
  <si>
    <t>Techm_AKMuraleedhara</t>
  </si>
  <si>
    <t>Techm_Arun.Muraleedharan@rta.ae</t>
  </si>
  <si>
    <t>INC000001316141</t>
  </si>
  <si>
    <t>Labib</t>
  </si>
  <si>
    <t>CSC Alert:VPN user ("EMIRCOM_AMLABIB") access from outside the approved country-13022026-03</t>
  </si>
  <si>
    <t>Closed as per CSC confirmation.</t>
  </si>
  <si>
    <t>V0030680</t>
  </si>
  <si>
    <t>emircom_amlabib</t>
  </si>
  <si>
    <t>Emircom_Ahmed.Labib@rta.ae</t>
  </si>
  <si>
    <t>INC000001316140</t>
  </si>
  <si>
    <t>Malicious Traffic - IP to Block -13022025-02</t>
  </si>
  <si>
    <t>the malicious source has been blocked in perimeter firewall after the analysis.</t>
  </si>
  <si>
    <t>INC000001316137</t>
  </si>
  <si>
    <t>Abdul Nissar</t>
  </si>
  <si>
    <t>Ahamed</t>
  </si>
  <si>
    <t>Single Risk Event: machine RTA-CAS-BUF-064 infected with ACM.Ps-Reg!g1, action Details pending</t>
  </si>
  <si>
    <t>Full scan by Symantec has been completed today. No virus found</t>
  </si>
  <si>
    <t>amahamed</t>
  </si>
  <si>
    <t>AbdulNissar.Ahamed@rta.ae</t>
  </si>
  <si>
    <t>INC000001316066</t>
  </si>
  <si>
    <t>Non-EOD updates and activation</t>
  </si>
  <si>
    <t>Sriram Angya Padmanaban-Contractor</t>
  </si>
  <si>
    <t>Files are activated on 19-Feb.</t>
  </si>
  <si>
    <t>INC000001316064</t>
  </si>
  <si>
    <t>Xfleet IAM integration Risk</t>
  </si>
  <si>
    <t>Future Enhancement</t>
  </si>
  <si>
    <t>Proposal is received from LTG, and it will be reviewed by RTA management to proceed further.</t>
  </si>
  <si>
    <t>INC000001316057</t>
  </si>
  <si>
    <t>PAM Setup - VPN Extension request with SMD</t>
  </si>
  <si>
    <t>VPN requests are extended until 28-Feb</t>
  </si>
  <si>
    <t>INC000001316035</t>
  </si>
  <si>
    <t>Safa</t>
  </si>
  <si>
    <t>Laptop request -New Joiner</t>
  </si>
  <si>
    <t>salmohammed</t>
  </si>
  <si>
    <t>Safa.Mohammed@RTA.ae</t>
  </si>
  <si>
    <t>INC000001316015</t>
  </si>
  <si>
    <t>Aljanaahi</t>
  </si>
  <si>
    <t>VPN Access has been provided to the user profile and confirmed Access</t>
  </si>
  <si>
    <t>amaljanaahi</t>
  </si>
  <si>
    <t>Abdulla.Aljanaahi@rta.ae</t>
  </si>
  <si>
    <t>INC000001316008</t>
  </si>
  <si>
    <t>V0034638</t>
  </si>
  <si>
    <t>armohamed</t>
  </si>
  <si>
    <t>Ahmed.RMohamed@rta.ae</t>
  </si>
  <si>
    <t>INC000001316002</t>
  </si>
  <si>
    <t>Gaber</t>
  </si>
  <si>
    <t>As per the logs user is accessing vpn  so we are closing the INC</t>
  </si>
  <si>
    <t>V0034639</t>
  </si>
  <si>
    <t>aggaber</t>
  </si>
  <si>
    <t>Ahmed.GGaber@rta.ae</t>
  </si>
  <si>
    <t>INC000001315994</t>
  </si>
  <si>
    <t>Sabbubeh</t>
  </si>
  <si>
    <t>Request to Remove Inactive/ disabled Accounts from ECCD Shared Folder</t>
  </si>
  <si>
    <t>Network shared folder access revoke</t>
  </si>
  <si>
    <t>The access of requested users are revoked from from mentioned share folder. \\rta.global\fileserver001\Share4$\EC3\EC3_RTA\EC3\Systems\02_System_Delivery</t>
  </si>
  <si>
    <t>V0028355</t>
  </si>
  <si>
    <t>cns_djsabbubeh</t>
  </si>
  <si>
    <t>Cns_Dalia.Sabbubeh@rta.ae</t>
  </si>
  <si>
    <t>INC000001315988</t>
  </si>
  <si>
    <t>.Mohammad Muturja - 17197436</t>
  </si>
  <si>
    <t>User Clarification About Exam Eligibility</t>
  </si>
  <si>
    <t>INC000001315981</t>
  </si>
  <si>
    <t>.17217273 - ???????? ??????</t>
  </si>
  <si>
    <t>Transfer Golden Visa Student on DTS</t>
  </si>
  <si>
    <t>INC000001315979</t>
  </si>
  <si>
    <t>Techm Shafeeq Therambath</t>
  </si>
  <si>
    <t>Requested items is not available in ITD catalogue</t>
  </si>
  <si>
    <t>INC000001315975</t>
  </si>
  <si>
    <t>.UNABLE TO BOOK RTA THEORY TEST - 14635176</t>
  </si>
  <si>
    <t>INC000001315970</t>
  </si>
  <si>
    <t>Taktum</t>
  </si>
  <si>
    <t>Fashakh</t>
  </si>
  <si>
    <t>Automation Login Issue Oracle OTP Access Issue</t>
  </si>
  <si>
    <t>We have checked everything is fine in IAM system, we have sent a mail with user to arrange a meeting in order to fix this issue.</t>
  </si>
  <si>
    <t>TJFashakh</t>
  </si>
  <si>
    <t>Taktum.Fashakh@rta.ae</t>
  </si>
  <si>
    <t>INC000001315963</t>
  </si>
  <si>
    <t>.DLS Error - 14824104</t>
  </si>
  <si>
    <t>Cancel old contract in DTS Application</t>
  </si>
  <si>
    <t>INC000001315962</t>
  </si>
  <si>
    <t>.admission error making 784-1980-0920410-2</t>
  </si>
  <si>
    <t>INC000001315959</t>
  </si>
  <si>
    <t>.TEST BOOKING ERROR - 16674426</t>
  </si>
  <si>
    <t>INC000001315956</t>
  </si>
  <si>
    <t>.No Records Found in DTS For LP No:- 17172852</t>
  </si>
  <si>
    <t>User Clarification About Exam Eligibility User Clarification About Exam Eligibility</t>
  </si>
  <si>
    <t>INC000001315955</t>
  </si>
  <si>
    <t>Retag ipad</t>
  </si>
  <si>
    <t>Retagged the ipad as requested.</t>
  </si>
  <si>
    <t>INC000001315954</t>
  </si>
  <si>
    <t>.Theory test booking issue, MARHARYTA / 16584755</t>
  </si>
  <si>
    <t>INC000001315948</t>
  </si>
  <si>
    <t>Autocad</t>
  </si>
  <si>
    <t>Autodesk AutoCAD 2026 has been installed to user laptop</t>
  </si>
  <si>
    <t>AutoCAD</t>
  </si>
  <si>
    <t>INC000001315942</t>
  </si>
  <si>
    <t>Mailbox is almost full</t>
  </si>
  <si>
    <t>INC000001315933</t>
  </si>
  <si>
    <t>.Request to remove training and Yard Test for Golden Visa Holder- 17227282</t>
  </si>
  <si>
    <t>INC000001315928</t>
  </si>
  <si>
    <t>.unable to book 16990108 {6972712}</t>
  </si>
  <si>
    <t>INC000001315923</t>
  </si>
  <si>
    <t>INC000001315922</t>
  </si>
  <si>
    <t>.??? ?????? 15884515</t>
  </si>
  <si>
    <t>Transfer Golden Visa Student on DTS Transfer Golden Visa Student on DTS</t>
  </si>
  <si>
    <t>INC000001315921</t>
  </si>
  <si>
    <t>.????? ????? 17231286</t>
  </si>
  <si>
    <t>INC000001315916</t>
  </si>
  <si>
    <t>.15693333 ( RTA Transfer in error )</t>
  </si>
  <si>
    <t>User Clarification About Learning File</t>
  </si>
  <si>
    <t>INC000001315911</t>
  </si>
  <si>
    <t>.Changing centre issue - 17130875 / MUHAMMAD SHANIL</t>
  </si>
  <si>
    <t>INC000001315910</t>
  </si>
  <si>
    <t>.To cancel the old file in the RTA""</t>
  </si>
  <si>
    <t>INC000001315904</t>
  </si>
  <si>
    <t>The C Drive now has free space and the machine is working fine</t>
  </si>
  <si>
    <t>analshamsi</t>
  </si>
  <si>
    <t>amnan.alshamsi@rta.ae</t>
  </si>
  <si>
    <t>INC000001315903</t>
  </si>
  <si>
    <t>This desktop was already replaced with Asset refreshment plan with new desktop #INC000001312457, the old desktop will sent to store.</t>
  </si>
  <si>
    <t>INC000001315902</t>
  </si>
  <si>
    <t>1639660_Threat Activity Detected</t>
  </si>
  <si>
    <t>INC000001315900</t>
  </si>
  <si>
    <t>Nexthink: RTA-Devices with CPU issues</t>
  </si>
  <si>
    <t>- Drivers updated, and old data transferred from C Partition to D Partition</t>
  </si>
  <si>
    <t>INC000001315899</t>
  </si>
  <si>
    <t>GP updated. RTA-Devices with CPU issues due to multitasking, No further action is required</t>
  </si>
  <si>
    <t>MNAhli</t>
  </si>
  <si>
    <t>Mohammad.NAhli@rta.ae</t>
  </si>
  <si>
    <t>INC000001315898</t>
  </si>
  <si>
    <t>Anish</t>
  </si>
  <si>
    <t>Jacob</t>
  </si>
  <si>
    <t>Nexthink: Blue Screen &gt;3 Times ( For Past one week)</t>
  </si>
  <si>
    <t>Cleaned up system cache files, updated the drivers, run sfc /scannow and rebooted the system. It's working properly</t>
  </si>
  <si>
    <t>V0026105</t>
  </si>
  <si>
    <t>ebm_ajjacob</t>
  </si>
  <si>
    <t>Ebm_Anish.Jacob@rta.ae</t>
  </si>
  <si>
    <t>INC000001315897</t>
  </si>
  <si>
    <t>1639619_Threat Activity Detected</t>
  </si>
  <si>
    <t>INC000001315895</t>
  </si>
  <si>
    <t>BUS-6397</t>
  </si>
  <si>
    <t>Intervetion completed  Tested with NOL card  No issue found  All cico operational</t>
  </si>
  <si>
    <t>INC000001315892</t>
  </si>
  <si>
    <t>EMS Openshift: Staging Application deployment ems-backend-20260222-1</t>
  </si>
  <si>
    <t>Deployed image in EMS Openshift Staging environment as requested by application team.</t>
  </si>
  <si>
    <t>INC000001315891</t>
  </si>
  <si>
    <t>INC000001315890</t>
  </si>
  <si>
    <t>Moath</t>
  </si>
  <si>
    <t>Allabadi</t>
  </si>
  <si>
    <t>add @Yasir Ahmad Mushtaq Ahmad Bhat as secondary owner for user SSDDCAB.</t>
  </si>
  <si>
    <t>GAL Modification(RE)</t>
  </si>
  <si>
    <t>SSDDCAB owner has been updated as Yasir Ahmad Mushtaq Ahmad Bhat</t>
  </si>
  <si>
    <t>MRAllabadi</t>
  </si>
  <si>
    <t>Moath.Allabadi@rta.ae</t>
  </si>
  <si>
    <t>INC000001315889</t>
  </si>
  <si>
    <t>INC000001315887</t>
  </si>
  <si>
    <t>INC000001315886</t>
  </si>
  <si>
    <t>AlGaradi</t>
  </si>
  <si>
    <t>kmalgaradi</t>
  </si>
  <si>
    <t>Khawla.AlGaradi@RTA.ae</t>
  </si>
  <si>
    <t>INC000001315885</t>
  </si>
  <si>
    <t>INC000001315884</t>
  </si>
  <si>
    <t>INC000001315882</t>
  </si>
  <si>
    <t>Request to add the user Tmabdelwahab to Engineer Groups w.r.t. BPM</t>
  </si>
  <si>
    <t>The user Tmabdelwahab has been created in eNOC BPM and mapped to Engineers position.</t>
  </si>
  <si>
    <t>INC000001315880</t>
  </si>
  <si>
    <t>RTA EWALLET  - NON RECEIPT OF FUNDS w.r.t. eWalletTopUpService</t>
  </si>
  <si>
    <t>According to our logs, we have not received any requests for the createBETopupRequest operation for the given transactions from Al Ansari Exchange.  @Goudappa Hayyal Based on the logs provided, we can see SSL handshake errors. Could you please verify that the SSL configuration on your side has been done correctly and retry the request?</t>
  </si>
  <si>
    <t>INC000001315879</t>
  </si>
  <si>
    <t>Tried to re-push  transaction and received the below error message w.r.t. ePayStatusService</t>
  </si>
  <si>
    <t>Dear Nabih,  We have already reported this issue to the DSD team to check with DDA.   Dear Moath / Ammar,  Please check this payment issue with DDA. The response is coming from the DDA endpoint shown below. DDA endpoint - https://epayment.dubai.ae:443/ePayHub/epaynmservicewar/epaynmwebservice</t>
  </si>
  <si>
    <t>INC000001315876</t>
  </si>
  <si>
    <t xml:space="preserve">Outlook configuration </t>
  </si>
  <si>
    <t>assested the user with the configuration after he is migrated to office 365 account</t>
  </si>
  <si>
    <t>MAHHassan</t>
  </si>
  <si>
    <t>Mustafa.AHassan@rta.ae</t>
  </si>
  <si>
    <t>INC000001315875</t>
  </si>
  <si>
    <t>Application was not accessible</t>
  </si>
  <si>
    <t>Due to network issues, application was not accessible, once the issues as fixed by network team, db incontinency was there, then restart the application and after that application was working fine and accessible.</t>
  </si>
  <si>
    <t>INC000001315874</t>
  </si>
  <si>
    <t>Providing access to new created users</t>
  </si>
  <si>
    <t>Provided access to the user and informed the user regarding the credentials</t>
  </si>
  <si>
    <t>INC000001315873</t>
  </si>
  <si>
    <t>Changing the status of the system requirement</t>
  </si>
  <si>
    <t>Updated the status of system requirement and informed the user</t>
  </si>
  <si>
    <t>INC000001315872</t>
  </si>
  <si>
    <t>Please provide Maximo incident report for the period from 15 Jan to 14th Feb 2026</t>
  </si>
  <si>
    <t>Incident Report of Maximo Enterprise Solution group from 15th January 2026 till 14th February 2026 has been shared.</t>
  </si>
  <si>
    <t>INC000001315871</t>
  </si>
  <si>
    <t>user was not able to reset the password</t>
  </si>
  <si>
    <t>Updated the password with IAM team support and updated the user</t>
  </si>
  <si>
    <t>INC000001315870</t>
  </si>
  <si>
    <t>Bara</t>
  </si>
  <si>
    <t>Alharreim</t>
  </si>
  <si>
    <t>Request to update SLA configuration and service windoe to SIlver and 9x5 for EMS application.</t>
  </si>
  <si>
    <t>Silver SLA and new service window for EMS is 7:30 AM to 4:30 PM MON to FRI has been configured for EMS group.</t>
  </si>
  <si>
    <t>bjalharreim</t>
  </si>
  <si>
    <t>Bara.Alharreim@rta.ae</t>
  </si>
  <si>
    <t>INC000001315856</t>
  </si>
  <si>
    <t>Techm Harshad</t>
  </si>
  <si>
    <t>Darji</t>
  </si>
  <si>
    <t>AGM Long response service</t>
  </si>
  <si>
    <t>The service contains multiple layers, which may impact performance and increase loading time, particularly as the server is configured with shared instances. GISTEC  have checked the service and it is currently functioning as expected. Hence closing the ticket</t>
  </si>
  <si>
    <t>Techm_HMDarji</t>
  </si>
  <si>
    <t>V004692</t>
  </si>
  <si>
    <t>Techm_Harshad.Darji@rta.ae</t>
  </si>
  <si>
    <t>INC000001315822</t>
  </si>
  <si>
    <t>PAM - Monitoring EIP Services and Checking Logs in production and DR environments</t>
  </si>
  <si>
    <t>Closing the ticket which is raised for Monitoring EIP Services and Checking Logs in production and DR environments</t>
  </si>
  <si>
    <t>INC000001315801</t>
  </si>
  <si>
    <t>INC000001315789</t>
  </si>
  <si>
    <t>Imran Waheed</t>
  </si>
  <si>
    <t>Dubai ITS Centre - Al Barsha</t>
  </si>
  <si>
    <t>User confirmed after login MicroStation is working fine</t>
  </si>
  <si>
    <t>Microstation</t>
  </si>
  <si>
    <t>iwbutt</t>
  </si>
  <si>
    <t>Imran.Butt@rta.ae</t>
  </si>
  <si>
    <t>INC000001315737</t>
  </si>
  <si>
    <t xml:space="preserve">GIS Data Update &amp; Import Request Request Information 2510344 INC000001315737 Project Name / Purpose * TES / Traffic Engineering System  Business Requirements * Requested by Business owner to create new layer for the TIS final study area and publish the service  TES / Traffic Engineering System service has been republished. Change implemented  </t>
  </si>
  <si>
    <t>INC000001315736</t>
  </si>
  <si>
    <t>Network Folder Merging</t>
  </si>
  <si>
    <t>3 Reminders has been sent to user with no response, as per process ticket will be closed.</t>
  </si>
  <si>
    <t>Network Folder Creation</t>
  </si>
  <si>
    <t>nahussain</t>
  </si>
  <si>
    <t>Noora.Hussain@rta.ae</t>
  </si>
  <si>
    <t>INC000001315735</t>
  </si>
  <si>
    <t>Asset re-tag</t>
  </si>
  <si>
    <t>retagged the laptop usership to the new user as requested.</t>
  </si>
  <si>
    <t>INC000001315727</t>
  </si>
  <si>
    <t>Gholam</t>
  </si>
  <si>
    <t>Automation system issue -</t>
  </si>
  <si>
    <t>the mentioned issue has been resolved as per the user feedback</t>
  </si>
  <si>
    <t>mmgholam</t>
  </si>
  <si>
    <t>Majed.Gholam@rta.ae</t>
  </si>
  <si>
    <t>INC000001315697</t>
  </si>
  <si>
    <t>Hardware Upgrade - RAM</t>
  </si>
  <si>
    <t>Laptop Memory has been upgraded to 16GB</t>
  </si>
  <si>
    <t>masulaiman</t>
  </si>
  <si>
    <t>Mohammad.ASulaiman@rta.ae</t>
  </si>
  <si>
    <t>INC000001315689</t>
  </si>
  <si>
    <t>Basel</t>
  </si>
  <si>
    <t xml:space="preserve">Abdul Rahman Fahham </t>
  </si>
  <si>
    <t>Unable to access Office PC and Hastus over VPN</t>
  </si>
  <si>
    <t>as per the user requested and approval the mentioned VPN access has been added to the user VPN Profile</t>
  </si>
  <si>
    <t>BAFahham</t>
  </si>
  <si>
    <t>Basel.Fahham@rta.ae</t>
  </si>
  <si>
    <t>INC000001315686</t>
  </si>
  <si>
    <t>Data Port Not Working No. D703</t>
  </si>
  <si>
    <t>Replaced faulty data socket D-703</t>
  </si>
  <si>
    <t>INC000001315685</t>
  </si>
  <si>
    <t>Masoud Janahi</t>
  </si>
  <si>
    <t>Keyboard issue</t>
  </si>
  <si>
    <t>Keyboard not working</t>
  </si>
  <si>
    <t>Laptop returned to user , backup unit collected by amc team to 4a</t>
  </si>
  <si>
    <t>MMJanahi</t>
  </si>
  <si>
    <t>Mohammad.Janahi@rta.ae</t>
  </si>
  <si>
    <t>INC000001315670</t>
  </si>
  <si>
    <t xml:space="preserve">SMART Employee ?????? ? ???????? </t>
  </si>
  <si>
    <t>INC000001315658</t>
  </si>
  <si>
    <t>Qasem</t>
  </si>
  <si>
    <t>As per the request, we have enabled EV access for the user mailbox. Now EV is working as per RTA policy. Inititaed a manual run &amp; sync on the user mailbox. Freed up space. User having free space now. Please close outlook and check on EV tab will appear now, User can also access the EV web link - https://archive.rtadataarchive.ae/enterprisevault/Search/Shell.aspx for accessing archived emails outside RTA , Hence closing the ticket. If user having any issues please reach out to us with new ticket.</t>
  </si>
  <si>
    <t>V0033062</t>
  </si>
  <si>
    <t>trans_siqasem</t>
  </si>
  <si>
    <t>Trans_Sufian.Qasem@rta.ae</t>
  </si>
  <si>
    <t>INC000001315625</t>
  </si>
  <si>
    <t>Ismail-Contractor</t>
  </si>
  <si>
    <t>Add punch Automation System Request</t>
  </si>
  <si>
    <t>the mentioned issue has been fixed on the main line and it will be reflicted in the next release</t>
  </si>
  <si>
    <t>V0026463</t>
  </si>
  <si>
    <t>bytes_eoismail</t>
  </si>
  <si>
    <t>Bytes_Elrayan.Ismail@rta.ae</t>
  </si>
  <si>
    <t>INC000001315616</t>
  </si>
  <si>
    <t>Benjamin</t>
  </si>
  <si>
    <t>V0031450</t>
  </si>
  <si>
    <t>bahwan_bkkumar</t>
  </si>
  <si>
    <t>Bahwan_Benjamin.Kumar@rta.ae</t>
  </si>
  <si>
    <t>INC000001315615</t>
  </si>
  <si>
    <t>Preventive Maintenance completed,Cleaned and check TVM functionality,No issue found,Ping back end successfully,TVM operational</t>
  </si>
  <si>
    <t>INC000001315600</t>
  </si>
  <si>
    <t>Reason: PM  Action: PM done  Attended Time: 13:10</t>
  </si>
  <si>
    <t>INC000001315595</t>
  </si>
  <si>
    <t>TOCC-Alert-Warning-P-260216559|OPEN|Kubernetes PVC: Low disk space %</t>
  </si>
  <si>
    <t>As per the below updated notes from Infra team, they updated their observations &amp; we re-checked in the DT tool this problem is cleared. Hence we are resolving this ticket.</t>
  </si>
  <si>
    <t>INC000001315584</t>
  </si>
  <si>
    <t>Network port configuration.  request</t>
  </si>
  <si>
    <t>Network Connectivity Request</t>
  </si>
  <si>
    <t>Network Port Request</t>
  </si>
  <si>
    <t>Activated data sockets as requested</t>
  </si>
  <si>
    <t>Activation of Existing Data / Voice Socket</t>
  </si>
  <si>
    <t>INC000001315578</t>
  </si>
  <si>
    <t>Christian</t>
  </si>
  <si>
    <t>Schilling-Contractor</t>
  </si>
  <si>
    <t>SFTP access not working</t>
  </si>
  <si>
    <t>SFTP access has been granted to the user ID 'IITS_CSSCHILLING'</t>
  </si>
  <si>
    <t>V0031819</t>
  </si>
  <si>
    <t>iits_csschilling</t>
  </si>
  <si>
    <t>Iits_Christian.Schilling@rta.ae</t>
  </si>
  <si>
    <t>INC000001315574</t>
  </si>
  <si>
    <t>Network Folder/ Files / Email Restoration</t>
  </si>
  <si>
    <t>3 reminders without respond, will proceed with ticket closure</t>
  </si>
  <si>
    <t>Software</t>
  </si>
  <si>
    <t>Install</t>
  </si>
  <si>
    <t>INC000001315573</t>
  </si>
  <si>
    <t>Share folder access provided as per the request temporary. Path : \\rta.global\ChairmanOffice\SM$\0211_IT Information Security\OT-CSOC Project User: intertech_kkbochkare Approver: Abdulla Hussain Abdulla Ali Alraeesi</t>
  </si>
  <si>
    <t>INC000001315531</t>
  </si>
  <si>
    <t>Request to release attachment from email</t>
  </si>
  <si>
    <t>As checked the email logs there is no attachment is blocked in the emai</t>
  </si>
  <si>
    <t>ayaljanaahi</t>
  </si>
  <si>
    <t>Asma.Aljanaahi@rta.ae</t>
  </si>
  <si>
    <t>INC000001315522</t>
  </si>
  <si>
    <t>Rahmo</t>
  </si>
  <si>
    <t>As per the bmc note, we have added below user in _GRP_Support group please check.  okool_tarek.rahmo@rta.ae okool_samar.abdulfattah@rta.ae</t>
  </si>
  <si>
    <t>V0029124</t>
  </si>
  <si>
    <t>okool_ttrahmo</t>
  </si>
  <si>
    <t>Okool_Tarek.Rahmo@rta.ae</t>
  </si>
  <si>
    <t>INC000001315518</t>
  </si>
  <si>
    <t>Gholoom</t>
  </si>
  <si>
    <t>Issue resolved, machine was reimaged with a fresh OS. Data was copied and the profile was set for the user.</t>
  </si>
  <si>
    <t>LIGholoom</t>
  </si>
  <si>
    <t>Latifa.Gholoom@rta.ae</t>
  </si>
  <si>
    <t>INC000001315513</t>
  </si>
  <si>
    <t>CSC Alert:VPN user ("techvista_aaahmed") access from outside the approved country - 12022026-05</t>
  </si>
  <si>
    <t>user moved to blocked group so we are closing the INC</t>
  </si>
  <si>
    <t>INC000001315490</t>
  </si>
  <si>
    <t>Nilesh</t>
  </si>
  <si>
    <t>Salekar</t>
  </si>
  <si>
    <t>as per the logs user is accessing VPN So we are closing the iNC</t>
  </si>
  <si>
    <t>V0031109</t>
  </si>
  <si>
    <t>electronic_nasalekar</t>
  </si>
  <si>
    <t>Electronic_Nilesh.Salekar@rta.ae</t>
  </si>
  <si>
    <t>INC000001315479</t>
  </si>
  <si>
    <t>Request to configure License printer</t>
  </si>
  <si>
    <t>New printer Configuration</t>
  </si>
  <si>
    <t>user is not responding to phone calls and emails 3 reminder emails were sent to user without response, hence ticket will be closed</t>
  </si>
  <si>
    <t>New Printer Configuration</t>
  </si>
  <si>
    <t>INC000001315469</t>
  </si>
  <si>
    <t>Enable wrapper server on remaining two nodes.</t>
  </si>
  <si>
    <t>Activity has been canceled , and another RFC will be initiate for the same</t>
  </si>
  <si>
    <t>V00798</t>
  </si>
  <si>
    <t>isoft_aijouni</t>
  </si>
  <si>
    <t>Isoft_Ali.Jouni@rta.ae</t>
  </si>
  <si>
    <t>INC000001315439</t>
  </si>
  <si>
    <t>Jumana</t>
  </si>
  <si>
    <t>Albasti</t>
  </si>
  <si>
    <t>JAAlbasti</t>
  </si>
  <si>
    <t>Jumana.Albasti@rta.ae</t>
  </si>
  <si>
    <t>INC000001315420</t>
  </si>
  <si>
    <t>Tram Maximo DB user access for Power BI</t>
  </si>
  <si>
    <t>As per the request and approval, the Database user account is created. Same needs to configure in the Power BI</t>
  </si>
  <si>
    <t>INC000001315410</t>
  </si>
  <si>
    <t>Reach Qaid</t>
  </si>
  <si>
    <t>V002966</t>
  </si>
  <si>
    <t>Reach_QASaleh</t>
  </si>
  <si>
    <t>Reach_Qaid.Saleh@rta.ae</t>
  </si>
  <si>
    <t>INC000001315408</t>
  </si>
  <si>
    <t>Arunima</t>
  </si>
  <si>
    <t>Aravind</t>
  </si>
  <si>
    <t>Asset tagging and Registration - LPO# 42502402-50 laptops</t>
  </si>
  <si>
    <t>Stock</t>
  </si>
  <si>
    <t>EU Hardware Stock</t>
  </si>
  <si>
    <t>All assets reflecting in maximo and bmc Registered as per process</t>
  </si>
  <si>
    <t>cadd_aaaravind</t>
  </si>
  <si>
    <t>Asset Registration</t>
  </si>
  <si>
    <t>EU Asset</t>
  </si>
  <si>
    <t>V0013060</t>
  </si>
  <si>
    <t>Cadd_Arunima.Aravind@rta.ae</t>
  </si>
  <si>
    <t>INC000001315394</t>
  </si>
  <si>
    <t>INC000001315392</t>
  </si>
  <si>
    <t>Abdulwahed-Contractor</t>
  </si>
  <si>
    <t>To enable the EV on user mailbox</t>
  </si>
  <si>
    <t>V0030766</t>
  </si>
  <si>
    <t>okool_kaabdulwahed</t>
  </si>
  <si>
    <t>Okool_Karim.Abdulwahed@rta.ae</t>
  </si>
  <si>
    <t>INC000001315391</t>
  </si>
  <si>
    <t>Mailbox size increase</t>
  </si>
  <si>
    <t>Mail Box Size Increase (RE)</t>
  </si>
  <si>
    <t>INC000001315381</t>
  </si>
  <si>
    <t>EPQ access to RMD Deputy Director Eng Ali al SHEHI</t>
  </si>
  <si>
    <t>Dear Javeed, kindly note that MR ali.alshehhi@rta.ae has been granted to department director for RMD department  kindly check right now.</t>
  </si>
  <si>
    <t>INC000001315380</t>
  </si>
  <si>
    <t>sahmalfalasi</t>
  </si>
  <si>
    <t>Shaikha.AAlfalasi@rta.ae</t>
  </si>
  <si>
    <t>INC000001315368</t>
  </si>
  <si>
    <t>Image creation for Notebook ThinkPad X1 2-in-1 Gen 10</t>
  </si>
  <si>
    <t>Techm Vipin Ravindran</t>
  </si>
  <si>
    <t>Image creation / Image modification</t>
  </si>
  <si>
    <t>RTA standard image is created for Lenovo ThinkPad X1 2-in-1 Gen 10 laptop.</t>
  </si>
  <si>
    <t>Image Creation / Image Modification</t>
  </si>
  <si>
    <t>INC000001315361</t>
  </si>
  <si>
    <t>coordinators roles have been updated and the request 2515196 has approved successfully</t>
  </si>
  <si>
    <t>INC000001315351</t>
  </si>
  <si>
    <t>SYAlblooshi</t>
  </si>
  <si>
    <t>Sara.YAlblooshi@rta.ae</t>
  </si>
  <si>
    <t>INC000001315318</t>
  </si>
  <si>
    <t>Adobe Acrobat Professional has been installed on the user machine</t>
  </si>
  <si>
    <t>INC000001315306</t>
  </si>
  <si>
    <t>Alrabia</t>
  </si>
  <si>
    <t>attachments are not working</t>
  </si>
  <si>
    <t>Umm Ramool Block A</t>
  </si>
  <si>
    <t>The attachments are correctly map with the policy on policy portal. email attached from DCP</t>
  </si>
  <si>
    <t>fkalrabia</t>
  </si>
  <si>
    <t>Fatma.Alrabia@rta.ae</t>
  </si>
  <si>
    <t>INC000001315289</t>
  </si>
  <si>
    <t>The shared FW matrix is implemented</t>
  </si>
  <si>
    <t>INC000001315285</t>
  </si>
  <si>
    <t>Mailbox box Issue</t>
  </si>
  <si>
    <t>ahalmazrouei</t>
  </si>
  <si>
    <t>Ali.Almazrouei@rta.ae</t>
  </si>
  <si>
    <t>INC000001315277</t>
  </si>
  <si>
    <t>INC000001315228</t>
  </si>
  <si>
    <t>Abdulaziz Aziz</t>
  </si>
  <si>
    <t>Shafic</t>
  </si>
  <si>
    <t>UMM RAMOOL -PMS BLOCK</t>
  </si>
  <si>
    <t>EDMS has been installed on the user machine</t>
  </si>
  <si>
    <t>aashafic</t>
  </si>
  <si>
    <t>abdulaziz.shafic@rta.ae</t>
  </si>
  <si>
    <t>INC000001315202</t>
  </si>
  <si>
    <t>Checked and initiated manual run &amp; sync on the mailbox. Freed up some space. EV working as per RTA policy. As per the update we received from the ITD, For user maximum of 1GB quota has been already allocated. No additional quota has been increased. Freed up some space by doing manual run. Closing ticket as it is aged one. If user facing any issues please do manual archiving on all the folders and items and also check on the older calender items for a cleanup.</t>
  </si>
  <si>
    <t>INC000001315185</t>
  </si>
  <si>
    <t>Anil</t>
  </si>
  <si>
    <t>Mohanan</t>
  </si>
  <si>
    <t>Adobe Acrobat Adobe Acrobat Professional has been installed and activated on the user laptop</t>
  </si>
  <si>
    <t>V0032710</t>
  </si>
  <si>
    <t>trans_anmohanan</t>
  </si>
  <si>
    <t>Trans_Anil.Mohanan@rta.ae</t>
  </si>
  <si>
    <t>INC000001315178</t>
  </si>
  <si>
    <t>Helena</t>
  </si>
  <si>
    <t>Castanar</t>
  </si>
  <si>
    <t>hscastanar</t>
  </si>
  <si>
    <t>Helena.Castanar@rta.ae</t>
  </si>
  <si>
    <t>INC000001315176</t>
  </si>
  <si>
    <t>RAS Feb 2026 - Device is disconnected</t>
  </si>
  <si>
    <t>cadd_mskhan</t>
  </si>
  <si>
    <t>V0012792</t>
  </si>
  <si>
    <t>Cadd_Muhammad.Khan@rta.ae</t>
  </si>
  <si>
    <t>INC000001315169</t>
  </si>
  <si>
    <t>RAS Feb 2026 - Asset is identified disconnected_G+2</t>
  </si>
  <si>
    <t>Disconnected asset was collected and returned as requested.</t>
  </si>
  <si>
    <t>INC000001315167</t>
  </si>
  <si>
    <t>PC Slowness Issue - RAM upgrade</t>
  </si>
  <si>
    <t>The memory of the user's laptop has been upgraded to 16 GB</t>
  </si>
  <si>
    <t>MMOAbbas</t>
  </si>
  <si>
    <t>Marwan.Issa@rta.ae</t>
  </si>
  <si>
    <t>INC000001315166</t>
  </si>
  <si>
    <t>Ishfaq</t>
  </si>
  <si>
    <t>Zaheer</t>
  </si>
  <si>
    <t>Computer Network Issue</t>
  </si>
  <si>
    <t>system moved to quarantine due to SCCM process not running issue resolved after SCCM process started monitored this system for multiple days no issues found</t>
  </si>
  <si>
    <t>IZZaheer</t>
  </si>
  <si>
    <t>Ishfaq.Zaheer@rta.ae</t>
  </si>
  <si>
    <t>INC000001315163</t>
  </si>
  <si>
    <t>TOCC-Alert-Warning-P-260215455|OPEN|SSL certificate expiration</t>
  </si>
  <si>
    <t>INC000001315155</t>
  </si>
  <si>
    <t>[HPWJA] Magenta Cartridge Supply Threshold HP Color LaserJet MFP E87750 HP Only, HP Only\W</t>
  </si>
  <si>
    <t>Replaced magenta toner of the printer.</t>
  </si>
  <si>
    <t>INC000001315018</t>
  </si>
  <si>
    <t>DUPLICATE TICKET Reason: duplicate ticket  Action:pls close the ticket (INC000001315021) Attended Time:(tutz)(11-2-2026)</t>
  </si>
  <si>
    <t>INC000001315011</t>
  </si>
  <si>
    <t>Not receiving SMS/OTP</t>
  </si>
  <si>
    <t>No respond after 3 reminders, will proceed with ticket closure</t>
  </si>
  <si>
    <t>INC000001314947</t>
  </si>
  <si>
    <t>Sahubar</t>
  </si>
  <si>
    <t>Change Request – IXIA TAP Points Connectivity Validation (MDC &amp; UEDC)  CRQ60006</t>
  </si>
  <si>
    <t>work completed : 8 fiber patching and 10 M fiber cable layed and removed</t>
  </si>
  <si>
    <t>V0031982</t>
  </si>
  <si>
    <t>emircom_sssulaiman</t>
  </si>
  <si>
    <t>Emircom_Sahubar.Sulaiman@rta.ae</t>
  </si>
  <si>
    <t>INC000001314915</t>
  </si>
  <si>
    <t>[HPWJA] Cyan Supply Threshold HP DesignJet T1700dr PostScript HP Only, HP Only\Localy Conn</t>
  </si>
  <si>
    <t>Toner has been replaced successfully</t>
  </si>
  <si>
    <t>Toner / Cartridge Leakage</t>
  </si>
  <si>
    <t>INC000001314911</t>
  </si>
  <si>
    <t>[HPWJA] Black Cartridge Supply Threshold HP Color LaserJet MFP M577 HP Only, HP Only\Model</t>
  </si>
  <si>
    <t>Replaced Black toner for the printer</t>
  </si>
  <si>
    <t>INC000001314910</t>
  </si>
  <si>
    <t>[HPWJA] Yellow Cartridge Supply Threshold HP Color LaserJet MFP E87750 HP Only, HP Only\Wi</t>
  </si>
  <si>
    <t>Replaced Yellow toner of the printer.</t>
  </si>
  <si>
    <t>INC000001314908</t>
  </si>
  <si>
    <t>Aly</t>
  </si>
  <si>
    <t>revert back user's Email Account from O365 to on-prem Exchange</t>
  </si>
  <si>
    <t>User mailbox moved back to on-prem</t>
  </si>
  <si>
    <t>NMAly</t>
  </si>
  <si>
    <t>Nahla.Aly@rta.ae</t>
  </si>
  <si>
    <t>INC000001314902</t>
  </si>
  <si>
    <t>AlSaffar</t>
  </si>
  <si>
    <t>MS Visio (RE)</t>
  </si>
  <si>
    <t>MS Visio</t>
  </si>
  <si>
    <t>ahalsaffar</t>
  </si>
  <si>
    <t>ahmed.alsaffar@rta.ae</t>
  </si>
  <si>
    <t>INC000001314901</t>
  </si>
  <si>
    <t>Harun</t>
  </si>
  <si>
    <t>Bavakunhi</t>
  </si>
  <si>
    <t>V0032689</t>
  </si>
  <si>
    <t>protiviti_hbbavakunh</t>
  </si>
  <si>
    <t>Protiviti_Harun.Bavakunhi@rta.ae</t>
  </si>
  <si>
    <t>INC000001314878</t>
  </si>
  <si>
    <t>Humaid</t>
  </si>
  <si>
    <t>Fine has been deleted as per a wrong issuing</t>
  </si>
  <si>
    <t>HAHHassan</t>
  </si>
  <si>
    <t>Humaid.Hassan@rta.ae</t>
  </si>
  <si>
    <t>INC000001314850</t>
  </si>
  <si>
    <t>DUPLICATE TICKET Reason: duplicate ticket  Action: pls close the ticket (INC000001314948) Attended Time:(tutz)(11-2-2026)</t>
  </si>
  <si>
    <t>INC000001314809</t>
  </si>
  <si>
    <t>New Laptop Request_ECC</t>
  </si>
  <si>
    <t>Deployed the new laptop for the user as requested.</t>
  </si>
  <si>
    <t>skalhammadi</t>
  </si>
  <si>
    <t>Shaikha.KAlhammadi@rta.ae</t>
  </si>
  <si>
    <t>INC000001314805</t>
  </si>
  <si>
    <t>Vanessa</t>
  </si>
  <si>
    <t>Soriano</t>
  </si>
  <si>
    <t>Temporary Ipad/tablet  request</t>
  </si>
  <si>
    <t>Provided the temporary iPads as requetsed</t>
  </si>
  <si>
    <t>V0030410</t>
  </si>
  <si>
    <t>trans_visoriano</t>
  </si>
  <si>
    <t>Trans_Vanessa.Soriano@rta.ae</t>
  </si>
  <si>
    <t>INC000001314788</t>
  </si>
  <si>
    <t>Alrahmani</t>
  </si>
  <si>
    <t>Their is no responds from the user after send three reminders. hence to closing the ticket as per process.</t>
  </si>
  <si>
    <t>shaalrahmani</t>
  </si>
  <si>
    <t>Shaikha.HAlrahmani@rta.ae</t>
  </si>
  <si>
    <t>INC000001314780</t>
  </si>
  <si>
    <t>Enterprise vault request</t>
  </si>
  <si>
    <t>INC000001314778</t>
  </si>
  <si>
    <t>New Laptop Request</t>
  </si>
  <si>
    <t>naaljaziri</t>
  </si>
  <si>
    <t>Noora.Aljaziri@rta.ae</t>
  </si>
  <si>
    <t>INC000001314769</t>
  </si>
  <si>
    <t>Checked on the server side and Initiated a manual sync &amp; run on user mailbox in server side. Freed up space. Monitored the mailbox for some days and found the mailbox is having free space after initiating the manual run &amp; sync on mailbox. Found the ev is working fine on server side. EV addins are updated. Since this case is aged, we are closing the case, if user facing issues again please do manual archiving on all the items on folder and also try to clean up calender items for free up more space.</t>
  </si>
  <si>
    <t>INC000001314747</t>
  </si>
  <si>
    <t>Badran</t>
  </si>
  <si>
    <t>LCD / LED Screen</t>
  </si>
  <si>
    <t>Sameema Nizara Nizamudeen</t>
  </si>
  <si>
    <t>Call completed by installation of Display</t>
  </si>
  <si>
    <t>mabadran</t>
  </si>
  <si>
    <t>mohammad.badran@rta.ae</t>
  </si>
  <si>
    <t>INC000001314692</t>
  </si>
  <si>
    <t>Constellation Jayesh</t>
  </si>
  <si>
    <t>Wagle</t>
  </si>
  <si>
    <t>Require Employee Details for Hyperion Access Matrix.</t>
  </si>
  <si>
    <t>We have shared the requested data with requestor.</t>
  </si>
  <si>
    <t>V0010923</t>
  </si>
  <si>
    <t>Constellation_Jayesh.Wagle@rta.ae</t>
  </si>
  <si>
    <t>INC000001314665</t>
  </si>
  <si>
    <t>Okool Deepali Prashant</t>
  </si>
  <si>
    <t>Sarwade</t>
  </si>
  <si>
    <t>Drills and resiliency report H1 2025</t>
  </si>
  <si>
    <t>Pending details for mentioned application has been updated sent sent to Deepali</t>
  </si>
  <si>
    <t>V0010970</t>
  </si>
  <si>
    <t>okool_dssarwade</t>
  </si>
  <si>
    <t>Okool_Deepaliprashant.Sarwade@rta.ae</t>
  </si>
  <si>
    <t>INC000001314660</t>
  </si>
  <si>
    <t>Nezar</t>
  </si>
  <si>
    <t>Elmeliegy</t>
  </si>
  <si>
    <t>LinkedIn Access issue</t>
  </si>
  <si>
    <t>User does not respond to phone calls or emails.  3 reminder emails were sent to user without response, hence ticket will be closed as per the process</t>
  </si>
  <si>
    <t>nmelmeliegy</t>
  </si>
  <si>
    <t>Nezar.Elmeliegy@rta.ae</t>
  </si>
  <si>
    <t>INC000001314611</t>
  </si>
  <si>
    <t>Restoration of Screen Recording Functionality  is not working</t>
  </si>
  <si>
    <t>System File Missing Error</t>
  </si>
  <si>
    <t>OS Activation Issue</t>
  </si>
  <si>
    <t>INC000001314605</t>
  </si>
  <si>
    <t>Alexis</t>
  </si>
  <si>
    <t>Biller</t>
  </si>
  <si>
    <t>IntelliJ IDE has been installed as requested</t>
  </si>
  <si>
    <t>V0032718</t>
  </si>
  <si>
    <t>techm_asbiller</t>
  </si>
  <si>
    <t>Techm_Alexis.Biller@rta.ae</t>
  </si>
  <si>
    <t>INC000001314601</t>
  </si>
  <si>
    <t>Epic Sujith</t>
  </si>
  <si>
    <t>Paleri</t>
  </si>
  <si>
    <t>V002473</t>
  </si>
  <si>
    <t>Epic_SKPaleri</t>
  </si>
  <si>
    <t>Epic_Sujith.Paleri@rta.ae</t>
  </si>
  <si>
    <t>INC000001314409</t>
  </si>
  <si>
    <t>Zaid</t>
  </si>
  <si>
    <t>Lafi</t>
  </si>
  <si>
    <t>HDMI cable request_G+2</t>
  </si>
  <si>
    <t>provided the HDMI cable,  checked and works.</t>
  </si>
  <si>
    <t>zalafi</t>
  </si>
  <si>
    <t>Zaid.Lafi@rta.ae</t>
  </si>
  <si>
    <t>INC000001314401</t>
  </si>
  <si>
    <t>Automation system request</t>
  </si>
  <si>
    <t>Please note that we will update the user role once you get the service owner approval</t>
  </si>
  <si>
    <t>INC000001314395</t>
  </si>
  <si>
    <t>Asset collection request_Oud Metha Bus Station - Maintenance Office</t>
  </si>
  <si>
    <t>All approved RMF report keyboards and mouses have been successfully collected and returned to the IT store, and the inventory has been updated accordingly; therefore, hence resolving the ticket.</t>
  </si>
  <si>
    <t>INC000001314385</t>
  </si>
  <si>
    <t>request 2501271 (Register New Legislation For Compliance) re-opened and its forwarded to the compliance section in order to create a new sub requests</t>
  </si>
  <si>
    <t>INC000001314384</t>
  </si>
  <si>
    <t>Salahudeen</t>
  </si>
  <si>
    <t>Salah</t>
  </si>
  <si>
    <t xml:space="preserve">No Net connection from Internet wall socket </t>
  </si>
  <si>
    <t>closing this ticket as confirmed by end user team that user has network connectivity.</t>
  </si>
  <si>
    <t>snsalah</t>
  </si>
  <si>
    <t>Salahudeen.Salah@RTA.ae</t>
  </si>
  <si>
    <t>INC000001314225</t>
  </si>
  <si>
    <t>Wired keyboard has been provided to the user</t>
  </si>
  <si>
    <t>INC000001314203</t>
  </si>
  <si>
    <t>INC000001314134</t>
  </si>
  <si>
    <t>INC000001314125</t>
  </si>
  <si>
    <t>Adobe Acrobat Professional installed to user laptop</t>
  </si>
  <si>
    <t>SMOAli</t>
  </si>
  <si>
    <t>Saeed.Ali@rta.ae</t>
  </si>
  <si>
    <t>INC000001314106</t>
  </si>
  <si>
    <t>Alhashmi</t>
  </si>
  <si>
    <t>Laptop Mouse Issue "Repeated Issue" INC000001201897 &amp; INC000001138197</t>
  </si>
  <si>
    <t>Request # INC000001318648 has been submitted to replace the laptop</t>
  </si>
  <si>
    <t>HSAAlhashmi</t>
  </si>
  <si>
    <t>Huda.SAlhashmi@rta.ae</t>
  </si>
  <si>
    <t>INC000001314055</t>
  </si>
  <si>
    <t>Search is not working</t>
  </si>
  <si>
    <t>user unreachable, 3 reminders sent with no response</t>
  </si>
  <si>
    <t>V0027845</t>
  </si>
  <si>
    <t>trans_aimohammad</t>
  </si>
  <si>
    <t>Trans_Ahmad.Mohammad@rta.ae</t>
  </si>
  <si>
    <t>INC000001314054</t>
  </si>
  <si>
    <t>no response from user hope so user is able to access VPN so we are closing the INC</t>
  </si>
  <si>
    <t>INC000001314049</t>
  </si>
  <si>
    <t>Moamen</t>
  </si>
  <si>
    <t>Abdullh</t>
  </si>
  <si>
    <t>Modify access has been provided to user as per the request. Path :\\rta.global\fileserver001\Share2$\Rail Agency Folder\Rail Right Of Way Services\RROW Inspection note: User was provided with access on below folder based on another ticket.</t>
  </si>
  <si>
    <t>mmabdullh</t>
  </si>
  <si>
    <t>Moamen.Abdullh@rta.ae</t>
  </si>
  <si>
    <t>INC000001313971</t>
  </si>
  <si>
    <t>Allayadath</t>
  </si>
  <si>
    <t>Request for 2 temporary laptops</t>
  </si>
  <si>
    <t>2 laptops used for 2 days and sent back to store</t>
  </si>
  <si>
    <t>191550 \ 191575 \ 12493</t>
  </si>
  <si>
    <t>ikutty</t>
  </si>
  <si>
    <t>Ibrahim.kuttyav@rta.ae</t>
  </si>
  <si>
    <t>INC000001313902</t>
  </si>
  <si>
    <t>Configure Monitor Request</t>
  </si>
  <si>
    <t>aaiahmad</t>
  </si>
  <si>
    <t>Abdullah.Ahmad@RTA.ae</t>
  </si>
  <si>
    <t>INC000001313888</t>
  </si>
  <si>
    <t>Share folder access provided temporary as per the request. path :  \\rta.global\fileserver001\Share1$\Strategy and Corporate Performance\Internal\Corporate Performance Section\E 2025\TRA user: nzhersh</t>
  </si>
  <si>
    <t>INC000001313875</t>
  </si>
  <si>
    <t>Wajeehi</t>
  </si>
  <si>
    <t>BMMS Access Right</t>
  </si>
  <si>
    <t>Mohammad Siddeg Altijani</t>
  </si>
  <si>
    <t>Bridge Maintenance Management System</t>
  </si>
  <si>
    <t>The user has an issue with the email account, will close the ticket till he solves the issue with IT Support.</t>
  </si>
  <si>
    <t>trans_msaltijani</t>
  </si>
  <si>
    <t>V0034070</t>
  </si>
  <si>
    <t>parsons_mrwajeehi</t>
  </si>
  <si>
    <t>Parsons_Mohammed.Wajeehi@rta.ae</t>
  </si>
  <si>
    <t>INC000001313837</t>
  </si>
  <si>
    <t>Ahmed Amin</t>
  </si>
  <si>
    <t>Mohammed Ahmed  Al Zarooni</t>
  </si>
  <si>
    <t>Wireless Mouse</t>
  </si>
  <si>
    <t>RTA Higher Managment Approval</t>
  </si>
  <si>
    <t>aazarooni</t>
  </si>
  <si>
    <t>ahmed.alzarooni@rta.ae</t>
  </si>
  <si>
    <t>INC000001313720</t>
  </si>
  <si>
    <t>Yaquob</t>
  </si>
  <si>
    <t>Merza</t>
  </si>
  <si>
    <t>CSC Alert - Scan Failure Detected - 08022026-04</t>
  </si>
  <si>
    <t>As per the confirmation email received from the IT Store Team, the system RTA-PTA-TAM-053 has been officially collected according to the RMF for Request ID: INC000000885651.  Since the equipment is now in the custody of the IT Store and the verification process is complete, we are resolving this ticket.</t>
  </si>
  <si>
    <t>yemerza</t>
  </si>
  <si>
    <t>Yaquob.Merza@rta.ae</t>
  </si>
  <si>
    <t>INC000001313719</t>
  </si>
  <si>
    <t>Sahar Ahmed</t>
  </si>
  <si>
    <t>Fikry</t>
  </si>
  <si>
    <t>-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t>
  </si>
  <si>
    <t>191544 \ 191569</t>
  </si>
  <si>
    <t>safikry</t>
  </si>
  <si>
    <t>sahar.fikry@rta.ae</t>
  </si>
  <si>
    <t>INC000001313460</t>
  </si>
  <si>
    <t>Zari</t>
  </si>
  <si>
    <t>Laptop_Abu Hail Bus station</t>
  </si>
  <si>
    <t>The laptop has been fully configured and successfully deployed to the user, with the user profile created and all necessary applications properly set up to ensure the system is working fine. All software environment settings have been verified for compatibility, and the device is now operational and ready for the user's daily tasks without any further issues. CMDB updated as well, hence resolving the ticket.</t>
  </si>
  <si>
    <t>kizari</t>
  </si>
  <si>
    <t>Khalid.Zari@RTA.ae</t>
  </si>
  <si>
    <t>INC000001313451</t>
  </si>
  <si>
    <t>INC000001313362</t>
  </si>
  <si>
    <t>Amro Moustafa</t>
  </si>
  <si>
    <t>??? ?????? ?????? ?????????? ?? ??????</t>
  </si>
  <si>
    <t>New HQ-Block A Ground Floor</t>
  </si>
  <si>
    <t>User doesn't respond to phone calls or emails.   3 reminder emails were sent to user without response, hence ticket will be closed as per the process</t>
  </si>
  <si>
    <t>asalah</t>
  </si>
  <si>
    <t>amro.salah@rta.ae</t>
  </si>
  <si>
    <t>INC000001313322</t>
  </si>
  <si>
    <t>Asset transfer</t>
  </si>
  <si>
    <t>iPad has been provided to the new user. CMDB updated</t>
  </si>
  <si>
    <t>INC000001313288</t>
  </si>
  <si>
    <t>Asset retag request</t>
  </si>
  <si>
    <t>The asset has been successfully transferred to the appropriate users, and the remaining asset belonging to the user will be returned to the warehouse based on ticket number INC000001314441</t>
  </si>
  <si>
    <t>Asset Re-Tag</t>
  </si>
  <si>
    <t>INC000001313271</t>
  </si>
  <si>
    <t>Nihaluddin</t>
  </si>
  <si>
    <t>Windows Hello PIN and Fingerprint option disappear</t>
  </si>
  <si>
    <t>Resolved by removing the account from MS Authenticator App and reconfigure the fingerprint without adding pin or adding the authenticator account</t>
  </si>
  <si>
    <t>mdnihaluddin</t>
  </si>
  <si>
    <t>Muhammad.Nihaluddin@rta.ae</t>
  </si>
  <si>
    <t>INC000001313249</t>
  </si>
  <si>
    <t>Fadhlani</t>
  </si>
  <si>
    <t>Medical Condition / Medical report</t>
  </si>
  <si>
    <t>HABFadhlani</t>
  </si>
  <si>
    <t>Hussain.AFadhlani@rta.ae</t>
  </si>
  <si>
    <t>INC000001313237</t>
  </si>
  <si>
    <t>Nishad</t>
  </si>
  <si>
    <t>Muhamed</t>
  </si>
  <si>
    <t>Temporary Laptop request</t>
  </si>
  <si>
    <t>Temporary Laptop has been provided to user</t>
  </si>
  <si>
    <t>ncmohamed</t>
  </si>
  <si>
    <t>nishad.mohamed@rta.ae</t>
  </si>
  <si>
    <t>INC000001313209</t>
  </si>
  <si>
    <t>Nilanthi</t>
  </si>
  <si>
    <t>Jayawardena</t>
  </si>
  <si>
    <t xml:space="preserve">EMS system  letter tracking issue </t>
  </si>
  <si>
    <t>Please to communicate with Admin Service through their channels for any EMS related metters</t>
  </si>
  <si>
    <t>njayawardena</t>
  </si>
  <si>
    <t>nilanthi.jayawardena@rta.ae</t>
  </si>
  <si>
    <t>INC000001313167</t>
  </si>
  <si>
    <t>Adobe Acrobat Professional installed to user Laptop</t>
  </si>
  <si>
    <t>INC000001313120</t>
  </si>
  <si>
    <t>Windows Updates Issue</t>
  </si>
  <si>
    <t>3 Reminders has been sent to user with no response, as per process ticket will be closed. Should you need any assistance in the meantime please call us on the following number Tel: +971(4) 290-5858-Option 4 We assure you of our best attention at all times</t>
  </si>
  <si>
    <t>AJUAhli</t>
  </si>
  <si>
    <t>Alia.Ahli@rta.ae</t>
  </si>
  <si>
    <t>INC000001313068</t>
  </si>
  <si>
    <t>FOLLOW UP - To create a new temporary VM to test the backup restoration</t>
  </si>
  <si>
    <t>The Temporary VM has been extended till 15th May 2026</t>
  </si>
  <si>
    <t>Temporary Asset / Resource</t>
  </si>
  <si>
    <t>VM Server Components (CPU or Memory)</t>
  </si>
  <si>
    <t>INC000001313066</t>
  </si>
  <si>
    <t>Desktop replacement with laptop</t>
  </si>
  <si>
    <t>the Desktop has been replaced with a New Laptop successfully</t>
  </si>
  <si>
    <t>Desktop Replacement With Laptop</t>
  </si>
  <si>
    <t>191566 \ 12519</t>
  </si>
  <si>
    <t>Amyabdulla</t>
  </si>
  <si>
    <t>Abbas.Abdulla@rta.ae</t>
  </si>
  <si>
    <t>INC000001313065</t>
  </si>
  <si>
    <t>Khuwaidam</t>
  </si>
  <si>
    <t>FOLLOW UP - Employee transfer as of Thursday, 23/10/2025</t>
  </si>
  <si>
    <t>CMDB updated. CMDB updated. CMDB updated.</t>
  </si>
  <si>
    <t>TJKhuwaidam</t>
  </si>
  <si>
    <t>Tariq.Khuwaidam@rta.ae</t>
  </si>
  <si>
    <t>INC000001313010</t>
  </si>
  <si>
    <t>Laptop_G+2</t>
  </si>
  <si>
    <t>Deployed the laptop for the new joiner as requested.</t>
  </si>
  <si>
    <t>INC000001313005</t>
  </si>
  <si>
    <t>Yuseff</t>
  </si>
  <si>
    <t>Power PI desktop installed to user</t>
  </si>
  <si>
    <t>emyuseff</t>
  </si>
  <si>
    <t>Ebrahim.Yuseff@rta.ae</t>
  </si>
  <si>
    <t>INC000001312964</t>
  </si>
  <si>
    <t>Reason: PM  Action: PM done  Attended Time: 11:10</t>
  </si>
  <si>
    <t>INC000001312437</t>
  </si>
  <si>
    <t>Alharthy</t>
  </si>
  <si>
    <t>Outlook configuration - migrated to 365</t>
  </si>
  <si>
    <t>User has confirmed MS Authenticator app account has been configured and user able to connect to outlook.</t>
  </si>
  <si>
    <t>HSAlharthy</t>
  </si>
  <si>
    <t>Hani.Alharthy@rta.ae</t>
  </si>
  <si>
    <t>INC000001312002</t>
  </si>
  <si>
    <t>CSC Alert: VPN user ("MSALTAMIMI") access from outside the approved country - 06022026-03</t>
  </si>
  <si>
    <t>CSC confirmed to close the ticket</t>
  </si>
  <si>
    <t>INC000001311997</t>
  </si>
  <si>
    <t>mmabdulrahman</t>
  </si>
  <si>
    <t>Marwan.Abdulrahman@rta.ae</t>
  </si>
  <si>
    <t>INC000001311996</t>
  </si>
  <si>
    <t>Hala</t>
  </si>
  <si>
    <t>Almakt</t>
  </si>
  <si>
    <t>haalmakt</t>
  </si>
  <si>
    <t>Hala.Almakt@rta.ae</t>
  </si>
  <si>
    <t>INC000001311963</t>
  </si>
  <si>
    <t>INC000001311870</t>
  </si>
  <si>
    <t>EMS system issue</t>
  </si>
  <si>
    <t>New Letter has been created due to slowness and multiple restart done</t>
  </si>
  <si>
    <t>INC000001311869</t>
  </si>
  <si>
    <t>Bineesh</t>
  </si>
  <si>
    <t>Ms</t>
  </si>
  <si>
    <t>Cartridge required  for buffer stock</t>
  </si>
  <si>
    <t>Bineesh Ms</t>
  </si>
  <si>
    <t>Toner Request- User</t>
  </si>
  <si>
    <t>INK cartridges and print head collected</t>
  </si>
  <si>
    <t>cadd_bmms</t>
  </si>
  <si>
    <t>V0012788</t>
  </si>
  <si>
    <t>Cadd_Bineesh.Ms@rta.ae</t>
  </si>
  <si>
    <t>INC000001311855</t>
  </si>
  <si>
    <t>AutoCad 2026 has been installed to user workstation</t>
  </si>
  <si>
    <t>samalik</t>
  </si>
  <si>
    <t>Sayed.Malik@rta.ae</t>
  </si>
  <si>
    <t>INC000001311854</t>
  </si>
  <si>
    <t>Kutty K. Hydrose Kutty</t>
  </si>
  <si>
    <t>AutoCAD 2026 has been installed to user workstation</t>
  </si>
  <si>
    <t>IKKutty</t>
  </si>
  <si>
    <t>Ibrahim.kutty@rta.ae</t>
  </si>
  <si>
    <t>INC000001311840</t>
  </si>
  <si>
    <t>Multiple user's are facing permission error while login to automation system</t>
  </si>
  <si>
    <t>We had observed few second difference in the DC (NTP) and we have resynced it. Observed for few Days and its working fine.</t>
  </si>
  <si>
    <t>INC000001311759</t>
  </si>
  <si>
    <t>Asset return request for resigned user</t>
  </si>
  <si>
    <t>Asset return</t>
  </si>
  <si>
    <t>MEAAlsuwaidi</t>
  </si>
  <si>
    <t>Meera.Alsuwaidi@rta.ae</t>
  </si>
  <si>
    <t>INC000001311742</t>
  </si>
  <si>
    <t>Temporary LCD screen - 6B</t>
  </si>
  <si>
    <t>ITD provided the display in Trolley Stand at 6B VVIP Hall. Since there's no confirmation for the event in 6B VVIP Hall, were going to close this ticket and raise another one once the event is confirmed</t>
  </si>
  <si>
    <t>INC000001311733</t>
  </si>
  <si>
    <t>Seder</t>
  </si>
  <si>
    <t>Unable to open the archived mail</t>
  </si>
  <si>
    <t>Checked with user for having a remote session to check on the issue, user mentioned that currently working from home and unable to open some archived emails and some are opening fine, user is currently unavailable to check as working from home and advised to check next week as per availability. Since this case is open for long we are closing it and will open a new case and work on it when user is available next week, Also provided user the EV Web link to check and also to check on the search vault options to retrieve the archieved emails.</t>
  </si>
  <si>
    <t>ahseder</t>
  </si>
  <si>
    <t>Alaa.Seder@rta.ae</t>
  </si>
  <si>
    <t>INC000001311687</t>
  </si>
  <si>
    <t>????????</t>
  </si>
  <si>
    <t>AJUAbdulla</t>
  </si>
  <si>
    <t>Amna.JAbdulla@rta.ae</t>
  </si>
  <si>
    <t>INC000001311659</t>
  </si>
  <si>
    <t>Harees Ahmed Memon</t>
  </si>
  <si>
    <t>SDSC Support</t>
  </si>
  <si>
    <t>The application workstation installation is completed</t>
  </si>
  <si>
    <t>INC000001311574</t>
  </si>
  <si>
    <t>Arunkumar</t>
  </si>
  <si>
    <t>Manisekar</t>
  </si>
  <si>
    <t>Data transfer and asset return</t>
  </si>
  <si>
    <t>The data transferred to the new laptop and the old laptop returned to store</t>
  </si>
  <si>
    <t>ammanisekar</t>
  </si>
  <si>
    <t>Arunkumar.Manisekar@rta.ae</t>
  </si>
  <si>
    <t>INC000001311542</t>
  </si>
  <si>
    <t>PwC IT Audit FY25 on-site review</t>
  </si>
  <si>
    <t>Process</t>
  </si>
  <si>
    <t>Audit</t>
  </si>
  <si>
    <t>Audit was completed and the observations are yet to be received from PwC</t>
  </si>
  <si>
    <t>INC000001311472</t>
  </si>
  <si>
    <t>Additional Wi-Fi signal router for the new conference hall</t>
  </si>
  <si>
    <t>Wireless Coverage</t>
  </si>
  <si>
    <t>As per the request access point has been installed at the location.</t>
  </si>
  <si>
    <t>INC000001311423</t>
  </si>
  <si>
    <t>Saeed Alzaabi</t>
  </si>
  <si>
    <t>Request to transferee  the contractor's account from a PTA to an EAS Dep</t>
  </si>
  <si>
    <t>we have enabled below requested id “ARTHURDLITTLE_CEFEGH” in IAM system till end of 30 May 2026 and updated user profile in IAM system.  •	Agency: PTA •	Department: Transportation systems Department •	Section: Innovative &amp; Self Driving Transportation systems •	Manager Employee Number: 14781</t>
  </si>
  <si>
    <t>nsalzaabi</t>
  </si>
  <si>
    <t>noora.alzaabi@rta.ae</t>
  </si>
  <si>
    <t>INC000001311359</t>
  </si>
  <si>
    <t>New Data / Voice Socket</t>
  </si>
  <si>
    <t>Ticket cancelled: Informed user that this is a BFD modification request.  so please you are requested to raise a ticket through Automation:  Service Name: BFD Modification request.</t>
  </si>
  <si>
    <t>Request For New Data / Voice Socket</t>
  </si>
  <si>
    <t>kaalali</t>
  </si>
  <si>
    <t>Khulood.Alali@RTA.ae</t>
  </si>
  <si>
    <t>INC000001311327</t>
  </si>
  <si>
    <t>khalil</t>
  </si>
  <si>
    <t>Aldebsi</t>
  </si>
  <si>
    <t>Resigned user Asset collection</t>
  </si>
  <si>
    <t>Laptop returned to the store. Monitor re-tagged to another user. CMDB updated</t>
  </si>
  <si>
    <t>kraldebsi</t>
  </si>
  <si>
    <t>khalil.Aldebsi@rta.ae</t>
  </si>
  <si>
    <t>INC000001311214</t>
  </si>
  <si>
    <t>MaximoSara - Sustainability Report 2025- Procurement</t>
  </si>
  <si>
    <t>Report has been provided as required attached</t>
  </si>
  <si>
    <t>INC000001310938</t>
  </si>
  <si>
    <t>Jarpula</t>
  </si>
  <si>
    <t>V0033130</t>
  </si>
  <si>
    <t>ITSD Section Manager Approval</t>
  </si>
  <si>
    <t>bahwan_pjjarpula</t>
  </si>
  <si>
    <t>Bahwan_Prasad.Jarpula@rta.ae</t>
  </si>
  <si>
    <t>INC000001310904</t>
  </si>
  <si>
    <t>Asset collection_PTA</t>
  </si>
  <si>
    <t>Asset returned partially, CMDB updated.</t>
  </si>
  <si>
    <t>INC000001310851</t>
  </si>
  <si>
    <t>BS27L-449-Sheikh Rashid Road</t>
  </si>
  <si>
    <t>DUPLICATE TICKET Reason:- Duplicate Ticket please Cancel Original Ticket No  INC000001306486  Action:-   Attended Time:-  Remarks:-</t>
  </si>
  <si>
    <t>INC000001310686</t>
  </si>
  <si>
    <t>TOCC-Alert-Warning-P-26024688|OPEN|CPU saturation</t>
  </si>
  <si>
    <t>As checked, The application is working fine and no issues found. However,  We will keep monitor the application and if any further support required, We will contact the concern team.  Also let us know if the issue occurred again.</t>
  </si>
  <si>
    <t>INC000001310626</t>
  </si>
  <si>
    <t>MOHAMMED</t>
  </si>
  <si>
    <t>MaximoSara -  RA/RPD/60434 - CCTV - Maint extension</t>
  </si>
  <si>
    <t>Exception given to the contract to raise VOR</t>
  </si>
  <si>
    <t>mamahmou</t>
  </si>
  <si>
    <t>Mohamed.Mahmoud@RTA.ae</t>
  </si>
  <si>
    <t>INC000001310610</t>
  </si>
  <si>
    <t>MaximoSara -  R 1073 - Supervision contract</t>
  </si>
  <si>
    <t>Exception given to the Contract for VOR Creation</t>
  </si>
  <si>
    <t>INC000001310365</t>
  </si>
  <si>
    <t>PC Login issue</t>
  </si>
  <si>
    <t>There is no respond from user after sent three remainder  hence closing the ticket</t>
  </si>
  <si>
    <t>AMOAlbloushi</t>
  </si>
  <si>
    <t>Abdallah.Albloushi@rta.ae</t>
  </si>
  <si>
    <t>INC000001310292</t>
  </si>
  <si>
    <t>Basem</t>
  </si>
  <si>
    <t>Torky</t>
  </si>
  <si>
    <t>Laptop replacement request</t>
  </si>
  <si>
    <t>Laptop replacement with Laptop</t>
  </si>
  <si>
    <t>191502 \ 12506</t>
  </si>
  <si>
    <t>batorky</t>
  </si>
  <si>
    <t>Basem.Torky@rta.ae</t>
  </si>
  <si>
    <t>INC000001310240</t>
  </si>
  <si>
    <t>Almahri</t>
  </si>
  <si>
    <t>unlink from AirWatch request</t>
  </si>
  <si>
    <t>Device is unlinked from Airwatch and now not part of Airwatch , some old icons for old configuration was not able to remove as work around engineer grouped it in one icon : only shortcuts not apps .</t>
  </si>
  <si>
    <t>Deactivation Request</t>
  </si>
  <si>
    <t>amalmahri</t>
  </si>
  <si>
    <t>Abdulla.Almahri@rta.ae</t>
  </si>
  <si>
    <t>INC000001310090</t>
  </si>
  <si>
    <t xml:space="preserve">???? ??????? ??????????? </t>
  </si>
  <si>
    <t>Karim Abdulwahed-Contractor</t>
  </si>
  <si>
    <t>Access provided as requested to EDMS</t>
  </si>
  <si>
    <t>INC000001310074</t>
  </si>
  <si>
    <t>Shajuddin</t>
  </si>
  <si>
    <t>Dear All,  Firewall matrix has been implemented, observed the firewall rules for week.  Best Regards</t>
  </si>
  <si>
    <t>V0032423</t>
  </si>
  <si>
    <t>mds_ssshajuddin</t>
  </si>
  <si>
    <t>Mds_Shaik.Shajuddin@rta.ae</t>
  </si>
  <si>
    <t>INC000001310045</t>
  </si>
  <si>
    <t>INC000001310041</t>
  </si>
  <si>
    <t>INC000001310005</t>
  </si>
  <si>
    <t>Mozahem</t>
  </si>
  <si>
    <t>MaximoSara - BMXZZ7191E - The company name does not have a match in GRP.</t>
  </si>
  <si>
    <t>Company reflected as per GRP as attached.</t>
  </si>
  <si>
    <t>ammozahem</t>
  </si>
  <si>
    <t>Ahmed.Mozahem@rta.ae</t>
  </si>
  <si>
    <t>INC000001309945</t>
  </si>
  <si>
    <t>MaximoSara -  List of Active Contracts</t>
  </si>
  <si>
    <t>Report has been provided as attached</t>
  </si>
  <si>
    <t>INC000001309932</t>
  </si>
  <si>
    <t>MaximoSara - Performance Bond</t>
  </si>
  <si>
    <t>Clarification provided to the user as attached</t>
  </si>
  <si>
    <t>INC000001309930</t>
  </si>
  <si>
    <t>Alawadi</t>
  </si>
  <si>
    <t>MaximoSara - Plan 2026</t>
  </si>
  <si>
    <t>Procedure provided to the user as attached</t>
  </si>
  <si>
    <t>SAAlawadi</t>
  </si>
  <si>
    <t>Shamma.Alawadi@rta.ae</t>
  </si>
  <si>
    <t>INC000001309921</t>
  </si>
  <si>
    <t>MaximoSara -  Contract: LA/DL/24-9915     Invoice: RTA010725</t>
  </si>
  <si>
    <t>Procedure provided to the  user as attached</t>
  </si>
  <si>
    <t>INC000001309894</t>
  </si>
  <si>
    <t>Raeisi</t>
  </si>
  <si>
    <t>Temporary laptop has been provided to the user, confogured user profile</t>
  </si>
  <si>
    <t>AMRaeisi</t>
  </si>
  <si>
    <t>Abdulrahman.Raeisi@rta.ae</t>
  </si>
  <si>
    <t>INC000001309857</t>
  </si>
  <si>
    <t>As per last update from security team ,user department should raise new RISK in GRC system to install the software and same already SMD looped concerned engineer from SMD to advise.  (As per the provided response, Security risk assessment has to be conducted inclduing the requested point treatment plan.)  Currently ,we are closing the ticket, once RISK will be raised, please let us know the new RISK No# to raise new ticket for the request .</t>
  </si>
  <si>
    <t>INC000001309731</t>
  </si>
  <si>
    <t>Request to implement CRQ59794</t>
  </si>
  <si>
    <t>To	Subject	Sent	Size	Categories	 Arun Krishnakumar-contractor	RE: Call center movement from New HQ to G+2 || Firewall Matrix for Board Operators  -- INC000001309735	8:21 AM	198 KB</t>
  </si>
  <si>
    <t>INC000001309724</t>
  </si>
  <si>
    <t>Laptop slowness issue</t>
  </si>
  <si>
    <t>INC000001309709</t>
  </si>
  <si>
    <t>SMA Users Access  CRQ59943</t>
  </si>
  <si>
    <t>Dear All,  SMD team has revert the with confirmation, So we sent few reminder mails and waiting for update. We are closing the ticket now. if any update, will open new ticket and enable the service ( as per request)</t>
  </si>
  <si>
    <t>INC000001309393</t>
  </si>
  <si>
    <t>Mishab</t>
  </si>
  <si>
    <t>Maliyekkal</t>
  </si>
  <si>
    <t>RFID Web Portal not working</t>
  </si>
  <si>
    <t>RFID_FMS (Fuel Management System)</t>
  </si>
  <si>
    <t>User Account Activated as per approvals</t>
  </si>
  <si>
    <t>mamaliyekkal</t>
  </si>
  <si>
    <t>Mishab.Maliyekkal@rta.ae</t>
  </si>
  <si>
    <t>INC000001309318</t>
  </si>
  <si>
    <t>Bhoomreddy</t>
  </si>
  <si>
    <t>Kunta</t>
  </si>
  <si>
    <t>Physical count locations (Al Karama) to Run in GRP</t>
  </si>
  <si>
    <t>V001355</t>
  </si>
  <si>
    <t>REACH_BJKunta</t>
  </si>
  <si>
    <t>Reach_Bhoomreddy.Kunta@rta.ae</t>
  </si>
  <si>
    <t>INC000001309024</t>
  </si>
  <si>
    <t>Nexthink: Proactive Report _Check battery</t>
  </si>
  <si>
    <t>Laptop battery has been replaced successfully</t>
  </si>
  <si>
    <t>INC000001308695</t>
  </si>
  <si>
    <t>EMS Access from mobile</t>
  </si>
  <si>
    <t>Devidas Amberkar-Contractor</t>
  </si>
  <si>
    <t>Informed IT support to enroll user personal device.</t>
  </si>
  <si>
    <t>INC000001307784</t>
  </si>
  <si>
    <t>Isleem</t>
  </si>
  <si>
    <t>Dear IT Support,   I can see that the user's MFA is not set. Please guide the user to configure the authenticator.  Please follow the below steps after connecting the laptop to an open network like Mobile Hotspot or Home WiFi to configure the MFA.   	1. Launch Chrome and paste the following link in the address bar:           https://ettisal.rta.ae/vpn  	2. Enter your username and password. 	3. A QR code will be displayed on the screen. 	4. Open the Oracle Authenticator app on your mobile device. 	5. Tap the + icon         6. Scan the QR code, enter the 6-digit code, and click Sign In. (Ignore the error message that gets displayed after the Sign In)</t>
  </si>
  <si>
    <t>V0032677</t>
  </si>
  <si>
    <t>okool_zhisleem</t>
  </si>
  <si>
    <t>Okool_Zakarya.Isleem@rta.ae</t>
  </si>
  <si>
    <t>INC000001307483</t>
  </si>
  <si>
    <t>[Security Advisory] Security Patch Update for OpManager (ZVE-2025-7373 and ZVE-2025-7390)</t>
  </si>
  <si>
    <t>Pranay Kotagiri</t>
  </si>
  <si>
    <t>EC3 KB Documents &amp; Reports</t>
  </si>
  <si>
    <t>Security Compliance Report</t>
  </si>
  <si>
    <t>raised a ticket with vendor for validating the CSC for our setup</t>
  </si>
  <si>
    <t>System Major Changes</t>
  </si>
  <si>
    <t>INC000001306905</t>
  </si>
  <si>
    <t>Alhashemi</t>
  </si>
  <si>
    <t>Request to provide 5 laptops for Security Operations Center</t>
  </si>
  <si>
    <t>the 5 Laptops have been handed over to Abdelwaheed Gafar</t>
  </si>
  <si>
    <t>Memo/Budget</t>
  </si>
  <si>
    <t>jhalhashemi</t>
  </si>
  <si>
    <t>Jamal.Alhashemi@rta.ae</t>
  </si>
  <si>
    <t>INC000001306863</t>
  </si>
  <si>
    <t>Diyaaeldin</t>
  </si>
  <si>
    <t>Temporary Laptop replacement</t>
  </si>
  <si>
    <t>a new related  follow-up ticket will be logged on the approved collection/ revised expiry date.</t>
  </si>
  <si>
    <t>Follow-up/Extension</t>
  </si>
  <si>
    <t>191457 \ 12495</t>
  </si>
  <si>
    <t>damohammed</t>
  </si>
  <si>
    <t>Diyaaeldin.Mohammed@rta.ae</t>
  </si>
  <si>
    <t>INC000001306078</t>
  </si>
  <si>
    <t>Annual leave discrepancy - HR</t>
  </si>
  <si>
    <t>Issue is resolved. Employee balance: 29.959</t>
  </si>
  <si>
    <t>analdosari</t>
  </si>
  <si>
    <t>Ahmad.NAldosari@rta.ae</t>
  </si>
  <si>
    <t>INC000001305314</t>
  </si>
  <si>
    <t>Asset returned to the store. CMDB updated</t>
  </si>
  <si>
    <t>INC000001305267</t>
  </si>
  <si>
    <t>Hardware Replacement - Monitor</t>
  </si>
  <si>
    <t>The monitor has been replaced successfully, and it is now functioning properly.</t>
  </si>
  <si>
    <t>Monitor Replacement With Monitor</t>
  </si>
  <si>
    <t>191343 \ 12488</t>
  </si>
  <si>
    <t>INC000001305197</t>
  </si>
  <si>
    <t>Site inspection for Month of Jan 2026</t>
  </si>
  <si>
    <t>cmdb updated for  4 Line items for location change.</t>
  </si>
  <si>
    <t>INC000001304788</t>
  </si>
  <si>
    <t>Decommission of EOL Devices for Dec 2025 - Part of plan 2025</t>
  </si>
  <si>
    <t>ADR NO:3196582 cmdb updated  Material clearance will be created once ADR will be approved and notification for clearance will be triggered</t>
  </si>
  <si>
    <t>Maximo Asset Decommission</t>
  </si>
  <si>
    <t>EU Assets</t>
  </si>
  <si>
    <t>INC000001304139</t>
  </si>
  <si>
    <t>Screen installation in TRA CEO office_R11</t>
  </si>
  <si>
    <t>UMM RAMOOL NEW HQ 3A -MARINE AGENCY</t>
  </si>
  <si>
    <t>Call completed by Display installaton.</t>
  </si>
  <si>
    <t>mtmohammed</t>
  </si>
  <si>
    <t>Mohammed.Tawfeeq@rta.ae</t>
  </si>
  <si>
    <t>INC000001304131</t>
  </si>
  <si>
    <t>Albaloushi</t>
  </si>
  <si>
    <t>PC Slowness Issue_G+2</t>
  </si>
  <si>
    <t>AAAlbaloushi</t>
  </si>
  <si>
    <t>Abdulrahman.Albaloushi@rta.ae</t>
  </si>
  <si>
    <t>INC000001303670</t>
  </si>
  <si>
    <t>Asset tagging and Registration - 6 Monitors -LPO# 42502401</t>
  </si>
  <si>
    <t>All assets reflecting both in Maximo and BMC</t>
  </si>
  <si>
    <t>INC000001303575</t>
  </si>
  <si>
    <t>Faulty voice socket 6A-V002 for extension 3524 in CTSS CEO Office</t>
  </si>
  <si>
    <t>Replaced faulty voice socket Socket Number: 6A-V002</t>
  </si>
  <si>
    <t>INC000001303482</t>
  </si>
  <si>
    <t>EAIP - Water Energy Cooling usecase impacted</t>
  </si>
  <si>
    <t>Firewall been implemented and scenario ran successfully</t>
  </si>
  <si>
    <t>INC000001303458</t>
  </si>
  <si>
    <t>Alahmad</t>
  </si>
  <si>
    <t>Laptop replacement_G+2</t>
  </si>
  <si>
    <t>Replaced the laptop for the user as requested.</t>
  </si>
  <si>
    <t>V0025194</t>
  </si>
  <si>
    <t>191400 \ 12489</t>
  </si>
  <si>
    <t>srsl_akalahmad</t>
  </si>
  <si>
    <t>Srsl_Ahmad.Alahmad@rta.ae</t>
  </si>
  <si>
    <t>INC000001302276</t>
  </si>
  <si>
    <t>Salma</t>
  </si>
  <si>
    <t>Arabi</t>
  </si>
  <si>
    <t>User infomred that the issue has been resolved and can close the request</t>
  </si>
  <si>
    <t>Backup Restoration</t>
  </si>
  <si>
    <t>Request for Restore Emails/Files/Folders</t>
  </si>
  <si>
    <t>syarabi</t>
  </si>
  <si>
    <t>Salma.Arabi@rta.ae</t>
  </si>
  <si>
    <t>INC000001301894</t>
  </si>
  <si>
    <t>RAS Jan 2025 - Device is disconnected  RTA-I144835 RTA-I178237</t>
  </si>
  <si>
    <t>Both users informed that they use the monitors. No need to return to the store</t>
  </si>
  <si>
    <t>INC000001301102</t>
  </si>
  <si>
    <t>Yassin</t>
  </si>
  <si>
    <t>FOLLOW UP - Software Installing Request</t>
  </si>
  <si>
    <t>this Ticket will be close ,as a new related follow-up ticket will be logged on the approved collection/ revised expiry date.</t>
  </si>
  <si>
    <t>V004983</t>
  </si>
  <si>
    <t>World_OMYassin</t>
  </si>
  <si>
    <t>World_Omer.Yassin@rta.ae</t>
  </si>
  <si>
    <t>INC000001299430</t>
  </si>
  <si>
    <t>MDC Unused Cisco asset List</t>
  </si>
  <si>
    <t>The assets are returned to warehouse.     to be decomissioned as material. We are unable to create ADR as these assets are in decomissioned status in Maximo</t>
  </si>
  <si>
    <t>INC000001299304</t>
  </si>
  <si>
    <t>Saleh Qasem</t>
  </si>
  <si>
    <t>Upgrade to Windows 11 Request</t>
  </si>
  <si>
    <t>Upendar Kontemukkula</t>
  </si>
  <si>
    <t>Windows 10 upgrade</t>
  </si>
  <si>
    <t>Thank you for the update, i will go ahead and close the incident as per user confirmation.</t>
  </si>
  <si>
    <t>Windows 10 Upgrade</t>
  </si>
  <si>
    <t>V0030409</t>
  </si>
  <si>
    <t>trans_emsalehqasem</t>
  </si>
  <si>
    <t>Trans_Ebrahim.Salehqasem@rta.ae</t>
  </si>
  <si>
    <t>INC000001299234</t>
  </si>
  <si>
    <t>Alsahra Pooli</t>
  </si>
  <si>
    <t>Mohideen Sadam Hussain-contractor</t>
  </si>
  <si>
    <t>Desktop replacement with Laptop</t>
  </si>
  <si>
    <t>Laptop has been provided to the user. Desktop returned to the store. CMDB updated</t>
  </si>
  <si>
    <t>V0012908</t>
  </si>
  <si>
    <t>191232 \ 12505</t>
  </si>
  <si>
    <t>alsahra_pssadamhussa</t>
  </si>
  <si>
    <t>Alsahra_Poolimohamedmohideen.Sadamhussain@rta.ae</t>
  </si>
  <si>
    <t>INC000001298782</t>
  </si>
  <si>
    <t>Asif</t>
  </si>
  <si>
    <t>Kannu</t>
  </si>
  <si>
    <t>We regret to inform you that currently SMD approved to install the software on server machine only not client laptop  Hence closing the ticket</t>
  </si>
  <si>
    <t>aakannu</t>
  </si>
  <si>
    <t>Asif.Kannu@rta.ae</t>
  </si>
  <si>
    <t>INC000001298114</t>
  </si>
  <si>
    <t>Abdul Jaleel</t>
  </si>
  <si>
    <t>Alikutty</t>
  </si>
  <si>
    <t>RTAWLAN Network Signal Issue</t>
  </si>
  <si>
    <t>Wireless network issues</t>
  </si>
  <si>
    <t>Relocated the wireless access point to a more optimal location in order to improve Wi-Fi signal strength and increase network coverage throughout the area</t>
  </si>
  <si>
    <t>apalikutty</t>
  </si>
  <si>
    <t>AbdulJaleel.Alikutty@rta.ae</t>
  </si>
  <si>
    <t>INC000001296323</t>
  </si>
  <si>
    <t>Desktop replacement_Deira Plate Factory - Cutting room</t>
  </si>
  <si>
    <t>The system has been successfully replaced with a new desktop, and all data migration from the previous unit is complete. The CMDB has been updated to reflect the new hardware details, and the old system has been collected and returned to the IT store; therefore, this ticket is now resolved.</t>
  </si>
  <si>
    <t>Desktop Replacement With Desktop</t>
  </si>
  <si>
    <t>191204 \ 12483</t>
  </si>
  <si>
    <t>INC000001295701</t>
  </si>
  <si>
    <t>Almukhayet</t>
  </si>
  <si>
    <t>3 Laptops request</t>
  </si>
  <si>
    <t>Three Lenovo Thinkpad T14 Gen1 has been provided to the consultants   The consultants are as follows:  •	Neil Richard Morris-Contractor Arup_Neil.Morris@rta.ae •	Rakesh Arvind Patel-Contractor Arup_Rakesh.Patel@rta.ae •	Benoit Maurice Lery-Contractor Arup_Benoit.Lery@rta.ae</t>
  </si>
  <si>
    <t>aabalmukhayet</t>
  </si>
  <si>
    <t>Abdulrahman.AAlmukhayet@rta.ae</t>
  </si>
  <si>
    <t>INC000001295682</t>
  </si>
  <si>
    <t>Arif</t>
  </si>
  <si>
    <t>Al Shehi</t>
  </si>
  <si>
    <t>unable to access passenger_activities_pta@rta.ae</t>
  </si>
  <si>
    <t>- Access to passenger_activities_pta@rta.ae has been granted. - Below 2 shared mailboxes has been removed successfully.: CTA Team, Licensing Emergency Team</t>
  </si>
  <si>
    <t>Mailbox Issue - Server Level</t>
  </si>
  <si>
    <t>arashehi</t>
  </si>
  <si>
    <t>Arif.Alshehi@rta.ae</t>
  </si>
  <si>
    <t>INC000001295288</t>
  </si>
  <si>
    <t>provide TEMP exclusion for below mentioned link in AV.</t>
  </si>
  <si>
    <t>Hello Team,  Please note that as per SMD approval and the user’s email confirmation, the exception has now been removed from the mentioned TIBCO servers.  The activity is completed from our end.</t>
  </si>
  <si>
    <t>INC000001294384</t>
  </si>
  <si>
    <t>Unable to update BIOS in the T14 Gen5 AMD laptop</t>
  </si>
  <si>
    <t>BIOS Issue</t>
  </si>
  <si>
    <t>191043 /  191055</t>
  </si>
  <si>
    <t>INC000001293220</t>
  </si>
  <si>
    <t>Avaya Tarek Mohamed</t>
  </si>
  <si>
    <t>Issue post window 11 Migration</t>
  </si>
  <si>
    <t>Latest Jan 2026 month patch has been pushed to the affected device and we are observing the status..</t>
  </si>
  <si>
    <t>V002669</t>
  </si>
  <si>
    <t>Avaya_TRAbdallah</t>
  </si>
  <si>
    <t>Avaya_Tarekmohamed.Abdallah@rta.ae</t>
  </si>
  <si>
    <t>INC000001290141</t>
  </si>
  <si>
    <t>Zia Ul Haq</t>
  </si>
  <si>
    <t>Sarwar</t>
  </si>
  <si>
    <t>Broken screen_G+2</t>
  </si>
  <si>
    <t>Broken screen returned to store, CMDB UPDATED for the returned asset. New Monitor provided as it was recommended by AMC team. CMDB UPDATED.</t>
  </si>
  <si>
    <t>Monitor Not Working</t>
  </si>
  <si>
    <t>191534 \ 12504</t>
  </si>
  <si>
    <t>zsarwar</t>
  </si>
  <si>
    <t>Zia.Sarwar@rta.ae</t>
  </si>
  <si>
    <t>INC000001283394</t>
  </si>
  <si>
    <t>Protiviti Prashant</t>
  </si>
  <si>
    <t>Sharma</t>
  </si>
  <si>
    <t>Asset Refreshment Plan -2025_Laptop Dec-Week 2_G+2</t>
  </si>
  <si>
    <t>- Due to user workload, he is not able to provide the laptop for replacement,  - Agreed to close the ticket, and once he finish the current projects he will raise a repalcement request.  - Coorcdianted with concerned teamthe new laptop was collected and returned to store.</t>
  </si>
  <si>
    <t>V006372</t>
  </si>
  <si>
    <t>190754 \ 12465</t>
  </si>
  <si>
    <t>Protiviti_PSSharma</t>
  </si>
  <si>
    <t>Protiviti_Prashant.Sharma@rta.ae</t>
  </si>
  <si>
    <t>INC000001278734</t>
  </si>
  <si>
    <t>190913 \ 12469</t>
  </si>
  <si>
    <t>INC000001225121</t>
  </si>
  <si>
    <t>Asset Refreshment Plan -2025_Laptop_Sep-Week 1</t>
  </si>
  <si>
    <t>Abdul Kosani Veedu</t>
  </si>
  <si>
    <t>Refresh Plan - HW &amp; SW</t>
  </si>
  <si>
    <t>This asset is unidentified since last four pm activities and also it was not identified during the physical count activity by AMD. The same has been discussed with AMD and approval has been received to decommission this asset.  Approval mails attached.</t>
  </si>
  <si>
    <t>INC000001225116</t>
  </si>
  <si>
    <t>Alnaser</t>
  </si>
  <si>
    <t>Customer Service</t>
  </si>
  <si>
    <t>main CSC buliding- backoffice</t>
  </si>
  <si>
    <t>This asset is unidentified since last four pm activities and also it was not identified during the physical count activity by AMD. The same has been discussed with AMD and approval has been received to decommission this asset.</t>
  </si>
  <si>
    <t>maalnaser</t>
  </si>
  <si>
    <t>Mohamad.Alnaser@rta.ae</t>
  </si>
  <si>
    <t>INC000001225115</t>
  </si>
  <si>
    <t>INC000001225114</t>
  </si>
  <si>
    <t>Asset Refreshment Plan -2025_Desktop_Sep-Week 1</t>
  </si>
  <si>
    <t>Desktop replacement with Desktop</t>
  </si>
  <si>
    <t>INC000001225112</t>
  </si>
  <si>
    <t>INC000001225111</t>
  </si>
  <si>
    <t>IT Service</t>
  </si>
  <si>
    <t>Desk</t>
  </si>
  <si>
    <t>Information technology</t>
  </si>
  <si>
    <t>Rashidya Head Quarters Main Building</t>
  </si>
  <si>
    <t>itservicedesk@rta.ae</t>
  </si>
  <si>
    <t>INC000001225104</t>
  </si>
  <si>
    <t>INC000001225088</t>
  </si>
  <si>
    <t>INC000001225083</t>
  </si>
  <si>
    <t>INC000001217897</t>
  </si>
  <si>
    <t>Asset Refreshment Plan -2025_Desktop_ Sep-Week 1</t>
  </si>
  <si>
    <t>INC000001215233</t>
  </si>
  <si>
    <t>ORR Inspector</t>
  </si>
  <si>
    <t>Safety and Risk Regulation and Planning</t>
  </si>
  <si>
    <t>Asset Refreshment Plan -2025_Desktop_Aug-Week 2</t>
  </si>
  <si>
    <t>orrinspector1</t>
  </si>
  <si>
    <t>orrinspector1@rta.ae</t>
  </si>
  <si>
    <t>INC000001215103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</si>
</sst>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F5FD4-55B8-48A9-87B0-15DCC79FFF93}">
  <dimension ref="A1:AN3193"/>
  <sheetViews>
    <sheetView tabSelected="1" workbookViewId="0">
      <selection activeCell="I10" sqref="I10"/>
    </sheetView>
  </sheetViews>
  <sheetFormatPr defaultRowHeight="14.5" x14ac:dyDescent="0.35"/>
  <sheetData>
    <row r="1" spans="1:40" x14ac:dyDescent="0.35">
      <c r="A1" t="s">
        <v>0</v>
      </c>
      <c r="B1" t="s">
        <v>1</v>
      </c>
      <c r="C1" t="s">
        <v>2</v>
      </c>
      <c r="D1" t="s">
        <v>3</v>
      </c>
      <c r="E1" t="s">
        <v>4</v>
      </c>
      <c r="F1" t="s">
        <v>5</v>
      </c>
      <c r="G1" t="s">
        <v>6</v>
      </c>
      <c r="H1" t="s">
        <v>7</v>
      </c>
      <c r="I1" t="s">
        <v>8</v>
      </c>
      <c r="J1" t="s">
        <v>9</v>
      </c>
      <c r="K1" t="s">
        <v>10</v>
      </c>
      <c r="L1" t="s">
        <v>11</v>
      </c>
      <c r="M1" t="s">
        <v>12</v>
      </c>
      <c r="N1" t="s">
        <v>12</v>
      </c>
      <c r="O1" t="s">
        <v>13</v>
      </c>
      <c r="P1" t="s">
        <v>14</v>
      </c>
      <c r="Q1" t="s">
        <v>15</v>
      </c>
      <c r="R1" t="s">
        <v>16</v>
      </c>
      <c r="S1" t="s">
        <v>17</v>
      </c>
      <c r="T1" t="s">
        <v>18</v>
      </c>
      <c r="U1" t="s">
        <v>19</v>
      </c>
      <c r="V1" t="s">
        <v>20</v>
      </c>
      <c r="W1" t="s">
        <v>21</v>
      </c>
      <c r="X1" t="s">
        <v>22</v>
      </c>
      <c r="Y1" t="s">
        <v>23</v>
      </c>
      <c r="Z1" t="s">
        <v>24</v>
      </c>
      <c r="AA1" t="s">
        <v>20</v>
      </c>
      <c r="AB1" t="s">
        <v>25</v>
      </c>
      <c r="AC1" t="s">
        <v>26</v>
      </c>
      <c r="AD1" t="s">
        <v>27</v>
      </c>
      <c r="AE1" t="s">
        <v>28</v>
      </c>
      <c r="AF1" t="s">
        <v>29</v>
      </c>
      <c r="AG1" t="s">
        <v>24</v>
      </c>
      <c r="AH1" t="s">
        <v>30</v>
      </c>
      <c r="AI1" t="s">
        <v>31</v>
      </c>
      <c r="AJ1" t="s">
        <v>32</v>
      </c>
      <c r="AK1" t="s">
        <v>33</v>
      </c>
      <c r="AL1" t="s">
        <v>34</v>
      </c>
      <c r="AM1" t="s">
        <v>35</v>
      </c>
      <c r="AN1" t="s">
        <v>36</v>
      </c>
    </row>
    <row r="2" spans="1:40" x14ac:dyDescent="0.35">
      <c r="A2" t="s">
        <v>37</v>
      </c>
      <c r="B2" t="s">
        <v>38</v>
      </c>
      <c r="C2" t="s">
        <v>39</v>
      </c>
      <c r="D2" t="s">
        <v>40</v>
      </c>
      <c r="E2" t="s">
        <v>41</v>
      </c>
      <c r="F2" s="1">
        <v>46078.994583333333</v>
      </c>
      <c r="G2" t="s">
        <v>42</v>
      </c>
      <c r="H2" t="s">
        <v>43</v>
      </c>
      <c r="I2" t="s">
        <v>44</v>
      </c>
      <c r="J2" t="s">
        <v>45</v>
      </c>
      <c r="K2" t="s">
        <v>46</v>
      </c>
      <c r="M2" t="s">
        <v>47</v>
      </c>
      <c r="O2" t="s">
        <v>48</v>
      </c>
      <c r="P2" t="s">
        <v>49</v>
      </c>
      <c r="Q2" t="s">
        <v>50</v>
      </c>
      <c r="R2" t="s">
        <v>51</v>
      </c>
      <c r="S2" t="s">
        <v>52</v>
      </c>
      <c r="T2" t="s">
        <v>53</v>
      </c>
      <c r="U2" s="1">
        <v>46078.995324074072</v>
      </c>
      <c r="V2" t="s">
        <v>54</v>
      </c>
      <c r="W2" t="s">
        <v>55</v>
      </c>
      <c r="X2" t="s">
        <v>56</v>
      </c>
      <c r="Y2" t="s">
        <v>57</v>
      </c>
      <c r="Z2" t="s">
        <v>58</v>
      </c>
      <c r="AA2" t="s">
        <v>54</v>
      </c>
      <c r="AB2" t="s">
        <v>59</v>
      </c>
      <c r="AC2" t="s">
        <v>60</v>
      </c>
      <c r="AD2" t="s">
        <v>51</v>
      </c>
      <c r="AE2" t="s">
        <v>52</v>
      </c>
      <c r="AF2" t="s">
        <v>53</v>
      </c>
      <c r="AG2" t="s">
        <v>58</v>
      </c>
      <c r="AK2">
        <v>0</v>
      </c>
      <c r="AL2" t="s">
        <v>61</v>
      </c>
      <c r="AM2" t="s">
        <v>59</v>
      </c>
      <c r="AN2" t="s">
        <v>62</v>
      </c>
    </row>
    <row r="3" spans="1:40" x14ac:dyDescent="0.35">
      <c r="A3" t="s">
        <v>37</v>
      </c>
      <c r="B3" t="s">
        <v>63</v>
      </c>
      <c r="C3" t="s">
        <v>39</v>
      </c>
      <c r="D3" t="s">
        <v>40</v>
      </c>
      <c r="E3" t="s">
        <v>41</v>
      </c>
      <c r="F3" s="1">
        <v>46078.964895833335</v>
      </c>
      <c r="G3" t="s">
        <v>42</v>
      </c>
      <c r="H3" t="s">
        <v>43</v>
      </c>
      <c r="I3" t="s">
        <v>64</v>
      </c>
      <c r="J3" t="s">
        <v>45</v>
      </c>
      <c r="K3" t="s">
        <v>46</v>
      </c>
      <c r="M3" t="s">
        <v>47</v>
      </c>
      <c r="O3" t="s">
        <v>48</v>
      </c>
      <c r="P3" t="s">
        <v>49</v>
      </c>
      <c r="Q3" t="s">
        <v>50</v>
      </c>
      <c r="R3" t="s">
        <v>51</v>
      </c>
      <c r="S3" t="s">
        <v>52</v>
      </c>
      <c r="T3" t="s">
        <v>53</v>
      </c>
      <c r="U3" s="1">
        <v>46078.966157407405</v>
      </c>
      <c r="V3" t="s">
        <v>54</v>
      </c>
      <c r="W3" t="s">
        <v>55</v>
      </c>
      <c r="X3" t="s">
        <v>56</v>
      </c>
      <c r="Y3" t="s">
        <v>65</v>
      </c>
      <c r="Z3" t="s">
        <v>58</v>
      </c>
      <c r="AA3" t="s">
        <v>54</v>
      </c>
      <c r="AB3" t="s">
        <v>59</v>
      </c>
      <c r="AC3" t="s">
        <v>60</v>
      </c>
      <c r="AD3" t="s">
        <v>51</v>
      </c>
      <c r="AE3" t="s">
        <v>52</v>
      </c>
      <c r="AF3" t="s">
        <v>53</v>
      </c>
      <c r="AG3" t="s">
        <v>58</v>
      </c>
      <c r="AK3">
        <v>0</v>
      </c>
      <c r="AL3" t="s">
        <v>61</v>
      </c>
      <c r="AM3" t="s">
        <v>59</v>
      </c>
      <c r="AN3" t="s">
        <v>62</v>
      </c>
    </row>
    <row r="4" spans="1:40" x14ac:dyDescent="0.35">
      <c r="A4" t="s">
        <v>37</v>
      </c>
      <c r="B4" t="s">
        <v>66</v>
      </c>
      <c r="C4" t="s">
        <v>39</v>
      </c>
      <c r="D4" t="s">
        <v>40</v>
      </c>
      <c r="E4" t="s">
        <v>41</v>
      </c>
      <c r="F4" s="1">
        <v>46078.961365740739</v>
      </c>
      <c r="G4" t="s">
        <v>42</v>
      </c>
      <c r="H4" t="s">
        <v>43</v>
      </c>
      <c r="I4" t="s">
        <v>67</v>
      </c>
      <c r="J4" t="s">
        <v>45</v>
      </c>
      <c r="K4" t="s">
        <v>46</v>
      </c>
      <c r="M4" t="s">
        <v>47</v>
      </c>
      <c r="O4" t="s">
        <v>48</v>
      </c>
      <c r="P4" t="s">
        <v>49</v>
      </c>
      <c r="Q4" t="s">
        <v>50</v>
      </c>
      <c r="R4" t="s">
        <v>51</v>
      </c>
      <c r="S4" t="s">
        <v>52</v>
      </c>
      <c r="T4" t="s">
        <v>53</v>
      </c>
      <c r="U4" s="1">
        <v>46078.962141203701</v>
      </c>
      <c r="V4" t="s">
        <v>54</v>
      </c>
      <c r="W4" t="s">
        <v>55</v>
      </c>
      <c r="X4" t="s">
        <v>56</v>
      </c>
      <c r="Y4" t="s">
        <v>57</v>
      </c>
      <c r="Z4" t="s">
        <v>58</v>
      </c>
      <c r="AA4" t="s">
        <v>54</v>
      </c>
      <c r="AB4" t="s">
        <v>59</v>
      </c>
      <c r="AC4" t="s">
        <v>60</v>
      </c>
      <c r="AD4" t="s">
        <v>51</v>
      </c>
      <c r="AE4" t="s">
        <v>52</v>
      </c>
      <c r="AF4" t="s">
        <v>53</v>
      </c>
      <c r="AG4" t="s">
        <v>58</v>
      </c>
      <c r="AK4">
        <v>0</v>
      </c>
      <c r="AL4" t="s">
        <v>61</v>
      </c>
      <c r="AM4" t="s">
        <v>59</v>
      </c>
      <c r="AN4" t="s">
        <v>62</v>
      </c>
    </row>
    <row r="5" spans="1:40" x14ac:dyDescent="0.35">
      <c r="A5" t="s">
        <v>37</v>
      </c>
      <c r="B5" t="s">
        <v>68</v>
      </c>
      <c r="C5" t="s">
        <v>39</v>
      </c>
      <c r="D5" t="s">
        <v>69</v>
      </c>
      <c r="E5" t="s">
        <v>70</v>
      </c>
      <c r="F5" s="1">
        <v>46078.955925925926</v>
      </c>
      <c r="G5" t="s">
        <v>71</v>
      </c>
      <c r="H5" t="s">
        <v>72</v>
      </c>
      <c r="I5" t="s">
        <v>73</v>
      </c>
      <c r="J5" t="s">
        <v>74</v>
      </c>
      <c r="K5" t="s">
        <v>75</v>
      </c>
      <c r="M5" t="s">
        <v>76</v>
      </c>
      <c r="O5" t="s">
        <v>77</v>
      </c>
      <c r="P5" t="s">
        <v>78</v>
      </c>
      <c r="Q5" t="s">
        <v>50</v>
      </c>
      <c r="R5" t="s">
        <v>79</v>
      </c>
      <c r="S5" t="s">
        <v>80</v>
      </c>
      <c r="T5" t="s">
        <v>81</v>
      </c>
      <c r="U5" s="1">
        <v>46078.957199074073</v>
      </c>
      <c r="V5" t="s">
        <v>54</v>
      </c>
      <c r="W5" t="s">
        <v>55</v>
      </c>
      <c r="X5" t="s">
        <v>82</v>
      </c>
      <c r="Y5" t="s">
        <v>83</v>
      </c>
      <c r="Z5" t="s">
        <v>58</v>
      </c>
      <c r="AA5" t="s">
        <v>54</v>
      </c>
      <c r="AB5" t="s">
        <v>84</v>
      </c>
      <c r="AC5" t="s">
        <v>85</v>
      </c>
      <c r="AD5" t="s">
        <v>79</v>
      </c>
      <c r="AE5" t="s">
        <v>80</v>
      </c>
      <c r="AF5" t="s">
        <v>81</v>
      </c>
      <c r="AG5" t="s">
        <v>58</v>
      </c>
      <c r="AH5">
        <v>15896</v>
      </c>
      <c r="AK5">
        <v>0</v>
      </c>
      <c r="AL5" t="s">
        <v>61</v>
      </c>
      <c r="AM5" t="s">
        <v>86</v>
      </c>
      <c r="AN5" t="s">
        <v>87</v>
      </c>
    </row>
    <row r="6" spans="1:40" x14ac:dyDescent="0.35">
      <c r="A6" t="s">
        <v>37</v>
      </c>
      <c r="B6" t="s">
        <v>88</v>
      </c>
      <c r="C6" t="s">
        <v>39</v>
      </c>
      <c r="D6" t="s">
        <v>89</v>
      </c>
      <c r="E6" t="s">
        <v>90</v>
      </c>
      <c r="F6" s="1">
        <v>46078.954895833333</v>
      </c>
      <c r="G6" t="s">
        <v>91</v>
      </c>
      <c r="H6" t="s">
        <v>92</v>
      </c>
      <c r="I6" t="s">
        <v>93</v>
      </c>
      <c r="J6" t="s">
        <v>74</v>
      </c>
      <c r="K6" t="s">
        <v>75</v>
      </c>
      <c r="M6" t="s">
        <v>76</v>
      </c>
      <c r="O6" t="s">
        <v>77</v>
      </c>
      <c r="P6" t="s">
        <v>78</v>
      </c>
      <c r="Q6" t="s">
        <v>50</v>
      </c>
      <c r="R6" t="s">
        <v>79</v>
      </c>
      <c r="S6" t="s">
        <v>94</v>
      </c>
      <c r="T6" t="s">
        <v>95</v>
      </c>
      <c r="U6" s="1">
        <v>46078.956701388888</v>
      </c>
      <c r="V6" t="s">
        <v>54</v>
      </c>
      <c r="W6" t="s">
        <v>55</v>
      </c>
      <c r="X6" t="s">
        <v>82</v>
      </c>
      <c r="Y6" t="s">
        <v>96</v>
      </c>
      <c r="Z6" t="s">
        <v>58</v>
      </c>
      <c r="AA6" t="s">
        <v>54</v>
      </c>
      <c r="AB6" t="s">
        <v>84</v>
      </c>
      <c r="AC6" t="s">
        <v>85</v>
      </c>
      <c r="AD6" t="s">
        <v>79</v>
      </c>
      <c r="AE6" t="s">
        <v>94</v>
      </c>
      <c r="AF6" t="s">
        <v>95</v>
      </c>
      <c r="AG6" t="s">
        <v>58</v>
      </c>
      <c r="AH6">
        <v>14513</v>
      </c>
      <c r="AK6">
        <v>0</v>
      </c>
      <c r="AL6" t="s">
        <v>61</v>
      </c>
      <c r="AM6" t="s">
        <v>97</v>
      </c>
      <c r="AN6" t="s">
        <v>98</v>
      </c>
    </row>
    <row r="7" spans="1:40" x14ac:dyDescent="0.35">
      <c r="A7" t="s">
        <v>37</v>
      </c>
      <c r="B7" t="s">
        <v>99</v>
      </c>
      <c r="C7" t="s">
        <v>39</v>
      </c>
      <c r="D7" t="s">
        <v>40</v>
      </c>
      <c r="E7" t="s">
        <v>41</v>
      </c>
      <c r="F7" s="1">
        <v>46078.952974537038</v>
      </c>
      <c r="G7" t="s">
        <v>42</v>
      </c>
      <c r="H7" t="s">
        <v>43</v>
      </c>
      <c r="I7" t="s">
        <v>100</v>
      </c>
      <c r="J7" t="s">
        <v>45</v>
      </c>
      <c r="K7" t="s">
        <v>46</v>
      </c>
      <c r="M7" t="s">
        <v>47</v>
      </c>
      <c r="O7" t="s">
        <v>48</v>
      </c>
      <c r="P7" t="s">
        <v>49</v>
      </c>
      <c r="Q7" t="s">
        <v>50</v>
      </c>
      <c r="R7" t="s">
        <v>51</v>
      </c>
      <c r="S7" t="s">
        <v>52</v>
      </c>
      <c r="T7" t="s">
        <v>53</v>
      </c>
      <c r="U7" s="1">
        <v>46078.953865740739</v>
      </c>
      <c r="V7" t="s">
        <v>54</v>
      </c>
      <c r="W7" t="s">
        <v>55</v>
      </c>
      <c r="X7" t="s">
        <v>56</v>
      </c>
      <c r="Y7" t="s">
        <v>57</v>
      </c>
      <c r="Z7" t="s">
        <v>58</v>
      </c>
      <c r="AA7" t="s">
        <v>54</v>
      </c>
      <c r="AB7" t="s">
        <v>59</v>
      </c>
      <c r="AC7" t="s">
        <v>60</v>
      </c>
      <c r="AD7" t="s">
        <v>51</v>
      </c>
      <c r="AE7" t="s">
        <v>52</v>
      </c>
      <c r="AF7" t="s">
        <v>53</v>
      </c>
      <c r="AG7" t="s">
        <v>58</v>
      </c>
      <c r="AK7">
        <v>0</v>
      </c>
      <c r="AL7" t="s">
        <v>61</v>
      </c>
      <c r="AM7" t="s">
        <v>59</v>
      </c>
      <c r="AN7" t="s">
        <v>62</v>
      </c>
    </row>
    <row r="8" spans="1:40" x14ac:dyDescent="0.35">
      <c r="A8" t="s">
        <v>37</v>
      </c>
      <c r="B8" t="s">
        <v>101</v>
      </c>
      <c r="C8" t="s">
        <v>102</v>
      </c>
      <c r="D8" t="s">
        <v>103</v>
      </c>
      <c r="E8" t="s">
        <v>104</v>
      </c>
      <c r="F8" s="1">
        <v>46078.924305555556</v>
      </c>
      <c r="G8" t="s">
        <v>105</v>
      </c>
      <c r="H8" t="s">
        <v>106</v>
      </c>
      <c r="I8" t="s">
        <v>107</v>
      </c>
      <c r="J8" t="s">
        <v>108</v>
      </c>
      <c r="K8" t="s">
        <v>109</v>
      </c>
      <c r="M8" t="s">
        <v>76</v>
      </c>
      <c r="O8" t="s">
        <v>77</v>
      </c>
      <c r="P8" t="s">
        <v>78</v>
      </c>
      <c r="Q8" t="s">
        <v>110</v>
      </c>
      <c r="R8" t="s">
        <v>111</v>
      </c>
      <c r="S8" t="s">
        <v>51</v>
      </c>
      <c r="T8" t="s">
        <v>112</v>
      </c>
      <c r="U8" s="1">
        <v>46078.95175925926</v>
      </c>
      <c r="V8" t="s">
        <v>54</v>
      </c>
      <c r="W8" t="s">
        <v>55</v>
      </c>
      <c r="X8" t="s">
        <v>113</v>
      </c>
      <c r="Y8" t="s">
        <v>114</v>
      </c>
      <c r="Z8" t="s">
        <v>58</v>
      </c>
      <c r="AA8" t="s">
        <v>54</v>
      </c>
      <c r="AB8" t="s">
        <v>115</v>
      </c>
      <c r="AC8" t="s">
        <v>85</v>
      </c>
      <c r="AD8" t="s">
        <v>116</v>
      </c>
      <c r="AE8" t="s">
        <v>117</v>
      </c>
      <c r="AF8" t="s">
        <v>118</v>
      </c>
      <c r="AG8" t="s">
        <v>58</v>
      </c>
      <c r="AH8">
        <v>5928</v>
      </c>
      <c r="AK8">
        <v>1</v>
      </c>
      <c r="AL8" t="s">
        <v>61</v>
      </c>
      <c r="AM8" t="s">
        <v>119</v>
      </c>
      <c r="AN8" t="s">
        <v>120</v>
      </c>
    </row>
    <row r="9" spans="1:40" x14ac:dyDescent="0.35">
      <c r="A9" t="s">
        <v>37</v>
      </c>
      <c r="B9" t="s">
        <v>121</v>
      </c>
      <c r="C9" t="s">
        <v>39</v>
      </c>
      <c r="D9" t="s">
        <v>40</v>
      </c>
      <c r="E9" t="s">
        <v>41</v>
      </c>
      <c r="F9" s="1">
        <v>46078.923854166664</v>
      </c>
      <c r="G9" t="s">
        <v>42</v>
      </c>
      <c r="H9" t="s">
        <v>43</v>
      </c>
      <c r="I9" t="s">
        <v>122</v>
      </c>
      <c r="J9" t="s">
        <v>45</v>
      </c>
      <c r="K9" t="s">
        <v>46</v>
      </c>
      <c r="M9" t="s">
        <v>47</v>
      </c>
      <c r="O9" t="s">
        <v>48</v>
      </c>
      <c r="P9" t="s">
        <v>49</v>
      </c>
      <c r="Q9" t="s">
        <v>50</v>
      </c>
      <c r="R9" t="s">
        <v>51</v>
      </c>
      <c r="S9" t="s">
        <v>52</v>
      </c>
      <c r="T9" t="s">
        <v>53</v>
      </c>
      <c r="U9" s="1">
        <v>46078.924814814818</v>
      </c>
      <c r="V9" t="s">
        <v>54</v>
      </c>
      <c r="W9" t="s">
        <v>55</v>
      </c>
      <c r="X9" t="s">
        <v>56</v>
      </c>
      <c r="Y9" t="s">
        <v>65</v>
      </c>
      <c r="Z9" t="s">
        <v>58</v>
      </c>
      <c r="AA9" t="s">
        <v>54</v>
      </c>
      <c r="AB9" t="s">
        <v>59</v>
      </c>
      <c r="AC9" t="s">
        <v>60</v>
      </c>
      <c r="AD9" t="s">
        <v>51</v>
      </c>
      <c r="AE9" t="s">
        <v>52</v>
      </c>
      <c r="AF9" t="s">
        <v>53</v>
      </c>
      <c r="AG9" t="s">
        <v>58</v>
      </c>
      <c r="AK9">
        <v>0</v>
      </c>
      <c r="AL9" t="s">
        <v>61</v>
      </c>
      <c r="AM9" t="s">
        <v>59</v>
      </c>
      <c r="AN9" t="s">
        <v>62</v>
      </c>
    </row>
    <row r="10" spans="1:40" x14ac:dyDescent="0.35">
      <c r="A10" t="s">
        <v>37</v>
      </c>
      <c r="B10" t="s">
        <v>123</v>
      </c>
      <c r="C10" t="s">
        <v>39</v>
      </c>
      <c r="D10" t="s">
        <v>40</v>
      </c>
      <c r="E10" t="s">
        <v>41</v>
      </c>
      <c r="F10" s="1">
        <v>46078.911273148151</v>
      </c>
      <c r="G10" t="s">
        <v>42</v>
      </c>
      <c r="H10" t="s">
        <v>43</v>
      </c>
      <c r="I10" t="s">
        <v>124</v>
      </c>
      <c r="J10" t="s">
        <v>45</v>
      </c>
      <c r="K10" t="s">
        <v>46</v>
      </c>
      <c r="M10" t="s">
        <v>47</v>
      </c>
      <c r="O10" t="s">
        <v>48</v>
      </c>
      <c r="P10" t="s">
        <v>49</v>
      </c>
      <c r="Q10" t="s">
        <v>50</v>
      </c>
      <c r="R10" t="s">
        <v>51</v>
      </c>
      <c r="S10" t="s">
        <v>52</v>
      </c>
      <c r="T10" t="s">
        <v>53</v>
      </c>
      <c r="U10" s="1">
        <v>46078.912152777775</v>
      </c>
      <c r="V10" t="s">
        <v>54</v>
      </c>
      <c r="W10" t="s">
        <v>55</v>
      </c>
      <c r="X10" t="s">
        <v>56</v>
      </c>
      <c r="Y10" t="s">
        <v>57</v>
      </c>
      <c r="Z10" t="s">
        <v>58</v>
      </c>
      <c r="AA10" t="s">
        <v>54</v>
      </c>
      <c r="AB10" t="s">
        <v>59</v>
      </c>
      <c r="AC10" t="s">
        <v>60</v>
      </c>
      <c r="AD10" t="s">
        <v>51</v>
      </c>
      <c r="AE10" t="s">
        <v>52</v>
      </c>
      <c r="AF10" t="s">
        <v>53</v>
      </c>
      <c r="AG10" t="s">
        <v>58</v>
      </c>
      <c r="AK10">
        <v>0</v>
      </c>
      <c r="AL10" t="s">
        <v>61</v>
      </c>
      <c r="AM10" t="s">
        <v>59</v>
      </c>
      <c r="AN10" t="s">
        <v>62</v>
      </c>
    </row>
    <row r="11" spans="1:40" x14ac:dyDescent="0.35">
      <c r="A11" t="s">
        <v>37</v>
      </c>
      <c r="B11" t="s">
        <v>125</v>
      </c>
      <c r="C11" t="s">
        <v>102</v>
      </c>
      <c r="D11" t="s">
        <v>126</v>
      </c>
      <c r="E11" t="s">
        <v>127</v>
      </c>
      <c r="F11" s="1">
        <v>46078.912175925929</v>
      </c>
      <c r="G11" t="s">
        <v>71</v>
      </c>
      <c r="H11" t="s">
        <v>72</v>
      </c>
      <c r="I11" t="s">
        <v>128</v>
      </c>
      <c r="J11" t="s">
        <v>129</v>
      </c>
      <c r="K11" t="s">
        <v>130</v>
      </c>
      <c r="M11" t="s">
        <v>131</v>
      </c>
      <c r="O11" t="s">
        <v>77</v>
      </c>
      <c r="P11" t="s">
        <v>78</v>
      </c>
      <c r="Q11" t="s">
        <v>50</v>
      </c>
      <c r="R11" t="s">
        <v>132</v>
      </c>
      <c r="S11" t="s">
        <v>133</v>
      </c>
      <c r="T11" t="s">
        <v>133</v>
      </c>
      <c r="U11" s="1">
        <v>46078.958680555559</v>
      </c>
      <c r="V11" t="s">
        <v>54</v>
      </c>
      <c r="W11" t="s">
        <v>55</v>
      </c>
      <c r="X11" t="s">
        <v>134</v>
      </c>
      <c r="Y11" t="s">
        <v>135</v>
      </c>
      <c r="Z11" t="s">
        <v>58</v>
      </c>
      <c r="AA11" t="s">
        <v>54</v>
      </c>
      <c r="AB11" t="s">
        <v>136</v>
      </c>
      <c r="AC11" t="s">
        <v>85</v>
      </c>
      <c r="AD11" t="s">
        <v>132</v>
      </c>
      <c r="AE11" t="s">
        <v>133</v>
      </c>
      <c r="AF11" t="s">
        <v>133</v>
      </c>
      <c r="AG11" t="s">
        <v>58</v>
      </c>
      <c r="AH11" t="s">
        <v>137</v>
      </c>
      <c r="AK11">
        <v>1</v>
      </c>
      <c r="AL11" t="s">
        <v>61</v>
      </c>
      <c r="AM11" t="s">
        <v>136</v>
      </c>
      <c r="AN11" t="s">
        <v>138</v>
      </c>
    </row>
    <row r="12" spans="1:40" x14ac:dyDescent="0.35">
      <c r="A12" t="s">
        <v>37</v>
      </c>
      <c r="B12" t="s">
        <v>139</v>
      </c>
      <c r="C12" t="s">
        <v>39</v>
      </c>
      <c r="D12" t="s">
        <v>40</v>
      </c>
      <c r="E12" t="s">
        <v>41</v>
      </c>
      <c r="F12" s="1">
        <v>46078.903009259258</v>
      </c>
      <c r="G12" t="s">
        <v>42</v>
      </c>
      <c r="H12" t="s">
        <v>43</v>
      </c>
      <c r="I12" t="s">
        <v>140</v>
      </c>
      <c r="J12" t="s">
        <v>45</v>
      </c>
      <c r="K12" t="s">
        <v>46</v>
      </c>
      <c r="M12" t="s">
        <v>47</v>
      </c>
      <c r="O12" t="s">
        <v>48</v>
      </c>
      <c r="P12" t="s">
        <v>49</v>
      </c>
      <c r="Q12" t="s">
        <v>50</v>
      </c>
      <c r="R12" t="s">
        <v>51</v>
      </c>
      <c r="S12" t="s">
        <v>52</v>
      </c>
      <c r="T12" t="s">
        <v>53</v>
      </c>
      <c r="U12" s="1">
        <v>46078.904062499998</v>
      </c>
      <c r="V12" t="s">
        <v>54</v>
      </c>
      <c r="W12" t="s">
        <v>55</v>
      </c>
      <c r="X12" t="s">
        <v>56</v>
      </c>
      <c r="Y12" t="s">
        <v>57</v>
      </c>
      <c r="Z12" t="s">
        <v>58</v>
      </c>
      <c r="AA12" t="s">
        <v>54</v>
      </c>
      <c r="AB12" t="s">
        <v>59</v>
      </c>
      <c r="AC12" t="s">
        <v>60</v>
      </c>
      <c r="AD12" t="s">
        <v>51</v>
      </c>
      <c r="AE12" t="s">
        <v>52</v>
      </c>
      <c r="AF12" t="s">
        <v>53</v>
      </c>
      <c r="AG12" t="s">
        <v>58</v>
      </c>
      <c r="AK12">
        <v>0</v>
      </c>
      <c r="AL12" t="s">
        <v>61</v>
      </c>
      <c r="AM12" t="s">
        <v>59</v>
      </c>
      <c r="AN12" t="s">
        <v>62</v>
      </c>
    </row>
    <row r="13" spans="1:40" x14ac:dyDescent="0.35">
      <c r="A13" t="s">
        <v>37</v>
      </c>
      <c r="B13" t="s">
        <v>141</v>
      </c>
      <c r="C13" t="s">
        <v>102</v>
      </c>
      <c r="D13" t="s">
        <v>103</v>
      </c>
      <c r="E13" t="s">
        <v>104</v>
      </c>
      <c r="F13" s="1">
        <v>46078.897152777776</v>
      </c>
      <c r="G13" t="s">
        <v>105</v>
      </c>
      <c r="H13" t="s">
        <v>106</v>
      </c>
      <c r="I13" t="s">
        <v>142</v>
      </c>
      <c r="J13" t="s">
        <v>108</v>
      </c>
      <c r="K13" t="s">
        <v>109</v>
      </c>
      <c r="M13" t="s">
        <v>76</v>
      </c>
      <c r="O13" t="s">
        <v>77</v>
      </c>
      <c r="P13" t="s">
        <v>78</v>
      </c>
      <c r="Q13" t="s">
        <v>110</v>
      </c>
      <c r="R13" t="s">
        <v>111</v>
      </c>
      <c r="S13" t="s">
        <v>51</v>
      </c>
      <c r="T13" t="s">
        <v>112</v>
      </c>
      <c r="U13" s="1">
        <v>46078.951493055552</v>
      </c>
      <c r="V13" t="s">
        <v>54</v>
      </c>
      <c r="W13" t="s">
        <v>55</v>
      </c>
      <c r="X13" t="s">
        <v>113</v>
      </c>
      <c r="Y13" t="s">
        <v>143</v>
      </c>
      <c r="Z13" t="s">
        <v>58</v>
      </c>
      <c r="AA13" t="s">
        <v>54</v>
      </c>
      <c r="AB13" t="s">
        <v>115</v>
      </c>
      <c r="AC13" t="s">
        <v>85</v>
      </c>
      <c r="AD13" t="s">
        <v>116</v>
      </c>
      <c r="AE13" t="s">
        <v>117</v>
      </c>
      <c r="AF13" t="s">
        <v>144</v>
      </c>
      <c r="AG13" t="s">
        <v>58</v>
      </c>
      <c r="AH13">
        <v>5928</v>
      </c>
      <c r="AK13">
        <v>1</v>
      </c>
      <c r="AL13" t="s">
        <v>61</v>
      </c>
      <c r="AM13" t="s">
        <v>119</v>
      </c>
      <c r="AN13" t="s">
        <v>120</v>
      </c>
    </row>
    <row r="14" spans="1:40" x14ac:dyDescent="0.35">
      <c r="A14" t="s">
        <v>37</v>
      </c>
      <c r="B14" t="s">
        <v>145</v>
      </c>
      <c r="C14" t="s">
        <v>102</v>
      </c>
      <c r="D14" t="s">
        <v>146</v>
      </c>
      <c r="E14" t="s">
        <v>147</v>
      </c>
      <c r="F14" s="1">
        <v>46078.895844907405</v>
      </c>
      <c r="G14" t="s">
        <v>71</v>
      </c>
      <c r="H14" t="s">
        <v>72</v>
      </c>
      <c r="I14" t="s">
        <v>148</v>
      </c>
      <c r="J14" t="s">
        <v>149</v>
      </c>
      <c r="K14" t="s">
        <v>130</v>
      </c>
      <c r="M14" t="s">
        <v>150</v>
      </c>
      <c r="O14" t="s">
        <v>77</v>
      </c>
      <c r="P14" t="s">
        <v>78</v>
      </c>
      <c r="Q14" t="s">
        <v>50</v>
      </c>
      <c r="R14" t="s">
        <v>132</v>
      </c>
      <c r="S14" t="s">
        <v>133</v>
      </c>
      <c r="T14" t="s">
        <v>133</v>
      </c>
      <c r="U14" s="1">
        <v>46078.954525462963</v>
      </c>
      <c r="V14" t="s">
        <v>54</v>
      </c>
      <c r="W14" t="s">
        <v>55</v>
      </c>
      <c r="X14" t="s">
        <v>82</v>
      </c>
      <c r="Y14" t="s">
        <v>151</v>
      </c>
      <c r="Z14" t="s">
        <v>58</v>
      </c>
      <c r="AA14" t="s">
        <v>54</v>
      </c>
      <c r="AB14" t="s">
        <v>152</v>
      </c>
      <c r="AC14" t="s">
        <v>85</v>
      </c>
      <c r="AD14" t="s">
        <v>132</v>
      </c>
      <c r="AE14" t="s">
        <v>133</v>
      </c>
      <c r="AF14" t="s">
        <v>133</v>
      </c>
      <c r="AG14" t="s">
        <v>58</v>
      </c>
      <c r="AH14" t="s">
        <v>153</v>
      </c>
      <c r="AK14">
        <v>1</v>
      </c>
      <c r="AL14" t="s">
        <v>61</v>
      </c>
      <c r="AM14" t="s">
        <v>152</v>
      </c>
      <c r="AN14" t="s">
        <v>154</v>
      </c>
    </row>
    <row r="15" spans="1:40" x14ac:dyDescent="0.35">
      <c r="A15" t="s">
        <v>37</v>
      </c>
      <c r="B15" t="s">
        <v>155</v>
      </c>
      <c r="C15" t="s">
        <v>102</v>
      </c>
      <c r="D15" t="s">
        <v>126</v>
      </c>
      <c r="E15" t="s">
        <v>127</v>
      </c>
      <c r="F15" s="1">
        <v>46078.898460648146</v>
      </c>
      <c r="G15" t="s">
        <v>71</v>
      </c>
      <c r="H15" t="s">
        <v>72</v>
      </c>
      <c r="I15" t="s">
        <v>156</v>
      </c>
      <c r="J15" t="s">
        <v>129</v>
      </c>
      <c r="K15" t="s">
        <v>130</v>
      </c>
      <c r="M15" t="s">
        <v>131</v>
      </c>
      <c r="O15" t="s">
        <v>77</v>
      </c>
      <c r="P15" t="s">
        <v>78</v>
      </c>
      <c r="Q15" t="s">
        <v>50</v>
      </c>
      <c r="R15" t="s">
        <v>132</v>
      </c>
      <c r="S15" t="s">
        <v>133</v>
      </c>
      <c r="T15" t="s">
        <v>133</v>
      </c>
      <c r="U15" s="1">
        <v>46078.976284722223</v>
      </c>
      <c r="V15" t="s">
        <v>54</v>
      </c>
      <c r="W15" t="s">
        <v>55</v>
      </c>
      <c r="X15" t="s">
        <v>134</v>
      </c>
      <c r="Y15" t="s">
        <v>157</v>
      </c>
      <c r="Z15" t="s">
        <v>58</v>
      </c>
      <c r="AA15" t="s">
        <v>54</v>
      </c>
      <c r="AB15" t="s">
        <v>136</v>
      </c>
      <c r="AC15" t="s">
        <v>85</v>
      </c>
      <c r="AD15" t="s">
        <v>132</v>
      </c>
      <c r="AE15" t="s">
        <v>133</v>
      </c>
      <c r="AF15" t="s">
        <v>133</v>
      </c>
      <c r="AG15" t="s">
        <v>58</v>
      </c>
      <c r="AH15" t="s">
        <v>137</v>
      </c>
      <c r="AK15">
        <v>1</v>
      </c>
      <c r="AL15" t="s">
        <v>61</v>
      </c>
      <c r="AM15" t="s">
        <v>136</v>
      </c>
      <c r="AN15" t="s">
        <v>138</v>
      </c>
    </row>
    <row r="16" spans="1:40" x14ac:dyDescent="0.35">
      <c r="A16" t="s">
        <v>37</v>
      </c>
      <c r="B16" t="s">
        <v>158</v>
      </c>
      <c r="C16" t="s">
        <v>102</v>
      </c>
      <c r="D16" t="s">
        <v>103</v>
      </c>
      <c r="E16" t="s">
        <v>104</v>
      </c>
      <c r="F16" s="1">
        <v>46078.889837962961</v>
      </c>
      <c r="G16" t="s">
        <v>105</v>
      </c>
      <c r="H16" t="s">
        <v>106</v>
      </c>
      <c r="I16" t="s">
        <v>159</v>
      </c>
      <c r="J16" t="s">
        <v>108</v>
      </c>
      <c r="K16" t="s">
        <v>109</v>
      </c>
      <c r="M16" t="s">
        <v>150</v>
      </c>
      <c r="O16" t="s">
        <v>77</v>
      </c>
      <c r="P16" t="s">
        <v>78</v>
      </c>
      <c r="Q16" t="s">
        <v>110</v>
      </c>
      <c r="R16" t="s">
        <v>111</v>
      </c>
      <c r="S16" t="s">
        <v>51</v>
      </c>
      <c r="T16" t="s">
        <v>112</v>
      </c>
      <c r="U16" s="1">
        <v>46078.896597222221</v>
      </c>
      <c r="V16" t="s">
        <v>54</v>
      </c>
      <c r="W16" t="s">
        <v>55</v>
      </c>
      <c r="X16" t="s">
        <v>113</v>
      </c>
      <c r="Y16" t="s">
        <v>160</v>
      </c>
      <c r="Z16" t="s">
        <v>58</v>
      </c>
      <c r="AA16" t="s">
        <v>54</v>
      </c>
      <c r="AB16" t="s">
        <v>115</v>
      </c>
      <c r="AC16" t="s">
        <v>85</v>
      </c>
      <c r="AD16" t="s">
        <v>116</v>
      </c>
      <c r="AE16" t="s">
        <v>117</v>
      </c>
      <c r="AF16" t="s">
        <v>161</v>
      </c>
      <c r="AG16" t="s">
        <v>58</v>
      </c>
      <c r="AH16">
        <v>5928</v>
      </c>
      <c r="AK16">
        <v>1</v>
      </c>
      <c r="AL16" t="s">
        <v>61</v>
      </c>
      <c r="AM16" t="s">
        <v>119</v>
      </c>
      <c r="AN16" t="s">
        <v>120</v>
      </c>
    </row>
    <row r="17" spans="1:40" x14ac:dyDescent="0.35">
      <c r="A17" t="s">
        <v>37</v>
      </c>
      <c r="B17" t="s">
        <v>162</v>
      </c>
      <c r="C17" t="s">
        <v>102</v>
      </c>
      <c r="D17" t="s">
        <v>146</v>
      </c>
      <c r="E17" t="s">
        <v>147</v>
      </c>
      <c r="F17" s="1">
        <v>46078.852731481478</v>
      </c>
      <c r="G17" t="s">
        <v>71</v>
      </c>
      <c r="H17" t="s">
        <v>72</v>
      </c>
      <c r="I17" t="s">
        <v>163</v>
      </c>
      <c r="J17" t="s">
        <v>149</v>
      </c>
      <c r="K17" t="s">
        <v>130</v>
      </c>
      <c r="M17" t="s">
        <v>150</v>
      </c>
      <c r="O17" t="s">
        <v>77</v>
      </c>
      <c r="P17" t="s">
        <v>78</v>
      </c>
      <c r="Q17" t="s">
        <v>50</v>
      </c>
      <c r="R17" t="s">
        <v>132</v>
      </c>
      <c r="S17" t="s">
        <v>133</v>
      </c>
      <c r="T17" t="s">
        <v>133</v>
      </c>
      <c r="U17" s="1">
        <v>46078.955428240741</v>
      </c>
      <c r="V17" t="s">
        <v>54</v>
      </c>
      <c r="W17" t="s">
        <v>55</v>
      </c>
      <c r="X17" t="s">
        <v>82</v>
      </c>
      <c r="Y17" t="s">
        <v>164</v>
      </c>
      <c r="Z17" t="s">
        <v>58</v>
      </c>
      <c r="AA17" t="s">
        <v>54</v>
      </c>
      <c r="AB17" t="s">
        <v>152</v>
      </c>
      <c r="AC17" t="s">
        <v>85</v>
      </c>
      <c r="AD17" t="s">
        <v>132</v>
      </c>
      <c r="AE17" t="s">
        <v>133</v>
      </c>
      <c r="AF17" t="s">
        <v>133</v>
      </c>
      <c r="AG17" t="s">
        <v>58</v>
      </c>
      <c r="AH17" t="s">
        <v>153</v>
      </c>
      <c r="AK17">
        <v>1</v>
      </c>
      <c r="AL17" t="s">
        <v>61</v>
      </c>
      <c r="AM17" t="s">
        <v>152</v>
      </c>
      <c r="AN17" t="s">
        <v>154</v>
      </c>
    </row>
    <row r="18" spans="1:40" x14ac:dyDescent="0.35">
      <c r="A18" t="s">
        <v>37</v>
      </c>
      <c r="B18" t="s">
        <v>165</v>
      </c>
      <c r="C18" t="s">
        <v>39</v>
      </c>
      <c r="D18" t="s">
        <v>40</v>
      </c>
      <c r="E18" t="s">
        <v>41</v>
      </c>
      <c r="F18" s="1">
        <v>46078.840451388889</v>
      </c>
      <c r="G18" t="s">
        <v>42</v>
      </c>
      <c r="H18" t="s">
        <v>43</v>
      </c>
      <c r="I18" t="s">
        <v>166</v>
      </c>
      <c r="J18" t="s">
        <v>45</v>
      </c>
      <c r="K18" t="s">
        <v>46</v>
      </c>
      <c r="M18" t="s">
        <v>47</v>
      </c>
      <c r="O18" t="s">
        <v>48</v>
      </c>
      <c r="P18" t="s">
        <v>49</v>
      </c>
      <c r="Q18" t="s">
        <v>50</v>
      </c>
      <c r="R18" t="s">
        <v>51</v>
      </c>
      <c r="S18" t="s">
        <v>52</v>
      </c>
      <c r="T18" t="s">
        <v>53</v>
      </c>
      <c r="U18" s="1">
        <v>46078.842650462961</v>
      </c>
      <c r="V18" t="s">
        <v>54</v>
      </c>
      <c r="W18" t="s">
        <v>55</v>
      </c>
      <c r="X18" t="s">
        <v>56</v>
      </c>
      <c r="Y18" t="s">
        <v>65</v>
      </c>
      <c r="Z18" t="s">
        <v>58</v>
      </c>
      <c r="AA18" t="s">
        <v>54</v>
      </c>
      <c r="AB18" t="s">
        <v>59</v>
      </c>
      <c r="AC18" t="s">
        <v>60</v>
      </c>
      <c r="AD18" t="s">
        <v>51</v>
      </c>
      <c r="AE18" t="s">
        <v>52</v>
      </c>
      <c r="AF18" t="s">
        <v>53</v>
      </c>
      <c r="AG18" t="s">
        <v>58</v>
      </c>
      <c r="AK18">
        <v>0</v>
      </c>
      <c r="AL18" t="s">
        <v>61</v>
      </c>
      <c r="AM18" t="s">
        <v>59</v>
      </c>
      <c r="AN18" t="s">
        <v>62</v>
      </c>
    </row>
    <row r="19" spans="1:40" x14ac:dyDescent="0.35">
      <c r="A19" t="s">
        <v>37</v>
      </c>
      <c r="B19" t="s">
        <v>167</v>
      </c>
      <c r="C19" t="s">
        <v>39</v>
      </c>
      <c r="D19" t="s">
        <v>168</v>
      </c>
      <c r="E19" t="s">
        <v>169</v>
      </c>
      <c r="F19" s="1">
        <v>46078.790694444448</v>
      </c>
      <c r="G19" t="s">
        <v>170</v>
      </c>
      <c r="H19" t="s">
        <v>92</v>
      </c>
      <c r="I19" t="s">
        <v>171</v>
      </c>
      <c r="J19" t="s">
        <v>74</v>
      </c>
      <c r="K19" t="s">
        <v>75</v>
      </c>
      <c r="M19" t="s">
        <v>76</v>
      </c>
      <c r="O19" t="s">
        <v>77</v>
      </c>
      <c r="P19" t="s">
        <v>78</v>
      </c>
      <c r="Q19" t="s">
        <v>50</v>
      </c>
      <c r="R19" t="s">
        <v>79</v>
      </c>
      <c r="S19" t="s">
        <v>172</v>
      </c>
      <c r="T19" t="s">
        <v>173</v>
      </c>
      <c r="U19" s="1">
        <v>46078.791747685187</v>
      </c>
      <c r="V19" t="s">
        <v>54</v>
      </c>
      <c r="W19" t="s">
        <v>55</v>
      </c>
      <c r="X19" t="s">
        <v>82</v>
      </c>
      <c r="Y19" t="s">
        <v>174</v>
      </c>
      <c r="Z19" t="s">
        <v>58</v>
      </c>
      <c r="AA19" t="s">
        <v>54</v>
      </c>
      <c r="AB19" t="s">
        <v>84</v>
      </c>
      <c r="AC19" t="s">
        <v>85</v>
      </c>
      <c r="AD19" t="s">
        <v>79</v>
      </c>
      <c r="AE19" t="s">
        <v>172</v>
      </c>
      <c r="AF19" t="s">
        <v>173</v>
      </c>
      <c r="AG19" t="s">
        <v>58</v>
      </c>
      <c r="AH19" t="s">
        <v>175</v>
      </c>
      <c r="AK19">
        <v>0</v>
      </c>
      <c r="AL19" t="s">
        <v>61</v>
      </c>
      <c r="AM19" t="s">
        <v>176</v>
      </c>
      <c r="AN19" t="s">
        <v>177</v>
      </c>
    </row>
    <row r="20" spans="1:40" x14ac:dyDescent="0.35">
      <c r="A20" t="s">
        <v>37</v>
      </c>
      <c r="B20" t="s">
        <v>178</v>
      </c>
      <c r="C20" t="s">
        <v>39</v>
      </c>
      <c r="D20" t="s">
        <v>40</v>
      </c>
      <c r="E20" t="s">
        <v>41</v>
      </c>
      <c r="F20" s="1">
        <v>46078.765497685185</v>
      </c>
      <c r="G20" t="s">
        <v>42</v>
      </c>
      <c r="H20" t="s">
        <v>43</v>
      </c>
      <c r="I20" t="s">
        <v>179</v>
      </c>
      <c r="J20" t="s">
        <v>45</v>
      </c>
      <c r="K20" t="s">
        <v>46</v>
      </c>
      <c r="M20" t="s">
        <v>47</v>
      </c>
      <c r="O20" t="s">
        <v>48</v>
      </c>
      <c r="P20" t="s">
        <v>49</v>
      </c>
      <c r="Q20" t="s">
        <v>50</v>
      </c>
      <c r="R20" t="s">
        <v>51</v>
      </c>
      <c r="S20" t="s">
        <v>52</v>
      </c>
      <c r="T20" t="s">
        <v>53</v>
      </c>
      <c r="U20" s="1">
        <v>46078.766273148147</v>
      </c>
      <c r="V20" t="s">
        <v>54</v>
      </c>
      <c r="W20" t="s">
        <v>55</v>
      </c>
      <c r="X20" t="s">
        <v>56</v>
      </c>
      <c r="Y20" t="s">
        <v>57</v>
      </c>
      <c r="Z20" t="s">
        <v>58</v>
      </c>
      <c r="AA20" t="s">
        <v>54</v>
      </c>
      <c r="AB20" t="s">
        <v>59</v>
      </c>
      <c r="AC20" t="s">
        <v>60</v>
      </c>
      <c r="AD20" t="s">
        <v>51</v>
      </c>
      <c r="AE20" t="s">
        <v>52</v>
      </c>
      <c r="AF20" t="s">
        <v>53</v>
      </c>
      <c r="AG20" t="s">
        <v>58</v>
      </c>
      <c r="AK20">
        <v>0</v>
      </c>
      <c r="AL20" t="s">
        <v>61</v>
      </c>
      <c r="AM20" t="s">
        <v>59</v>
      </c>
      <c r="AN20" t="s">
        <v>62</v>
      </c>
    </row>
    <row r="21" spans="1:40" x14ac:dyDescent="0.35">
      <c r="A21" t="s">
        <v>37</v>
      </c>
      <c r="B21" t="s">
        <v>180</v>
      </c>
      <c r="C21" t="s">
        <v>102</v>
      </c>
      <c r="D21" t="s">
        <v>181</v>
      </c>
      <c r="E21" t="s">
        <v>182</v>
      </c>
      <c r="F21" s="1">
        <v>46078.730902777781</v>
      </c>
      <c r="G21" t="s">
        <v>105</v>
      </c>
      <c r="H21" t="s">
        <v>106</v>
      </c>
      <c r="I21" t="s">
        <v>183</v>
      </c>
      <c r="J21" t="s">
        <v>108</v>
      </c>
      <c r="K21" t="s">
        <v>109</v>
      </c>
      <c r="M21" t="s">
        <v>76</v>
      </c>
      <c r="O21" t="s">
        <v>77</v>
      </c>
      <c r="P21" t="s">
        <v>78</v>
      </c>
      <c r="Q21" t="s">
        <v>50</v>
      </c>
      <c r="R21" t="s">
        <v>111</v>
      </c>
      <c r="S21" t="s">
        <v>51</v>
      </c>
      <c r="T21" t="s">
        <v>112</v>
      </c>
      <c r="U21" s="1">
        <v>46078.809386574074</v>
      </c>
      <c r="V21" t="s">
        <v>54</v>
      </c>
      <c r="W21" t="s">
        <v>55</v>
      </c>
      <c r="X21" t="s">
        <v>82</v>
      </c>
      <c r="Y21" t="s">
        <v>184</v>
      </c>
      <c r="Z21" t="s">
        <v>58</v>
      </c>
      <c r="AA21" t="s">
        <v>54</v>
      </c>
      <c r="AB21" t="s">
        <v>115</v>
      </c>
      <c r="AC21" t="s">
        <v>85</v>
      </c>
      <c r="AD21" t="s">
        <v>116</v>
      </c>
      <c r="AE21" t="s">
        <v>117</v>
      </c>
      <c r="AF21" t="s">
        <v>144</v>
      </c>
      <c r="AG21" t="s">
        <v>58</v>
      </c>
      <c r="AH21" t="s">
        <v>185</v>
      </c>
      <c r="AK21">
        <v>1</v>
      </c>
      <c r="AL21" t="s">
        <v>61</v>
      </c>
      <c r="AM21" t="s">
        <v>186</v>
      </c>
      <c r="AN21" t="s">
        <v>187</v>
      </c>
    </row>
    <row r="22" spans="1:40" x14ac:dyDescent="0.35">
      <c r="A22" t="s">
        <v>37</v>
      </c>
      <c r="B22" t="s">
        <v>188</v>
      </c>
      <c r="C22" t="s">
        <v>39</v>
      </c>
      <c r="D22" t="s">
        <v>40</v>
      </c>
      <c r="E22" t="s">
        <v>41</v>
      </c>
      <c r="F22" s="1">
        <v>46078.715810185182</v>
      </c>
      <c r="G22" t="s">
        <v>42</v>
      </c>
      <c r="H22" t="s">
        <v>43</v>
      </c>
      <c r="I22" t="s">
        <v>189</v>
      </c>
      <c r="J22" t="s">
        <v>45</v>
      </c>
      <c r="K22" t="s">
        <v>46</v>
      </c>
      <c r="M22" t="s">
        <v>47</v>
      </c>
      <c r="O22" t="s">
        <v>48</v>
      </c>
      <c r="P22" t="s">
        <v>49</v>
      </c>
      <c r="Q22" t="s">
        <v>50</v>
      </c>
      <c r="R22" t="s">
        <v>51</v>
      </c>
      <c r="S22" t="s">
        <v>52</v>
      </c>
      <c r="T22" t="s">
        <v>53</v>
      </c>
      <c r="U22" s="1">
        <v>46078.716643518521</v>
      </c>
      <c r="V22" t="s">
        <v>54</v>
      </c>
      <c r="W22" t="s">
        <v>55</v>
      </c>
      <c r="X22" t="s">
        <v>56</v>
      </c>
      <c r="Y22" t="s">
        <v>65</v>
      </c>
      <c r="Z22" t="s">
        <v>58</v>
      </c>
      <c r="AA22" t="s">
        <v>54</v>
      </c>
      <c r="AB22" t="s">
        <v>59</v>
      </c>
      <c r="AC22" t="s">
        <v>60</v>
      </c>
      <c r="AD22" t="s">
        <v>51</v>
      </c>
      <c r="AE22" t="s">
        <v>52</v>
      </c>
      <c r="AF22" t="s">
        <v>53</v>
      </c>
      <c r="AG22" t="s">
        <v>58</v>
      </c>
      <c r="AK22">
        <v>0</v>
      </c>
      <c r="AL22" t="s">
        <v>61</v>
      </c>
      <c r="AM22" t="s">
        <v>59</v>
      </c>
      <c r="AN22" t="s">
        <v>62</v>
      </c>
    </row>
    <row r="23" spans="1:40" x14ac:dyDescent="0.35">
      <c r="A23" t="s">
        <v>37</v>
      </c>
      <c r="B23" t="s">
        <v>190</v>
      </c>
      <c r="C23" t="s">
        <v>102</v>
      </c>
      <c r="D23" t="s">
        <v>191</v>
      </c>
      <c r="E23" t="s">
        <v>192</v>
      </c>
      <c r="F23" s="1">
        <v>46078.705266203702</v>
      </c>
      <c r="G23" t="s">
        <v>71</v>
      </c>
      <c r="H23" t="s">
        <v>72</v>
      </c>
      <c r="I23" t="s">
        <v>193</v>
      </c>
      <c r="J23" t="s">
        <v>194</v>
      </c>
      <c r="K23" t="s">
        <v>130</v>
      </c>
      <c r="M23" t="s">
        <v>131</v>
      </c>
      <c r="O23" t="s">
        <v>77</v>
      </c>
      <c r="P23" t="s">
        <v>78</v>
      </c>
      <c r="Q23" t="s">
        <v>50</v>
      </c>
      <c r="R23" t="s">
        <v>51</v>
      </c>
      <c r="S23" t="s">
        <v>52</v>
      </c>
      <c r="T23" t="s">
        <v>195</v>
      </c>
      <c r="U23" s="1">
        <v>46078.968032407407</v>
      </c>
      <c r="V23" t="s">
        <v>54</v>
      </c>
      <c r="W23" t="s">
        <v>55</v>
      </c>
      <c r="X23" t="s">
        <v>196</v>
      </c>
      <c r="Y23" t="s">
        <v>197</v>
      </c>
      <c r="Z23" t="s">
        <v>58</v>
      </c>
      <c r="AA23" t="s">
        <v>54</v>
      </c>
      <c r="AB23" t="s">
        <v>198</v>
      </c>
      <c r="AC23" t="s">
        <v>85</v>
      </c>
      <c r="AD23" t="s">
        <v>51</v>
      </c>
      <c r="AE23" t="s">
        <v>52</v>
      </c>
      <c r="AF23" t="s">
        <v>195</v>
      </c>
      <c r="AG23" t="s">
        <v>58</v>
      </c>
      <c r="AH23" t="s">
        <v>199</v>
      </c>
      <c r="AK23">
        <v>1</v>
      </c>
      <c r="AL23" t="s">
        <v>61</v>
      </c>
      <c r="AM23" t="s">
        <v>198</v>
      </c>
      <c r="AN23" t="s">
        <v>200</v>
      </c>
    </row>
    <row r="24" spans="1:40" x14ac:dyDescent="0.35">
      <c r="A24" t="s">
        <v>37</v>
      </c>
      <c r="B24" t="s">
        <v>201</v>
      </c>
      <c r="C24" t="s">
        <v>39</v>
      </c>
      <c r="D24" t="s">
        <v>202</v>
      </c>
      <c r="E24" t="s">
        <v>203</v>
      </c>
      <c r="F24" s="1">
        <v>46078.699317129627</v>
      </c>
      <c r="G24" t="s">
        <v>204</v>
      </c>
      <c r="H24" t="s">
        <v>92</v>
      </c>
      <c r="I24" t="s">
        <v>205</v>
      </c>
      <c r="J24" t="s">
        <v>206</v>
      </c>
      <c r="K24" t="s">
        <v>207</v>
      </c>
      <c r="M24" t="s">
        <v>131</v>
      </c>
      <c r="O24" t="s">
        <v>77</v>
      </c>
      <c r="P24" t="s">
        <v>78</v>
      </c>
      <c r="Q24" t="s">
        <v>50</v>
      </c>
      <c r="R24" t="s">
        <v>208</v>
      </c>
      <c r="S24" t="s">
        <v>209</v>
      </c>
      <c r="T24" t="s">
        <v>210</v>
      </c>
      <c r="U24" s="1">
        <v>46078.704629629632</v>
      </c>
      <c r="V24" t="s">
        <v>54</v>
      </c>
      <c r="W24" t="s">
        <v>55</v>
      </c>
      <c r="X24" t="s">
        <v>211</v>
      </c>
      <c r="Y24" t="s">
        <v>212</v>
      </c>
      <c r="Z24" t="s">
        <v>58</v>
      </c>
      <c r="AA24" t="s">
        <v>54</v>
      </c>
      <c r="AB24" t="s">
        <v>213</v>
      </c>
      <c r="AC24" t="s">
        <v>85</v>
      </c>
      <c r="AD24" t="s">
        <v>214</v>
      </c>
      <c r="AE24" t="s">
        <v>215</v>
      </c>
      <c r="AF24" t="s">
        <v>216</v>
      </c>
      <c r="AG24" t="s">
        <v>58</v>
      </c>
      <c r="AH24">
        <v>13874</v>
      </c>
      <c r="AK24">
        <v>1</v>
      </c>
      <c r="AL24" t="s">
        <v>61</v>
      </c>
      <c r="AM24" t="s">
        <v>217</v>
      </c>
      <c r="AN24" t="s">
        <v>218</v>
      </c>
    </row>
    <row r="25" spans="1:40" x14ac:dyDescent="0.35">
      <c r="A25" t="s">
        <v>37</v>
      </c>
      <c r="B25" t="s">
        <v>219</v>
      </c>
      <c r="C25" t="s">
        <v>39</v>
      </c>
      <c r="D25" t="s">
        <v>220</v>
      </c>
      <c r="E25" t="s">
        <v>221</v>
      </c>
      <c r="F25" s="1">
        <v>46078.698113425926</v>
      </c>
      <c r="G25" t="s">
        <v>204</v>
      </c>
      <c r="H25" t="s">
        <v>92</v>
      </c>
      <c r="I25" t="s">
        <v>205</v>
      </c>
      <c r="J25" t="s">
        <v>206</v>
      </c>
      <c r="K25" t="s">
        <v>207</v>
      </c>
      <c r="M25" t="s">
        <v>131</v>
      </c>
      <c r="O25" t="s">
        <v>77</v>
      </c>
      <c r="P25" t="s">
        <v>78</v>
      </c>
      <c r="Q25" t="s">
        <v>50</v>
      </c>
      <c r="R25" t="s">
        <v>208</v>
      </c>
      <c r="S25" t="s">
        <v>209</v>
      </c>
      <c r="T25" t="s">
        <v>210</v>
      </c>
      <c r="U25" s="1">
        <v>46078.704456018517</v>
      </c>
      <c r="V25" t="s">
        <v>54</v>
      </c>
      <c r="W25" t="s">
        <v>55</v>
      </c>
      <c r="X25" t="s">
        <v>211</v>
      </c>
      <c r="Y25" t="s">
        <v>212</v>
      </c>
      <c r="Z25" t="s">
        <v>58</v>
      </c>
      <c r="AA25" t="s">
        <v>54</v>
      </c>
      <c r="AB25" t="s">
        <v>213</v>
      </c>
      <c r="AC25" t="s">
        <v>85</v>
      </c>
      <c r="AD25" t="s">
        <v>214</v>
      </c>
      <c r="AE25" t="s">
        <v>215</v>
      </c>
      <c r="AF25" t="s">
        <v>216</v>
      </c>
      <c r="AG25" t="s">
        <v>58</v>
      </c>
      <c r="AH25">
        <v>12489</v>
      </c>
      <c r="AK25">
        <v>1</v>
      </c>
      <c r="AL25" t="s">
        <v>61</v>
      </c>
      <c r="AM25" t="s">
        <v>222</v>
      </c>
      <c r="AN25" t="s">
        <v>223</v>
      </c>
    </row>
    <row r="26" spans="1:40" x14ac:dyDescent="0.35">
      <c r="A26" t="s">
        <v>37</v>
      </c>
      <c r="B26" t="s">
        <v>224</v>
      </c>
      <c r="C26" t="s">
        <v>39</v>
      </c>
      <c r="D26" t="s">
        <v>225</v>
      </c>
      <c r="E26" t="s">
        <v>226</v>
      </c>
      <c r="F26" s="1">
        <v>46078.696481481478</v>
      </c>
      <c r="G26" t="s">
        <v>204</v>
      </c>
      <c r="H26" t="s">
        <v>92</v>
      </c>
      <c r="I26" t="s">
        <v>205</v>
      </c>
      <c r="J26" t="s">
        <v>206</v>
      </c>
      <c r="K26" t="s">
        <v>207</v>
      </c>
      <c r="M26" t="s">
        <v>131</v>
      </c>
      <c r="O26" t="s">
        <v>77</v>
      </c>
      <c r="P26" t="s">
        <v>78</v>
      </c>
      <c r="R26" t="s">
        <v>208</v>
      </c>
      <c r="S26" t="s">
        <v>209</v>
      </c>
      <c r="T26" t="s">
        <v>210</v>
      </c>
      <c r="U26" s="1">
        <v>46078.704282407409</v>
      </c>
      <c r="V26" t="s">
        <v>54</v>
      </c>
      <c r="W26" t="s">
        <v>55</v>
      </c>
      <c r="X26" t="s">
        <v>211</v>
      </c>
      <c r="Y26" t="s">
        <v>212</v>
      </c>
      <c r="Z26" t="s">
        <v>58</v>
      </c>
      <c r="AA26" t="s">
        <v>54</v>
      </c>
      <c r="AB26" t="s">
        <v>213</v>
      </c>
      <c r="AC26" t="s">
        <v>85</v>
      </c>
      <c r="AD26" t="s">
        <v>214</v>
      </c>
      <c r="AE26" t="s">
        <v>215</v>
      </c>
      <c r="AF26" t="s">
        <v>216</v>
      </c>
      <c r="AG26" t="s">
        <v>58</v>
      </c>
      <c r="AH26">
        <v>15016</v>
      </c>
      <c r="AK26">
        <v>1</v>
      </c>
      <c r="AL26" t="s">
        <v>61</v>
      </c>
      <c r="AM26" t="s">
        <v>227</v>
      </c>
      <c r="AN26" t="s">
        <v>228</v>
      </c>
    </row>
    <row r="27" spans="1:40" x14ac:dyDescent="0.35">
      <c r="A27" t="s">
        <v>37</v>
      </c>
      <c r="B27" t="s">
        <v>229</v>
      </c>
      <c r="C27" t="s">
        <v>102</v>
      </c>
      <c r="D27" t="s">
        <v>230</v>
      </c>
      <c r="E27" t="s">
        <v>231</v>
      </c>
      <c r="F27" s="1">
        <v>46078.683761574073</v>
      </c>
      <c r="G27" t="s">
        <v>232</v>
      </c>
      <c r="H27" t="s">
        <v>233</v>
      </c>
      <c r="I27" t="s">
        <v>234</v>
      </c>
      <c r="J27" t="s">
        <v>235</v>
      </c>
      <c r="K27" t="s">
        <v>236</v>
      </c>
      <c r="M27" t="s">
        <v>76</v>
      </c>
      <c r="O27" t="s">
        <v>237</v>
      </c>
      <c r="P27" t="s">
        <v>238</v>
      </c>
      <c r="Q27" t="s">
        <v>239</v>
      </c>
      <c r="R27" t="s">
        <v>51</v>
      </c>
      <c r="S27" t="s">
        <v>52</v>
      </c>
      <c r="T27" t="s">
        <v>240</v>
      </c>
      <c r="U27" s="1">
        <v>46078.711712962962</v>
      </c>
      <c r="V27" t="s">
        <v>54</v>
      </c>
      <c r="W27" t="s">
        <v>55</v>
      </c>
      <c r="X27" t="s">
        <v>134</v>
      </c>
      <c r="Y27" t="s">
        <v>241</v>
      </c>
      <c r="Z27" t="s">
        <v>58</v>
      </c>
      <c r="AA27" t="s">
        <v>54</v>
      </c>
      <c r="AB27" t="s">
        <v>84</v>
      </c>
      <c r="AC27" t="s">
        <v>242</v>
      </c>
      <c r="AD27" t="s">
        <v>52</v>
      </c>
      <c r="AE27" t="s">
        <v>243</v>
      </c>
      <c r="AF27" t="s">
        <v>244</v>
      </c>
      <c r="AG27" t="s">
        <v>58</v>
      </c>
      <c r="AH27">
        <v>6631</v>
      </c>
      <c r="AK27">
        <v>1</v>
      </c>
      <c r="AL27" t="s">
        <v>61</v>
      </c>
      <c r="AM27" t="s">
        <v>245</v>
      </c>
      <c r="AN27" t="s">
        <v>246</v>
      </c>
    </row>
    <row r="28" spans="1:40" x14ac:dyDescent="0.35">
      <c r="A28" t="s">
        <v>37</v>
      </c>
      <c r="B28" t="s">
        <v>247</v>
      </c>
      <c r="C28" t="s">
        <v>102</v>
      </c>
      <c r="D28" t="s">
        <v>248</v>
      </c>
      <c r="E28" t="s">
        <v>249</v>
      </c>
      <c r="F28" s="1">
        <v>46078.676458333335</v>
      </c>
      <c r="G28" t="s">
        <v>250</v>
      </c>
      <c r="H28" t="s">
        <v>106</v>
      </c>
      <c r="I28" t="s">
        <v>251</v>
      </c>
      <c r="J28" t="s">
        <v>235</v>
      </c>
      <c r="K28" t="s">
        <v>236</v>
      </c>
      <c r="M28" t="s">
        <v>76</v>
      </c>
      <c r="O28" t="s">
        <v>237</v>
      </c>
      <c r="P28" t="s">
        <v>238</v>
      </c>
      <c r="Q28" t="s">
        <v>252</v>
      </c>
      <c r="R28" t="s">
        <v>51</v>
      </c>
      <c r="S28" t="s">
        <v>52</v>
      </c>
      <c r="T28" t="s">
        <v>240</v>
      </c>
      <c r="U28" s="1">
        <v>46078.68540509259</v>
      </c>
      <c r="V28" t="s">
        <v>54</v>
      </c>
      <c r="W28" t="s">
        <v>55</v>
      </c>
      <c r="X28" t="s">
        <v>211</v>
      </c>
      <c r="Y28" t="s">
        <v>253</v>
      </c>
      <c r="Z28" t="s">
        <v>58</v>
      </c>
      <c r="AA28" t="s">
        <v>54</v>
      </c>
      <c r="AB28" t="s">
        <v>213</v>
      </c>
      <c r="AC28" t="s">
        <v>242</v>
      </c>
      <c r="AD28" t="s">
        <v>52</v>
      </c>
      <c r="AE28" t="s">
        <v>243</v>
      </c>
      <c r="AF28" t="s">
        <v>244</v>
      </c>
      <c r="AG28" t="s">
        <v>58</v>
      </c>
      <c r="AH28">
        <v>1608</v>
      </c>
      <c r="AK28">
        <v>1</v>
      </c>
      <c r="AL28" t="s">
        <v>61</v>
      </c>
      <c r="AM28" t="s">
        <v>254</v>
      </c>
      <c r="AN28" t="s">
        <v>255</v>
      </c>
    </row>
    <row r="29" spans="1:40" x14ac:dyDescent="0.35">
      <c r="A29" t="s">
        <v>37</v>
      </c>
      <c r="B29" t="s">
        <v>256</v>
      </c>
      <c r="C29" t="s">
        <v>39</v>
      </c>
      <c r="D29" t="s">
        <v>40</v>
      </c>
      <c r="E29" t="s">
        <v>41</v>
      </c>
      <c r="F29" s="1">
        <v>46078.675497685188</v>
      </c>
      <c r="G29" t="s">
        <v>42</v>
      </c>
      <c r="H29" t="s">
        <v>43</v>
      </c>
      <c r="I29" t="s">
        <v>257</v>
      </c>
      <c r="J29" t="s">
        <v>45</v>
      </c>
      <c r="K29" t="s">
        <v>46</v>
      </c>
      <c r="M29" t="s">
        <v>47</v>
      </c>
      <c r="O29" t="s">
        <v>48</v>
      </c>
      <c r="P29" t="s">
        <v>49</v>
      </c>
      <c r="Q29" t="s">
        <v>50</v>
      </c>
      <c r="R29" t="s">
        <v>51</v>
      </c>
      <c r="S29" t="s">
        <v>52</v>
      </c>
      <c r="T29" t="s">
        <v>53</v>
      </c>
      <c r="U29" s="1">
        <v>46078.677071759259</v>
      </c>
      <c r="V29" t="s">
        <v>54</v>
      </c>
      <c r="W29" t="s">
        <v>55</v>
      </c>
      <c r="X29" t="s">
        <v>56</v>
      </c>
      <c r="Y29" t="s">
        <v>65</v>
      </c>
      <c r="Z29" t="s">
        <v>58</v>
      </c>
      <c r="AA29" t="s">
        <v>54</v>
      </c>
      <c r="AB29" t="s">
        <v>59</v>
      </c>
      <c r="AC29" t="s">
        <v>60</v>
      </c>
      <c r="AD29" t="s">
        <v>51</v>
      </c>
      <c r="AE29" t="s">
        <v>52</v>
      </c>
      <c r="AF29" t="s">
        <v>53</v>
      </c>
      <c r="AG29" t="s">
        <v>58</v>
      </c>
      <c r="AK29">
        <v>0</v>
      </c>
      <c r="AL29" t="s">
        <v>61</v>
      </c>
      <c r="AM29" t="s">
        <v>59</v>
      </c>
      <c r="AN29" t="s">
        <v>62</v>
      </c>
    </row>
    <row r="30" spans="1:40" x14ac:dyDescent="0.35">
      <c r="A30" t="s">
        <v>37</v>
      </c>
      <c r="B30" t="s">
        <v>258</v>
      </c>
      <c r="C30" t="s">
        <v>39</v>
      </c>
      <c r="D30" t="s">
        <v>259</v>
      </c>
      <c r="E30" t="s">
        <v>260</v>
      </c>
      <c r="F30" s="1">
        <v>46078.675034722219</v>
      </c>
      <c r="G30" t="s">
        <v>261</v>
      </c>
      <c r="H30" t="s">
        <v>72</v>
      </c>
      <c r="I30" t="s">
        <v>205</v>
      </c>
      <c r="J30" t="s">
        <v>206</v>
      </c>
      <c r="K30" t="s">
        <v>207</v>
      </c>
      <c r="M30" t="s">
        <v>131</v>
      </c>
      <c r="O30" t="s">
        <v>77</v>
      </c>
      <c r="P30" t="s">
        <v>78</v>
      </c>
      <c r="Q30" t="s">
        <v>50</v>
      </c>
      <c r="R30" t="s">
        <v>208</v>
      </c>
      <c r="S30" t="s">
        <v>209</v>
      </c>
      <c r="T30" t="s">
        <v>210</v>
      </c>
      <c r="U30" s="1">
        <v>46078.704097222224</v>
      </c>
      <c r="V30" t="s">
        <v>54</v>
      </c>
      <c r="W30" t="s">
        <v>55</v>
      </c>
      <c r="X30" t="s">
        <v>211</v>
      </c>
      <c r="Y30" t="s">
        <v>212</v>
      </c>
      <c r="Z30" t="s">
        <v>58</v>
      </c>
      <c r="AA30" t="s">
        <v>54</v>
      </c>
      <c r="AB30" t="s">
        <v>213</v>
      </c>
      <c r="AC30" t="s">
        <v>85</v>
      </c>
      <c r="AD30" t="s">
        <v>214</v>
      </c>
      <c r="AE30" t="s">
        <v>215</v>
      </c>
      <c r="AF30" t="s">
        <v>216</v>
      </c>
      <c r="AG30" t="s">
        <v>58</v>
      </c>
      <c r="AH30">
        <v>13456</v>
      </c>
      <c r="AK30">
        <v>1</v>
      </c>
      <c r="AL30" t="s">
        <v>61</v>
      </c>
      <c r="AM30" t="s">
        <v>262</v>
      </c>
      <c r="AN30" t="s">
        <v>263</v>
      </c>
    </row>
    <row r="31" spans="1:40" x14ac:dyDescent="0.35">
      <c r="A31" t="s">
        <v>37</v>
      </c>
      <c r="B31" t="s">
        <v>264</v>
      </c>
      <c r="C31" t="s">
        <v>39</v>
      </c>
      <c r="D31" t="s">
        <v>265</v>
      </c>
      <c r="E31" t="s">
        <v>266</v>
      </c>
      <c r="F31" s="1">
        <v>46078.666921296295</v>
      </c>
      <c r="G31" t="s">
        <v>267</v>
      </c>
      <c r="H31" t="s">
        <v>233</v>
      </c>
      <c r="I31" t="s">
        <v>205</v>
      </c>
      <c r="J31" t="s">
        <v>206</v>
      </c>
      <c r="K31" t="s">
        <v>207</v>
      </c>
      <c r="M31" t="s">
        <v>131</v>
      </c>
      <c r="O31" t="s">
        <v>77</v>
      </c>
      <c r="P31" t="s">
        <v>78</v>
      </c>
      <c r="Q31" t="s">
        <v>50</v>
      </c>
      <c r="R31" t="s">
        <v>208</v>
      </c>
      <c r="S31" t="s">
        <v>209</v>
      </c>
      <c r="T31" t="s">
        <v>210</v>
      </c>
      <c r="U31" s="1">
        <v>46078.703923611109</v>
      </c>
      <c r="V31" t="s">
        <v>54</v>
      </c>
      <c r="W31" t="s">
        <v>55</v>
      </c>
      <c r="X31" t="s">
        <v>211</v>
      </c>
      <c r="Y31" t="s">
        <v>212</v>
      </c>
      <c r="Z31" t="s">
        <v>58</v>
      </c>
      <c r="AA31" t="s">
        <v>54</v>
      </c>
      <c r="AB31" t="s">
        <v>213</v>
      </c>
      <c r="AC31" t="s">
        <v>85</v>
      </c>
      <c r="AD31" t="s">
        <v>214</v>
      </c>
      <c r="AE31" t="s">
        <v>215</v>
      </c>
      <c r="AF31" t="s">
        <v>216</v>
      </c>
      <c r="AG31" t="s">
        <v>58</v>
      </c>
      <c r="AH31">
        <v>15532</v>
      </c>
      <c r="AK31">
        <v>1</v>
      </c>
      <c r="AL31" t="s">
        <v>61</v>
      </c>
      <c r="AM31" t="s">
        <v>268</v>
      </c>
      <c r="AN31" t="s">
        <v>269</v>
      </c>
    </row>
    <row r="32" spans="1:40" x14ac:dyDescent="0.35">
      <c r="A32" t="s">
        <v>37</v>
      </c>
      <c r="B32" t="s">
        <v>270</v>
      </c>
      <c r="C32" t="s">
        <v>39</v>
      </c>
      <c r="D32" t="s">
        <v>271</v>
      </c>
      <c r="E32" t="s">
        <v>272</v>
      </c>
      <c r="F32" s="1">
        <v>46078.666354166664</v>
      </c>
      <c r="G32" t="s">
        <v>273</v>
      </c>
      <c r="H32" t="s">
        <v>233</v>
      </c>
      <c r="I32" t="s">
        <v>205</v>
      </c>
      <c r="J32" t="s">
        <v>206</v>
      </c>
      <c r="K32" t="s">
        <v>207</v>
      </c>
      <c r="M32" t="s">
        <v>131</v>
      </c>
      <c r="O32" t="s">
        <v>77</v>
      </c>
      <c r="P32" t="s">
        <v>78</v>
      </c>
      <c r="Q32" t="s">
        <v>50</v>
      </c>
      <c r="R32" t="s">
        <v>208</v>
      </c>
      <c r="S32" t="s">
        <v>209</v>
      </c>
      <c r="T32" t="s">
        <v>210</v>
      </c>
      <c r="U32" s="1">
        <v>46078.703738425924</v>
      </c>
      <c r="V32" t="s">
        <v>54</v>
      </c>
      <c r="W32" t="s">
        <v>55</v>
      </c>
      <c r="X32" t="s">
        <v>211</v>
      </c>
      <c r="Y32" t="s">
        <v>212</v>
      </c>
      <c r="Z32" t="s">
        <v>58</v>
      </c>
      <c r="AA32" t="s">
        <v>54</v>
      </c>
      <c r="AB32" t="s">
        <v>213</v>
      </c>
      <c r="AC32" t="s">
        <v>85</v>
      </c>
      <c r="AD32" t="s">
        <v>214</v>
      </c>
      <c r="AE32" t="s">
        <v>215</v>
      </c>
      <c r="AF32" t="s">
        <v>216</v>
      </c>
      <c r="AG32" t="s">
        <v>58</v>
      </c>
      <c r="AH32">
        <v>11817</v>
      </c>
      <c r="AK32">
        <v>1</v>
      </c>
      <c r="AL32" t="s">
        <v>61</v>
      </c>
      <c r="AM32" t="s">
        <v>274</v>
      </c>
      <c r="AN32" t="s">
        <v>275</v>
      </c>
    </row>
    <row r="33" spans="1:40" x14ac:dyDescent="0.35">
      <c r="A33" t="s">
        <v>37</v>
      </c>
      <c r="B33" t="s">
        <v>276</v>
      </c>
      <c r="C33" t="s">
        <v>39</v>
      </c>
      <c r="D33" t="s">
        <v>277</v>
      </c>
      <c r="E33" t="s">
        <v>278</v>
      </c>
      <c r="F33" s="1">
        <v>46078.665752314817</v>
      </c>
      <c r="G33" t="s">
        <v>42</v>
      </c>
      <c r="H33" t="s">
        <v>43</v>
      </c>
      <c r="I33" t="s">
        <v>205</v>
      </c>
      <c r="J33" t="s">
        <v>206</v>
      </c>
      <c r="K33" t="s">
        <v>207</v>
      </c>
      <c r="M33" t="s">
        <v>131</v>
      </c>
      <c r="O33" t="s">
        <v>77</v>
      </c>
      <c r="P33" t="s">
        <v>78</v>
      </c>
      <c r="Q33" t="s">
        <v>50</v>
      </c>
      <c r="R33" t="s">
        <v>208</v>
      </c>
      <c r="S33" t="s">
        <v>209</v>
      </c>
      <c r="T33" t="s">
        <v>210</v>
      </c>
      <c r="U33" s="1">
        <v>46078.703553240739</v>
      </c>
      <c r="V33" t="s">
        <v>54</v>
      </c>
      <c r="W33" t="s">
        <v>55</v>
      </c>
      <c r="X33" t="s">
        <v>211</v>
      </c>
      <c r="Y33" t="s">
        <v>212</v>
      </c>
      <c r="Z33" t="s">
        <v>58</v>
      </c>
      <c r="AA33" t="s">
        <v>54</v>
      </c>
      <c r="AB33" t="s">
        <v>213</v>
      </c>
      <c r="AC33" t="s">
        <v>85</v>
      </c>
      <c r="AD33" t="s">
        <v>214</v>
      </c>
      <c r="AE33" t="s">
        <v>215</v>
      </c>
      <c r="AF33" t="s">
        <v>216</v>
      </c>
      <c r="AG33" t="s">
        <v>58</v>
      </c>
      <c r="AH33">
        <v>15220</v>
      </c>
      <c r="AK33">
        <v>1</v>
      </c>
      <c r="AL33" t="s">
        <v>61</v>
      </c>
      <c r="AM33" t="s">
        <v>279</v>
      </c>
      <c r="AN33" t="s">
        <v>280</v>
      </c>
    </row>
    <row r="34" spans="1:40" x14ac:dyDescent="0.35">
      <c r="A34" t="s">
        <v>37</v>
      </c>
      <c r="B34" t="s">
        <v>281</v>
      </c>
      <c r="C34" t="s">
        <v>39</v>
      </c>
      <c r="D34" t="s">
        <v>40</v>
      </c>
      <c r="E34" t="s">
        <v>41</v>
      </c>
      <c r="F34" s="1">
        <v>46078.661273148151</v>
      </c>
      <c r="G34" t="s">
        <v>42</v>
      </c>
      <c r="H34" t="s">
        <v>43</v>
      </c>
      <c r="I34" t="s">
        <v>282</v>
      </c>
      <c r="J34" t="s">
        <v>45</v>
      </c>
      <c r="K34" t="s">
        <v>46</v>
      </c>
      <c r="M34" t="s">
        <v>47</v>
      </c>
      <c r="O34" t="s">
        <v>48</v>
      </c>
      <c r="P34" t="s">
        <v>49</v>
      </c>
      <c r="Q34" t="s">
        <v>50</v>
      </c>
      <c r="R34" t="s">
        <v>51</v>
      </c>
      <c r="S34" t="s">
        <v>52</v>
      </c>
      <c r="T34" t="s">
        <v>53</v>
      </c>
      <c r="U34" s="1">
        <v>46078.662141203706</v>
      </c>
      <c r="V34" t="s">
        <v>54</v>
      </c>
      <c r="W34" t="s">
        <v>55</v>
      </c>
      <c r="X34" t="s">
        <v>56</v>
      </c>
      <c r="Y34" t="s">
        <v>57</v>
      </c>
      <c r="Z34" t="s">
        <v>58</v>
      </c>
      <c r="AA34" t="s">
        <v>54</v>
      </c>
      <c r="AB34" t="s">
        <v>59</v>
      </c>
      <c r="AC34" t="s">
        <v>60</v>
      </c>
      <c r="AD34" t="s">
        <v>51</v>
      </c>
      <c r="AE34" t="s">
        <v>52</v>
      </c>
      <c r="AF34" t="s">
        <v>53</v>
      </c>
      <c r="AG34" t="s">
        <v>58</v>
      </c>
      <c r="AK34">
        <v>0</v>
      </c>
      <c r="AL34" t="s">
        <v>61</v>
      </c>
      <c r="AM34" t="s">
        <v>59</v>
      </c>
      <c r="AN34" t="s">
        <v>62</v>
      </c>
    </row>
    <row r="35" spans="1:40" x14ac:dyDescent="0.35">
      <c r="A35" t="s">
        <v>37</v>
      </c>
      <c r="B35" t="s">
        <v>283</v>
      </c>
      <c r="C35" t="s">
        <v>102</v>
      </c>
      <c r="D35" t="s">
        <v>284</v>
      </c>
      <c r="E35" t="s">
        <v>285</v>
      </c>
      <c r="F35" s="1">
        <v>46078.662280092591</v>
      </c>
      <c r="G35" t="s">
        <v>286</v>
      </c>
      <c r="H35" t="s">
        <v>287</v>
      </c>
      <c r="I35" t="s">
        <v>288</v>
      </c>
      <c r="J35" t="s">
        <v>289</v>
      </c>
      <c r="K35" t="s">
        <v>130</v>
      </c>
      <c r="M35" t="s">
        <v>150</v>
      </c>
      <c r="O35" t="s">
        <v>77</v>
      </c>
      <c r="P35" t="s">
        <v>78</v>
      </c>
      <c r="Q35" t="s">
        <v>50</v>
      </c>
      <c r="R35" t="s">
        <v>132</v>
      </c>
      <c r="S35" t="s">
        <v>133</v>
      </c>
      <c r="T35" t="s">
        <v>133</v>
      </c>
      <c r="U35" s="1">
        <v>46078.966134259259</v>
      </c>
      <c r="V35" t="s">
        <v>54</v>
      </c>
      <c r="W35" t="s">
        <v>55</v>
      </c>
      <c r="X35" t="s">
        <v>134</v>
      </c>
      <c r="Y35" t="s">
        <v>290</v>
      </c>
      <c r="Z35" t="s">
        <v>58</v>
      </c>
      <c r="AA35" t="s">
        <v>54</v>
      </c>
      <c r="AB35" t="s">
        <v>291</v>
      </c>
      <c r="AC35" t="s">
        <v>85</v>
      </c>
      <c r="AD35" t="s">
        <v>132</v>
      </c>
      <c r="AE35" t="s">
        <v>133</v>
      </c>
      <c r="AF35" t="s">
        <v>133</v>
      </c>
      <c r="AG35" t="s">
        <v>58</v>
      </c>
      <c r="AH35" t="s">
        <v>292</v>
      </c>
      <c r="AK35">
        <v>1</v>
      </c>
      <c r="AL35" t="s">
        <v>61</v>
      </c>
      <c r="AM35" t="s">
        <v>291</v>
      </c>
      <c r="AN35" t="s">
        <v>293</v>
      </c>
    </row>
    <row r="36" spans="1:40" x14ac:dyDescent="0.35">
      <c r="A36" t="s">
        <v>37</v>
      </c>
      <c r="B36" t="s">
        <v>294</v>
      </c>
      <c r="C36" t="s">
        <v>39</v>
      </c>
      <c r="D36" t="s">
        <v>295</v>
      </c>
      <c r="E36" t="s">
        <v>296</v>
      </c>
      <c r="F36" s="1">
        <v>46078.651863425926</v>
      </c>
      <c r="G36" t="s">
        <v>297</v>
      </c>
      <c r="H36" t="s">
        <v>287</v>
      </c>
      <c r="I36" t="s">
        <v>205</v>
      </c>
      <c r="J36" t="s">
        <v>206</v>
      </c>
      <c r="K36" t="s">
        <v>207</v>
      </c>
      <c r="M36" t="s">
        <v>131</v>
      </c>
      <c r="O36" t="s">
        <v>77</v>
      </c>
      <c r="P36" t="s">
        <v>78</v>
      </c>
      <c r="Q36" t="s">
        <v>50</v>
      </c>
      <c r="R36" t="s">
        <v>208</v>
      </c>
      <c r="S36" t="s">
        <v>209</v>
      </c>
      <c r="T36" t="s">
        <v>210</v>
      </c>
      <c r="U36" s="1">
        <v>46078.665405092594</v>
      </c>
      <c r="V36" t="s">
        <v>54</v>
      </c>
      <c r="W36" t="s">
        <v>55</v>
      </c>
      <c r="X36" t="s">
        <v>211</v>
      </c>
      <c r="Y36" t="s">
        <v>298</v>
      </c>
      <c r="Z36" t="s">
        <v>58</v>
      </c>
      <c r="AA36" t="s">
        <v>54</v>
      </c>
      <c r="AB36" t="s">
        <v>213</v>
      </c>
      <c r="AC36" t="s">
        <v>85</v>
      </c>
      <c r="AD36" t="s">
        <v>214</v>
      </c>
      <c r="AE36" t="s">
        <v>215</v>
      </c>
      <c r="AF36" t="s">
        <v>216</v>
      </c>
      <c r="AG36" t="s">
        <v>58</v>
      </c>
      <c r="AH36">
        <v>13666</v>
      </c>
      <c r="AK36">
        <v>1</v>
      </c>
      <c r="AL36" t="s">
        <v>61</v>
      </c>
      <c r="AM36" t="s">
        <v>299</v>
      </c>
      <c r="AN36" t="s">
        <v>300</v>
      </c>
    </row>
    <row r="37" spans="1:40" x14ac:dyDescent="0.35">
      <c r="A37" t="s">
        <v>37</v>
      </c>
      <c r="B37" t="s">
        <v>301</v>
      </c>
      <c r="C37" t="s">
        <v>39</v>
      </c>
      <c r="D37" t="s">
        <v>302</v>
      </c>
      <c r="E37" t="s">
        <v>303</v>
      </c>
      <c r="F37" s="1">
        <v>46078.650729166664</v>
      </c>
      <c r="G37" t="s">
        <v>304</v>
      </c>
      <c r="H37" t="s">
        <v>106</v>
      </c>
      <c r="I37" t="s">
        <v>205</v>
      </c>
      <c r="J37" t="s">
        <v>206</v>
      </c>
      <c r="K37" t="s">
        <v>207</v>
      </c>
      <c r="M37" t="s">
        <v>131</v>
      </c>
      <c r="O37" t="s">
        <v>77</v>
      </c>
      <c r="P37" t="s">
        <v>78</v>
      </c>
      <c r="R37" t="s">
        <v>305</v>
      </c>
      <c r="S37" t="s">
        <v>306</v>
      </c>
      <c r="T37" t="s">
        <v>307</v>
      </c>
      <c r="U37" s="1">
        <v>46078.689201388886</v>
      </c>
      <c r="V37" t="s">
        <v>54</v>
      </c>
      <c r="W37" t="s">
        <v>55</v>
      </c>
      <c r="X37" t="s">
        <v>211</v>
      </c>
      <c r="Y37" t="s">
        <v>308</v>
      </c>
      <c r="Z37" t="s">
        <v>58</v>
      </c>
      <c r="AA37" t="s">
        <v>54</v>
      </c>
      <c r="AB37" t="s">
        <v>213</v>
      </c>
      <c r="AC37" t="s">
        <v>85</v>
      </c>
      <c r="AD37" t="s">
        <v>214</v>
      </c>
      <c r="AE37" t="s">
        <v>215</v>
      </c>
      <c r="AF37" t="s">
        <v>216</v>
      </c>
      <c r="AG37" t="s">
        <v>58</v>
      </c>
      <c r="AH37" t="s">
        <v>309</v>
      </c>
      <c r="AK37">
        <v>3</v>
      </c>
      <c r="AL37" t="s">
        <v>61</v>
      </c>
      <c r="AM37" t="s">
        <v>310</v>
      </c>
      <c r="AN37" t="s">
        <v>311</v>
      </c>
    </row>
    <row r="38" spans="1:40" x14ac:dyDescent="0.35">
      <c r="A38" t="s">
        <v>37</v>
      </c>
      <c r="B38" t="s">
        <v>312</v>
      </c>
      <c r="C38" t="s">
        <v>39</v>
      </c>
      <c r="D38" t="s">
        <v>313</v>
      </c>
      <c r="E38" t="s">
        <v>314</v>
      </c>
      <c r="F38" s="1">
        <v>46078.646122685182</v>
      </c>
      <c r="G38" t="s">
        <v>42</v>
      </c>
      <c r="H38" t="s">
        <v>43</v>
      </c>
      <c r="I38" t="s">
        <v>205</v>
      </c>
      <c r="J38" t="s">
        <v>206</v>
      </c>
      <c r="K38" t="s">
        <v>207</v>
      </c>
      <c r="M38" t="s">
        <v>131</v>
      </c>
      <c r="O38" t="s">
        <v>77</v>
      </c>
      <c r="P38" t="s">
        <v>78</v>
      </c>
      <c r="Q38" t="s">
        <v>50</v>
      </c>
      <c r="R38" t="s">
        <v>208</v>
      </c>
      <c r="S38" t="s">
        <v>209</v>
      </c>
      <c r="T38" t="s">
        <v>210</v>
      </c>
      <c r="U38" s="1">
        <v>46078.652407407404</v>
      </c>
      <c r="V38" t="s">
        <v>54</v>
      </c>
      <c r="W38" t="s">
        <v>55</v>
      </c>
      <c r="X38" t="s">
        <v>211</v>
      </c>
      <c r="Y38" t="s">
        <v>315</v>
      </c>
      <c r="Z38" t="s">
        <v>58</v>
      </c>
      <c r="AA38" t="s">
        <v>54</v>
      </c>
      <c r="AB38" t="s">
        <v>213</v>
      </c>
      <c r="AC38" t="s">
        <v>85</v>
      </c>
      <c r="AD38" t="s">
        <v>214</v>
      </c>
      <c r="AE38" t="s">
        <v>215</v>
      </c>
      <c r="AF38" t="s">
        <v>216</v>
      </c>
      <c r="AG38" t="s">
        <v>58</v>
      </c>
      <c r="AH38" t="s">
        <v>316</v>
      </c>
      <c r="AK38">
        <v>1</v>
      </c>
      <c r="AL38" t="s">
        <v>61</v>
      </c>
      <c r="AM38" t="s">
        <v>317</v>
      </c>
      <c r="AN38" t="s">
        <v>318</v>
      </c>
    </row>
    <row r="39" spans="1:40" x14ac:dyDescent="0.35">
      <c r="A39" t="s">
        <v>37</v>
      </c>
      <c r="B39" t="s">
        <v>319</v>
      </c>
      <c r="C39" t="s">
        <v>39</v>
      </c>
      <c r="D39" t="s">
        <v>320</v>
      </c>
      <c r="E39" t="s">
        <v>321</v>
      </c>
      <c r="F39" s="1">
        <v>46078.644583333335</v>
      </c>
      <c r="G39" t="s">
        <v>71</v>
      </c>
      <c r="H39" t="s">
        <v>72</v>
      </c>
      <c r="I39" t="s">
        <v>205</v>
      </c>
      <c r="J39" t="s">
        <v>206</v>
      </c>
      <c r="K39" t="s">
        <v>207</v>
      </c>
      <c r="M39" t="s">
        <v>131</v>
      </c>
      <c r="O39" t="s">
        <v>77</v>
      </c>
      <c r="P39" t="s">
        <v>78</v>
      </c>
      <c r="Q39" t="s">
        <v>50</v>
      </c>
      <c r="R39" t="s">
        <v>208</v>
      </c>
      <c r="S39" t="s">
        <v>209</v>
      </c>
      <c r="T39" t="s">
        <v>210</v>
      </c>
      <c r="U39" s="1">
        <v>46078.654490740744</v>
      </c>
      <c r="V39" t="s">
        <v>54</v>
      </c>
      <c r="W39" t="s">
        <v>55</v>
      </c>
      <c r="X39" t="s">
        <v>211</v>
      </c>
      <c r="Y39" t="s">
        <v>315</v>
      </c>
      <c r="Z39" t="s">
        <v>58</v>
      </c>
      <c r="AA39" t="s">
        <v>54</v>
      </c>
      <c r="AB39" t="s">
        <v>213</v>
      </c>
      <c r="AC39" t="s">
        <v>85</v>
      </c>
      <c r="AD39" t="s">
        <v>214</v>
      </c>
      <c r="AE39" t="s">
        <v>215</v>
      </c>
      <c r="AF39" t="s">
        <v>216</v>
      </c>
      <c r="AG39" t="s">
        <v>58</v>
      </c>
      <c r="AH39">
        <v>15468</v>
      </c>
      <c r="AK39">
        <v>1</v>
      </c>
      <c r="AL39" t="s">
        <v>61</v>
      </c>
      <c r="AM39" t="s">
        <v>322</v>
      </c>
      <c r="AN39" t="s">
        <v>323</v>
      </c>
    </row>
    <row r="40" spans="1:40" x14ac:dyDescent="0.35">
      <c r="A40" t="s">
        <v>37</v>
      </c>
      <c r="B40" t="s">
        <v>324</v>
      </c>
      <c r="C40" t="s">
        <v>39</v>
      </c>
      <c r="D40" t="s">
        <v>325</v>
      </c>
      <c r="E40" t="s">
        <v>326</v>
      </c>
      <c r="F40" s="1">
        <v>46078.643217592595</v>
      </c>
      <c r="G40" t="s">
        <v>327</v>
      </c>
      <c r="H40" t="s">
        <v>72</v>
      </c>
      <c r="I40" t="s">
        <v>205</v>
      </c>
      <c r="J40" t="s">
        <v>206</v>
      </c>
      <c r="K40" t="s">
        <v>207</v>
      </c>
      <c r="M40" t="s">
        <v>131</v>
      </c>
      <c r="O40" t="s">
        <v>77</v>
      </c>
      <c r="P40" t="s">
        <v>78</v>
      </c>
      <c r="Q40" t="s">
        <v>328</v>
      </c>
      <c r="R40" t="s">
        <v>208</v>
      </c>
      <c r="S40" t="s">
        <v>209</v>
      </c>
      <c r="T40" t="s">
        <v>210</v>
      </c>
      <c r="U40" s="1">
        <v>46078.654317129629</v>
      </c>
      <c r="V40" t="s">
        <v>54</v>
      </c>
      <c r="W40" t="s">
        <v>55</v>
      </c>
      <c r="X40" t="s">
        <v>211</v>
      </c>
      <c r="Y40" t="s">
        <v>315</v>
      </c>
      <c r="Z40" t="s">
        <v>58</v>
      </c>
      <c r="AA40" t="s">
        <v>54</v>
      </c>
      <c r="AB40" t="s">
        <v>213</v>
      </c>
      <c r="AC40" t="s">
        <v>85</v>
      </c>
      <c r="AD40" t="s">
        <v>214</v>
      </c>
      <c r="AE40" t="s">
        <v>215</v>
      </c>
      <c r="AF40" t="s">
        <v>216</v>
      </c>
      <c r="AG40" t="s">
        <v>58</v>
      </c>
      <c r="AH40">
        <v>6501</v>
      </c>
      <c r="AK40">
        <v>1</v>
      </c>
      <c r="AL40" t="s">
        <v>61</v>
      </c>
      <c r="AM40" t="s">
        <v>329</v>
      </c>
      <c r="AN40" t="s">
        <v>330</v>
      </c>
    </row>
    <row r="41" spans="1:40" x14ac:dyDescent="0.35">
      <c r="A41" t="s">
        <v>37</v>
      </c>
      <c r="B41" t="s">
        <v>331</v>
      </c>
      <c r="C41" t="s">
        <v>102</v>
      </c>
      <c r="D41" t="s">
        <v>181</v>
      </c>
      <c r="E41" t="s">
        <v>182</v>
      </c>
      <c r="F41" s="1">
        <v>46078.641932870371</v>
      </c>
      <c r="G41" t="s">
        <v>105</v>
      </c>
      <c r="H41" t="s">
        <v>106</v>
      </c>
      <c r="I41" t="s">
        <v>332</v>
      </c>
      <c r="J41" t="s">
        <v>108</v>
      </c>
      <c r="K41" t="s">
        <v>109</v>
      </c>
      <c r="M41" t="s">
        <v>150</v>
      </c>
      <c r="O41" t="s">
        <v>77</v>
      </c>
      <c r="P41" t="s">
        <v>78</v>
      </c>
      <c r="Q41" t="s">
        <v>50</v>
      </c>
      <c r="R41" t="s">
        <v>111</v>
      </c>
      <c r="S41" t="s">
        <v>51</v>
      </c>
      <c r="T41" t="s">
        <v>112</v>
      </c>
      <c r="U41" s="1">
        <v>46078.702025462961</v>
      </c>
      <c r="V41" t="s">
        <v>54</v>
      </c>
      <c r="W41" t="s">
        <v>55</v>
      </c>
      <c r="X41" t="s">
        <v>82</v>
      </c>
      <c r="Y41" t="s">
        <v>333</v>
      </c>
      <c r="Z41" t="s">
        <v>58</v>
      </c>
      <c r="AA41" t="s">
        <v>54</v>
      </c>
      <c r="AB41" t="s">
        <v>115</v>
      </c>
      <c r="AC41" t="s">
        <v>85</v>
      </c>
      <c r="AD41" t="s">
        <v>116</v>
      </c>
      <c r="AE41" t="s">
        <v>334</v>
      </c>
      <c r="AF41" t="s">
        <v>335</v>
      </c>
      <c r="AG41" t="s">
        <v>58</v>
      </c>
      <c r="AH41" t="s">
        <v>185</v>
      </c>
      <c r="AK41">
        <v>1</v>
      </c>
      <c r="AL41" t="s">
        <v>61</v>
      </c>
      <c r="AM41" t="s">
        <v>186</v>
      </c>
      <c r="AN41" t="s">
        <v>187</v>
      </c>
    </row>
    <row r="42" spans="1:40" x14ac:dyDescent="0.35">
      <c r="A42" t="s">
        <v>37</v>
      </c>
      <c r="B42" t="s">
        <v>336</v>
      </c>
      <c r="C42" t="s">
        <v>102</v>
      </c>
      <c r="D42" t="s">
        <v>191</v>
      </c>
      <c r="E42" t="s">
        <v>192</v>
      </c>
      <c r="F42" s="1">
        <v>46078.626585648148</v>
      </c>
      <c r="G42" t="s">
        <v>71</v>
      </c>
      <c r="H42" t="s">
        <v>72</v>
      </c>
      <c r="I42" t="s">
        <v>337</v>
      </c>
      <c r="J42" t="s">
        <v>194</v>
      </c>
      <c r="K42" t="s">
        <v>130</v>
      </c>
      <c r="M42" t="s">
        <v>131</v>
      </c>
      <c r="O42" t="s">
        <v>77</v>
      </c>
      <c r="P42" t="s">
        <v>78</v>
      </c>
      <c r="Q42" t="s">
        <v>50</v>
      </c>
      <c r="R42" t="s">
        <v>51</v>
      </c>
      <c r="S42" t="s">
        <v>52</v>
      </c>
      <c r="T42" t="s">
        <v>195</v>
      </c>
      <c r="U42" s="1">
        <v>46078.97797453704</v>
      </c>
      <c r="V42" t="s">
        <v>54</v>
      </c>
      <c r="W42" t="s">
        <v>55</v>
      </c>
      <c r="X42" t="s">
        <v>134</v>
      </c>
      <c r="Y42" t="s">
        <v>338</v>
      </c>
      <c r="Z42" t="s">
        <v>58</v>
      </c>
      <c r="AA42" t="s">
        <v>54</v>
      </c>
      <c r="AB42" t="s">
        <v>198</v>
      </c>
      <c r="AC42" t="s">
        <v>85</v>
      </c>
      <c r="AD42" t="s">
        <v>51</v>
      </c>
      <c r="AE42" t="s">
        <v>52</v>
      </c>
      <c r="AF42" t="s">
        <v>195</v>
      </c>
      <c r="AG42" t="s">
        <v>58</v>
      </c>
      <c r="AH42" t="s">
        <v>199</v>
      </c>
      <c r="AK42">
        <v>1</v>
      </c>
      <c r="AL42" t="s">
        <v>61</v>
      </c>
      <c r="AM42" t="s">
        <v>198</v>
      </c>
      <c r="AN42" t="s">
        <v>200</v>
      </c>
    </row>
    <row r="43" spans="1:40" x14ac:dyDescent="0.35">
      <c r="A43" t="s">
        <v>37</v>
      </c>
      <c r="B43" t="s">
        <v>339</v>
      </c>
      <c r="C43" t="s">
        <v>102</v>
      </c>
      <c r="D43" t="s">
        <v>181</v>
      </c>
      <c r="E43" t="s">
        <v>182</v>
      </c>
      <c r="F43" s="1">
        <v>46078.621608796297</v>
      </c>
      <c r="G43" t="s">
        <v>105</v>
      </c>
      <c r="H43" t="s">
        <v>106</v>
      </c>
      <c r="I43" t="s">
        <v>340</v>
      </c>
      <c r="J43" t="s">
        <v>108</v>
      </c>
      <c r="K43" t="s">
        <v>341</v>
      </c>
      <c r="M43" t="s">
        <v>76</v>
      </c>
      <c r="O43" t="s">
        <v>77</v>
      </c>
      <c r="P43" t="s">
        <v>78</v>
      </c>
      <c r="Q43" t="s">
        <v>50</v>
      </c>
      <c r="R43" t="s">
        <v>111</v>
      </c>
      <c r="S43" t="s">
        <v>51</v>
      </c>
      <c r="T43" t="s">
        <v>112</v>
      </c>
      <c r="U43" s="1">
        <v>46078.703460648147</v>
      </c>
      <c r="V43" t="s">
        <v>54</v>
      </c>
      <c r="X43" t="s">
        <v>134</v>
      </c>
      <c r="Y43" t="s">
        <v>342</v>
      </c>
      <c r="Z43" t="s">
        <v>58</v>
      </c>
      <c r="AA43" t="s">
        <v>54</v>
      </c>
      <c r="AB43" t="s">
        <v>115</v>
      </c>
      <c r="AC43" t="s">
        <v>85</v>
      </c>
      <c r="AD43" t="s">
        <v>116</v>
      </c>
      <c r="AE43" t="s">
        <v>117</v>
      </c>
      <c r="AF43" t="s">
        <v>343</v>
      </c>
      <c r="AG43" t="s">
        <v>58</v>
      </c>
      <c r="AH43" t="s">
        <v>185</v>
      </c>
      <c r="AK43">
        <v>1</v>
      </c>
      <c r="AL43" t="s">
        <v>61</v>
      </c>
      <c r="AM43" t="s">
        <v>186</v>
      </c>
      <c r="AN43" t="s">
        <v>187</v>
      </c>
    </row>
    <row r="44" spans="1:40" x14ac:dyDescent="0.35">
      <c r="A44" t="s">
        <v>37</v>
      </c>
      <c r="B44" t="s">
        <v>344</v>
      </c>
      <c r="C44" t="s">
        <v>39</v>
      </c>
      <c r="D44" t="s">
        <v>345</v>
      </c>
      <c r="E44" t="s">
        <v>346</v>
      </c>
      <c r="F44" s="1">
        <v>46078.59648148148</v>
      </c>
      <c r="G44" t="s">
        <v>327</v>
      </c>
      <c r="H44" t="s">
        <v>72</v>
      </c>
      <c r="I44" t="s">
        <v>205</v>
      </c>
      <c r="J44" t="s">
        <v>206</v>
      </c>
      <c r="K44" t="s">
        <v>207</v>
      </c>
      <c r="M44" t="s">
        <v>131</v>
      </c>
      <c r="O44" t="s">
        <v>77</v>
      </c>
      <c r="P44" t="s">
        <v>78</v>
      </c>
      <c r="Q44" t="s">
        <v>50</v>
      </c>
      <c r="R44" t="s">
        <v>208</v>
      </c>
      <c r="S44" t="s">
        <v>209</v>
      </c>
      <c r="T44" t="s">
        <v>210</v>
      </c>
      <c r="U44" s="1">
        <v>46078.644768518519</v>
      </c>
      <c r="V44" t="s">
        <v>54</v>
      </c>
      <c r="W44" t="s">
        <v>55</v>
      </c>
      <c r="X44" t="s">
        <v>211</v>
      </c>
      <c r="Y44" t="s">
        <v>212</v>
      </c>
      <c r="Z44" t="s">
        <v>58</v>
      </c>
      <c r="AA44" t="s">
        <v>54</v>
      </c>
      <c r="AB44" t="s">
        <v>213</v>
      </c>
      <c r="AC44" t="s">
        <v>85</v>
      </c>
      <c r="AD44" t="s">
        <v>214</v>
      </c>
      <c r="AE44" t="s">
        <v>215</v>
      </c>
      <c r="AF44" t="s">
        <v>216</v>
      </c>
      <c r="AG44" t="s">
        <v>58</v>
      </c>
      <c r="AH44">
        <v>15237</v>
      </c>
      <c r="AK44">
        <v>1</v>
      </c>
      <c r="AL44" t="s">
        <v>61</v>
      </c>
      <c r="AM44" t="s">
        <v>347</v>
      </c>
      <c r="AN44" t="s">
        <v>348</v>
      </c>
    </row>
    <row r="45" spans="1:40" x14ac:dyDescent="0.35">
      <c r="A45" t="s">
        <v>37</v>
      </c>
      <c r="B45" t="s">
        <v>349</v>
      </c>
      <c r="C45" t="s">
        <v>39</v>
      </c>
      <c r="D45" t="s">
        <v>40</v>
      </c>
      <c r="E45" t="s">
        <v>41</v>
      </c>
      <c r="F45" s="1">
        <v>46078.59233796296</v>
      </c>
      <c r="G45" t="s">
        <v>42</v>
      </c>
      <c r="H45" t="s">
        <v>43</v>
      </c>
      <c r="I45" t="s">
        <v>350</v>
      </c>
      <c r="J45" t="s">
        <v>45</v>
      </c>
      <c r="K45" t="s">
        <v>46</v>
      </c>
      <c r="M45" t="s">
        <v>47</v>
      </c>
      <c r="O45" t="s">
        <v>48</v>
      </c>
      <c r="P45" t="s">
        <v>49</v>
      </c>
      <c r="Q45" t="s">
        <v>50</v>
      </c>
      <c r="R45" t="s">
        <v>51</v>
      </c>
      <c r="S45" t="s">
        <v>52</v>
      </c>
      <c r="T45" t="s">
        <v>53</v>
      </c>
      <c r="U45" s="1">
        <v>46078.593599537038</v>
      </c>
      <c r="V45" t="s">
        <v>54</v>
      </c>
      <c r="W45" t="s">
        <v>55</v>
      </c>
      <c r="X45" t="s">
        <v>56</v>
      </c>
      <c r="Y45" t="s">
        <v>65</v>
      </c>
      <c r="Z45" t="s">
        <v>58</v>
      </c>
      <c r="AA45" t="s">
        <v>54</v>
      </c>
      <c r="AB45" t="s">
        <v>59</v>
      </c>
      <c r="AC45" t="s">
        <v>60</v>
      </c>
      <c r="AD45" t="s">
        <v>51</v>
      </c>
      <c r="AE45" t="s">
        <v>52</v>
      </c>
      <c r="AF45" t="s">
        <v>53</v>
      </c>
      <c r="AG45" t="s">
        <v>58</v>
      </c>
      <c r="AK45">
        <v>0</v>
      </c>
      <c r="AL45" t="s">
        <v>61</v>
      </c>
      <c r="AM45" t="s">
        <v>59</v>
      </c>
      <c r="AN45" t="s">
        <v>62</v>
      </c>
    </row>
    <row r="46" spans="1:40" x14ac:dyDescent="0.35">
      <c r="A46" t="s">
        <v>37</v>
      </c>
      <c r="B46" t="s">
        <v>351</v>
      </c>
      <c r="C46" t="s">
        <v>352</v>
      </c>
      <c r="D46" t="s">
        <v>353</v>
      </c>
      <c r="E46" t="s">
        <v>354</v>
      </c>
      <c r="F46" s="1">
        <v>46078.594143518516</v>
      </c>
      <c r="G46" t="s">
        <v>355</v>
      </c>
      <c r="H46" t="s">
        <v>356</v>
      </c>
      <c r="I46" t="s">
        <v>357</v>
      </c>
      <c r="J46" t="s">
        <v>358</v>
      </c>
      <c r="K46" t="s">
        <v>359</v>
      </c>
      <c r="M46" t="s">
        <v>131</v>
      </c>
      <c r="O46" t="s">
        <v>77</v>
      </c>
      <c r="P46" t="s">
        <v>78</v>
      </c>
      <c r="Q46" t="s">
        <v>50</v>
      </c>
      <c r="R46" t="s">
        <v>51</v>
      </c>
      <c r="S46" t="s">
        <v>52</v>
      </c>
      <c r="T46" t="s">
        <v>53</v>
      </c>
      <c r="U46" s="1">
        <v>46078.603495370371</v>
      </c>
      <c r="V46" t="s">
        <v>54</v>
      </c>
      <c r="W46" t="s">
        <v>55</v>
      </c>
      <c r="X46" t="s">
        <v>134</v>
      </c>
      <c r="Y46" t="s">
        <v>360</v>
      </c>
      <c r="Z46" t="s">
        <v>58</v>
      </c>
      <c r="AA46" t="s">
        <v>54</v>
      </c>
      <c r="AB46" t="s">
        <v>361</v>
      </c>
      <c r="AC46" t="s">
        <v>85</v>
      </c>
      <c r="AD46" t="s">
        <v>52</v>
      </c>
      <c r="AE46" t="s">
        <v>362</v>
      </c>
      <c r="AF46" t="s">
        <v>363</v>
      </c>
      <c r="AG46" t="s">
        <v>58</v>
      </c>
      <c r="AH46" t="s">
        <v>364</v>
      </c>
      <c r="AK46">
        <v>1</v>
      </c>
      <c r="AL46" t="s">
        <v>61</v>
      </c>
      <c r="AM46" t="s">
        <v>365</v>
      </c>
      <c r="AN46" t="s">
        <v>366</v>
      </c>
    </row>
    <row r="47" spans="1:40" x14ac:dyDescent="0.35">
      <c r="A47" t="s">
        <v>37</v>
      </c>
      <c r="B47" t="s">
        <v>367</v>
      </c>
      <c r="C47" t="s">
        <v>39</v>
      </c>
      <c r="D47" t="s">
        <v>368</v>
      </c>
      <c r="E47" t="s">
        <v>369</v>
      </c>
      <c r="F47" s="1">
        <v>46078.588773148149</v>
      </c>
      <c r="G47" t="s">
        <v>370</v>
      </c>
      <c r="H47" t="s">
        <v>371</v>
      </c>
      <c r="I47" t="s">
        <v>205</v>
      </c>
      <c r="J47" t="s">
        <v>206</v>
      </c>
      <c r="K47" t="s">
        <v>207</v>
      </c>
      <c r="M47" t="s">
        <v>131</v>
      </c>
      <c r="O47" t="s">
        <v>77</v>
      </c>
      <c r="P47" t="s">
        <v>78</v>
      </c>
      <c r="Q47" t="s">
        <v>50</v>
      </c>
      <c r="R47" t="s">
        <v>208</v>
      </c>
      <c r="S47" t="s">
        <v>209</v>
      </c>
      <c r="T47" t="s">
        <v>210</v>
      </c>
      <c r="U47" s="1">
        <v>46078.645011574074</v>
      </c>
      <c r="V47" t="s">
        <v>54</v>
      </c>
      <c r="W47" t="s">
        <v>55</v>
      </c>
      <c r="X47" t="s">
        <v>211</v>
      </c>
      <c r="Y47" t="s">
        <v>212</v>
      </c>
      <c r="Z47" t="s">
        <v>58</v>
      </c>
      <c r="AA47" t="s">
        <v>54</v>
      </c>
      <c r="AB47" t="s">
        <v>213</v>
      </c>
      <c r="AC47" t="s">
        <v>85</v>
      </c>
      <c r="AD47" t="s">
        <v>214</v>
      </c>
      <c r="AE47" t="s">
        <v>215</v>
      </c>
      <c r="AF47" t="s">
        <v>216</v>
      </c>
      <c r="AG47" t="s">
        <v>58</v>
      </c>
      <c r="AH47">
        <v>15799</v>
      </c>
      <c r="AK47">
        <v>1</v>
      </c>
      <c r="AL47" t="s">
        <v>61</v>
      </c>
      <c r="AM47" t="s">
        <v>372</v>
      </c>
      <c r="AN47" t="s">
        <v>373</v>
      </c>
    </row>
    <row r="48" spans="1:40" x14ac:dyDescent="0.35">
      <c r="A48" t="s">
        <v>37</v>
      </c>
      <c r="B48" t="s">
        <v>374</v>
      </c>
      <c r="C48" t="s">
        <v>39</v>
      </c>
      <c r="D48" t="s">
        <v>375</v>
      </c>
      <c r="E48" t="s">
        <v>376</v>
      </c>
      <c r="F48" s="1">
        <v>46078.587395833332</v>
      </c>
      <c r="G48" t="s">
        <v>377</v>
      </c>
      <c r="H48" t="s">
        <v>287</v>
      </c>
      <c r="I48" t="s">
        <v>205</v>
      </c>
      <c r="J48" t="s">
        <v>206</v>
      </c>
      <c r="K48" t="s">
        <v>207</v>
      </c>
      <c r="M48" t="s">
        <v>131</v>
      </c>
      <c r="O48" t="s">
        <v>77</v>
      </c>
      <c r="P48" t="s">
        <v>78</v>
      </c>
      <c r="Q48" t="s">
        <v>50</v>
      </c>
      <c r="R48" t="s">
        <v>208</v>
      </c>
      <c r="S48" t="s">
        <v>209</v>
      </c>
      <c r="T48" t="s">
        <v>210</v>
      </c>
      <c r="U48" s="1">
        <v>46078.645231481481</v>
      </c>
      <c r="V48" t="s">
        <v>54</v>
      </c>
      <c r="W48" t="s">
        <v>55</v>
      </c>
      <c r="X48" t="s">
        <v>211</v>
      </c>
      <c r="Y48" t="s">
        <v>212</v>
      </c>
      <c r="Z48" t="s">
        <v>58</v>
      </c>
      <c r="AA48" t="s">
        <v>54</v>
      </c>
      <c r="AB48" t="s">
        <v>213</v>
      </c>
      <c r="AC48" t="s">
        <v>85</v>
      </c>
      <c r="AD48" t="s">
        <v>214</v>
      </c>
      <c r="AE48" t="s">
        <v>215</v>
      </c>
      <c r="AF48" t="s">
        <v>216</v>
      </c>
      <c r="AG48" t="s">
        <v>58</v>
      </c>
      <c r="AH48">
        <v>12842</v>
      </c>
      <c r="AK48">
        <v>1</v>
      </c>
      <c r="AL48" t="s">
        <v>61</v>
      </c>
      <c r="AM48" t="s">
        <v>378</v>
      </c>
      <c r="AN48" t="s">
        <v>379</v>
      </c>
    </row>
    <row r="49" spans="1:40" x14ac:dyDescent="0.35">
      <c r="A49" t="s">
        <v>37</v>
      </c>
      <c r="B49" t="s">
        <v>380</v>
      </c>
      <c r="C49" t="s">
        <v>39</v>
      </c>
      <c r="D49" t="s">
        <v>40</v>
      </c>
      <c r="E49" t="s">
        <v>41</v>
      </c>
      <c r="F49" s="1">
        <v>46078.586319444446</v>
      </c>
      <c r="G49" t="s">
        <v>42</v>
      </c>
      <c r="H49" t="s">
        <v>43</v>
      </c>
      <c r="I49" t="s">
        <v>381</v>
      </c>
      <c r="J49" t="s">
        <v>45</v>
      </c>
      <c r="K49" t="s">
        <v>46</v>
      </c>
      <c r="M49" t="s">
        <v>47</v>
      </c>
      <c r="O49" t="s">
        <v>48</v>
      </c>
      <c r="P49" t="s">
        <v>49</v>
      </c>
      <c r="Q49" t="s">
        <v>50</v>
      </c>
      <c r="R49" t="s">
        <v>51</v>
      </c>
      <c r="S49" t="s">
        <v>52</v>
      </c>
      <c r="T49" t="s">
        <v>53</v>
      </c>
      <c r="U49" s="1">
        <v>46078.587222222224</v>
      </c>
      <c r="V49" t="s">
        <v>54</v>
      </c>
      <c r="W49" t="s">
        <v>55</v>
      </c>
      <c r="X49" t="s">
        <v>56</v>
      </c>
      <c r="Y49" t="s">
        <v>57</v>
      </c>
      <c r="Z49" t="s">
        <v>58</v>
      </c>
      <c r="AA49" t="s">
        <v>54</v>
      </c>
      <c r="AB49" t="s">
        <v>59</v>
      </c>
      <c r="AC49" t="s">
        <v>60</v>
      </c>
      <c r="AD49" t="s">
        <v>51</v>
      </c>
      <c r="AE49" t="s">
        <v>52</v>
      </c>
      <c r="AF49" t="s">
        <v>53</v>
      </c>
      <c r="AG49" t="s">
        <v>58</v>
      </c>
      <c r="AK49">
        <v>0</v>
      </c>
      <c r="AL49" t="s">
        <v>61</v>
      </c>
      <c r="AM49" t="s">
        <v>59</v>
      </c>
      <c r="AN49" t="s">
        <v>62</v>
      </c>
    </row>
    <row r="50" spans="1:40" x14ac:dyDescent="0.35">
      <c r="A50" t="s">
        <v>37</v>
      </c>
      <c r="B50" t="s">
        <v>382</v>
      </c>
      <c r="C50" t="s">
        <v>352</v>
      </c>
      <c r="D50" t="s">
        <v>383</v>
      </c>
      <c r="E50" t="s">
        <v>384</v>
      </c>
      <c r="F50" s="1">
        <v>46078.582962962966</v>
      </c>
      <c r="G50" t="s">
        <v>355</v>
      </c>
      <c r="H50" t="s">
        <v>356</v>
      </c>
      <c r="I50" t="s">
        <v>385</v>
      </c>
      <c r="J50" t="s">
        <v>358</v>
      </c>
      <c r="K50" t="s">
        <v>359</v>
      </c>
      <c r="M50" t="s">
        <v>131</v>
      </c>
      <c r="O50" t="s">
        <v>77</v>
      </c>
      <c r="P50" t="s">
        <v>78</v>
      </c>
      <c r="Q50" t="s">
        <v>50</v>
      </c>
      <c r="R50" t="s">
        <v>51</v>
      </c>
      <c r="S50" t="s">
        <v>52</v>
      </c>
      <c r="T50" t="s">
        <v>53</v>
      </c>
      <c r="U50" s="1">
        <v>46078.589039351849</v>
      </c>
      <c r="V50" t="s">
        <v>54</v>
      </c>
      <c r="W50" t="s">
        <v>55</v>
      </c>
      <c r="X50" t="s">
        <v>134</v>
      </c>
      <c r="Y50" t="s">
        <v>386</v>
      </c>
      <c r="Z50" t="s">
        <v>58</v>
      </c>
      <c r="AA50" t="s">
        <v>54</v>
      </c>
      <c r="AB50" t="s">
        <v>361</v>
      </c>
      <c r="AC50" t="s">
        <v>85</v>
      </c>
      <c r="AD50" t="s">
        <v>52</v>
      </c>
      <c r="AE50" t="s">
        <v>362</v>
      </c>
      <c r="AF50" t="s">
        <v>363</v>
      </c>
      <c r="AG50" t="s">
        <v>58</v>
      </c>
      <c r="AH50" t="s">
        <v>387</v>
      </c>
      <c r="AK50">
        <v>1</v>
      </c>
      <c r="AL50" t="s">
        <v>61</v>
      </c>
      <c r="AM50" t="s">
        <v>388</v>
      </c>
      <c r="AN50" t="s">
        <v>389</v>
      </c>
    </row>
    <row r="51" spans="1:40" x14ac:dyDescent="0.35">
      <c r="A51" t="s">
        <v>37</v>
      </c>
      <c r="B51" t="s">
        <v>390</v>
      </c>
      <c r="C51" t="s">
        <v>39</v>
      </c>
      <c r="D51" t="s">
        <v>391</v>
      </c>
      <c r="E51" t="s">
        <v>392</v>
      </c>
      <c r="F51" s="1">
        <v>46078.581655092596</v>
      </c>
      <c r="G51" t="s">
        <v>393</v>
      </c>
      <c r="H51" t="s">
        <v>92</v>
      </c>
      <c r="I51" t="s">
        <v>171</v>
      </c>
      <c r="J51" t="s">
        <v>394</v>
      </c>
      <c r="K51" t="s">
        <v>75</v>
      </c>
      <c r="M51" t="s">
        <v>76</v>
      </c>
      <c r="O51" t="s">
        <v>77</v>
      </c>
      <c r="P51" t="s">
        <v>78</v>
      </c>
      <c r="Q51" t="s">
        <v>50</v>
      </c>
      <c r="R51" t="s">
        <v>79</v>
      </c>
      <c r="S51" t="s">
        <v>172</v>
      </c>
      <c r="T51" t="s">
        <v>173</v>
      </c>
      <c r="U51" s="1">
        <v>46078.581956018519</v>
      </c>
      <c r="V51" t="s">
        <v>54</v>
      </c>
      <c r="W51" t="s">
        <v>55</v>
      </c>
      <c r="X51" t="s">
        <v>82</v>
      </c>
      <c r="Y51" t="s">
        <v>395</v>
      </c>
      <c r="Z51" t="s">
        <v>58</v>
      </c>
      <c r="AA51" t="s">
        <v>54</v>
      </c>
      <c r="AB51" t="s">
        <v>396</v>
      </c>
      <c r="AC51" t="s">
        <v>85</v>
      </c>
      <c r="AD51" t="s">
        <v>79</v>
      </c>
      <c r="AE51" t="s">
        <v>172</v>
      </c>
      <c r="AF51" t="s">
        <v>173</v>
      </c>
      <c r="AG51" t="s">
        <v>58</v>
      </c>
      <c r="AH51">
        <v>15885</v>
      </c>
      <c r="AK51">
        <v>0</v>
      </c>
      <c r="AL51" t="s">
        <v>61</v>
      </c>
      <c r="AM51" t="s">
        <v>397</v>
      </c>
      <c r="AN51" t="s">
        <v>398</v>
      </c>
    </row>
    <row r="52" spans="1:40" x14ac:dyDescent="0.35">
      <c r="A52" t="s">
        <v>37</v>
      </c>
      <c r="B52" t="s">
        <v>399</v>
      </c>
      <c r="C52" t="s">
        <v>39</v>
      </c>
      <c r="D52" t="s">
        <v>400</v>
      </c>
      <c r="E52" t="s">
        <v>401</v>
      </c>
      <c r="F52" s="1">
        <v>46078.577905092592</v>
      </c>
      <c r="G52" t="s">
        <v>402</v>
      </c>
      <c r="H52" t="s">
        <v>72</v>
      </c>
      <c r="I52" t="s">
        <v>403</v>
      </c>
      <c r="J52" t="s">
        <v>404</v>
      </c>
      <c r="K52" t="s">
        <v>405</v>
      </c>
      <c r="M52" t="s">
        <v>76</v>
      </c>
      <c r="O52" t="s">
        <v>77</v>
      </c>
      <c r="P52" t="s">
        <v>78</v>
      </c>
      <c r="Q52" t="s">
        <v>406</v>
      </c>
      <c r="R52" t="s">
        <v>51</v>
      </c>
      <c r="S52" t="s">
        <v>52</v>
      </c>
      <c r="T52" t="s">
        <v>240</v>
      </c>
      <c r="U52" s="1">
        <v>46078.585115740738</v>
      </c>
      <c r="V52" t="s">
        <v>54</v>
      </c>
      <c r="W52" t="s">
        <v>55</v>
      </c>
      <c r="X52" t="s">
        <v>134</v>
      </c>
      <c r="Y52" t="s">
        <v>407</v>
      </c>
      <c r="Z52" t="s">
        <v>58</v>
      </c>
      <c r="AA52" t="s">
        <v>54</v>
      </c>
      <c r="AB52" t="s">
        <v>408</v>
      </c>
      <c r="AC52" t="s">
        <v>85</v>
      </c>
      <c r="AD52" t="s">
        <v>52</v>
      </c>
      <c r="AE52" t="s">
        <v>243</v>
      </c>
      <c r="AF52" t="s">
        <v>409</v>
      </c>
      <c r="AG52" t="s">
        <v>58</v>
      </c>
      <c r="AH52">
        <v>3008</v>
      </c>
      <c r="AK52">
        <v>1</v>
      </c>
      <c r="AL52" t="s">
        <v>410</v>
      </c>
      <c r="AM52" t="s">
        <v>411</v>
      </c>
      <c r="AN52" t="s">
        <v>412</v>
      </c>
    </row>
    <row r="53" spans="1:40" x14ac:dyDescent="0.35">
      <c r="A53" t="s">
        <v>37</v>
      </c>
      <c r="B53" t="s">
        <v>413</v>
      </c>
      <c r="C53" t="s">
        <v>352</v>
      </c>
      <c r="D53" t="s">
        <v>414</v>
      </c>
      <c r="E53" t="s">
        <v>415</v>
      </c>
      <c r="F53" s="1">
        <v>46078.577881944446</v>
      </c>
      <c r="G53" t="s">
        <v>355</v>
      </c>
      <c r="H53" t="s">
        <v>356</v>
      </c>
      <c r="I53" t="s">
        <v>416</v>
      </c>
      <c r="J53" t="s">
        <v>358</v>
      </c>
      <c r="K53" t="s">
        <v>359</v>
      </c>
      <c r="M53" t="s">
        <v>131</v>
      </c>
      <c r="O53" t="s">
        <v>77</v>
      </c>
      <c r="P53" t="s">
        <v>78</v>
      </c>
      <c r="Q53" t="s">
        <v>50</v>
      </c>
      <c r="R53" t="s">
        <v>51</v>
      </c>
      <c r="S53" t="s">
        <v>52</v>
      </c>
      <c r="T53" t="s">
        <v>53</v>
      </c>
      <c r="U53" s="1">
        <v>46078.578657407408</v>
      </c>
      <c r="V53" t="s">
        <v>54</v>
      </c>
      <c r="W53" t="s">
        <v>55</v>
      </c>
      <c r="X53" t="s">
        <v>134</v>
      </c>
      <c r="Y53" t="s">
        <v>417</v>
      </c>
      <c r="Z53" t="s">
        <v>58</v>
      </c>
      <c r="AA53" t="s">
        <v>54</v>
      </c>
      <c r="AB53" t="s">
        <v>361</v>
      </c>
      <c r="AC53" t="s">
        <v>85</v>
      </c>
      <c r="AD53" t="s">
        <v>52</v>
      </c>
      <c r="AE53" t="s">
        <v>362</v>
      </c>
      <c r="AF53" t="s">
        <v>363</v>
      </c>
      <c r="AG53" t="s">
        <v>58</v>
      </c>
      <c r="AH53" t="s">
        <v>418</v>
      </c>
      <c r="AK53">
        <v>1</v>
      </c>
      <c r="AL53" t="s">
        <v>61</v>
      </c>
      <c r="AM53" t="s">
        <v>419</v>
      </c>
      <c r="AN53" t="s">
        <v>420</v>
      </c>
    </row>
    <row r="54" spans="1:40" x14ac:dyDescent="0.35">
      <c r="A54" t="s">
        <v>37</v>
      </c>
      <c r="B54" t="s">
        <v>421</v>
      </c>
      <c r="C54" t="s">
        <v>352</v>
      </c>
      <c r="D54" t="s">
        <v>422</v>
      </c>
      <c r="E54" t="s">
        <v>423</v>
      </c>
      <c r="F54" s="1">
        <v>46078.574641203704</v>
      </c>
      <c r="G54" t="s">
        <v>355</v>
      </c>
      <c r="H54" t="s">
        <v>356</v>
      </c>
      <c r="I54" t="s">
        <v>424</v>
      </c>
      <c r="J54" t="s">
        <v>358</v>
      </c>
      <c r="K54" t="s">
        <v>359</v>
      </c>
      <c r="M54" t="s">
        <v>131</v>
      </c>
      <c r="O54" t="s">
        <v>77</v>
      </c>
      <c r="P54" t="s">
        <v>78</v>
      </c>
      <c r="Q54" t="s">
        <v>50</v>
      </c>
      <c r="R54" t="s">
        <v>51</v>
      </c>
      <c r="S54" t="s">
        <v>52</v>
      </c>
      <c r="T54" t="s">
        <v>53</v>
      </c>
      <c r="U54" s="1">
        <v>46078.588761574072</v>
      </c>
      <c r="V54" t="s">
        <v>54</v>
      </c>
      <c r="W54" t="s">
        <v>55</v>
      </c>
      <c r="X54" t="s">
        <v>134</v>
      </c>
      <c r="Y54" t="s">
        <v>425</v>
      </c>
      <c r="Z54" t="s">
        <v>58</v>
      </c>
      <c r="AA54" t="s">
        <v>54</v>
      </c>
      <c r="AB54" t="s">
        <v>361</v>
      </c>
      <c r="AC54" t="s">
        <v>85</v>
      </c>
      <c r="AD54" t="s">
        <v>52</v>
      </c>
      <c r="AE54" t="s">
        <v>362</v>
      </c>
      <c r="AF54" t="s">
        <v>363</v>
      </c>
      <c r="AG54" t="s">
        <v>58</v>
      </c>
      <c r="AH54" t="s">
        <v>426</v>
      </c>
      <c r="AK54">
        <v>1</v>
      </c>
      <c r="AL54" t="s">
        <v>61</v>
      </c>
      <c r="AM54" t="s">
        <v>427</v>
      </c>
      <c r="AN54" t="s">
        <v>428</v>
      </c>
    </row>
    <row r="55" spans="1:40" x14ac:dyDescent="0.35">
      <c r="A55" t="s">
        <v>37</v>
      </c>
      <c r="B55" t="s">
        <v>429</v>
      </c>
      <c r="C55" t="s">
        <v>39</v>
      </c>
      <c r="D55" t="s">
        <v>430</v>
      </c>
      <c r="E55" t="s">
        <v>431</v>
      </c>
      <c r="F55" s="1">
        <v>46078.575682870367</v>
      </c>
      <c r="G55" t="s">
        <v>432</v>
      </c>
      <c r="H55" t="s">
        <v>433</v>
      </c>
      <c r="I55" t="s">
        <v>434</v>
      </c>
      <c r="J55" t="s">
        <v>435</v>
      </c>
      <c r="K55" t="s">
        <v>436</v>
      </c>
      <c r="M55" t="s">
        <v>76</v>
      </c>
      <c r="O55" t="s">
        <v>77</v>
      </c>
      <c r="P55" t="s">
        <v>78</v>
      </c>
      <c r="Q55" t="s">
        <v>50</v>
      </c>
      <c r="R55" t="s">
        <v>51</v>
      </c>
      <c r="S55" t="s">
        <v>52</v>
      </c>
      <c r="T55" t="s">
        <v>240</v>
      </c>
      <c r="U55" s="1">
        <v>46078.637418981481</v>
      </c>
      <c r="V55" t="s">
        <v>54</v>
      </c>
      <c r="W55" t="s">
        <v>55</v>
      </c>
      <c r="X55" t="s">
        <v>134</v>
      </c>
      <c r="Y55" t="s">
        <v>437</v>
      </c>
      <c r="Z55" t="s">
        <v>58</v>
      </c>
      <c r="AA55" t="s">
        <v>54</v>
      </c>
      <c r="AB55" t="s">
        <v>408</v>
      </c>
      <c r="AC55" t="s">
        <v>85</v>
      </c>
      <c r="AD55" t="s">
        <v>52</v>
      </c>
      <c r="AE55" t="s">
        <v>438</v>
      </c>
      <c r="AF55" t="s">
        <v>439</v>
      </c>
      <c r="AG55" t="s">
        <v>58</v>
      </c>
      <c r="AH55" t="s">
        <v>440</v>
      </c>
      <c r="AK55">
        <v>1</v>
      </c>
      <c r="AL55" t="s">
        <v>61</v>
      </c>
      <c r="AM55" t="s">
        <v>441</v>
      </c>
      <c r="AN55" t="s">
        <v>442</v>
      </c>
    </row>
    <row r="56" spans="1:40" x14ac:dyDescent="0.35">
      <c r="A56" t="s">
        <v>37</v>
      </c>
      <c r="B56" t="s">
        <v>443</v>
      </c>
      <c r="C56" t="s">
        <v>39</v>
      </c>
      <c r="D56" t="s">
        <v>444</v>
      </c>
      <c r="E56" t="s">
        <v>445</v>
      </c>
      <c r="F56" s="1">
        <v>46078.569814814815</v>
      </c>
      <c r="G56" t="s">
        <v>446</v>
      </c>
      <c r="H56" t="s">
        <v>447</v>
      </c>
      <c r="I56" t="s">
        <v>205</v>
      </c>
      <c r="J56" t="s">
        <v>206</v>
      </c>
      <c r="K56" t="s">
        <v>207</v>
      </c>
      <c r="M56" t="s">
        <v>131</v>
      </c>
      <c r="O56" t="s">
        <v>77</v>
      </c>
      <c r="P56" t="s">
        <v>78</v>
      </c>
      <c r="Q56" t="s">
        <v>448</v>
      </c>
      <c r="R56" t="s">
        <v>208</v>
      </c>
      <c r="S56" t="s">
        <v>209</v>
      </c>
      <c r="T56" t="s">
        <v>210</v>
      </c>
      <c r="U56" s="1">
        <v>46078.645451388889</v>
      </c>
      <c r="V56" t="s">
        <v>54</v>
      </c>
      <c r="W56" t="s">
        <v>55</v>
      </c>
      <c r="X56" t="s">
        <v>211</v>
      </c>
      <c r="Y56" t="s">
        <v>212</v>
      </c>
      <c r="Z56" t="s">
        <v>58</v>
      </c>
      <c r="AA56" t="s">
        <v>54</v>
      </c>
      <c r="AB56" t="s">
        <v>213</v>
      </c>
      <c r="AC56" t="s">
        <v>85</v>
      </c>
      <c r="AD56" t="s">
        <v>214</v>
      </c>
      <c r="AE56" t="s">
        <v>215</v>
      </c>
      <c r="AF56" t="s">
        <v>216</v>
      </c>
      <c r="AG56" t="s">
        <v>58</v>
      </c>
      <c r="AH56">
        <v>12225</v>
      </c>
      <c r="AK56">
        <v>1</v>
      </c>
      <c r="AL56" t="s">
        <v>61</v>
      </c>
      <c r="AM56" t="s">
        <v>449</v>
      </c>
      <c r="AN56" t="s">
        <v>450</v>
      </c>
    </row>
    <row r="57" spans="1:40" x14ac:dyDescent="0.35">
      <c r="A57" t="s">
        <v>37</v>
      </c>
      <c r="B57" t="s">
        <v>451</v>
      </c>
      <c r="C57" t="s">
        <v>39</v>
      </c>
      <c r="D57" t="s">
        <v>452</v>
      </c>
      <c r="E57" t="s">
        <v>453</v>
      </c>
      <c r="F57" s="1">
        <v>46078.566458333335</v>
      </c>
      <c r="G57" t="s">
        <v>432</v>
      </c>
      <c r="H57" t="s">
        <v>433</v>
      </c>
      <c r="I57" t="s">
        <v>454</v>
      </c>
      <c r="J57" t="s">
        <v>455</v>
      </c>
      <c r="K57" t="s">
        <v>436</v>
      </c>
      <c r="M57" t="s">
        <v>76</v>
      </c>
      <c r="O57" t="s">
        <v>77</v>
      </c>
      <c r="P57" t="s">
        <v>78</v>
      </c>
      <c r="Q57" t="s">
        <v>456</v>
      </c>
      <c r="R57" t="s">
        <v>51</v>
      </c>
      <c r="S57" t="s">
        <v>52</v>
      </c>
      <c r="T57" t="s">
        <v>240</v>
      </c>
      <c r="U57" s="1">
        <v>46078.639861111114</v>
      </c>
      <c r="V57" t="s">
        <v>54</v>
      </c>
      <c r="W57" t="s">
        <v>55</v>
      </c>
      <c r="X57" t="s">
        <v>134</v>
      </c>
      <c r="Y57" t="s">
        <v>457</v>
      </c>
      <c r="Z57" t="s">
        <v>58</v>
      </c>
      <c r="AA57" t="s">
        <v>54</v>
      </c>
      <c r="AB57" t="s">
        <v>458</v>
      </c>
      <c r="AC57" t="s">
        <v>85</v>
      </c>
      <c r="AD57" t="s">
        <v>52</v>
      </c>
      <c r="AE57" t="s">
        <v>438</v>
      </c>
      <c r="AF57" t="s">
        <v>439</v>
      </c>
      <c r="AG57" t="s">
        <v>58</v>
      </c>
      <c r="AH57">
        <v>3693</v>
      </c>
      <c r="AK57">
        <v>1</v>
      </c>
      <c r="AL57" t="s">
        <v>61</v>
      </c>
      <c r="AM57" t="s">
        <v>459</v>
      </c>
      <c r="AN57" t="s">
        <v>460</v>
      </c>
    </row>
    <row r="58" spans="1:40" x14ac:dyDescent="0.35">
      <c r="A58" t="s">
        <v>37</v>
      </c>
      <c r="B58" t="s">
        <v>461</v>
      </c>
      <c r="C58" t="s">
        <v>39</v>
      </c>
      <c r="D58" t="s">
        <v>462</v>
      </c>
      <c r="E58" t="s">
        <v>463</v>
      </c>
      <c r="F58" s="1">
        <v>46078.562951388885</v>
      </c>
      <c r="G58" t="s">
        <v>464</v>
      </c>
      <c r="H58" t="s">
        <v>287</v>
      </c>
      <c r="I58" t="s">
        <v>205</v>
      </c>
      <c r="J58" t="s">
        <v>206</v>
      </c>
      <c r="K58" t="s">
        <v>207</v>
      </c>
      <c r="M58" t="s">
        <v>131</v>
      </c>
      <c r="O58" t="s">
        <v>77</v>
      </c>
      <c r="P58" t="s">
        <v>78</v>
      </c>
      <c r="Q58" t="s">
        <v>465</v>
      </c>
      <c r="R58" t="s">
        <v>208</v>
      </c>
      <c r="S58" t="s">
        <v>209</v>
      </c>
      <c r="T58" t="s">
        <v>210</v>
      </c>
      <c r="U58" s="1">
        <v>46078.654143518521</v>
      </c>
      <c r="V58" t="s">
        <v>54</v>
      </c>
      <c r="W58" t="s">
        <v>55</v>
      </c>
      <c r="X58" t="s">
        <v>211</v>
      </c>
      <c r="Y58" t="s">
        <v>315</v>
      </c>
      <c r="Z58" t="s">
        <v>58</v>
      </c>
      <c r="AA58" t="s">
        <v>54</v>
      </c>
      <c r="AB58" t="s">
        <v>213</v>
      </c>
      <c r="AC58" t="s">
        <v>85</v>
      </c>
      <c r="AD58" t="s">
        <v>214</v>
      </c>
      <c r="AE58" t="s">
        <v>215</v>
      </c>
      <c r="AF58" t="s">
        <v>216</v>
      </c>
      <c r="AG58" t="s">
        <v>58</v>
      </c>
      <c r="AH58">
        <v>3812</v>
      </c>
      <c r="AK58">
        <v>1</v>
      </c>
      <c r="AL58" t="s">
        <v>61</v>
      </c>
      <c r="AM58" t="s">
        <v>466</v>
      </c>
      <c r="AN58" t="s">
        <v>467</v>
      </c>
    </row>
    <row r="59" spans="1:40" x14ac:dyDescent="0.35">
      <c r="A59" t="s">
        <v>37</v>
      </c>
      <c r="B59" t="s">
        <v>468</v>
      </c>
      <c r="C59" t="s">
        <v>39</v>
      </c>
      <c r="D59" t="s">
        <v>469</v>
      </c>
      <c r="E59" t="s">
        <v>470</v>
      </c>
      <c r="F59" s="1">
        <v>46078.559837962966</v>
      </c>
      <c r="G59" t="s">
        <v>446</v>
      </c>
      <c r="H59" t="s">
        <v>447</v>
      </c>
      <c r="I59" t="s">
        <v>205</v>
      </c>
      <c r="J59" t="s">
        <v>206</v>
      </c>
      <c r="K59" t="s">
        <v>207</v>
      </c>
      <c r="M59" t="s">
        <v>131</v>
      </c>
      <c r="O59" t="s">
        <v>77</v>
      </c>
      <c r="P59" t="s">
        <v>78</v>
      </c>
      <c r="Q59" t="s">
        <v>456</v>
      </c>
      <c r="R59" t="s">
        <v>208</v>
      </c>
      <c r="S59" t="s">
        <v>209</v>
      </c>
      <c r="T59" t="s">
        <v>210</v>
      </c>
      <c r="U59" s="1">
        <v>46078.645682870374</v>
      </c>
      <c r="V59" t="s">
        <v>54</v>
      </c>
      <c r="W59" t="s">
        <v>55</v>
      </c>
      <c r="X59" t="s">
        <v>211</v>
      </c>
      <c r="Y59" t="s">
        <v>212</v>
      </c>
      <c r="Z59" t="s">
        <v>58</v>
      </c>
      <c r="AA59" t="s">
        <v>54</v>
      </c>
      <c r="AB59" t="s">
        <v>213</v>
      </c>
      <c r="AC59" t="s">
        <v>85</v>
      </c>
      <c r="AD59" t="s">
        <v>214</v>
      </c>
      <c r="AE59" t="s">
        <v>215</v>
      </c>
      <c r="AF59" t="s">
        <v>216</v>
      </c>
      <c r="AG59" t="s">
        <v>58</v>
      </c>
      <c r="AH59">
        <v>8752</v>
      </c>
      <c r="AK59">
        <v>1</v>
      </c>
      <c r="AL59" t="s">
        <v>61</v>
      </c>
      <c r="AM59" t="s">
        <v>471</v>
      </c>
      <c r="AN59" t="s">
        <v>472</v>
      </c>
    </row>
    <row r="60" spans="1:40" x14ac:dyDescent="0.35">
      <c r="A60" t="s">
        <v>37</v>
      </c>
      <c r="B60" t="s">
        <v>473</v>
      </c>
      <c r="C60" t="s">
        <v>39</v>
      </c>
      <c r="D60" t="s">
        <v>474</v>
      </c>
      <c r="E60" t="s">
        <v>475</v>
      </c>
      <c r="F60" s="1">
        <v>46078.559039351851</v>
      </c>
      <c r="G60" t="s">
        <v>446</v>
      </c>
      <c r="H60" t="s">
        <v>447</v>
      </c>
      <c r="I60" t="s">
        <v>205</v>
      </c>
      <c r="J60" t="s">
        <v>206</v>
      </c>
      <c r="K60" t="s">
        <v>207</v>
      </c>
      <c r="M60" t="s">
        <v>131</v>
      </c>
      <c r="O60" t="s">
        <v>77</v>
      </c>
      <c r="P60" t="s">
        <v>78</v>
      </c>
      <c r="Q60" t="s">
        <v>476</v>
      </c>
      <c r="R60" t="s">
        <v>305</v>
      </c>
      <c r="S60" t="s">
        <v>306</v>
      </c>
      <c r="T60" t="s">
        <v>307</v>
      </c>
      <c r="U60" s="1">
        <v>46078.897499999999</v>
      </c>
      <c r="V60" t="s">
        <v>54</v>
      </c>
      <c r="W60" t="s">
        <v>55</v>
      </c>
      <c r="X60" t="s">
        <v>211</v>
      </c>
      <c r="Y60" t="s">
        <v>477</v>
      </c>
      <c r="Z60" t="s">
        <v>58</v>
      </c>
      <c r="AA60" t="s">
        <v>54</v>
      </c>
      <c r="AB60" t="s">
        <v>213</v>
      </c>
      <c r="AC60" t="s">
        <v>85</v>
      </c>
      <c r="AD60" t="s">
        <v>214</v>
      </c>
      <c r="AE60" t="s">
        <v>215</v>
      </c>
      <c r="AF60" t="s">
        <v>216</v>
      </c>
      <c r="AG60" t="s">
        <v>58</v>
      </c>
      <c r="AH60">
        <v>10994</v>
      </c>
      <c r="AK60">
        <v>3</v>
      </c>
      <c r="AL60" t="s">
        <v>61</v>
      </c>
      <c r="AM60" t="s">
        <v>478</v>
      </c>
      <c r="AN60" t="s">
        <v>479</v>
      </c>
    </row>
    <row r="61" spans="1:40" x14ac:dyDescent="0.35">
      <c r="A61" t="s">
        <v>37</v>
      </c>
      <c r="B61" t="s">
        <v>480</v>
      </c>
      <c r="C61" t="s">
        <v>39</v>
      </c>
      <c r="D61" t="s">
        <v>481</v>
      </c>
      <c r="E61" t="s">
        <v>482</v>
      </c>
      <c r="F61" s="1">
        <v>46078.557199074072</v>
      </c>
      <c r="G61" t="s">
        <v>370</v>
      </c>
      <c r="H61" t="s">
        <v>371</v>
      </c>
      <c r="I61" t="s">
        <v>205</v>
      </c>
      <c r="J61" t="s">
        <v>206</v>
      </c>
      <c r="K61" t="s">
        <v>207</v>
      </c>
      <c r="M61" t="s">
        <v>131</v>
      </c>
      <c r="O61" t="s">
        <v>77</v>
      </c>
      <c r="P61" t="s">
        <v>78</v>
      </c>
      <c r="Q61" t="s">
        <v>50</v>
      </c>
      <c r="R61" t="s">
        <v>208</v>
      </c>
      <c r="S61" t="s">
        <v>209</v>
      </c>
      <c r="T61" t="s">
        <v>210</v>
      </c>
      <c r="U61" s="1">
        <v>46078.64638888889</v>
      </c>
      <c r="V61" t="s">
        <v>54</v>
      </c>
      <c r="W61" t="s">
        <v>55</v>
      </c>
      <c r="X61" t="s">
        <v>211</v>
      </c>
      <c r="Y61" t="s">
        <v>212</v>
      </c>
      <c r="Z61" t="s">
        <v>58</v>
      </c>
      <c r="AA61" t="s">
        <v>54</v>
      </c>
      <c r="AB61" t="s">
        <v>213</v>
      </c>
      <c r="AC61" t="s">
        <v>85</v>
      </c>
      <c r="AD61" t="s">
        <v>214</v>
      </c>
      <c r="AE61" t="s">
        <v>215</v>
      </c>
      <c r="AF61" t="s">
        <v>216</v>
      </c>
      <c r="AG61" t="s">
        <v>58</v>
      </c>
      <c r="AH61">
        <v>15505</v>
      </c>
      <c r="AK61">
        <v>1</v>
      </c>
      <c r="AL61" t="s">
        <v>61</v>
      </c>
      <c r="AM61" t="s">
        <v>483</v>
      </c>
      <c r="AN61" t="s">
        <v>484</v>
      </c>
    </row>
    <row r="62" spans="1:40" x14ac:dyDescent="0.35">
      <c r="A62" t="s">
        <v>37</v>
      </c>
      <c r="B62" t="s">
        <v>485</v>
      </c>
      <c r="C62" t="s">
        <v>39</v>
      </c>
      <c r="D62" t="s">
        <v>220</v>
      </c>
      <c r="E62" t="s">
        <v>486</v>
      </c>
      <c r="F62" s="1">
        <v>46078.556493055556</v>
      </c>
      <c r="G62" t="s">
        <v>487</v>
      </c>
      <c r="H62" t="s">
        <v>447</v>
      </c>
      <c r="I62" t="s">
        <v>205</v>
      </c>
      <c r="J62" t="s">
        <v>206</v>
      </c>
      <c r="K62" t="s">
        <v>207</v>
      </c>
      <c r="M62" t="s">
        <v>131</v>
      </c>
      <c r="O62" t="s">
        <v>77</v>
      </c>
      <c r="P62" t="s">
        <v>78</v>
      </c>
      <c r="R62" t="s">
        <v>208</v>
      </c>
      <c r="S62" t="s">
        <v>209</v>
      </c>
      <c r="T62" t="s">
        <v>210</v>
      </c>
      <c r="U62" s="1">
        <v>46078.646620370368</v>
      </c>
      <c r="V62" t="s">
        <v>54</v>
      </c>
      <c r="W62" t="s">
        <v>55</v>
      </c>
      <c r="X62" t="s">
        <v>211</v>
      </c>
      <c r="Y62" t="s">
        <v>212</v>
      </c>
      <c r="Z62" t="s">
        <v>58</v>
      </c>
      <c r="AA62" t="s">
        <v>54</v>
      </c>
      <c r="AB62" t="s">
        <v>213</v>
      </c>
      <c r="AC62" t="s">
        <v>85</v>
      </c>
      <c r="AD62" t="s">
        <v>214</v>
      </c>
      <c r="AE62" t="s">
        <v>215</v>
      </c>
      <c r="AF62" t="s">
        <v>216</v>
      </c>
      <c r="AG62" t="s">
        <v>58</v>
      </c>
      <c r="AH62">
        <v>14986</v>
      </c>
      <c r="AK62">
        <v>1</v>
      </c>
      <c r="AL62" t="s">
        <v>61</v>
      </c>
      <c r="AM62" t="s">
        <v>488</v>
      </c>
      <c r="AN62" t="s">
        <v>489</v>
      </c>
    </row>
    <row r="63" spans="1:40" x14ac:dyDescent="0.35">
      <c r="A63" t="s">
        <v>37</v>
      </c>
      <c r="B63" t="s">
        <v>490</v>
      </c>
      <c r="C63" t="s">
        <v>102</v>
      </c>
      <c r="D63" t="s">
        <v>181</v>
      </c>
      <c r="E63" t="s">
        <v>182</v>
      </c>
      <c r="F63" s="1">
        <v>46078.556192129632</v>
      </c>
      <c r="G63" t="s">
        <v>105</v>
      </c>
      <c r="H63" t="s">
        <v>106</v>
      </c>
      <c r="I63" t="s">
        <v>491</v>
      </c>
      <c r="J63" t="s">
        <v>108</v>
      </c>
      <c r="K63" t="s">
        <v>109</v>
      </c>
      <c r="M63" t="s">
        <v>76</v>
      </c>
      <c r="O63" t="s">
        <v>77</v>
      </c>
      <c r="P63" t="s">
        <v>78</v>
      </c>
      <c r="Q63" t="s">
        <v>50</v>
      </c>
      <c r="R63" t="s">
        <v>111</v>
      </c>
      <c r="S63" t="s">
        <v>51</v>
      </c>
      <c r="T63" t="s">
        <v>112</v>
      </c>
      <c r="U63" s="1">
        <v>46078.700555555559</v>
      </c>
      <c r="V63" t="s">
        <v>54</v>
      </c>
      <c r="W63" t="s">
        <v>55</v>
      </c>
      <c r="X63" t="s">
        <v>82</v>
      </c>
      <c r="Y63" t="s">
        <v>492</v>
      </c>
      <c r="Z63" t="s">
        <v>58</v>
      </c>
      <c r="AA63" t="s">
        <v>54</v>
      </c>
      <c r="AB63" t="s">
        <v>115</v>
      </c>
      <c r="AC63" t="s">
        <v>85</v>
      </c>
      <c r="AD63" t="s">
        <v>116</v>
      </c>
      <c r="AE63" t="s">
        <v>117</v>
      </c>
      <c r="AF63" t="s">
        <v>493</v>
      </c>
      <c r="AG63" t="s">
        <v>58</v>
      </c>
      <c r="AH63" t="s">
        <v>185</v>
      </c>
      <c r="AK63">
        <v>1</v>
      </c>
      <c r="AL63" t="s">
        <v>61</v>
      </c>
      <c r="AM63" t="s">
        <v>186</v>
      </c>
      <c r="AN63" t="s">
        <v>187</v>
      </c>
    </row>
    <row r="64" spans="1:40" x14ac:dyDescent="0.35">
      <c r="A64" t="s">
        <v>37</v>
      </c>
      <c r="B64" t="s">
        <v>494</v>
      </c>
      <c r="C64" t="s">
        <v>39</v>
      </c>
      <c r="D64" t="s">
        <v>495</v>
      </c>
      <c r="E64" t="s">
        <v>496</v>
      </c>
      <c r="F64" s="1">
        <v>46078.555497685185</v>
      </c>
      <c r="G64" t="s">
        <v>497</v>
      </c>
      <c r="H64" t="s">
        <v>72</v>
      </c>
      <c r="I64" t="s">
        <v>205</v>
      </c>
      <c r="J64" t="s">
        <v>206</v>
      </c>
      <c r="K64" t="s">
        <v>207</v>
      </c>
      <c r="M64" t="s">
        <v>131</v>
      </c>
      <c r="O64" t="s">
        <v>77</v>
      </c>
      <c r="P64" t="s">
        <v>78</v>
      </c>
      <c r="Q64" t="s">
        <v>50</v>
      </c>
      <c r="R64" t="s">
        <v>208</v>
      </c>
      <c r="S64" t="s">
        <v>209</v>
      </c>
      <c r="T64" t="s">
        <v>210</v>
      </c>
      <c r="U64" s="1">
        <v>46078.646805555552</v>
      </c>
      <c r="V64" t="s">
        <v>54</v>
      </c>
      <c r="W64" t="s">
        <v>55</v>
      </c>
      <c r="X64" t="s">
        <v>211</v>
      </c>
      <c r="Y64" t="s">
        <v>212</v>
      </c>
      <c r="Z64" t="s">
        <v>58</v>
      </c>
      <c r="AA64" t="s">
        <v>54</v>
      </c>
      <c r="AB64" t="s">
        <v>213</v>
      </c>
      <c r="AC64" t="s">
        <v>85</v>
      </c>
      <c r="AD64" t="s">
        <v>214</v>
      </c>
      <c r="AE64" t="s">
        <v>215</v>
      </c>
      <c r="AF64" t="s">
        <v>216</v>
      </c>
      <c r="AG64" t="s">
        <v>58</v>
      </c>
      <c r="AH64">
        <v>15627</v>
      </c>
      <c r="AK64">
        <v>1</v>
      </c>
      <c r="AL64" t="s">
        <v>61</v>
      </c>
      <c r="AM64" t="s">
        <v>498</v>
      </c>
      <c r="AN64" t="s">
        <v>499</v>
      </c>
    </row>
    <row r="65" spans="1:40" x14ac:dyDescent="0.35">
      <c r="A65" t="s">
        <v>37</v>
      </c>
      <c r="B65" t="s">
        <v>500</v>
      </c>
      <c r="C65" t="s">
        <v>39</v>
      </c>
      <c r="D65" t="s">
        <v>320</v>
      </c>
      <c r="E65" t="s">
        <v>501</v>
      </c>
      <c r="F65" s="1">
        <v>46078.554594907408</v>
      </c>
      <c r="G65" t="s">
        <v>355</v>
      </c>
      <c r="H65" t="s">
        <v>356</v>
      </c>
      <c r="I65" t="s">
        <v>205</v>
      </c>
      <c r="J65" t="s">
        <v>206</v>
      </c>
      <c r="K65" t="s">
        <v>207</v>
      </c>
      <c r="M65" t="s">
        <v>131</v>
      </c>
      <c r="O65" t="s">
        <v>77</v>
      </c>
      <c r="P65" t="s">
        <v>78</v>
      </c>
      <c r="Q65" t="s">
        <v>502</v>
      </c>
      <c r="R65" t="s">
        <v>208</v>
      </c>
      <c r="S65" t="s">
        <v>209</v>
      </c>
      <c r="T65" t="s">
        <v>210</v>
      </c>
      <c r="U65" s="1">
        <v>46078.647013888891</v>
      </c>
      <c r="V65" t="s">
        <v>54</v>
      </c>
      <c r="W65" t="s">
        <v>55</v>
      </c>
      <c r="X65" t="s">
        <v>211</v>
      </c>
      <c r="Y65" t="s">
        <v>212</v>
      </c>
      <c r="Z65" t="s">
        <v>58</v>
      </c>
      <c r="AA65" t="s">
        <v>54</v>
      </c>
      <c r="AB65" t="s">
        <v>213</v>
      </c>
      <c r="AC65" t="s">
        <v>85</v>
      </c>
      <c r="AD65" t="s">
        <v>214</v>
      </c>
      <c r="AE65" t="s">
        <v>215</v>
      </c>
      <c r="AF65" t="s">
        <v>216</v>
      </c>
      <c r="AG65" t="s">
        <v>58</v>
      </c>
      <c r="AH65">
        <v>12173</v>
      </c>
      <c r="AK65">
        <v>1</v>
      </c>
      <c r="AL65" t="s">
        <v>61</v>
      </c>
      <c r="AM65" t="s">
        <v>503</v>
      </c>
      <c r="AN65" t="s">
        <v>504</v>
      </c>
    </row>
    <row r="66" spans="1:40" x14ac:dyDescent="0.35">
      <c r="A66" t="s">
        <v>37</v>
      </c>
      <c r="B66" t="s">
        <v>505</v>
      </c>
      <c r="C66" t="s">
        <v>39</v>
      </c>
      <c r="D66" t="s">
        <v>506</v>
      </c>
      <c r="E66" t="s">
        <v>507</v>
      </c>
      <c r="F66" s="1">
        <v>46078.553587962961</v>
      </c>
      <c r="G66" t="s">
        <v>508</v>
      </c>
      <c r="H66" t="s">
        <v>72</v>
      </c>
      <c r="I66" t="s">
        <v>205</v>
      </c>
      <c r="J66" t="s">
        <v>206</v>
      </c>
      <c r="K66" t="s">
        <v>207</v>
      </c>
      <c r="M66" t="s">
        <v>131</v>
      </c>
      <c r="O66" t="s">
        <v>77</v>
      </c>
      <c r="P66" t="s">
        <v>78</v>
      </c>
      <c r="Q66" t="s">
        <v>50</v>
      </c>
      <c r="R66" t="s">
        <v>208</v>
      </c>
      <c r="S66" t="s">
        <v>209</v>
      </c>
      <c r="T66" t="s">
        <v>210</v>
      </c>
      <c r="U66" s="1">
        <v>46078.646111111113</v>
      </c>
      <c r="V66" t="s">
        <v>54</v>
      </c>
      <c r="W66" t="s">
        <v>55</v>
      </c>
      <c r="X66" t="s">
        <v>211</v>
      </c>
      <c r="Y66" t="s">
        <v>212</v>
      </c>
      <c r="Z66" t="s">
        <v>58</v>
      </c>
      <c r="AA66" t="s">
        <v>54</v>
      </c>
      <c r="AB66" t="s">
        <v>213</v>
      </c>
      <c r="AC66" t="s">
        <v>85</v>
      </c>
      <c r="AD66" t="s">
        <v>214</v>
      </c>
      <c r="AE66" t="s">
        <v>215</v>
      </c>
      <c r="AF66" t="s">
        <v>216</v>
      </c>
      <c r="AG66" t="s">
        <v>58</v>
      </c>
      <c r="AH66" t="s">
        <v>509</v>
      </c>
      <c r="AK66">
        <v>1</v>
      </c>
      <c r="AL66" t="s">
        <v>61</v>
      </c>
      <c r="AM66" t="s">
        <v>510</v>
      </c>
      <c r="AN66" t="s">
        <v>511</v>
      </c>
    </row>
    <row r="67" spans="1:40" x14ac:dyDescent="0.35">
      <c r="A67" t="s">
        <v>37</v>
      </c>
      <c r="B67" t="s">
        <v>512</v>
      </c>
      <c r="C67" t="s">
        <v>39</v>
      </c>
      <c r="D67" t="s">
        <v>513</v>
      </c>
      <c r="E67" t="s">
        <v>514</v>
      </c>
      <c r="F67" s="1">
        <v>46078.551562499997</v>
      </c>
      <c r="G67" t="s">
        <v>515</v>
      </c>
      <c r="H67" t="s">
        <v>92</v>
      </c>
      <c r="I67" t="s">
        <v>205</v>
      </c>
      <c r="J67" t="s">
        <v>206</v>
      </c>
      <c r="K67" t="s">
        <v>207</v>
      </c>
      <c r="M67" t="s">
        <v>131</v>
      </c>
      <c r="O67" t="s">
        <v>77</v>
      </c>
      <c r="P67" t="s">
        <v>78</v>
      </c>
      <c r="R67" t="s">
        <v>208</v>
      </c>
      <c r="S67" t="s">
        <v>209</v>
      </c>
      <c r="T67" t="s">
        <v>210</v>
      </c>
      <c r="U67" s="1">
        <v>46078.645914351851</v>
      </c>
      <c r="V67" t="s">
        <v>54</v>
      </c>
      <c r="W67" t="s">
        <v>55</v>
      </c>
      <c r="X67" t="s">
        <v>211</v>
      </c>
      <c r="Y67" t="s">
        <v>212</v>
      </c>
      <c r="Z67" t="s">
        <v>58</v>
      </c>
      <c r="AA67" t="s">
        <v>54</v>
      </c>
      <c r="AB67" t="s">
        <v>213</v>
      </c>
      <c r="AC67" t="s">
        <v>85</v>
      </c>
      <c r="AD67" t="s">
        <v>214</v>
      </c>
      <c r="AE67" t="s">
        <v>215</v>
      </c>
      <c r="AF67" t="s">
        <v>216</v>
      </c>
      <c r="AG67" t="s">
        <v>58</v>
      </c>
      <c r="AH67">
        <v>14959</v>
      </c>
      <c r="AK67">
        <v>1</v>
      </c>
      <c r="AL67" t="s">
        <v>61</v>
      </c>
      <c r="AM67" t="s">
        <v>516</v>
      </c>
      <c r="AN67" t="s">
        <v>517</v>
      </c>
    </row>
    <row r="68" spans="1:40" x14ac:dyDescent="0.35">
      <c r="A68" t="s">
        <v>37</v>
      </c>
      <c r="B68" t="s">
        <v>518</v>
      </c>
      <c r="C68" t="s">
        <v>39</v>
      </c>
      <c r="D68" t="s">
        <v>519</v>
      </c>
      <c r="E68" t="s">
        <v>520</v>
      </c>
      <c r="F68" s="1">
        <v>46078.55228009259</v>
      </c>
      <c r="G68" t="s">
        <v>286</v>
      </c>
      <c r="H68" t="s">
        <v>287</v>
      </c>
      <c r="I68" t="s">
        <v>163</v>
      </c>
      <c r="J68" t="s">
        <v>521</v>
      </c>
      <c r="K68" t="s">
        <v>130</v>
      </c>
      <c r="M68" t="s">
        <v>150</v>
      </c>
      <c r="O68" t="s">
        <v>77</v>
      </c>
      <c r="P68" t="s">
        <v>78</v>
      </c>
      <c r="Q68" t="s">
        <v>50</v>
      </c>
      <c r="R68" t="s">
        <v>132</v>
      </c>
      <c r="S68" t="s">
        <v>133</v>
      </c>
      <c r="T68" t="s">
        <v>133</v>
      </c>
      <c r="U68" s="1">
        <v>46078.957800925928</v>
      </c>
      <c r="V68" t="s">
        <v>54</v>
      </c>
      <c r="W68" t="s">
        <v>55</v>
      </c>
      <c r="X68" t="s">
        <v>82</v>
      </c>
      <c r="Y68" t="s">
        <v>522</v>
      </c>
      <c r="Z68" t="s">
        <v>58</v>
      </c>
      <c r="AA68" t="s">
        <v>54</v>
      </c>
      <c r="AB68" t="s">
        <v>523</v>
      </c>
      <c r="AC68" t="s">
        <v>85</v>
      </c>
      <c r="AD68" t="s">
        <v>132</v>
      </c>
      <c r="AE68" t="s">
        <v>133</v>
      </c>
      <c r="AF68" t="s">
        <v>133</v>
      </c>
      <c r="AG68" t="s">
        <v>58</v>
      </c>
      <c r="AH68" t="s">
        <v>524</v>
      </c>
      <c r="AK68">
        <v>1</v>
      </c>
      <c r="AL68" t="s">
        <v>61</v>
      </c>
      <c r="AM68" t="s">
        <v>523</v>
      </c>
      <c r="AN68" t="s">
        <v>525</v>
      </c>
    </row>
    <row r="69" spans="1:40" x14ac:dyDescent="0.35">
      <c r="A69" t="s">
        <v>37</v>
      </c>
      <c r="B69" t="s">
        <v>526</v>
      </c>
      <c r="C69" t="s">
        <v>39</v>
      </c>
      <c r="D69" t="s">
        <v>527</v>
      </c>
      <c r="E69" t="s">
        <v>528</v>
      </c>
      <c r="F69" s="1">
        <v>46078.549432870372</v>
      </c>
      <c r="G69" t="s">
        <v>508</v>
      </c>
      <c r="H69" t="s">
        <v>72</v>
      </c>
      <c r="I69" t="s">
        <v>205</v>
      </c>
      <c r="J69" t="s">
        <v>206</v>
      </c>
      <c r="K69" t="s">
        <v>207</v>
      </c>
      <c r="M69" t="s">
        <v>131</v>
      </c>
      <c r="O69" t="s">
        <v>77</v>
      </c>
      <c r="P69" t="s">
        <v>78</v>
      </c>
      <c r="Q69" t="s">
        <v>50</v>
      </c>
      <c r="R69" t="s">
        <v>208</v>
      </c>
      <c r="S69" t="s">
        <v>209</v>
      </c>
      <c r="T69" t="s">
        <v>210</v>
      </c>
      <c r="U69" s="1">
        <v>46078.644490740742</v>
      </c>
      <c r="V69" t="s">
        <v>54</v>
      </c>
      <c r="W69" t="s">
        <v>55</v>
      </c>
      <c r="X69" t="s">
        <v>211</v>
      </c>
      <c r="Y69" t="s">
        <v>212</v>
      </c>
      <c r="Z69" t="s">
        <v>58</v>
      </c>
      <c r="AA69" t="s">
        <v>54</v>
      </c>
      <c r="AB69" t="s">
        <v>213</v>
      </c>
      <c r="AC69" t="s">
        <v>85</v>
      </c>
      <c r="AD69" t="s">
        <v>214</v>
      </c>
      <c r="AE69" t="s">
        <v>215</v>
      </c>
      <c r="AF69" t="s">
        <v>216</v>
      </c>
      <c r="AG69" t="s">
        <v>58</v>
      </c>
      <c r="AH69">
        <v>12824</v>
      </c>
      <c r="AK69">
        <v>1</v>
      </c>
      <c r="AL69" t="s">
        <v>61</v>
      </c>
      <c r="AM69" t="s">
        <v>529</v>
      </c>
      <c r="AN69" t="s">
        <v>530</v>
      </c>
    </row>
    <row r="70" spans="1:40" x14ac:dyDescent="0.35">
      <c r="A70" t="s">
        <v>37</v>
      </c>
      <c r="B70" t="s">
        <v>531</v>
      </c>
      <c r="C70" t="s">
        <v>39</v>
      </c>
      <c r="D70" t="s">
        <v>532</v>
      </c>
      <c r="E70" t="s">
        <v>533</v>
      </c>
      <c r="F70" s="1">
        <v>46078.546261574076</v>
      </c>
      <c r="G70" t="s">
        <v>534</v>
      </c>
      <c r="H70" t="s">
        <v>287</v>
      </c>
      <c r="I70" t="s">
        <v>205</v>
      </c>
      <c r="J70" t="s">
        <v>206</v>
      </c>
      <c r="K70" t="s">
        <v>207</v>
      </c>
      <c r="M70" t="s">
        <v>131</v>
      </c>
      <c r="O70" t="s">
        <v>77</v>
      </c>
      <c r="P70" t="s">
        <v>78</v>
      </c>
      <c r="Q70" t="s">
        <v>535</v>
      </c>
      <c r="R70" t="s">
        <v>208</v>
      </c>
      <c r="S70" t="s">
        <v>209</v>
      </c>
      <c r="T70" t="s">
        <v>210</v>
      </c>
      <c r="U70" s="1">
        <v>46078.644282407404</v>
      </c>
      <c r="V70" t="s">
        <v>54</v>
      </c>
      <c r="W70" t="s">
        <v>55</v>
      </c>
      <c r="X70" t="s">
        <v>211</v>
      </c>
      <c r="Y70" t="s">
        <v>212</v>
      </c>
      <c r="Z70" t="s">
        <v>58</v>
      </c>
      <c r="AA70" t="s">
        <v>54</v>
      </c>
      <c r="AB70" t="s">
        <v>213</v>
      </c>
      <c r="AC70" t="s">
        <v>85</v>
      </c>
      <c r="AD70" t="s">
        <v>214</v>
      </c>
      <c r="AE70" t="s">
        <v>215</v>
      </c>
      <c r="AF70" t="s">
        <v>216</v>
      </c>
      <c r="AG70" t="s">
        <v>58</v>
      </c>
      <c r="AH70">
        <v>9628</v>
      </c>
      <c r="AK70">
        <v>1</v>
      </c>
      <c r="AL70" t="s">
        <v>61</v>
      </c>
      <c r="AM70" t="s">
        <v>536</v>
      </c>
      <c r="AN70" t="s">
        <v>537</v>
      </c>
    </row>
    <row r="71" spans="1:40" x14ac:dyDescent="0.35">
      <c r="A71" t="s">
        <v>37</v>
      </c>
      <c r="B71" t="s">
        <v>538</v>
      </c>
      <c r="C71" t="s">
        <v>39</v>
      </c>
      <c r="D71" t="s">
        <v>303</v>
      </c>
      <c r="E71" t="s">
        <v>539</v>
      </c>
      <c r="F71" s="1">
        <v>46078.542719907404</v>
      </c>
      <c r="G71" t="s">
        <v>540</v>
      </c>
      <c r="H71" t="s">
        <v>447</v>
      </c>
      <c r="I71" t="s">
        <v>205</v>
      </c>
      <c r="J71" t="s">
        <v>206</v>
      </c>
      <c r="K71" t="s">
        <v>207</v>
      </c>
      <c r="M71" t="s">
        <v>131</v>
      </c>
      <c r="O71" t="s">
        <v>77</v>
      </c>
      <c r="P71" t="s">
        <v>78</v>
      </c>
      <c r="Q71" t="s">
        <v>541</v>
      </c>
      <c r="R71" t="s">
        <v>208</v>
      </c>
      <c r="S71" t="s">
        <v>209</v>
      </c>
      <c r="T71" t="s">
        <v>210</v>
      </c>
      <c r="U71" s="1">
        <v>46078.644074074073</v>
      </c>
      <c r="V71" t="s">
        <v>54</v>
      </c>
      <c r="W71" t="s">
        <v>55</v>
      </c>
      <c r="X71" t="s">
        <v>211</v>
      </c>
      <c r="Y71" t="s">
        <v>212</v>
      </c>
      <c r="Z71" t="s">
        <v>58</v>
      </c>
      <c r="AA71" t="s">
        <v>54</v>
      </c>
      <c r="AB71" t="s">
        <v>213</v>
      </c>
      <c r="AC71" t="s">
        <v>85</v>
      </c>
      <c r="AD71" t="s">
        <v>214</v>
      </c>
      <c r="AE71" t="s">
        <v>215</v>
      </c>
      <c r="AF71" t="s">
        <v>216</v>
      </c>
      <c r="AG71" t="s">
        <v>58</v>
      </c>
      <c r="AH71">
        <v>11326</v>
      </c>
      <c r="AK71">
        <v>1</v>
      </c>
      <c r="AL71" t="s">
        <v>61</v>
      </c>
      <c r="AM71" t="s">
        <v>542</v>
      </c>
      <c r="AN71" t="s">
        <v>543</v>
      </c>
    </row>
    <row r="72" spans="1:40" x14ac:dyDescent="0.35">
      <c r="A72" t="s">
        <v>37</v>
      </c>
      <c r="B72" t="s">
        <v>544</v>
      </c>
      <c r="C72" t="s">
        <v>39</v>
      </c>
      <c r="D72" t="s">
        <v>545</v>
      </c>
      <c r="E72" t="s">
        <v>546</v>
      </c>
      <c r="F72" s="1">
        <v>46078.537997685184</v>
      </c>
      <c r="G72" t="s">
        <v>42</v>
      </c>
      <c r="H72" t="s">
        <v>43</v>
      </c>
      <c r="I72" t="s">
        <v>547</v>
      </c>
      <c r="J72" t="s">
        <v>548</v>
      </c>
      <c r="K72" t="s">
        <v>549</v>
      </c>
      <c r="M72" t="s">
        <v>47</v>
      </c>
      <c r="O72" t="s">
        <v>77</v>
      </c>
      <c r="P72" t="s">
        <v>78</v>
      </c>
      <c r="Q72" t="s">
        <v>50</v>
      </c>
      <c r="R72" t="s">
        <v>51</v>
      </c>
      <c r="S72" t="s">
        <v>52</v>
      </c>
      <c r="T72" t="s">
        <v>240</v>
      </c>
      <c r="U72" s="1">
        <v>46078.550150462965</v>
      </c>
      <c r="V72" t="s">
        <v>54</v>
      </c>
      <c r="W72" t="s">
        <v>55</v>
      </c>
      <c r="X72" t="s">
        <v>134</v>
      </c>
      <c r="Y72" t="s">
        <v>550</v>
      </c>
      <c r="Z72" t="s">
        <v>58</v>
      </c>
      <c r="AA72" t="s">
        <v>54</v>
      </c>
      <c r="AB72" t="s">
        <v>408</v>
      </c>
      <c r="AC72" t="s">
        <v>85</v>
      </c>
      <c r="AD72" t="s">
        <v>52</v>
      </c>
      <c r="AE72" t="s">
        <v>243</v>
      </c>
      <c r="AF72" t="s">
        <v>551</v>
      </c>
      <c r="AG72" t="s">
        <v>58</v>
      </c>
      <c r="AH72">
        <v>14570</v>
      </c>
      <c r="AK72">
        <v>1</v>
      </c>
      <c r="AL72" t="s">
        <v>61</v>
      </c>
      <c r="AM72" t="s">
        <v>552</v>
      </c>
      <c r="AN72" t="s">
        <v>553</v>
      </c>
    </row>
    <row r="73" spans="1:40" x14ac:dyDescent="0.35">
      <c r="A73" t="s">
        <v>37</v>
      </c>
      <c r="B73" t="s">
        <v>554</v>
      </c>
      <c r="C73" t="s">
        <v>102</v>
      </c>
      <c r="D73" t="s">
        <v>555</v>
      </c>
      <c r="E73" t="s">
        <v>303</v>
      </c>
      <c r="F73" s="1">
        <v>46078.53670138889</v>
      </c>
      <c r="G73" t="s">
        <v>508</v>
      </c>
      <c r="H73" t="s">
        <v>72</v>
      </c>
      <c r="I73" t="s">
        <v>556</v>
      </c>
      <c r="J73" t="s">
        <v>557</v>
      </c>
      <c r="K73" t="s">
        <v>75</v>
      </c>
      <c r="M73" t="s">
        <v>76</v>
      </c>
      <c r="O73" t="s">
        <v>237</v>
      </c>
      <c r="P73" t="s">
        <v>238</v>
      </c>
      <c r="Q73" t="s">
        <v>50</v>
      </c>
      <c r="R73" t="s">
        <v>79</v>
      </c>
      <c r="S73" t="s">
        <v>558</v>
      </c>
      <c r="T73" t="s">
        <v>559</v>
      </c>
      <c r="U73" s="1">
        <v>46078.572430555556</v>
      </c>
      <c r="V73" t="s">
        <v>54</v>
      </c>
      <c r="W73" t="s">
        <v>55</v>
      </c>
      <c r="X73" t="s">
        <v>134</v>
      </c>
      <c r="Y73" t="s">
        <v>560</v>
      </c>
      <c r="Z73" t="s">
        <v>58</v>
      </c>
      <c r="AA73" t="s">
        <v>54</v>
      </c>
      <c r="AB73" t="s">
        <v>458</v>
      </c>
      <c r="AC73" t="s">
        <v>242</v>
      </c>
      <c r="AD73" t="s">
        <v>79</v>
      </c>
      <c r="AE73" t="s">
        <v>558</v>
      </c>
      <c r="AF73" t="s">
        <v>559</v>
      </c>
      <c r="AG73" t="s">
        <v>58</v>
      </c>
      <c r="AH73">
        <v>15906</v>
      </c>
      <c r="AK73">
        <v>1</v>
      </c>
      <c r="AL73" t="s">
        <v>61</v>
      </c>
      <c r="AM73" t="s">
        <v>561</v>
      </c>
      <c r="AN73" t="s">
        <v>562</v>
      </c>
    </row>
    <row r="74" spans="1:40" x14ac:dyDescent="0.35">
      <c r="A74" t="s">
        <v>37</v>
      </c>
      <c r="B74" t="s">
        <v>563</v>
      </c>
      <c r="C74" t="s">
        <v>102</v>
      </c>
      <c r="D74" t="s">
        <v>284</v>
      </c>
      <c r="E74" t="s">
        <v>285</v>
      </c>
      <c r="F74" s="1">
        <v>46078.53534722222</v>
      </c>
      <c r="G74" t="s">
        <v>286</v>
      </c>
      <c r="H74" t="s">
        <v>287</v>
      </c>
      <c r="I74" t="s">
        <v>564</v>
      </c>
      <c r="J74" t="s">
        <v>289</v>
      </c>
      <c r="K74" t="s">
        <v>565</v>
      </c>
      <c r="M74" t="s">
        <v>76</v>
      </c>
      <c r="O74" t="s">
        <v>77</v>
      </c>
      <c r="P74" t="s">
        <v>78</v>
      </c>
      <c r="Q74" t="s">
        <v>50</v>
      </c>
      <c r="R74" t="s">
        <v>132</v>
      </c>
      <c r="S74" t="s">
        <v>133</v>
      </c>
      <c r="T74" t="s">
        <v>133</v>
      </c>
      <c r="U74" s="1">
        <v>46078.639907407407</v>
      </c>
      <c r="V74" t="s">
        <v>54</v>
      </c>
      <c r="W74" t="s">
        <v>55</v>
      </c>
      <c r="X74" t="s">
        <v>134</v>
      </c>
      <c r="Y74" t="s">
        <v>566</v>
      </c>
      <c r="Z74" t="s">
        <v>58</v>
      </c>
      <c r="AA74" t="s">
        <v>54</v>
      </c>
      <c r="AB74" t="s">
        <v>291</v>
      </c>
      <c r="AC74" t="s">
        <v>85</v>
      </c>
      <c r="AD74" t="s">
        <v>132</v>
      </c>
      <c r="AE74" t="s">
        <v>133</v>
      </c>
      <c r="AF74" t="s">
        <v>133</v>
      </c>
      <c r="AG74" t="s">
        <v>58</v>
      </c>
      <c r="AH74" t="s">
        <v>292</v>
      </c>
      <c r="AK74">
        <v>1</v>
      </c>
      <c r="AL74" t="s">
        <v>61</v>
      </c>
      <c r="AM74" t="s">
        <v>291</v>
      </c>
      <c r="AN74" t="s">
        <v>293</v>
      </c>
    </row>
    <row r="75" spans="1:40" x14ac:dyDescent="0.35">
      <c r="A75" t="s">
        <v>37</v>
      </c>
      <c r="B75" t="s">
        <v>567</v>
      </c>
      <c r="C75" t="s">
        <v>102</v>
      </c>
      <c r="D75" t="s">
        <v>568</v>
      </c>
      <c r="E75" t="s">
        <v>569</v>
      </c>
      <c r="F75" s="1">
        <v>46078.532407407409</v>
      </c>
      <c r="G75" t="s">
        <v>105</v>
      </c>
      <c r="H75" t="s">
        <v>106</v>
      </c>
      <c r="I75" t="s">
        <v>570</v>
      </c>
      <c r="J75" t="s">
        <v>108</v>
      </c>
      <c r="K75" t="s">
        <v>571</v>
      </c>
      <c r="M75" t="s">
        <v>76</v>
      </c>
      <c r="O75" t="s">
        <v>77</v>
      </c>
      <c r="P75" t="s">
        <v>78</v>
      </c>
      <c r="Q75" t="s">
        <v>448</v>
      </c>
      <c r="R75" t="s">
        <v>111</v>
      </c>
      <c r="S75" t="s">
        <v>51</v>
      </c>
      <c r="T75" t="s">
        <v>112</v>
      </c>
      <c r="U75" s="1">
        <v>46078.749351851853</v>
      </c>
      <c r="V75" t="s">
        <v>54</v>
      </c>
      <c r="W75" t="s">
        <v>55</v>
      </c>
      <c r="X75" t="s">
        <v>113</v>
      </c>
      <c r="Y75" t="s">
        <v>572</v>
      </c>
      <c r="Z75" t="s">
        <v>58</v>
      </c>
      <c r="AA75" t="s">
        <v>54</v>
      </c>
      <c r="AB75" t="s">
        <v>573</v>
      </c>
      <c r="AC75" t="s">
        <v>85</v>
      </c>
      <c r="AD75" t="s">
        <v>116</v>
      </c>
      <c r="AE75" t="s">
        <v>574</v>
      </c>
      <c r="AF75" t="s">
        <v>575</v>
      </c>
      <c r="AG75" t="s">
        <v>58</v>
      </c>
      <c r="AK75">
        <v>1</v>
      </c>
      <c r="AL75" t="s">
        <v>61</v>
      </c>
      <c r="AM75" t="s">
        <v>576</v>
      </c>
      <c r="AN75" t="s">
        <v>577</v>
      </c>
    </row>
    <row r="76" spans="1:40" x14ac:dyDescent="0.35">
      <c r="A76" t="s">
        <v>37</v>
      </c>
      <c r="B76" t="s">
        <v>578</v>
      </c>
      <c r="C76" t="s">
        <v>39</v>
      </c>
      <c r="D76" t="s">
        <v>579</v>
      </c>
      <c r="E76" t="s">
        <v>482</v>
      </c>
      <c r="F76" s="1">
        <v>46078.529583333337</v>
      </c>
      <c r="G76" t="s">
        <v>91</v>
      </c>
      <c r="H76" t="s">
        <v>92</v>
      </c>
      <c r="I76" t="s">
        <v>205</v>
      </c>
      <c r="J76" t="s">
        <v>206</v>
      </c>
      <c r="K76" t="s">
        <v>207</v>
      </c>
      <c r="M76" t="s">
        <v>131</v>
      </c>
      <c r="O76" t="s">
        <v>77</v>
      </c>
      <c r="P76" t="s">
        <v>78</v>
      </c>
      <c r="Q76" t="s">
        <v>50</v>
      </c>
      <c r="R76" t="s">
        <v>208</v>
      </c>
      <c r="S76" t="s">
        <v>209</v>
      </c>
      <c r="T76" t="s">
        <v>210</v>
      </c>
      <c r="U76" s="1">
        <v>46078.643819444442</v>
      </c>
      <c r="V76" t="s">
        <v>54</v>
      </c>
      <c r="W76" t="s">
        <v>55</v>
      </c>
      <c r="X76" t="s">
        <v>211</v>
      </c>
      <c r="Y76" t="s">
        <v>212</v>
      </c>
      <c r="Z76" t="s">
        <v>58</v>
      </c>
      <c r="AA76" t="s">
        <v>54</v>
      </c>
      <c r="AB76" t="s">
        <v>213</v>
      </c>
      <c r="AC76" t="s">
        <v>85</v>
      </c>
      <c r="AD76" t="s">
        <v>214</v>
      </c>
      <c r="AE76" t="s">
        <v>215</v>
      </c>
      <c r="AF76" t="s">
        <v>216</v>
      </c>
      <c r="AG76" t="s">
        <v>58</v>
      </c>
      <c r="AH76">
        <v>15137</v>
      </c>
      <c r="AK76">
        <v>1</v>
      </c>
      <c r="AL76" t="s">
        <v>61</v>
      </c>
      <c r="AM76" t="s">
        <v>580</v>
      </c>
      <c r="AN76" t="s">
        <v>581</v>
      </c>
    </row>
    <row r="77" spans="1:40" x14ac:dyDescent="0.35">
      <c r="A77" t="s">
        <v>37</v>
      </c>
      <c r="B77" t="s">
        <v>582</v>
      </c>
      <c r="C77" t="s">
        <v>102</v>
      </c>
      <c r="D77" t="s">
        <v>583</v>
      </c>
      <c r="E77" t="s">
        <v>584</v>
      </c>
      <c r="F77" s="1">
        <v>46078.532789351855</v>
      </c>
      <c r="G77" t="s">
        <v>585</v>
      </c>
      <c r="H77" t="s">
        <v>356</v>
      </c>
      <c r="I77" t="s">
        <v>586</v>
      </c>
      <c r="J77" t="s">
        <v>587</v>
      </c>
      <c r="K77" t="s">
        <v>588</v>
      </c>
      <c r="M77" t="s">
        <v>131</v>
      </c>
      <c r="O77" t="s">
        <v>77</v>
      </c>
      <c r="P77" t="s">
        <v>78</v>
      </c>
      <c r="Q77" t="s">
        <v>50</v>
      </c>
      <c r="R77" t="s">
        <v>214</v>
      </c>
      <c r="S77" t="s">
        <v>589</v>
      </c>
      <c r="T77" t="s">
        <v>590</v>
      </c>
      <c r="U77" s="1">
        <v>46078.618784722225</v>
      </c>
      <c r="V77" t="s">
        <v>54</v>
      </c>
      <c r="W77" t="s">
        <v>55</v>
      </c>
      <c r="X77" t="s">
        <v>134</v>
      </c>
      <c r="Y77" t="s">
        <v>591</v>
      </c>
      <c r="Z77" t="s">
        <v>58</v>
      </c>
      <c r="AA77" t="s">
        <v>54</v>
      </c>
      <c r="AB77" t="s">
        <v>592</v>
      </c>
      <c r="AC77" t="s">
        <v>85</v>
      </c>
      <c r="AD77" t="s">
        <v>214</v>
      </c>
      <c r="AE77" t="s">
        <v>589</v>
      </c>
      <c r="AF77" t="s">
        <v>590</v>
      </c>
      <c r="AG77" t="s">
        <v>58</v>
      </c>
      <c r="AK77">
        <v>0</v>
      </c>
      <c r="AL77" t="s">
        <v>61</v>
      </c>
      <c r="AM77" t="s">
        <v>593</v>
      </c>
      <c r="AN77" t="s">
        <v>594</v>
      </c>
    </row>
    <row r="78" spans="1:40" x14ac:dyDescent="0.35">
      <c r="A78" t="s">
        <v>37</v>
      </c>
      <c r="B78" t="s">
        <v>595</v>
      </c>
      <c r="C78" t="s">
        <v>39</v>
      </c>
      <c r="D78" t="s">
        <v>320</v>
      </c>
      <c r="E78" t="s">
        <v>596</v>
      </c>
      <c r="F78" s="1">
        <v>46078.526898148149</v>
      </c>
      <c r="G78" t="s">
        <v>597</v>
      </c>
      <c r="H78" t="s">
        <v>287</v>
      </c>
      <c r="I78" t="s">
        <v>205</v>
      </c>
      <c r="J78" t="s">
        <v>206</v>
      </c>
      <c r="K78" t="s">
        <v>207</v>
      </c>
      <c r="M78" t="s">
        <v>131</v>
      </c>
      <c r="O78" t="s">
        <v>77</v>
      </c>
      <c r="P78" t="s">
        <v>78</v>
      </c>
      <c r="Q78" t="s">
        <v>50</v>
      </c>
      <c r="R78" t="s">
        <v>208</v>
      </c>
      <c r="S78" t="s">
        <v>209</v>
      </c>
      <c r="T78" t="s">
        <v>210</v>
      </c>
      <c r="U78" s="1">
        <v>46078.653912037036</v>
      </c>
      <c r="V78" t="s">
        <v>54</v>
      </c>
      <c r="W78" t="s">
        <v>55</v>
      </c>
      <c r="X78" t="s">
        <v>211</v>
      </c>
      <c r="Y78" t="s">
        <v>315</v>
      </c>
      <c r="Z78" t="s">
        <v>58</v>
      </c>
      <c r="AA78" t="s">
        <v>54</v>
      </c>
      <c r="AB78" t="s">
        <v>213</v>
      </c>
      <c r="AC78" t="s">
        <v>85</v>
      </c>
      <c r="AD78" t="s">
        <v>214</v>
      </c>
      <c r="AE78" t="s">
        <v>215</v>
      </c>
      <c r="AF78" t="s">
        <v>216</v>
      </c>
      <c r="AG78" t="s">
        <v>58</v>
      </c>
      <c r="AH78">
        <v>15417</v>
      </c>
      <c r="AK78">
        <v>1</v>
      </c>
      <c r="AL78" t="s">
        <v>61</v>
      </c>
      <c r="AM78" t="s">
        <v>598</v>
      </c>
      <c r="AN78" t="s">
        <v>599</v>
      </c>
    </row>
    <row r="79" spans="1:40" x14ac:dyDescent="0.35">
      <c r="A79" t="s">
        <v>37</v>
      </c>
      <c r="B79" t="s">
        <v>600</v>
      </c>
      <c r="C79" t="s">
        <v>39</v>
      </c>
      <c r="D79" t="s">
        <v>601</v>
      </c>
      <c r="E79" t="s">
        <v>602</v>
      </c>
      <c r="F79" s="1">
        <v>46078.525127314817</v>
      </c>
      <c r="G79" t="s">
        <v>597</v>
      </c>
      <c r="H79" t="s">
        <v>287</v>
      </c>
      <c r="I79" t="s">
        <v>205</v>
      </c>
      <c r="J79" t="s">
        <v>603</v>
      </c>
      <c r="K79" t="s">
        <v>207</v>
      </c>
      <c r="M79" t="s">
        <v>131</v>
      </c>
      <c r="O79" t="s">
        <v>77</v>
      </c>
      <c r="P79" t="s">
        <v>78</v>
      </c>
      <c r="Q79" t="s">
        <v>465</v>
      </c>
      <c r="R79" t="s">
        <v>208</v>
      </c>
      <c r="S79" t="s">
        <v>209</v>
      </c>
      <c r="T79" t="s">
        <v>210</v>
      </c>
      <c r="U79" s="1">
        <v>46078.640821759262</v>
      </c>
      <c r="V79" t="s">
        <v>54</v>
      </c>
      <c r="W79" t="s">
        <v>55</v>
      </c>
      <c r="X79" t="s">
        <v>211</v>
      </c>
      <c r="Y79" t="s">
        <v>604</v>
      </c>
      <c r="Z79" t="s">
        <v>58</v>
      </c>
      <c r="AA79" t="s">
        <v>54</v>
      </c>
      <c r="AB79" t="s">
        <v>213</v>
      </c>
      <c r="AC79" t="s">
        <v>85</v>
      </c>
      <c r="AD79" t="s">
        <v>214</v>
      </c>
      <c r="AE79" t="s">
        <v>215</v>
      </c>
      <c r="AF79" t="s">
        <v>216</v>
      </c>
      <c r="AG79" t="s">
        <v>58</v>
      </c>
      <c r="AH79">
        <v>4585</v>
      </c>
      <c r="AK79">
        <v>1</v>
      </c>
      <c r="AL79" t="s">
        <v>61</v>
      </c>
      <c r="AM79" t="s">
        <v>605</v>
      </c>
      <c r="AN79" t="s">
        <v>606</v>
      </c>
    </row>
    <row r="80" spans="1:40" x14ac:dyDescent="0.35">
      <c r="A80" t="s">
        <v>37</v>
      </c>
      <c r="B80" t="s">
        <v>607</v>
      </c>
      <c r="C80" t="s">
        <v>39</v>
      </c>
      <c r="D80" t="s">
        <v>608</v>
      </c>
      <c r="E80" t="s">
        <v>609</v>
      </c>
      <c r="F80" s="1">
        <v>46078.527372685188</v>
      </c>
      <c r="G80" t="s">
        <v>42</v>
      </c>
      <c r="H80" t="s">
        <v>43</v>
      </c>
      <c r="I80" t="s">
        <v>547</v>
      </c>
      <c r="J80" t="s">
        <v>548</v>
      </c>
      <c r="K80" t="s">
        <v>610</v>
      </c>
      <c r="M80" t="s">
        <v>47</v>
      </c>
      <c r="O80" t="s">
        <v>77</v>
      </c>
      <c r="P80" t="s">
        <v>78</v>
      </c>
      <c r="Q80" t="s">
        <v>50</v>
      </c>
      <c r="R80" t="s">
        <v>51</v>
      </c>
      <c r="S80" t="s">
        <v>52</v>
      </c>
      <c r="T80" t="s">
        <v>240</v>
      </c>
      <c r="U80" s="1">
        <v>46078.551979166667</v>
      </c>
      <c r="V80" t="s">
        <v>54</v>
      </c>
      <c r="W80" t="s">
        <v>55</v>
      </c>
      <c r="X80" t="s">
        <v>134</v>
      </c>
      <c r="Y80" t="s">
        <v>611</v>
      </c>
      <c r="Z80" t="s">
        <v>58</v>
      </c>
      <c r="AA80" t="s">
        <v>54</v>
      </c>
      <c r="AB80" t="s">
        <v>612</v>
      </c>
      <c r="AC80" t="s">
        <v>85</v>
      </c>
      <c r="AD80" t="s">
        <v>52</v>
      </c>
      <c r="AE80" t="s">
        <v>243</v>
      </c>
      <c r="AF80" t="s">
        <v>551</v>
      </c>
      <c r="AG80" t="s">
        <v>58</v>
      </c>
      <c r="AH80" t="s">
        <v>613</v>
      </c>
      <c r="AK80">
        <v>1</v>
      </c>
      <c r="AL80" t="s">
        <v>61</v>
      </c>
      <c r="AM80" t="s">
        <v>614</v>
      </c>
      <c r="AN80" t="s">
        <v>615</v>
      </c>
    </row>
    <row r="81" spans="1:40" x14ac:dyDescent="0.35">
      <c r="A81" t="s">
        <v>37</v>
      </c>
      <c r="B81" t="s">
        <v>616</v>
      </c>
      <c r="C81" t="s">
        <v>102</v>
      </c>
      <c r="D81" t="s">
        <v>617</v>
      </c>
      <c r="E81" t="s">
        <v>618</v>
      </c>
      <c r="F81" s="1">
        <v>46078.526689814818</v>
      </c>
      <c r="G81" t="s">
        <v>286</v>
      </c>
      <c r="H81" t="s">
        <v>287</v>
      </c>
      <c r="I81" t="s">
        <v>619</v>
      </c>
      <c r="J81" t="s">
        <v>620</v>
      </c>
      <c r="K81" t="s">
        <v>130</v>
      </c>
      <c r="M81" t="s">
        <v>131</v>
      </c>
      <c r="O81" t="s">
        <v>77</v>
      </c>
      <c r="P81" t="s">
        <v>78</v>
      </c>
      <c r="Q81" t="s">
        <v>50</v>
      </c>
      <c r="R81" t="s">
        <v>132</v>
      </c>
      <c r="S81" t="s">
        <v>133</v>
      </c>
      <c r="T81" t="s">
        <v>133</v>
      </c>
      <c r="U81" s="1">
        <v>46078.960277777776</v>
      </c>
      <c r="V81" t="s">
        <v>54</v>
      </c>
      <c r="W81" t="s">
        <v>55</v>
      </c>
      <c r="X81" t="s">
        <v>134</v>
      </c>
      <c r="Y81" t="s">
        <v>621</v>
      </c>
      <c r="Z81" t="s">
        <v>58</v>
      </c>
      <c r="AA81" t="s">
        <v>54</v>
      </c>
      <c r="AB81" t="s">
        <v>622</v>
      </c>
      <c r="AC81" t="s">
        <v>85</v>
      </c>
      <c r="AD81" t="s">
        <v>132</v>
      </c>
      <c r="AE81" t="s">
        <v>133</v>
      </c>
      <c r="AF81" t="s">
        <v>133</v>
      </c>
      <c r="AG81" t="s">
        <v>58</v>
      </c>
      <c r="AH81" t="s">
        <v>623</v>
      </c>
      <c r="AK81">
        <v>1</v>
      </c>
      <c r="AL81" t="s">
        <v>61</v>
      </c>
      <c r="AM81" t="s">
        <v>622</v>
      </c>
      <c r="AN81" t="s">
        <v>624</v>
      </c>
    </row>
    <row r="82" spans="1:40" x14ac:dyDescent="0.35">
      <c r="A82" t="s">
        <v>37</v>
      </c>
      <c r="B82" t="s">
        <v>625</v>
      </c>
      <c r="C82" t="s">
        <v>102</v>
      </c>
      <c r="D82" t="s">
        <v>284</v>
      </c>
      <c r="E82" t="s">
        <v>285</v>
      </c>
      <c r="F82" s="1">
        <v>46078.530590277776</v>
      </c>
      <c r="G82" t="s">
        <v>286</v>
      </c>
      <c r="H82" t="s">
        <v>287</v>
      </c>
      <c r="I82" t="s">
        <v>626</v>
      </c>
      <c r="J82" t="s">
        <v>289</v>
      </c>
      <c r="K82" t="s">
        <v>565</v>
      </c>
      <c r="M82" t="s">
        <v>76</v>
      </c>
      <c r="O82" t="s">
        <v>77</v>
      </c>
      <c r="P82" t="s">
        <v>78</v>
      </c>
      <c r="Q82" t="s">
        <v>50</v>
      </c>
      <c r="R82" t="s">
        <v>132</v>
      </c>
      <c r="S82" t="s">
        <v>133</v>
      </c>
      <c r="T82" t="s">
        <v>133</v>
      </c>
      <c r="U82" s="1">
        <v>46078.632071759261</v>
      </c>
      <c r="V82" t="s">
        <v>54</v>
      </c>
      <c r="W82" t="s">
        <v>55</v>
      </c>
      <c r="X82" t="s">
        <v>134</v>
      </c>
      <c r="Y82" t="s">
        <v>627</v>
      </c>
      <c r="Z82" t="s">
        <v>58</v>
      </c>
      <c r="AA82" t="s">
        <v>54</v>
      </c>
      <c r="AB82" t="s">
        <v>291</v>
      </c>
      <c r="AC82" t="s">
        <v>85</v>
      </c>
      <c r="AD82" t="s">
        <v>132</v>
      </c>
      <c r="AE82" t="s">
        <v>133</v>
      </c>
      <c r="AF82" t="s">
        <v>133</v>
      </c>
      <c r="AG82" t="s">
        <v>58</v>
      </c>
      <c r="AH82" t="s">
        <v>292</v>
      </c>
      <c r="AK82">
        <v>1</v>
      </c>
      <c r="AL82" t="s">
        <v>61</v>
      </c>
      <c r="AM82" t="s">
        <v>291</v>
      </c>
      <c r="AN82" t="s">
        <v>293</v>
      </c>
    </row>
    <row r="83" spans="1:40" x14ac:dyDescent="0.35">
      <c r="A83" t="s">
        <v>37</v>
      </c>
      <c r="B83" t="s">
        <v>628</v>
      </c>
      <c r="C83" t="s">
        <v>39</v>
      </c>
      <c r="D83" t="s">
        <v>629</v>
      </c>
      <c r="E83" t="s">
        <v>630</v>
      </c>
      <c r="F83" s="1">
        <v>46078.516273148147</v>
      </c>
      <c r="G83" t="s">
        <v>631</v>
      </c>
      <c r="H83" t="s">
        <v>447</v>
      </c>
      <c r="I83" t="s">
        <v>205</v>
      </c>
      <c r="J83" t="s">
        <v>603</v>
      </c>
      <c r="K83" t="s">
        <v>207</v>
      </c>
      <c r="M83" t="s">
        <v>131</v>
      </c>
      <c r="O83" t="s">
        <v>77</v>
      </c>
      <c r="P83" t="s">
        <v>78</v>
      </c>
      <c r="Q83" t="s">
        <v>50</v>
      </c>
      <c r="R83" t="s">
        <v>208</v>
      </c>
      <c r="S83" t="s">
        <v>209</v>
      </c>
      <c r="T83" t="s">
        <v>210</v>
      </c>
      <c r="U83" s="1">
        <v>46078.641562500001</v>
      </c>
      <c r="V83" t="s">
        <v>54</v>
      </c>
      <c r="W83" t="s">
        <v>55</v>
      </c>
      <c r="X83" t="s">
        <v>211</v>
      </c>
      <c r="Y83" t="s">
        <v>604</v>
      </c>
      <c r="Z83" t="s">
        <v>58</v>
      </c>
      <c r="AA83" t="s">
        <v>54</v>
      </c>
      <c r="AB83" t="s">
        <v>213</v>
      </c>
      <c r="AC83" t="s">
        <v>85</v>
      </c>
      <c r="AD83" t="s">
        <v>214</v>
      </c>
      <c r="AE83" t="s">
        <v>215</v>
      </c>
      <c r="AF83" t="s">
        <v>216</v>
      </c>
      <c r="AG83" t="s">
        <v>58</v>
      </c>
      <c r="AH83">
        <v>12579</v>
      </c>
      <c r="AK83">
        <v>1</v>
      </c>
      <c r="AL83" t="s">
        <v>61</v>
      </c>
      <c r="AM83" t="s">
        <v>632</v>
      </c>
      <c r="AN83" t="s">
        <v>633</v>
      </c>
    </row>
    <row r="84" spans="1:40" x14ac:dyDescent="0.35">
      <c r="A84" t="s">
        <v>37</v>
      </c>
      <c r="B84" t="s">
        <v>634</v>
      </c>
      <c r="C84" t="s">
        <v>39</v>
      </c>
      <c r="D84" t="s">
        <v>635</v>
      </c>
      <c r="E84" t="s">
        <v>636</v>
      </c>
      <c r="F84" s="1">
        <v>46078.512303240743</v>
      </c>
      <c r="G84" t="s">
        <v>597</v>
      </c>
      <c r="H84" t="s">
        <v>287</v>
      </c>
      <c r="I84" t="s">
        <v>205</v>
      </c>
      <c r="J84" t="s">
        <v>603</v>
      </c>
      <c r="K84" t="s">
        <v>207</v>
      </c>
      <c r="M84" t="s">
        <v>131</v>
      </c>
      <c r="O84" t="s">
        <v>77</v>
      </c>
      <c r="P84" t="s">
        <v>78</v>
      </c>
      <c r="Q84" t="s">
        <v>535</v>
      </c>
      <c r="R84" t="s">
        <v>208</v>
      </c>
      <c r="S84" t="s">
        <v>209</v>
      </c>
      <c r="T84" t="s">
        <v>210</v>
      </c>
      <c r="U84" s="1">
        <v>46078.642314814817</v>
      </c>
      <c r="V84" t="s">
        <v>54</v>
      </c>
      <c r="W84" t="s">
        <v>55</v>
      </c>
      <c r="X84" t="s">
        <v>211</v>
      </c>
      <c r="Y84" t="s">
        <v>604</v>
      </c>
      <c r="Z84" t="s">
        <v>58</v>
      </c>
      <c r="AA84" t="s">
        <v>54</v>
      </c>
      <c r="AB84" t="s">
        <v>213</v>
      </c>
      <c r="AC84" t="s">
        <v>85</v>
      </c>
      <c r="AD84" t="s">
        <v>214</v>
      </c>
      <c r="AE84" t="s">
        <v>215</v>
      </c>
      <c r="AF84" t="s">
        <v>216</v>
      </c>
      <c r="AG84" t="s">
        <v>58</v>
      </c>
      <c r="AH84">
        <v>11177</v>
      </c>
      <c r="AK84">
        <v>1</v>
      </c>
      <c r="AL84" t="s">
        <v>61</v>
      </c>
      <c r="AM84" t="s">
        <v>637</v>
      </c>
      <c r="AN84" t="s">
        <v>638</v>
      </c>
    </row>
    <row r="85" spans="1:40" x14ac:dyDescent="0.35">
      <c r="A85" t="s">
        <v>37</v>
      </c>
      <c r="B85" t="s">
        <v>639</v>
      </c>
      <c r="C85" t="s">
        <v>102</v>
      </c>
      <c r="D85" t="s">
        <v>640</v>
      </c>
      <c r="E85" t="s">
        <v>230</v>
      </c>
      <c r="F85" s="1">
        <v>46078.512835648151</v>
      </c>
      <c r="G85" t="s">
        <v>261</v>
      </c>
      <c r="H85" t="s">
        <v>72</v>
      </c>
      <c r="I85" t="s">
        <v>641</v>
      </c>
      <c r="J85" t="s">
        <v>557</v>
      </c>
      <c r="K85" t="s">
        <v>75</v>
      </c>
      <c r="M85" t="s">
        <v>76</v>
      </c>
      <c r="O85" t="s">
        <v>237</v>
      </c>
      <c r="P85" t="s">
        <v>238</v>
      </c>
      <c r="R85" t="s">
        <v>79</v>
      </c>
      <c r="S85" t="s">
        <v>642</v>
      </c>
      <c r="T85" t="s">
        <v>643</v>
      </c>
      <c r="U85" s="1">
        <v>46078.561319444445</v>
      </c>
      <c r="V85" t="s">
        <v>54</v>
      </c>
      <c r="W85" t="s">
        <v>55</v>
      </c>
      <c r="X85" t="s">
        <v>82</v>
      </c>
      <c r="Y85" t="s">
        <v>644</v>
      </c>
      <c r="Z85" t="s">
        <v>58</v>
      </c>
      <c r="AA85" t="s">
        <v>54</v>
      </c>
      <c r="AB85" t="s">
        <v>645</v>
      </c>
      <c r="AC85" t="s">
        <v>242</v>
      </c>
      <c r="AD85" t="s">
        <v>79</v>
      </c>
      <c r="AE85" t="s">
        <v>642</v>
      </c>
      <c r="AF85" t="s">
        <v>643</v>
      </c>
      <c r="AG85" t="s">
        <v>58</v>
      </c>
      <c r="AH85">
        <v>15899</v>
      </c>
      <c r="AK85">
        <v>2</v>
      </c>
      <c r="AL85" t="s">
        <v>61</v>
      </c>
      <c r="AM85" t="s">
        <v>646</v>
      </c>
      <c r="AN85" t="s">
        <v>647</v>
      </c>
    </row>
    <row r="86" spans="1:40" x14ac:dyDescent="0.35">
      <c r="A86" t="s">
        <v>37</v>
      </c>
      <c r="B86" t="s">
        <v>648</v>
      </c>
      <c r="C86" t="s">
        <v>39</v>
      </c>
      <c r="D86" t="s">
        <v>40</v>
      </c>
      <c r="E86" t="s">
        <v>41</v>
      </c>
      <c r="F86" s="1">
        <v>46078.509525462963</v>
      </c>
      <c r="G86" t="s">
        <v>42</v>
      </c>
      <c r="H86" t="s">
        <v>43</v>
      </c>
      <c r="I86" t="s">
        <v>649</v>
      </c>
      <c r="J86" t="s">
        <v>45</v>
      </c>
      <c r="K86" t="s">
        <v>46</v>
      </c>
      <c r="M86" t="s">
        <v>47</v>
      </c>
      <c r="O86" t="s">
        <v>48</v>
      </c>
      <c r="P86" t="s">
        <v>49</v>
      </c>
      <c r="Q86" t="s">
        <v>50</v>
      </c>
      <c r="R86" t="s">
        <v>51</v>
      </c>
      <c r="S86" t="s">
        <v>52</v>
      </c>
      <c r="T86" t="s">
        <v>53</v>
      </c>
      <c r="U86" s="1">
        <v>46078.511018518519</v>
      </c>
      <c r="V86" t="s">
        <v>54</v>
      </c>
      <c r="W86" t="s">
        <v>55</v>
      </c>
      <c r="X86" t="s">
        <v>56</v>
      </c>
      <c r="Y86" t="s">
        <v>65</v>
      </c>
      <c r="Z86" t="s">
        <v>58</v>
      </c>
      <c r="AA86" t="s">
        <v>54</v>
      </c>
      <c r="AB86" t="s">
        <v>59</v>
      </c>
      <c r="AC86" t="s">
        <v>60</v>
      </c>
      <c r="AD86" t="s">
        <v>51</v>
      </c>
      <c r="AE86" t="s">
        <v>52</v>
      </c>
      <c r="AF86" t="s">
        <v>53</v>
      </c>
      <c r="AG86" t="s">
        <v>58</v>
      </c>
      <c r="AK86">
        <v>0</v>
      </c>
      <c r="AL86" t="s">
        <v>61</v>
      </c>
      <c r="AM86" t="s">
        <v>59</v>
      </c>
      <c r="AN86" t="s">
        <v>62</v>
      </c>
    </row>
    <row r="87" spans="1:40" x14ac:dyDescent="0.35">
      <c r="A87" t="s">
        <v>37</v>
      </c>
      <c r="B87" t="s">
        <v>650</v>
      </c>
      <c r="C87" t="s">
        <v>39</v>
      </c>
      <c r="D87" t="s">
        <v>651</v>
      </c>
      <c r="E87" t="s">
        <v>652</v>
      </c>
      <c r="F87" s="1">
        <v>46078.509502314817</v>
      </c>
      <c r="G87" t="s">
        <v>297</v>
      </c>
      <c r="H87" t="s">
        <v>287</v>
      </c>
      <c r="I87" t="s">
        <v>205</v>
      </c>
      <c r="J87" t="s">
        <v>603</v>
      </c>
      <c r="K87" t="s">
        <v>207</v>
      </c>
      <c r="M87" t="s">
        <v>131</v>
      </c>
      <c r="O87" t="s">
        <v>77</v>
      </c>
      <c r="P87" t="s">
        <v>78</v>
      </c>
      <c r="Q87" t="s">
        <v>50</v>
      </c>
      <c r="R87" t="s">
        <v>208</v>
      </c>
      <c r="S87" t="s">
        <v>209</v>
      </c>
      <c r="T87" t="s">
        <v>210</v>
      </c>
      <c r="U87" s="1">
        <v>46078.642939814818</v>
      </c>
      <c r="V87" t="s">
        <v>54</v>
      </c>
      <c r="W87" t="s">
        <v>55</v>
      </c>
      <c r="X87" t="s">
        <v>211</v>
      </c>
      <c r="Y87" t="s">
        <v>604</v>
      </c>
      <c r="Z87" t="s">
        <v>58</v>
      </c>
      <c r="AA87" t="s">
        <v>54</v>
      </c>
      <c r="AB87" t="s">
        <v>213</v>
      </c>
      <c r="AC87" t="s">
        <v>85</v>
      </c>
      <c r="AD87" t="s">
        <v>214</v>
      </c>
      <c r="AE87" t="s">
        <v>215</v>
      </c>
      <c r="AF87" t="s">
        <v>216</v>
      </c>
      <c r="AG87" t="s">
        <v>58</v>
      </c>
      <c r="AH87">
        <v>14304</v>
      </c>
      <c r="AK87">
        <v>1</v>
      </c>
      <c r="AL87" t="s">
        <v>61</v>
      </c>
      <c r="AM87" t="s">
        <v>653</v>
      </c>
      <c r="AN87" t="s">
        <v>654</v>
      </c>
    </row>
    <row r="88" spans="1:40" x14ac:dyDescent="0.35">
      <c r="A88" t="s">
        <v>37</v>
      </c>
      <c r="B88" t="s">
        <v>655</v>
      </c>
      <c r="C88" t="s">
        <v>656</v>
      </c>
      <c r="D88" t="s">
        <v>657</v>
      </c>
      <c r="E88" t="s">
        <v>658</v>
      </c>
      <c r="F88" s="1">
        <v>46078.511377314811</v>
      </c>
      <c r="G88" t="s">
        <v>355</v>
      </c>
      <c r="H88" t="s">
        <v>356</v>
      </c>
      <c r="I88" t="s">
        <v>659</v>
      </c>
      <c r="J88" t="s">
        <v>660</v>
      </c>
      <c r="K88" t="s">
        <v>661</v>
      </c>
      <c r="M88" t="s">
        <v>131</v>
      </c>
      <c r="O88" t="s">
        <v>77</v>
      </c>
      <c r="P88" t="s">
        <v>78</v>
      </c>
      <c r="Q88" t="s">
        <v>50</v>
      </c>
      <c r="R88" t="s">
        <v>662</v>
      </c>
      <c r="S88" t="s">
        <v>663</v>
      </c>
      <c r="T88" t="s">
        <v>664</v>
      </c>
      <c r="U88" s="1">
        <v>46078.562662037039</v>
      </c>
      <c r="V88" t="s">
        <v>54</v>
      </c>
      <c r="W88" t="s">
        <v>55</v>
      </c>
      <c r="X88" t="s">
        <v>56</v>
      </c>
      <c r="Y88" t="s">
        <v>665</v>
      </c>
      <c r="Z88" t="s">
        <v>58</v>
      </c>
      <c r="AA88" t="s">
        <v>54</v>
      </c>
      <c r="AB88" t="s">
        <v>666</v>
      </c>
      <c r="AC88" t="s">
        <v>85</v>
      </c>
      <c r="AD88" t="s">
        <v>667</v>
      </c>
      <c r="AE88" t="s">
        <v>667</v>
      </c>
      <c r="AF88" t="s">
        <v>664</v>
      </c>
      <c r="AG88" t="s">
        <v>58</v>
      </c>
      <c r="AH88" t="s">
        <v>668</v>
      </c>
      <c r="AK88">
        <v>0</v>
      </c>
      <c r="AL88" t="s">
        <v>61</v>
      </c>
      <c r="AM88" t="s">
        <v>666</v>
      </c>
      <c r="AN88" t="s">
        <v>669</v>
      </c>
    </row>
    <row r="89" spans="1:40" x14ac:dyDescent="0.35">
      <c r="A89" t="s">
        <v>37</v>
      </c>
      <c r="B89" t="s">
        <v>670</v>
      </c>
      <c r="C89" t="s">
        <v>39</v>
      </c>
      <c r="D89" t="s">
        <v>671</v>
      </c>
      <c r="E89" t="s">
        <v>672</v>
      </c>
      <c r="F89" s="1">
        <v>46078.505243055559</v>
      </c>
      <c r="G89" t="s">
        <v>402</v>
      </c>
      <c r="H89" t="s">
        <v>72</v>
      </c>
      <c r="I89" t="s">
        <v>205</v>
      </c>
      <c r="J89" t="s">
        <v>603</v>
      </c>
      <c r="K89" t="s">
        <v>207</v>
      </c>
      <c r="M89" t="s">
        <v>131</v>
      </c>
      <c r="O89" t="s">
        <v>77</v>
      </c>
      <c r="P89" t="s">
        <v>78</v>
      </c>
      <c r="R89" t="s">
        <v>208</v>
      </c>
      <c r="S89" t="s">
        <v>209</v>
      </c>
      <c r="T89" t="s">
        <v>210</v>
      </c>
      <c r="U89" s="1">
        <v>46078.644004629627</v>
      </c>
      <c r="V89" t="s">
        <v>54</v>
      </c>
      <c r="W89" t="s">
        <v>55</v>
      </c>
      <c r="X89" t="s">
        <v>211</v>
      </c>
      <c r="Y89" t="s">
        <v>604</v>
      </c>
      <c r="Z89" t="s">
        <v>58</v>
      </c>
      <c r="AA89" t="s">
        <v>54</v>
      </c>
      <c r="AB89" t="s">
        <v>213</v>
      </c>
      <c r="AC89" t="s">
        <v>85</v>
      </c>
      <c r="AD89" t="s">
        <v>214</v>
      </c>
      <c r="AE89" t="s">
        <v>215</v>
      </c>
      <c r="AF89" t="s">
        <v>216</v>
      </c>
      <c r="AG89" t="s">
        <v>58</v>
      </c>
      <c r="AH89">
        <v>12492</v>
      </c>
      <c r="AK89">
        <v>1</v>
      </c>
      <c r="AL89" t="s">
        <v>61</v>
      </c>
      <c r="AM89" t="s">
        <v>673</v>
      </c>
      <c r="AN89" t="s">
        <v>674</v>
      </c>
    </row>
    <row r="90" spans="1:40" x14ac:dyDescent="0.35">
      <c r="A90" t="s">
        <v>37</v>
      </c>
      <c r="B90" t="s">
        <v>675</v>
      </c>
      <c r="C90" t="s">
        <v>102</v>
      </c>
      <c r="D90" t="s">
        <v>676</v>
      </c>
      <c r="E90" t="s">
        <v>677</v>
      </c>
      <c r="F90" s="1">
        <v>46078.508981481478</v>
      </c>
      <c r="G90" t="s">
        <v>71</v>
      </c>
      <c r="H90" t="s">
        <v>72</v>
      </c>
      <c r="I90" t="s">
        <v>678</v>
      </c>
      <c r="J90" t="s">
        <v>679</v>
      </c>
      <c r="K90" t="s">
        <v>130</v>
      </c>
      <c r="M90" t="s">
        <v>150</v>
      </c>
      <c r="O90" t="s">
        <v>77</v>
      </c>
      <c r="P90" t="s">
        <v>78</v>
      </c>
      <c r="Q90" t="s">
        <v>50</v>
      </c>
      <c r="R90" t="s">
        <v>51</v>
      </c>
      <c r="S90" t="s">
        <v>195</v>
      </c>
      <c r="T90" t="s">
        <v>680</v>
      </c>
      <c r="U90" s="1">
        <v>46078.523009259261</v>
      </c>
      <c r="V90" t="s">
        <v>54</v>
      </c>
      <c r="W90" t="s">
        <v>55</v>
      </c>
      <c r="X90" t="s">
        <v>134</v>
      </c>
      <c r="Y90" t="s">
        <v>681</v>
      </c>
      <c r="Z90" t="s">
        <v>58</v>
      </c>
      <c r="AA90" t="s">
        <v>54</v>
      </c>
      <c r="AB90" t="s">
        <v>682</v>
      </c>
      <c r="AC90" t="s">
        <v>85</v>
      </c>
      <c r="AD90" t="s">
        <v>51</v>
      </c>
      <c r="AE90" t="s">
        <v>195</v>
      </c>
      <c r="AF90" t="s">
        <v>680</v>
      </c>
      <c r="AG90" t="s">
        <v>58</v>
      </c>
      <c r="AH90" t="s">
        <v>683</v>
      </c>
      <c r="AK90">
        <v>1</v>
      </c>
      <c r="AL90" t="s">
        <v>61</v>
      </c>
      <c r="AM90" t="s">
        <v>682</v>
      </c>
      <c r="AN90" t="s">
        <v>684</v>
      </c>
    </row>
    <row r="91" spans="1:40" x14ac:dyDescent="0.35">
      <c r="A91" t="s">
        <v>37</v>
      </c>
      <c r="B91" t="s">
        <v>685</v>
      </c>
      <c r="C91" t="s">
        <v>39</v>
      </c>
      <c r="D91" t="s">
        <v>686</v>
      </c>
      <c r="E91" t="s">
        <v>687</v>
      </c>
      <c r="F91" s="1">
        <v>46078.503645833334</v>
      </c>
      <c r="G91" t="s">
        <v>688</v>
      </c>
      <c r="H91" t="s">
        <v>106</v>
      </c>
      <c r="I91" t="s">
        <v>205</v>
      </c>
      <c r="J91" t="s">
        <v>603</v>
      </c>
      <c r="K91" t="s">
        <v>207</v>
      </c>
      <c r="M91" t="s">
        <v>131</v>
      </c>
      <c r="O91" t="s">
        <v>77</v>
      </c>
      <c r="P91" t="s">
        <v>78</v>
      </c>
      <c r="Q91" t="s">
        <v>50</v>
      </c>
      <c r="R91" t="s">
        <v>208</v>
      </c>
      <c r="S91" t="s">
        <v>209</v>
      </c>
      <c r="T91" t="s">
        <v>210</v>
      </c>
      <c r="U91" s="1">
        <v>46078.644629629627</v>
      </c>
      <c r="V91" t="s">
        <v>54</v>
      </c>
      <c r="W91" t="s">
        <v>55</v>
      </c>
      <c r="X91" t="s">
        <v>211</v>
      </c>
      <c r="Y91" t="s">
        <v>604</v>
      </c>
      <c r="Z91" t="s">
        <v>58</v>
      </c>
      <c r="AA91" t="s">
        <v>54</v>
      </c>
      <c r="AB91" t="s">
        <v>213</v>
      </c>
      <c r="AC91" t="s">
        <v>85</v>
      </c>
      <c r="AD91" t="s">
        <v>214</v>
      </c>
      <c r="AE91" t="s">
        <v>215</v>
      </c>
      <c r="AF91" t="s">
        <v>216</v>
      </c>
      <c r="AG91" t="s">
        <v>58</v>
      </c>
      <c r="AH91">
        <v>15145</v>
      </c>
      <c r="AK91">
        <v>1</v>
      </c>
      <c r="AL91" t="s">
        <v>61</v>
      </c>
      <c r="AM91" t="s">
        <v>689</v>
      </c>
      <c r="AN91" t="s">
        <v>690</v>
      </c>
    </row>
    <row r="92" spans="1:40" x14ac:dyDescent="0.35">
      <c r="A92" t="s">
        <v>37</v>
      </c>
      <c r="B92" t="s">
        <v>691</v>
      </c>
      <c r="C92" t="s">
        <v>102</v>
      </c>
      <c r="D92" t="s">
        <v>692</v>
      </c>
      <c r="E92" t="s">
        <v>693</v>
      </c>
      <c r="F92" s="1">
        <v>46078.504259259258</v>
      </c>
      <c r="G92" t="s">
        <v>487</v>
      </c>
      <c r="H92" t="s">
        <v>447</v>
      </c>
      <c r="I92" t="s">
        <v>694</v>
      </c>
      <c r="J92" t="s">
        <v>695</v>
      </c>
      <c r="K92" t="s">
        <v>75</v>
      </c>
      <c r="M92" t="s">
        <v>76</v>
      </c>
      <c r="O92" t="s">
        <v>237</v>
      </c>
      <c r="P92" t="s">
        <v>238</v>
      </c>
      <c r="Q92" t="s">
        <v>50</v>
      </c>
      <c r="R92" t="s">
        <v>79</v>
      </c>
      <c r="S92" t="s">
        <v>696</v>
      </c>
      <c r="T92" t="s">
        <v>697</v>
      </c>
      <c r="U92" s="1">
        <v>46078.504976851851</v>
      </c>
      <c r="V92" t="s">
        <v>54</v>
      </c>
      <c r="W92" t="s">
        <v>55</v>
      </c>
      <c r="X92" t="s">
        <v>82</v>
      </c>
      <c r="Y92" t="e">
        <f>- MS teams has been reinstalled - issue is resolved</f>
        <v>#NAME?</v>
      </c>
      <c r="Z92" t="s">
        <v>58</v>
      </c>
      <c r="AA92" t="s">
        <v>54</v>
      </c>
      <c r="AB92" t="s">
        <v>698</v>
      </c>
      <c r="AC92" t="s">
        <v>242</v>
      </c>
      <c r="AD92" t="s">
        <v>79</v>
      </c>
      <c r="AE92" t="s">
        <v>696</v>
      </c>
      <c r="AF92" t="s">
        <v>697</v>
      </c>
      <c r="AG92" t="s">
        <v>58</v>
      </c>
      <c r="AH92">
        <v>15882</v>
      </c>
      <c r="AK92">
        <v>0</v>
      </c>
      <c r="AL92" t="s">
        <v>61</v>
      </c>
      <c r="AM92" t="s">
        <v>699</v>
      </c>
      <c r="AN92" t="s">
        <v>700</v>
      </c>
    </row>
    <row r="93" spans="1:40" x14ac:dyDescent="0.35">
      <c r="A93" t="s">
        <v>37</v>
      </c>
      <c r="B93" t="s">
        <v>701</v>
      </c>
      <c r="C93" t="s">
        <v>39</v>
      </c>
      <c r="D93" t="s">
        <v>40</v>
      </c>
      <c r="E93" t="s">
        <v>41</v>
      </c>
      <c r="F93" s="1">
        <v>46078.494826388887</v>
      </c>
      <c r="G93" t="s">
        <v>42</v>
      </c>
      <c r="H93" t="s">
        <v>43</v>
      </c>
      <c r="I93" t="s">
        <v>702</v>
      </c>
      <c r="J93" t="s">
        <v>45</v>
      </c>
      <c r="K93" t="s">
        <v>46</v>
      </c>
      <c r="M93" t="s">
        <v>47</v>
      </c>
      <c r="O93" t="s">
        <v>48</v>
      </c>
      <c r="P93" t="s">
        <v>49</v>
      </c>
      <c r="Q93" t="s">
        <v>50</v>
      </c>
      <c r="R93" t="s">
        <v>51</v>
      </c>
      <c r="S93" t="s">
        <v>52</v>
      </c>
      <c r="T93" t="s">
        <v>53</v>
      </c>
      <c r="U93" s="1">
        <v>46078.495844907404</v>
      </c>
      <c r="V93" t="s">
        <v>54</v>
      </c>
      <c r="W93" t="s">
        <v>55</v>
      </c>
      <c r="X93" t="s">
        <v>56</v>
      </c>
      <c r="Y93" t="s">
        <v>57</v>
      </c>
      <c r="Z93" t="s">
        <v>58</v>
      </c>
      <c r="AA93" t="s">
        <v>54</v>
      </c>
      <c r="AB93" t="s">
        <v>59</v>
      </c>
      <c r="AC93" t="s">
        <v>60</v>
      </c>
      <c r="AD93" t="s">
        <v>51</v>
      </c>
      <c r="AE93" t="s">
        <v>52</v>
      </c>
      <c r="AF93" t="s">
        <v>53</v>
      </c>
      <c r="AG93" t="s">
        <v>58</v>
      </c>
      <c r="AK93">
        <v>0</v>
      </c>
      <c r="AL93" t="s">
        <v>61</v>
      </c>
      <c r="AM93" t="s">
        <v>59</v>
      </c>
      <c r="AN93" t="s">
        <v>62</v>
      </c>
    </row>
    <row r="94" spans="1:40" x14ac:dyDescent="0.35">
      <c r="A94" t="s">
        <v>37</v>
      </c>
      <c r="B94" t="s">
        <v>703</v>
      </c>
      <c r="C94" t="s">
        <v>39</v>
      </c>
      <c r="D94" t="s">
        <v>704</v>
      </c>
      <c r="E94" t="s">
        <v>705</v>
      </c>
      <c r="F94" s="1">
        <v>46078.495219907411</v>
      </c>
      <c r="G94" t="s">
        <v>71</v>
      </c>
      <c r="H94" t="s">
        <v>72</v>
      </c>
      <c r="I94" t="s">
        <v>706</v>
      </c>
      <c r="J94" t="s">
        <v>707</v>
      </c>
      <c r="K94" t="s">
        <v>75</v>
      </c>
      <c r="M94" t="s">
        <v>76</v>
      </c>
      <c r="O94" t="s">
        <v>77</v>
      </c>
      <c r="P94" t="s">
        <v>78</v>
      </c>
      <c r="Q94" t="s">
        <v>50</v>
      </c>
      <c r="R94" t="s">
        <v>79</v>
      </c>
      <c r="S94" t="s">
        <v>80</v>
      </c>
      <c r="T94" t="s">
        <v>81</v>
      </c>
      <c r="U94" s="1">
        <v>46078.495381944442</v>
      </c>
      <c r="V94" t="s">
        <v>54</v>
      </c>
      <c r="W94" t="s">
        <v>55</v>
      </c>
      <c r="X94" t="s">
        <v>82</v>
      </c>
      <c r="Y94" t="s">
        <v>708</v>
      </c>
      <c r="Z94" t="s">
        <v>58</v>
      </c>
      <c r="AA94" t="s">
        <v>54</v>
      </c>
      <c r="AB94" t="s">
        <v>709</v>
      </c>
      <c r="AC94" t="s">
        <v>85</v>
      </c>
      <c r="AD94" t="s">
        <v>79</v>
      </c>
      <c r="AE94" t="s">
        <v>80</v>
      </c>
      <c r="AF94" t="s">
        <v>81</v>
      </c>
      <c r="AG94" t="s">
        <v>58</v>
      </c>
      <c r="AH94">
        <v>13872</v>
      </c>
      <c r="AK94">
        <v>0</v>
      </c>
      <c r="AL94" t="s">
        <v>61</v>
      </c>
      <c r="AM94" t="s">
        <v>710</v>
      </c>
      <c r="AN94" t="s">
        <v>711</v>
      </c>
    </row>
    <row r="95" spans="1:40" x14ac:dyDescent="0.35">
      <c r="A95" t="s">
        <v>37</v>
      </c>
      <c r="B95" t="s">
        <v>712</v>
      </c>
      <c r="C95" t="s">
        <v>102</v>
      </c>
      <c r="D95" t="s">
        <v>713</v>
      </c>
      <c r="E95" t="s">
        <v>714</v>
      </c>
      <c r="F95" s="1">
        <v>46078.493946759256</v>
      </c>
      <c r="G95" t="s">
        <v>688</v>
      </c>
      <c r="H95" t="s">
        <v>106</v>
      </c>
      <c r="I95" t="s">
        <v>715</v>
      </c>
      <c r="J95" t="s">
        <v>235</v>
      </c>
      <c r="K95" t="s">
        <v>236</v>
      </c>
      <c r="M95" t="s">
        <v>76</v>
      </c>
      <c r="O95" t="s">
        <v>237</v>
      </c>
      <c r="P95" t="s">
        <v>238</v>
      </c>
      <c r="Q95" t="s">
        <v>50</v>
      </c>
      <c r="R95" t="s">
        <v>51</v>
      </c>
      <c r="S95" t="s">
        <v>52</v>
      </c>
      <c r="T95" t="s">
        <v>240</v>
      </c>
      <c r="U95" s="1">
        <v>46078.632962962962</v>
      </c>
      <c r="V95" t="s">
        <v>54</v>
      </c>
      <c r="W95" t="s">
        <v>55</v>
      </c>
      <c r="X95" t="s">
        <v>211</v>
      </c>
      <c r="Y95" t="s">
        <v>716</v>
      </c>
      <c r="Z95" t="s">
        <v>58</v>
      </c>
      <c r="AA95" t="s">
        <v>54</v>
      </c>
      <c r="AB95" t="s">
        <v>213</v>
      </c>
      <c r="AC95" t="s">
        <v>242</v>
      </c>
      <c r="AD95" t="s">
        <v>52</v>
      </c>
      <c r="AE95" t="s">
        <v>243</v>
      </c>
      <c r="AF95" t="s">
        <v>244</v>
      </c>
      <c r="AG95" t="s">
        <v>58</v>
      </c>
      <c r="AH95">
        <v>12597</v>
      </c>
      <c r="AK95">
        <v>1</v>
      </c>
      <c r="AL95" t="s">
        <v>61</v>
      </c>
      <c r="AM95" t="s">
        <v>717</v>
      </c>
      <c r="AN95" t="s">
        <v>718</v>
      </c>
    </row>
    <row r="96" spans="1:40" x14ac:dyDescent="0.35">
      <c r="A96" t="s">
        <v>37</v>
      </c>
      <c r="B96" t="s">
        <v>719</v>
      </c>
      <c r="C96" t="s">
        <v>39</v>
      </c>
      <c r="D96" t="s">
        <v>720</v>
      </c>
      <c r="E96" t="s">
        <v>721</v>
      </c>
      <c r="F96" s="1">
        <v>46078.495185185187</v>
      </c>
      <c r="G96" t="s">
        <v>722</v>
      </c>
      <c r="H96" t="s">
        <v>356</v>
      </c>
      <c r="I96" t="s">
        <v>723</v>
      </c>
      <c r="J96" t="s">
        <v>724</v>
      </c>
      <c r="K96" t="s">
        <v>75</v>
      </c>
      <c r="M96" t="s">
        <v>76</v>
      </c>
      <c r="O96" t="s">
        <v>237</v>
      </c>
      <c r="P96" t="s">
        <v>238</v>
      </c>
      <c r="Q96" t="s">
        <v>448</v>
      </c>
      <c r="R96" t="s">
        <v>79</v>
      </c>
      <c r="S96" t="s">
        <v>172</v>
      </c>
      <c r="T96" t="s">
        <v>725</v>
      </c>
      <c r="U96" s="1">
        <v>46078.496504629627</v>
      </c>
      <c r="V96" t="s">
        <v>54</v>
      </c>
      <c r="W96" t="s">
        <v>55</v>
      </c>
      <c r="X96" t="s">
        <v>82</v>
      </c>
      <c r="Y96" t="s">
        <v>726</v>
      </c>
      <c r="Z96" t="s">
        <v>58</v>
      </c>
      <c r="AA96" t="s">
        <v>54</v>
      </c>
      <c r="AB96" t="s">
        <v>727</v>
      </c>
      <c r="AC96" t="s">
        <v>242</v>
      </c>
      <c r="AD96" t="s">
        <v>79</v>
      </c>
      <c r="AE96" t="s">
        <v>172</v>
      </c>
      <c r="AF96" t="s">
        <v>728</v>
      </c>
      <c r="AG96" t="s">
        <v>58</v>
      </c>
      <c r="AH96">
        <v>12524</v>
      </c>
      <c r="AK96">
        <v>0</v>
      </c>
      <c r="AL96" t="s">
        <v>61</v>
      </c>
      <c r="AM96" t="s">
        <v>729</v>
      </c>
      <c r="AN96" t="s">
        <v>730</v>
      </c>
    </row>
    <row r="97" spans="1:40" x14ac:dyDescent="0.35">
      <c r="A97" t="s">
        <v>37</v>
      </c>
      <c r="B97" t="s">
        <v>731</v>
      </c>
      <c r="C97" t="s">
        <v>39</v>
      </c>
      <c r="D97" t="s">
        <v>732</v>
      </c>
      <c r="E97" t="s">
        <v>733</v>
      </c>
      <c r="F97" s="1">
        <v>46078.492662037039</v>
      </c>
      <c r="G97" t="s">
        <v>734</v>
      </c>
      <c r="H97" t="s">
        <v>356</v>
      </c>
      <c r="I97" t="s">
        <v>403</v>
      </c>
      <c r="J97" t="s">
        <v>404</v>
      </c>
      <c r="K97" t="s">
        <v>405</v>
      </c>
      <c r="M97" t="s">
        <v>76</v>
      </c>
      <c r="O97" t="s">
        <v>77</v>
      </c>
      <c r="P97" t="s">
        <v>78</v>
      </c>
      <c r="Q97" t="s">
        <v>50</v>
      </c>
      <c r="R97" t="s">
        <v>51</v>
      </c>
      <c r="S97" t="s">
        <v>52</v>
      </c>
      <c r="T97" t="s">
        <v>240</v>
      </c>
      <c r="U97" s="1">
        <v>46078.559490740743</v>
      </c>
      <c r="V97" t="s">
        <v>54</v>
      </c>
      <c r="W97" t="s">
        <v>55</v>
      </c>
      <c r="X97" t="s">
        <v>134</v>
      </c>
      <c r="Y97" t="s">
        <v>735</v>
      </c>
      <c r="Z97" t="s">
        <v>58</v>
      </c>
      <c r="AA97" t="s">
        <v>54</v>
      </c>
      <c r="AB97" t="s">
        <v>408</v>
      </c>
      <c r="AC97" t="s">
        <v>85</v>
      </c>
      <c r="AD97" t="s">
        <v>52</v>
      </c>
      <c r="AE97" t="s">
        <v>438</v>
      </c>
      <c r="AF97" t="s">
        <v>439</v>
      </c>
      <c r="AG97" t="s">
        <v>58</v>
      </c>
      <c r="AH97">
        <v>15860</v>
      </c>
      <c r="AK97">
        <v>1</v>
      </c>
      <c r="AL97" t="s">
        <v>61</v>
      </c>
      <c r="AM97" t="s">
        <v>736</v>
      </c>
      <c r="AN97" t="s">
        <v>737</v>
      </c>
    </row>
    <row r="98" spans="1:40" x14ac:dyDescent="0.35">
      <c r="A98" t="s">
        <v>37</v>
      </c>
      <c r="B98" t="s">
        <v>738</v>
      </c>
      <c r="C98" t="s">
        <v>39</v>
      </c>
      <c r="D98" t="s">
        <v>739</v>
      </c>
      <c r="E98" t="s">
        <v>740</v>
      </c>
      <c r="F98" s="1">
        <v>46078.490405092591</v>
      </c>
      <c r="G98" t="s">
        <v>355</v>
      </c>
      <c r="H98" t="s">
        <v>356</v>
      </c>
      <c r="I98" t="s">
        <v>205</v>
      </c>
      <c r="J98" t="s">
        <v>741</v>
      </c>
      <c r="K98" t="s">
        <v>207</v>
      </c>
      <c r="M98" t="s">
        <v>131</v>
      </c>
      <c r="O98" t="s">
        <v>77</v>
      </c>
      <c r="P98" t="s">
        <v>78</v>
      </c>
      <c r="Q98" t="s">
        <v>50</v>
      </c>
      <c r="R98" t="s">
        <v>305</v>
      </c>
      <c r="S98" t="s">
        <v>306</v>
      </c>
      <c r="T98" t="s">
        <v>307</v>
      </c>
      <c r="U98" s="1">
        <v>46078.703321759262</v>
      </c>
      <c r="V98" t="s">
        <v>54</v>
      </c>
      <c r="W98" t="s">
        <v>55</v>
      </c>
      <c r="X98" t="s">
        <v>211</v>
      </c>
      <c r="Y98" t="s">
        <v>742</v>
      </c>
      <c r="Z98" t="s">
        <v>58</v>
      </c>
      <c r="AA98" t="s">
        <v>54</v>
      </c>
      <c r="AB98" t="s">
        <v>213</v>
      </c>
      <c r="AC98" t="s">
        <v>85</v>
      </c>
      <c r="AD98" t="s">
        <v>214</v>
      </c>
      <c r="AE98" t="s">
        <v>215</v>
      </c>
      <c r="AF98" t="s">
        <v>161</v>
      </c>
      <c r="AG98" t="s">
        <v>58</v>
      </c>
      <c r="AH98" t="s">
        <v>743</v>
      </c>
      <c r="AK98">
        <v>2</v>
      </c>
      <c r="AL98" t="s">
        <v>61</v>
      </c>
      <c r="AM98" t="s">
        <v>744</v>
      </c>
      <c r="AN98" t="s">
        <v>745</v>
      </c>
    </row>
    <row r="99" spans="1:40" x14ac:dyDescent="0.35">
      <c r="A99" t="s">
        <v>37</v>
      </c>
      <c r="B99" t="s">
        <v>746</v>
      </c>
      <c r="C99" t="s">
        <v>102</v>
      </c>
      <c r="D99" t="s">
        <v>747</v>
      </c>
      <c r="E99" t="s">
        <v>748</v>
      </c>
      <c r="F99" s="1">
        <v>46078.488182870373</v>
      </c>
      <c r="G99" t="s">
        <v>464</v>
      </c>
      <c r="H99" t="s">
        <v>287</v>
      </c>
      <c r="I99" t="s">
        <v>749</v>
      </c>
      <c r="J99" t="s">
        <v>750</v>
      </c>
      <c r="K99" t="s">
        <v>751</v>
      </c>
      <c r="M99" t="s">
        <v>131</v>
      </c>
      <c r="O99" t="s">
        <v>237</v>
      </c>
      <c r="P99" t="s">
        <v>238</v>
      </c>
      <c r="Q99" t="s">
        <v>50</v>
      </c>
      <c r="R99" t="s">
        <v>305</v>
      </c>
      <c r="S99" t="s">
        <v>306</v>
      </c>
      <c r="T99" t="s">
        <v>307</v>
      </c>
      <c r="U99" s="1">
        <v>46078.586284722223</v>
      </c>
      <c r="V99" t="s">
        <v>54</v>
      </c>
      <c r="W99" t="s">
        <v>55</v>
      </c>
      <c r="X99" t="s">
        <v>211</v>
      </c>
      <c r="Y99" t="s">
        <v>752</v>
      </c>
      <c r="Z99" t="s">
        <v>58</v>
      </c>
      <c r="AA99" t="s">
        <v>54</v>
      </c>
      <c r="AB99" t="s">
        <v>213</v>
      </c>
      <c r="AC99" t="s">
        <v>242</v>
      </c>
      <c r="AD99" t="s">
        <v>305</v>
      </c>
      <c r="AE99" t="s">
        <v>306</v>
      </c>
      <c r="AF99" t="s">
        <v>307</v>
      </c>
      <c r="AG99" t="s">
        <v>58</v>
      </c>
      <c r="AH99">
        <v>12153</v>
      </c>
      <c r="AK99">
        <v>1</v>
      </c>
      <c r="AL99" t="s">
        <v>61</v>
      </c>
      <c r="AM99" t="s">
        <v>753</v>
      </c>
      <c r="AN99" t="s">
        <v>754</v>
      </c>
    </row>
    <row r="100" spans="1:40" x14ac:dyDescent="0.35">
      <c r="A100" t="s">
        <v>37</v>
      </c>
      <c r="B100" t="s">
        <v>755</v>
      </c>
      <c r="C100" t="s">
        <v>39</v>
      </c>
      <c r="D100" t="s">
        <v>756</v>
      </c>
      <c r="E100" t="s">
        <v>757</v>
      </c>
      <c r="F100" s="1">
        <v>46078.48709490741</v>
      </c>
      <c r="G100" t="s">
        <v>286</v>
      </c>
      <c r="H100" t="s">
        <v>287</v>
      </c>
      <c r="I100" t="s">
        <v>205</v>
      </c>
      <c r="J100" t="s">
        <v>206</v>
      </c>
      <c r="K100" t="s">
        <v>207</v>
      </c>
      <c r="M100" t="s">
        <v>131</v>
      </c>
      <c r="O100" t="s">
        <v>77</v>
      </c>
      <c r="P100" t="s">
        <v>78</v>
      </c>
      <c r="Q100" t="s">
        <v>50</v>
      </c>
      <c r="R100" t="s">
        <v>208</v>
      </c>
      <c r="S100" t="s">
        <v>209</v>
      </c>
      <c r="T100" t="s">
        <v>210</v>
      </c>
      <c r="U100" s="1">
        <v>46078.653726851851</v>
      </c>
      <c r="V100" t="s">
        <v>54</v>
      </c>
      <c r="W100" t="s">
        <v>55</v>
      </c>
      <c r="X100" t="s">
        <v>211</v>
      </c>
      <c r="Y100" t="s">
        <v>315</v>
      </c>
      <c r="Z100" t="s">
        <v>58</v>
      </c>
      <c r="AA100" t="s">
        <v>54</v>
      </c>
      <c r="AB100" t="s">
        <v>213</v>
      </c>
      <c r="AC100" t="s">
        <v>85</v>
      </c>
      <c r="AD100" t="s">
        <v>214</v>
      </c>
      <c r="AE100" t="s">
        <v>215</v>
      </c>
      <c r="AF100" t="s">
        <v>216</v>
      </c>
      <c r="AG100" t="s">
        <v>58</v>
      </c>
      <c r="AH100">
        <v>12662</v>
      </c>
      <c r="AK100">
        <v>1</v>
      </c>
      <c r="AL100" t="s">
        <v>61</v>
      </c>
      <c r="AM100" t="s">
        <v>758</v>
      </c>
      <c r="AN100" t="s">
        <v>759</v>
      </c>
    </row>
    <row r="101" spans="1:40" x14ac:dyDescent="0.35">
      <c r="A101" t="s">
        <v>37</v>
      </c>
      <c r="B101" t="s">
        <v>760</v>
      </c>
      <c r="C101" t="s">
        <v>102</v>
      </c>
      <c r="D101" t="s">
        <v>761</v>
      </c>
      <c r="E101" t="s">
        <v>762</v>
      </c>
      <c r="F101" s="1">
        <v>46078.48715277778</v>
      </c>
      <c r="G101" t="s">
        <v>105</v>
      </c>
      <c r="H101" t="s">
        <v>106</v>
      </c>
      <c r="I101" t="s">
        <v>763</v>
      </c>
      <c r="J101" t="s">
        <v>108</v>
      </c>
      <c r="K101" t="s">
        <v>109</v>
      </c>
      <c r="M101" t="s">
        <v>76</v>
      </c>
      <c r="O101" t="s">
        <v>77</v>
      </c>
      <c r="P101" t="s">
        <v>78</v>
      </c>
      <c r="Q101" t="s">
        <v>50</v>
      </c>
      <c r="R101" t="s">
        <v>111</v>
      </c>
      <c r="S101" t="s">
        <v>51</v>
      </c>
      <c r="T101" t="s">
        <v>112</v>
      </c>
      <c r="U101" s="1">
        <v>46078.615659722222</v>
      </c>
      <c r="V101" t="s">
        <v>54</v>
      </c>
      <c r="W101" t="s">
        <v>55</v>
      </c>
      <c r="X101" t="s">
        <v>82</v>
      </c>
      <c r="Y101" t="s">
        <v>764</v>
      </c>
      <c r="Z101" t="s">
        <v>58</v>
      </c>
      <c r="AA101" t="s">
        <v>54</v>
      </c>
      <c r="AB101" t="s">
        <v>115</v>
      </c>
      <c r="AC101" t="s">
        <v>85</v>
      </c>
      <c r="AD101" t="s">
        <v>116</v>
      </c>
      <c r="AE101" t="s">
        <v>117</v>
      </c>
      <c r="AF101" t="s">
        <v>144</v>
      </c>
      <c r="AG101" t="s">
        <v>58</v>
      </c>
      <c r="AH101" t="s">
        <v>765</v>
      </c>
      <c r="AK101">
        <v>1</v>
      </c>
      <c r="AL101" t="s">
        <v>61</v>
      </c>
      <c r="AM101" t="s">
        <v>766</v>
      </c>
      <c r="AN101" t="s">
        <v>767</v>
      </c>
    </row>
    <row r="102" spans="1:40" x14ac:dyDescent="0.35">
      <c r="A102" t="s">
        <v>37</v>
      </c>
      <c r="B102" t="s">
        <v>768</v>
      </c>
      <c r="C102" t="s">
        <v>39</v>
      </c>
      <c r="D102" t="s">
        <v>769</v>
      </c>
      <c r="E102" t="s">
        <v>770</v>
      </c>
      <c r="F102" s="1">
        <v>46078.486087962963</v>
      </c>
      <c r="G102" t="s">
        <v>771</v>
      </c>
      <c r="H102" t="s">
        <v>92</v>
      </c>
      <c r="I102" t="s">
        <v>772</v>
      </c>
      <c r="J102" t="s">
        <v>455</v>
      </c>
      <c r="K102" t="s">
        <v>436</v>
      </c>
      <c r="M102" t="s">
        <v>76</v>
      </c>
      <c r="O102" t="s">
        <v>77</v>
      </c>
      <c r="P102" t="s">
        <v>78</v>
      </c>
      <c r="Q102" t="s">
        <v>50</v>
      </c>
      <c r="R102" t="s">
        <v>51</v>
      </c>
      <c r="S102" t="s">
        <v>52</v>
      </c>
      <c r="T102" t="s">
        <v>773</v>
      </c>
      <c r="U102" s="1">
        <v>46078.645590277774</v>
      </c>
      <c r="V102" t="s">
        <v>54</v>
      </c>
      <c r="W102" t="s">
        <v>55</v>
      </c>
      <c r="X102" t="s">
        <v>211</v>
      </c>
      <c r="Y102" t="s">
        <v>774</v>
      </c>
      <c r="Z102" t="s">
        <v>58</v>
      </c>
      <c r="AA102" t="s">
        <v>54</v>
      </c>
      <c r="AB102" t="s">
        <v>213</v>
      </c>
      <c r="AC102" t="s">
        <v>85</v>
      </c>
      <c r="AD102" t="s">
        <v>52</v>
      </c>
      <c r="AE102" t="s">
        <v>438</v>
      </c>
      <c r="AF102" t="s">
        <v>775</v>
      </c>
      <c r="AG102" t="s">
        <v>58</v>
      </c>
      <c r="AH102">
        <v>13644</v>
      </c>
      <c r="AK102">
        <v>1</v>
      </c>
      <c r="AL102" t="s">
        <v>61</v>
      </c>
      <c r="AM102" t="s">
        <v>776</v>
      </c>
      <c r="AN102" t="s">
        <v>777</v>
      </c>
    </row>
    <row r="103" spans="1:40" x14ac:dyDescent="0.35">
      <c r="A103" t="s">
        <v>37</v>
      </c>
      <c r="B103" t="s">
        <v>778</v>
      </c>
      <c r="C103" t="s">
        <v>102</v>
      </c>
      <c r="D103" t="s">
        <v>713</v>
      </c>
      <c r="E103" t="s">
        <v>779</v>
      </c>
      <c r="F103" s="1">
        <v>46078.489930555559</v>
      </c>
      <c r="G103" t="s">
        <v>304</v>
      </c>
      <c r="H103" t="s">
        <v>106</v>
      </c>
      <c r="I103" t="s">
        <v>780</v>
      </c>
      <c r="J103" t="s">
        <v>707</v>
      </c>
      <c r="K103" t="s">
        <v>75</v>
      </c>
      <c r="M103" t="s">
        <v>76</v>
      </c>
      <c r="O103" t="s">
        <v>237</v>
      </c>
      <c r="P103" t="s">
        <v>238</v>
      </c>
      <c r="Q103" t="s">
        <v>50</v>
      </c>
      <c r="R103" t="s">
        <v>79</v>
      </c>
      <c r="S103" t="s">
        <v>781</v>
      </c>
      <c r="T103" t="s">
        <v>782</v>
      </c>
      <c r="U103" s="1">
        <v>46078.491875</v>
      </c>
      <c r="V103" t="s">
        <v>54</v>
      </c>
      <c r="W103" t="s">
        <v>55</v>
      </c>
      <c r="X103" t="s">
        <v>82</v>
      </c>
      <c r="Y103" t="s">
        <v>783</v>
      </c>
      <c r="Z103" t="s">
        <v>58</v>
      </c>
      <c r="AA103" t="s">
        <v>54</v>
      </c>
      <c r="AB103" t="s">
        <v>709</v>
      </c>
      <c r="AC103" t="s">
        <v>242</v>
      </c>
      <c r="AD103" t="s">
        <v>79</v>
      </c>
      <c r="AE103" t="s">
        <v>784</v>
      </c>
      <c r="AF103" t="s">
        <v>785</v>
      </c>
      <c r="AG103" t="s">
        <v>58</v>
      </c>
      <c r="AH103">
        <v>13457</v>
      </c>
      <c r="AK103">
        <v>0</v>
      </c>
      <c r="AL103" t="s">
        <v>61</v>
      </c>
      <c r="AM103" t="s">
        <v>786</v>
      </c>
      <c r="AN103" t="s">
        <v>787</v>
      </c>
    </row>
    <row r="104" spans="1:40" x14ac:dyDescent="0.35">
      <c r="A104" t="s">
        <v>37</v>
      </c>
      <c r="B104" t="s">
        <v>788</v>
      </c>
      <c r="C104" t="s">
        <v>102</v>
      </c>
      <c r="D104" t="s">
        <v>761</v>
      </c>
      <c r="E104" t="s">
        <v>762</v>
      </c>
      <c r="F104" s="1">
        <v>46078.486203703702</v>
      </c>
      <c r="G104" t="s">
        <v>105</v>
      </c>
      <c r="H104" t="s">
        <v>106</v>
      </c>
      <c r="I104" t="s">
        <v>789</v>
      </c>
      <c r="J104" t="s">
        <v>108</v>
      </c>
      <c r="K104" t="s">
        <v>109</v>
      </c>
      <c r="M104" t="s">
        <v>76</v>
      </c>
      <c r="O104" t="s">
        <v>77</v>
      </c>
      <c r="P104" t="s">
        <v>78</v>
      </c>
      <c r="Q104" t="s">
        <v>50</v>
      </c>
      <c r="R104" t="s">
        <v>111</v>
      </c>
      <c r="S104" t="s">
        <v>51</v>
      </c>
      <c r="T104" t="s">
        <v>112</v>
      </c>
      <c r="U104" s="1">
        <v>46078.616354166668</v>
      </c>
      <c r="V104" t="s">
        <v>54</v>
      </c>
      <c r="W104" t="s">
        <v>55</v>
      </c>
      <c r="X104" t="s">
        <v>82</v>
      </c>
      <c r="Y104" t="s">
        <v>790</v>
      </c>
      <c r="Z104" t="s">
        <v>58</v>
      </c>
      <c r="AA104" t="s">
        <v>54</v>
      </c>
      <c r="AB104" t="s">
        <v>115</v>
      </c>
      <c r="AC104" t="s">
        <v>85</v>
      </c>
      <c r="AD104" t="s">
        <v>116</v>
      </c>
      <c r="AE104" t="s">
        <v>117</v>
      </c>
      <c r="AF104" t="s">
        <v>144</v>
      </c>
      <c r="AG104" t="s">
        <v>58</v>
      </c>
      <c r="AH104" t="s">
        <v>765</v>
      </c>
      <c r="AK104">
        <v>1</v>
      </c>
      <c r="AL104" t="s">
        <v>61</v>
      </c>
      <c r="AM104" t="s">
        <v>766</v>
      </c>
      <c r="AN104" t="s">
        <v>767</v>
      </c>
    </row>
    <row r="105" spans="1:40" x14ac:dyDescent="0.35">
      <c r="A105" t="s">
        <v>37</v>
      </c>
      <c r="B105" t="s">
        <v>791</v>
      </c>
      <c r="C105" t="s">
        <v>39</v>
      </c>
      <c r="D105" t="s">
        <v>513</v>
      </c>
      <c r="E105" t="s">
        <v>792</v>
      </c>
      <c r="F105" s="1">
        <v>46078.485729166663</v>
      </c>
      <c r="G105" t="s">
        <v>793</v>
      </c>
      <c r="H105" t="s">
        <v>356</v>
      </c>
      <c r="I105" t="s">
        <v>794</v>
      </c>
      <c r="J105" t="s">
        <v>404</v>
      </c>
      <c r="K105" t="s">
        <v>405</v>
      </c>
      <c r="M105" t="s">
        <v>76</v>
      </c>
      <c r="O105" t="s">
        <v>77</v>
      </c>
      <c r="P105" t="s">
        <v>78</v>
      </c>
      <c r="Q105" t="s">
        <v>50</v>
      </c>
      <c r="R105" t="s">
        <v>51</v>
      </c>
      <c r="S105" t="s">
        <v>52</v>
      </c>
      <c r="T105" t="s">
        <v>240</v>
      </c>
      <c r="U105" s="1">
        <v>46078.554849537039</v>
      </c>
      <c r="V105" t="s">
        <v>54</v>
      </c>
      <c r="W105" t="s">
        <v>55</v>
      </c>
      <c r="X105" t="s">
        <v>134</v>
      </c>
      <c r="Y105" t="s">
        <v>795</v>
      </c>
      <c r="Z105" t="s">
        <v>58</v>
      </c>
      <c r="AA105" t="s">
        <v>54</v>
      </c>
      <c r="AB105" t="s">
        <v>612</v>
      </c>
      <c r="AC105" t="s">
        <v>85</v>
      </c>
      <c r="AD105" t="s">
        <v>52</v>
      </c>
      <c r="AE105" t="s">
        <v>243</v>
      </c>
      <c r="AF105" t="s">
        <v>244</v>
      </c>
      <c r="AG105" t="s">
        <v>58</v>
      </c>
      <c r="AH105">
        <v>15244</v>
      </c>
      <c r="AK105">
        <v>1</v>
      </c>
      <c r="AL105" t="s">
        <v>61</v>
      </c>
      <c r="AM105" t="s">
        <v>796</v>
      </c>
      <c r="AN105" t="s">
        <v>797</v>
      </c>
    </row>
    <row r="106" spans="1:40" x14ac:dyDescent="0.35">
      <c r="A106" t="s">
        <v>37</v>
      </c>
      <c r="B106" t="s">
        <v>798</v>
      </c>
      <c r="C106" t="s">
        <v>39</v>
      </c>
      <c r="D106" t="s">
        <v>799</v>
      </c>
      <c r="E106" t="s">
        <v>800</v>
      </c>
      <c r="F106" s="1">
        <v>46078.483287037037</v>
      </c>
      <c r="G106" t="s">
        <v>540</v>
      </c>
      <c r="H106" t="s">
        <v>447</v>
      </c>
      <c r="I106" t="s">
        <v>205</v>
      </c>
      <c r="J106" t="s">
        <v>603</v>
      </c>
      <c r="K106" t="s">
        <v>207</v>
      </c>
      <c r="M106" t="s">
        <v>131</v>
      </c>
      <c r="O106" t="s">
        <v>77</v>
      </c>
      <c r="P106" t="s">
        <v>78</v>
      </c>
      <c r="Q106" t="s">
        <v>50</v>
      </c>
      <c r="R106" t="s">
        <v>208</v>
      </c>
      <c r="S106" t="s">
        <v>209</v>
      </c>
      <c r="T106" t="s">
        <v>210</v>
      </c>
      <c r="U106" s="1">
        <v>46078.646689814814</v>
      </c>
      <c r="V106" t="s">
        <v>54</v>
      </c>
      <c r="W106" t="s">
        <v>55</v>
      </c>
      <c r="X106" t="s">
        <v>211</v>
      </c>
      <c r="Y106" t="s">
        <v>604</v>
      </c>
      <c r="Z106" t="s">
        <v>58</v>
      </c>
      <c r="AA106" t="s">
        <v>54</v>
      </c>
      <c r="AB106" t="s">
        <v>213</v>
      </c>
      <c r="AC106" t="s">
        <v>85</v>
      </c>
      <c r="AD106" t="s">
        <v>214</v>
      </c>
      <c r="AE106" t="s">
        <v>215</v>
      </c>
      <c r="AF106" t="s">
        <v>216</v>
      </c>
      <c r="AG106" t="s">
        <v>58</v>
      </c>
      <c r="AH106">
        <v>12707</v>
      </c>
      <c r="AK106">
        <v>1</v>
      </c>
      <c r="AL106" t="s">
        <v>61</v>
      </c>
      <c r="AM106" t="s">
        <v>801</v>
      </c>
      <c r="AN106" t="s">
        <v>802</v>
      </c>
    </row>
    <row r="107" spans="1:40" x14ac:dyDescent="0.35">
      <c r="A107" t="s">
        <v>37</v>
      </c>
      <c r="B107" t="s">
        <v>803</v>
      </c>
      <c r="C107" t="s">
        <v>39</v>
      </c>
      <c r="D107" t="s">
        <v>40</v>
      </c>
      <c r="E107" t="s">
        <v>41</v>
      </c>
      <c r="F107" s="1">
        <v>46078.482268518521</v>
      </c>
      <c r="G107" t="s">
        <v>42</v>
      </c>
      <c r="H107" t="s">
        <v>43</v>
      </c>
      <c r="I107" t="s">
        <v>804</v>
      </c>
      <c r="J107" t="s">
        <v>45</v>
      </c>
      <c r="K107" t="s">
        <v>46</v>
      </c>
      <c r="M107" t="s">
        <v>47</v>
      </c>
      <c r="O107" t="s">
        <v>48</v>
      </c>
      <c r="P107" t="s">
        <v>49</v>
      </c>
      <c r="Q107" t="s">
        <v>50</v>
      </c>
      <c r="R107" t="s">
        <v>51</v>
      </c>
      <c r="S107" t="s">
        <v>52</v>
      </c>
      <c r="T107" t="s">
        <v>53</v>
      </c>
      <c r="U107" s="1">
        <v>46078.483495370368</v>
      </c>
      <c r="V107" t="s">
        <v>54</v>
      </c>
      <c r="W107" t="s">
        <v>55</v>
      </c>
      <c r="X107" t="s">
        <v>56</v>
      </c>
      <c r="Y107" t="s">
        <v>57</v>
      </c>
      <c r="Z107" t="s">
        <v>58</v>
      </c>
      <c r="AA107" t="s">
        <v>54</v>
      </c>
      <c r="AB107" t="s">
        <v>59</v>
      </c>
      <c r="AC107" t="s">
        <v>60</v>
      </c>
      <c r="AD107" t="s">
        <v>51</v>
      </c>
      <c r="AE107" t="s">
        <v>52</v>
      </c>
      <c r="AF107" t="s">
        <v>53</v>
      </c>
      <c r="AG107" t="s">
        <v>58</v>
      </c>
      <c r="AK107">
        <v>0</v>
      </c>
      <c r="AL107" t="s">
        <v>61</v>
      </c>
      <c r="AM107" t="s">
        <v>59</v>
      </c>
      <c r="AN107" t="s">
        <v>62</v>
      </c>
    </row>
    <row r="108" spans="1:40" x14ac:dyDescent="0.35">
      <c r="A108" t="s">
        <v>37</v>
      </c>
      <c r="B108" t="s">
        <v>805</v>
      </c>
      <c r="C108" t="s">
        <v>39</v>
      </c>
      <c r="D108" t="s">
        <v>127</v>
      </c>
      <c r="E108" t="s">
        <v>806</v>
      </c>
      <c r="F108" s="1">
        <v>46078.481458333335</v>
      </c>
      <c r="G108" t="s">
        <v>807</v>
      </c>
      <c r="H108" t="s">
        <v>43</v>
      </c>
      <c r="I108" t="s">
        <v>205</v>
      </c>
      <c r="J108" t="s">
        <v>603</v>
      </c>
      <c r="K108" t="s">
        <v>207</v>
      </c>
      <c r="M108" t="s">
        <v>131</v>
      </c>
      <c r="O108" t="s">
        <v>77</v>
      </c>
      <c r="P108" t="s">
        <v>78</v>
      </c>
      <c r="Q108" t="s">
        <v>50</v>
      </c>
      <c r="R108" t="s">
        <v>208</v>
      </c>
      <c r="S108" t="s">
        <v>209</v>
      </c>
      <c r="T108" t="s">
        <v>210</v>
      </c>
      <c r="U108" s="1">
        <v>46078.649108796293</v>
      </c>
      <c r="V108" t="s">
        <v>54</v>
      </c>
      <c r="W108" t="s">
        <v>55</v>
      </c>
      <c r="X108" t="s">
        <v>211</v>
      </c>
      <c r="Y108" t="s">
        <v>604</v>
      </c>
      <c r="Z108" t="s">
        <v>58</v>
      </c>
      <c r="AA108" t="s">
        <v>54</v>
      </c>
      <c r="AB108" t="s">
        <v>213</v>
      </c>
      <c r="AC108" t="s">
        <v>85</v>
      </c>
      <c r="AD108" t="s">
        <v>214</v>
      </c>
      <c r="AE108" t="s">
        <v>215</v>
      </c>
      <c r="AF108" t="s">
        <v>216</v>
      </c>
      <c r="AG108" t="s">
        <v>58</v>
      </c>
      <c r="AH108">
        <v>12582</v>
      </c>
      <c r="AK108">
        <v>1</v>
      </c>
      <c r="AL108" t="s">
        <v>61</v>
      </c>
      <c r="AM108" t="s">
        <v>808</v>
      </c>
      <c r="AN108" t="s">
        <v>809</v>
      </c>
    </row>
    <row r="109" spans="1:40" x14ac:dyDescent="0.35">
      <c r="A109" t="s">
        <v>37</v>
      </c>
      <c r="B109" t="s">
        <v>810</v>
      </c>
      <c r="C109" t="s">
        <v>39</v>
      </c>
      <c r="D109" t="s">
        <v>519</v>
      </c>
      <c r="E109" t="s">
        <v>520</v>
      </c>
      <c r="F109" s="1">
        <v>46078.482418981483</v>
      </c>
      <c r="G109" t="s">
        <v>286</v>
      </c>
      <c r="H109" t="s">
        <v>287</v>
      </c>
      <c r="I109" t="s">
        <v>811</v>
      </c>
      <c r="J109" t="s">
        <v>521</v>
      </c>
      <c r="K109" t="s">
        <v>130</v>
      </c>
      <c r="M109" t="s">
        <v>131</v>
      </c>
      <c r="O109" t="s">
        <v>77</v>
      </c>
      <c r="P109" t="s">
        <v>78</v>
      </c>
      <c r="Q109" t="s">
        <v>50</v>
      </c>
      <c r="R109" t="s">
        <v>132</v>
      </c>
      <c r="S109" t="s">
        <v>133</v>
      </c>
      <c r="T109" t="s">
        <v>133</v>
      </c>
      <c r="U109" s="1">
        <v>46078.529270833336</v>
      </c>
      <c r="V109" t="s">
        <v>54</v>
      </c>
      <c r="W109" t="s">
        <v>55</v>
      </c>
      <c r="X109" t="s">
        <v>82</v>
      </c>
      <c r="Y109" t="s">
        <v>812</v>
      </c>
      <c r="Z109" t="s">
        <v>58</v>
      </c>
      <c r="AA109" t="s">
        <v>54</v>
      </c>
      <c r="AB109" t="s">
        <v>523</v>
      </c>
      <c r="AC109" t="s">
        <v>85</v>
      </c>
      <c r="AD109" t="s">
        <v>132</v>
      </c>
      <c r="AE109" t="s">
        <v>133</v>
      </c>
      <c r="AF109" t="s">
        <v>133</v>
      </c>
      <c r="AG109" t="s">
        <v>58</v>
      </c>
      <c r="AH109" t="s">
        <v>524</v>
      </c>
      <c r="AK109">
        <v>1</v>
      </c>
      <c r="AL109" t="s">
        <v>61</v>
      </c>
      <c r="AM109" t="s">
        <v>523</v>
      </c>
      <c r="AN109" t="s">
        <v>525</v>
      </c>
    </row>
    <row r="110" spans="1:40" x14ac:dyDescent="0.35">
      <c r="A110" t="s">
        <v>37</v>
      </c>
      <c r="B110" t="s">
        <v>813</v>
      </c>
      <c r="C110" t="s">
        <v>39</v>
      </c>
      <c r="D110" t="s">
        <v>513</v>
      </c>
      <c r="E110" t="s">
        <v>814</v>
      </c>
      <c r="F110" s="1">
        <v>46078.480300925927</v>
      </c>
      <c r="G110" t="s">
        <v>402</v>
      </c>
      <c r="H110" t="s">
        <v>72</v>
      </c>
      <c r="I110" t="s">
        <v>815</v>
      </c>
      <c r="J110" t="s">
        <v>816</v>
      </c>
      <c r="K110" t="s">
        <v>817</v>
      </c>
      <c r="M110" t="s">
        <v>76</v>
      </c>
      <c r="O110" t="s">
        <v>77</v>
      </c>
      <c r="P110" t="s">
        <v>78</v>
      </c>
      <c r="Q110" t="s">
        <v>818</v>
      </c>
      <c r="R110" t="s">
        <v>51</v>
      </c>
      <c r="S110" t="s">
        <v>819</v>
      </c>
      <c r="T110" t="s">
        <v>817</v>
      </c>
      <c r="U110" s="1">
        <v>46078.626168981478</v>
      </c>
      <c r="V110" t="s">
        <v>54</v>
      </c>
      <c r="W110" t="s">
        <v>55</v>
      </c>
      <c r="X110" t="s">
        <v>134</v>
      </c>
      <c r="Y110" t="s">
        <v>820</v>
      </c>
      <c r="Z110" t="s">
        <v>58</v>
      </c>
      <c r="AA110" t="s">
        <v>54</v>
      </c>
      <c r="AB110" t="s">
        <v>408</v>
      </c>
      <c r="AC110" t="s">
        <v>85</v>
      </c>
      <c r="AD110" t="s">
        <v>51</v>
      </c>
      <c r="AE110" t="s">
        <v>819</v>
      </c>
      <c r="AF110" t="s">
        <v>817</v>
      </c>
      <c r="AG110" t="s">
        <v>58</v>
      </c>
      <c r="AH110">
        <v>2833</v>
      </c>
      <c r="AK110">
        <v>1</v>
      </c>
      <c r="AL110" t="s">
        <v>61</v>
      </c>
      <c r="AM110" t="s">
        <v>821</v>
      </c>
      <c r="AN110" t="s">
        <v>822</v>
      </c>
    </row>
    <row r="111" spans="1:40" x14ac:dyDescent="0.35">
      <c r="A111" t="s">
        <v>37</v>
      </c>
      <c r="B111" t="s">
        <v>823</v>
      </c>
      <c r="C111" t="s">
        <v>102</v>
      </c>
      <c r="D111" t="s">
        <v>824</v>
      </c>
      <c r="E111" t="s">
        <v>825</v>
      </c>
      <c r="F111" s="1">
        <v>46078.479699074072</v>
      </c>
      <c r="G111" t="s">
        <v>826</v>
      </c>
      <c r="H111" t="s">
        <v>356</v>
      </c>
      <c r="I111" t="s">
        <v>827</v>
      </c>
      <c r="J111" t="s">
        <v>828</v>
      </c>
      <c r="K111" t="s">
        <v>829</v>
      </c>
      <c r="M111" t="s">
        <v>830</v>
      </c>
      <c r="O111" t="s">
        <v>237</v>
      </c>
      <c r="P111" t="s">
        <v>238</v>
      </c>
      <c r="Q111" t="s">
        <v>50</v>
      </c>
      <c r="R111" t="s">
        <v>51</v>
      </c>
      <c r="S111" t="s">
        <v>831</v>
      </c>
      <c r="T111" t="s">
        <v>829</v>
      </c>
      <c r="U111" s="1">
        <v>46078.57371527778</v>
      </c>
      <c r="V111" t="s">
        <v>54</v>
      </c>
      <c r="W111" t="s">
        <v>55</v>
      </c>
      <c r="X111" t="s">
        <v>196</v>
      </c>
      <c r="Y111" t="s">
        <v>832</v>
      </c>
      <c r="Z111" t="s">
        <v>58</v>
      </c>
      <c r="AA111" t="s">
        <v>54</v>
      </c>
      <c r="AB111" t="s">
        <v>833</v>
      </c>
      <c r="AC111" t="s">
        <v>242</v>
      </c>
      <c r="AD111" t="s">
        <v>51</v>
      </c>
      <c r="AE111" t="s">
        <v>834</v>
      </c>
      <c r="AF111" t="s">
        <v>834</v>
      </c>
      <c r="AG111" t="s">
        <v>58</v>
      </c>
      <c r="AH111">
        <v>12697</v>
      </c>
      <c r="AK111">
        <v>0</v>
      </c>
      <c r="AL111" t="s">
        <v>61</v>
      </c>
      <c r="AM111" t="s">
        <v>833</v>
      </c>
      <c r="AN111" t="s">
        <v>835</v>
      </c>
    </row>
    <row r="112" spans="1:40" x14ac:dyDescent="0.35">
      <c r="A112" t="s">
        <v>37</v>
      </c>
      <c r="B112" t="s">
        <v>836</v>
      </c>
      <c r="C112" t="s">
        <v>39</v>
      </c>
      <c r="D112" t="s">
        <v>837</v>
      </c>
      <c r="E112" t="s">
        <v>838</v>
      </c>
      <c r="F112" s="1">
        <v>46078.479004629633</v>
      </c>
      <c r="G112" t="s">
        <v>355</v>
      </c>
      <c r="H112" t="s">
        <v>356</v>
      </c>
      <c r="I112" t="s">
        <v>839</v>
      </c>
      <c r="J112" t="s">
        <v>695</v>
      </c>
      <c r="K112" t="s">
        <v>75</v>
      </c>
      <c r="M112" t="s">
        <v>76</v>
      </c>
      <c r="O112" t="s">
        <v>77</v>
      </c>
      <c r="P112" t="s">
        <v>78</v>
      </c>
      <c r="Q112" t="s">
        <v>50</v>
      </c>
      <c r="R112" t="s">
        <v>79</v>
      </c>
      <c r="S112" t="s">
        <v>172</v>
      </c>
      <c r="T112" t="s">
        <v>840</v>
      </c>
      <c r="U112" s="1">
        <v>46078.479212962964</v>
      </c>
      <c r="V112" t="s">
        <v>54</v>
      </c>
      <c r="W112" t="s">
        <v>55</v>
      </c>
      <c r="X112" t="s">
        <v>82</v>
      </c>
      <c r="Y112" t="s">
        <v>841</v>
      </c>
      <c r="Z112" t="s">
        <v>58</v>
      </c>
      <c r="AA112" t="s">
        <v>54</v>
      </c>
      <c r="AB112" t="s">
        <v>698</v>
      </c>
      <c r="AC112" t="s">
        <v>85</v>
      </c>
      <c r="AD112" t="s">
        <v>79</v>
      </c>
      <c r="AE112" t="s">
        <v>172</v>
      </c>
      <c r="AF112" t="s">
        <v>728</v>
      </c>
      <c r="AG112" t="s">
        <v>58</v>
      </c>
      <c r="AH112">
        <v>15898</v>
      </c>
      <c r="AK112">
        <v>0</v>
      </c>
      <c r="AL112" t="s">
        <v>61</v>
      </c>
      <c r="AM112" t="s">
        <v>842</v>
      </c>
      <c r="AN112" t="s">
        <v>843</v>
      </c>
    </row>
    <row r="113" spans="1:40" x14ac:dyDescent="0.35">
      <c r="A113" t="s">
        <v>37</v>
      </c>
      <c r="B113" t="s">
        <v>844</v>
      </c>
      <c r="C113" t="s">
        <v>102</v>
      </c>
      <c r="D113" t="s">
        <v>824</v>
      </c>
      <c r="E113" t="s">
        <v>825</v>
      </c>
      <c r="F113" s="1">
        <v>46078.478460648148</v>
      </c>
      <c r="G113" t="s">
        <v>826</v>
      </c>
      <c r="H113" t="s">
        <v>356</v>
      </c>
      <c r="I113" t="s">
        <v>845</v>
      </c>
      <c r="J113" t="s">
        <v>828</v>
      </c>
      <c r="K113" t="s">
        <v>829</v>
      </c>
      <c r="M113" t="s">
        <v>131</v>
      </c>
      <c r="O113" t="s">
        <v>237</v>
      </c>
      <c r="P113" t="s">
        <v>238</v>
      </c>
      <c r="Q113" t="s">
        <v>50</v>
      </c>
      <c r="R113" t="s">
        <v>51</v>
      </c>
      <c r="S113" t="s">
        <v>831</v>
      </c>
      <c r="T113" t="s">
        <v>829</v>
      </c>
      <c r="U113" s="1">
        <v>46078.553553240738</v>
      </c>
      <c r="V113" t="s">
        <v>54</v>
      </c>
      <c r="W113" t="s">
        <v>55</v>
      </c>
      <c r="X113" t="s">
        <v>196</v>
      </c>
      <c r="Y113" t="s">
        <v>846</v>
      </c>
      <c r="Z113" t="s">
        <v>58</v>
      </c>
      <c r="AA113" t="s">
        <v>54</v>
      </c>
      <c r="AB113" t="s">
        <v>833</v>
      </c>
      <c r="AC113" t="s">
        <v>242</v>
      </c>
      <c r="AD113" t="s">
        <v>51</v>
      </c>
      <c r="AE113" t="s">
        <v>834</v>
      </c>
      <c r="AF113" t="s">
        <v>834</v>
      </c>
      <c r="AG113" t="s">
        <v>58</v>
      </c>
      <c r="AH113">
        <v>12697</v>
      </c>
      <c r="AK113">
        <v>0</v>
      </c>
      <c r="AL113" t="s">
        <v>61</v>
      </c>
      <c r="AM113" t="s">
        <v>833</v>
      </c>
      <c r="AN113" t="s">
        <v>835</v>
      </c>
    </row>
    <row r="114" spans="1:40" x14ac:dyDescent="0.35">
      <c r="A114" t="s">
        <v>37</v>
      </c>
      <c r="B114" t="s">
        <v>847</v>
      </c>
      <c r="C114" t="s">
        <v>102</v>
      </c>
      <c r="D114" t="s">
        <v>676</v>
      </c>
      <c r="E114" t="s">
        <v>677</v>
      </c>
      <c r="F114" s="1">
        <v>46078.478819444441</v>
      </c>
      <c r="G114" t="s">
        <v>71</v>
      </c>
      <c r="H114" t="s">
        <v>72</v>
      </c>
      <c r="I114" t="s">
        <v>619</v>
      </c>
      <c r="J114" t="s">
        <v>679</v>
      </c>
      <c r="K114" t="s">
        <v>130</v>
      </c>
      <c r="M114" t="s">
        <v>131</v>
      </c>
      <c r="O114" t="s">
        <v>77</v>
      </c>
      <c r="P114" t="s">
        <v>78</v>
      </c>
      <c r="Q114" t="s">
        <v>50</v>
      </c>
      <c r="R114" t="s">
        <v>51</v>
      </c>
      <c r="S114" t="s">
        <v>195</v>
      </c>
      <c r="T114" t="s">
        <v>680</v>
      </c>
      <c r="U114" s="1">
        <v>46078.502083333333</v>
      </c>
      <c r="V114" t="s">
        <v>54</v>
      </c>
      <c r="W114" t="s">
        <v>55</v>
      </c>
      <c r="X114" t="s">
        <v>134</v>
      </c>
      <c r="Y114" t="s">
        <v>848</v>
      </c>
      <c r="Z114" t="s">
        <v>58</v>
      </c>
      <c r="AA114" t="s">
        <v>54</v>
      </c>
      <c r="AB114" t="s">
        <v>682</v>
      </c>
      <c r="AC114" t="s">
        <v>85</v>
      </c>
      <c r="AD114" t="s">
        <v>51</v>
      </c>
      <c r="AE114" t="s">
        <v>195</v>
      </c>
      <c r="AF114" t="s">
        <v>680</v>
      </c>
      <c r="AG114" t="s">
        <v>58</v>
      </c>
      <c r="AH114" t="s">
        <v>683</v>
      </c>
      <c r="AK114">
        <v>1</v>
      </c>
      <c r="AL114" t="s">
        <v>61</v>
      </c>
      <c r="AM114" t="s">
        <v>682</v>
      </c>
      <c r="AN114" t="s">
        <v>684</v>
      </c>
    </row>
    <row r="115" spans="1:40" x14ac:dyDescent="0.35">
      <c r="A115" t="s">
        <v>37</v>
      </c>
      <c r="B115" t="s">
        <v>849</v>
      </c>
      <c r="C115" t="s">
        <v>102</v>
      </c>
      <c r="D115" t="s">
        <v>824</v>
      </c>
      <c r="E115" t="s">
        <v>825</v>
      </c>
      <c r="F115" s="1">
        <v>46078.477106481485</v>
      </c>
      <c r="G115" t="s">
        <v>826</v>
      </c>
      <c r="H115" t="s">
        <v>356</v>
      </c>
      <c r="I115" t="s">
        <v>850</v>
      </c>
      <c r="J115" t="s">
        <v>828</v>
      </c>
      <c r="K115" t="s">
        <v>829</v>
      </c>
      <c r="M115" t="s">
        <v>830</v>
      </c>
      <c r="O115" t="s">
        <v>237</v>
      </c>
      <c r="P115" t="s">
        <v>238</v>
      </c>
      <c r="Q115" t="s">
        <v>50</v>
      </c>
      <c r="R115" t="s">
        <v>51</v>
      </c>
      <c r="S115" t="s">
        <v>831</v>
      </c>
      <c r="T115" t="s">
        <v>829</v>
      </c>
      <c r="U115" s="1">
        <v>46078.544525462959</v>
      </c>
      <c r="V115" t="s">
        <v>54</v>
      </c>
      <c r="W115" t="s">
        <v>55</v>
      </c>
      <c r="X115" t="s">
        <v>196</v>
      </c>
      <c r="Y115" t="s">
        <v>851</v>
      </c>
      <c r="Z115" t="s">
        <v>58</v>
      </c>
      <c r="AA115" t="s">
        <v>54</v>
      </c>
      <c r="AB115" t="s">
        <v>833</v>
      </c>
      <c r="AC115" t="s">
        <v>242</v>
      </c>
      <c r="AD115" t="s">
        <v>51</v>
      </c>
      <c r="AE115" t="s">
        <v>834</v>
      </c>
      <c r="AF115" t="s">
        <v>834</v>
      </c>
      <c r="AG115" t="s">
        <v>58</v>
      </c>
      <c r="AH115">
        <v>12697</v>
      </c>
      <c r="AK115">
        <v>0</v>
      </c>
      <c r="AL115" t="s">
        <v>61</v>
      </c>
      <c r="AM115" t="s">
        <v>833</v>
      </c>
      <c r="AN115" t="s">
        <v>835</v>
      </c>
    </row>
    <row r="116" spans="1:40" x14ac:dyDescent="0.35">
      <c r="A116" t="s">
        <v>37</v>
      </c>
      <c r="B116" t="s">
        <v>852</v>
      </c>
      <c r="C116" t="s">
        <v>39</v>
      </c>
      <c r="D116" t="s">
        <v>853</v>
      </c>
      <c r="E116" t="s">
        <v>854</v>
      </c>
      <c r="F116" s="1">
        <v>46078.474340277775</v>
      </c>
      <c r="G116" t="s">
        <v>855</v>
      </c>
      <c r="H116" t="s">
        <v>447</v>
      </c>
      <c r="I116" t="s">
        <v>205</v>
      </c>
      <c r="J116" t="s">
        <v>603</v>
      </c>
      <c r="K116" t="s">
        <v>207</v>
      </c>
      <c r="M116" t="s">
        <v>131</v>
      </c>
      <c r="O116" t="s">
        <v>77</v>
      </c>
      <c r="P116" t="s">
        <v>78</v>
      </c>
      <c r="Q116" t="s">
        <v>856</v>
      </c>
      <c r="R116" t="s">
        <v>208</v>
      </c>
      <c r="S116" t="s">
        <v>209</v>
      </c>
      <c r="T116" t="s">
        <v>210</v>
      </c>
      <c r="U116" s="1">
        <v>46078.649826388886</v>
      </c>
      <c r="V116" t="s">
        <v>54</v>
      </c>
      <c r="W116" t="s">
        <v>55</v>
      </c>
      <c r="X116" t="s">
        <v>211</v>
      </c>
      <c r="Y116" t="s">
        <v>604</v>
      </c>
      <c r="Z116" t="s">
        <v>58</v>
      </c>
      <c r="AA116" t="s">
        <v>54</v>
      </c>
      <c r="AB116" t="s">
        <v>213</v>
      </c>
      <c r="AC116" t="s">
        <v>85</v>
      </c>
      <c r="AD116" t="s">
        <v>214</v>
      </c>
      <c r="AE116" t="s">
        <v>215</v>
      </c>
      <c r="AF116" t="s">
        <v>216</v>
      </c>
      <c r="AG116" t="s">
        <v>58</v>
      </c>
      <c r="AH116">
        <v>10313</v>
      </c>
      <c r="AK116">
        <v>1</v>
      </c>
      <c r="AL116" t="s">
        <v>61</v>
      </c>
      <c r="AM116" t="s">
        <v>857</v>
      </c>
      <c r="AN116" t="s">
        <v>858</v>
      </c>
    </row>
    <row r="117" spans="1:40" x14ac:dyDescent="0.35">
      <c r="A117" t="s">
        <v>37</v>
      </c>
      <c r="B117" t="s">
        <v>859</v>
      </c>
      <c r="C117" t="s">
        <v>39</v>
      </c>
      <c r="D117" t="s">
        <v>40</v>
      </c>
      <c r="E117" t="s">
        <v>41</v>
      </c>
      <c r="F117" s="1">
        <v>46078.471875000003</v>
      </c>
      <c r="G117" t="s">
        <v>42</v>
      </c>
      <c r="H117" t="s">
        <v>43</v>
      </c>
      <c r="I117" t="s">
        <v>860</v>
      </c>
      <c r="J117" t="s">
        <v>45</v>
      </c>
      <c r="K117" t="s">
        <v>46</v>
      </c>
      <c r="M117" t="s">
        <v>47</v>
      </c>
      <c r="O117" t="s">
        <v>237</v>
      </c>
      <c r="P117" t="s">
        <v>238</v>
      </c>
      <c r="Q117" t="s">
        <v>50</v>
      </c>
      <c r="R117" t="s">
        <v>51</v>
      </c>
      <c r="S117" t="s">
        <v>52</v>
      </c>
      <c r="T117" t="s">
        <v>53</v>
      </c>
      <c r="U117" s="1">
        <v>46078.473333333335</v>
      </c>
      <c r="V117" t="s">
        <v>54</v>
      </c>
      <c r="W117" t="s">
        <v>55</v>
      </c>
      <c r="X117" t="s">
        <v>56</v>
      </c>
      <c r="Y117" t="s">
        <v>57</v>
      </c>
      <c r="Z117" t="s">
        <v>58</v>
      </c>
      <c r="AA117" t="s">
        <v>54</v>
      </c>
      <c r="AB117" t="s">
        <v>59</v>
      </c>
      <c r="AC117" t="s">
        <v>242</v>
      </c>
      <c r="AD117" t="s">
        <v>51</v>
      </c>
      <c r="AE117" t="s">
        <v>52</v>
      </c>
      <c r="AF117" t="s">
        <v>53</v>
      </c>
      <c r="AG117" t="s">
        <v>58</v>
      </c>
      <c r="AK117">
        <v>0</v>
      </c>
      <c r="AL117" t="s">
        <v>61</v>
      </c>
      <c r="AM117" t="s">
        <v>59</v>
      </c>
      <c r="AN117" t="s">
        <v>62</v>
      </c>
    </row>
    <row r="118" spans="1:40" x14ac:dyDescent="0.35">
      <c r="A118" t="s">
        <v>37</v>
      </c>
      <c r="B118" t="s">
        <v>861</v>
      </c>
      <c r="C118" t="s">
        <v>102</v>
      </c>
      <c r="D118" t="s">
        <v>617</v>
      </c>
      <c r="E118" t="s">
        <v>618</v>
      </c>
      <c r="F118" s="1">
        <v>46078.471805555557</v>
      </c>
      <c r="G118" t="s">
        <v>286</v>
      </c>
      <c r="H118" t="s">
        <v>287</v>
      </c>
      <c r="I118" t="s">
        <v>862</v>
      </c>
      <c r="J118" t="s">
        <v>620</v>
      </c>
      <c r="K118" t="s">
        <v>130</v>
      </c>
      <c r="M118" t="s">
        <v>131</v>
      </c>
      <c r="O118" t="s">
        <v>77</v>
      </c>
      <c r="P118" t="s">
        <v>78</v>
      </c>
      <c r="Q118" t="s">
        <v>50</v>
      </c>
      <c r="R118" t="s">
        <v>132</v>
      </c>
      <c r="S118" t="s">
        <v>133</v>
      </c>
      <c r="T118" t="s">
        <v>133</v>
      </c>
      <c r="U118" s="1">
        <v>46078.525613425925</v>
      </c>
      <c r="V118" t="s">
        <v>54</v>
      </c>
      <c r="W118" t="s">
        <v>55</v>
      </c>
      <c r="X118" t="s">
        <v>134</v>
      </c>
      <c r="Y118" t="s">
        <v>863</v>
      </c>
      <c r="Z118" t="s">
        <v>58</v>
      </c>
      <c r="AA118" t="s">
        <v>54</v>
      </c>
      <c r="AB118" t="s">
        <v>622</v>
      </c>
      <c r="AC118" t="s">
        <v>85</v>
      </c>
      <c r="AD118" t="s">
        <v>132</v>
      </c>
      <c r="AE118" t="s">
        <v>133</v>
      </c>
      <c r="AF118" t="s">
        <v>133</v>
      </c>
      <c r="AG118" t="s">
        <v>58</v>
      </c>
      <c r="AH118" t="s">
        <v>623</v>
      </c>
      <c r="AK118">
        <v>1</v>
      </c>
      <c r="AL118" t="s">
        <v>61</v>
      </c>
      <c r="AM118" t="s">
        <v>622</v>
      </c>
      <c r="AN118" t="s">
        <v>624</v>
      </c>
    </row>
    <row r="119" spans="1:40" x14ac:dyDescent="0.35">
      <c r="A119" t="s">
        <v>37</v>
      </c>
      <c r="B119" t="s">
        <v>864</v>
      </c>
      <c r="C119" t="s">
        <v>102</v>
      </c>
      <c r="D119" t="s">
        <v>824</v>
      </c>
      <c r="E119" t="s">
        <v>825</v>
      </c>
      <c r="F119" s="1">
        <v>46078.470138888886</v>
      </c>
      <c r="G119" t="s">
        <v>826</v>
      </c>
      <c r="H119" t="s">
        <v>356</v>
      </c>
      <c r="I119" t="s">
        <v>865</v>
      </c>
      <c r="J119" t="s">
        <v>828</v>
      </c>
      <c r="K119" t="s">
        <v>829</v>
      </c>
      <c r="M119" t="s">
        <v>830</v>
      </c>
      <c r="O119" t="s">
        <v>237</v>
      </c>
      <c r="P119" t="s">
        <v>238</v>
      </c>
      <c r="Q119" t="s">
        <v>50</v>
      </c>
      <c r="R119" t="s">
        <v>51</v>
      </c>
      <c r="S119" t="s">
        <v>831</v>
      </c>
      <c r="T119" t="s">
        <v>829</v>
      </c>
      <c r="U119" s="1">
        <v>46078.536874999998</v>
      </c>
      <c r="V119" t="s">
        <v>54</v>
      </c>
      <c r="W119" t="s">
        <v>55</v>
      </c>
      <c r="X119" t="s">
        <v>196</v>
      </c>
      <c r="Y119" t="s">
        <v>866</v>
      </c>
      <c r="Z119" t="s">
        <v>58</v>
      </c>
      <c r="AA119" t="s">
        <v>54</v>
      </c>
      <c r="AB119" t="s">
        <v>833</v>
      </c>
      <c r="AC119" t="s">
        <v>242</v>
      </c>
      <c r="AD119" t="s">
        <v>51</v>
      </c>
      <c r="AE119" t="s">
        <v>834</v>
      </c>
      <c r="AF119" t="s">
        <v>834</v>
      </c>
      <c r="AG119" t="s">
        <v>58</v>
      </c>
      <c r="AH119">
        <v>12697</v>
      </c>
      <c r="AK119">
        <v>0</v>
      </c>
      <c r="AL119" t="s">
        <v>61</v>
      </c>
      <c r="AM119" t="s">
        <v>833</v>
      </c>
      <c r="AN119" t="s">
        <v>835</v>
      </c>
    </row>
    <row r="120" spans="1:40" x14ac:dyDescent="0.35">
      <c r="A120" t="s">
        <v>37</v>
      </c>
      <c r="B120" t="s">
        <v>867</v>
      </c>
      <c r="C120" t="s">
        <v>39</v>
      </c>
      <c r="D120" t="s">
        <v>868</v>
      </c>
      <c r="E120" t="s">
        <v>869</v>
      </c>
      <c r="F120" s="1">
        <v>46078.468738425923</v>
      </c>
      <c r="G120" t="s">
        <v>355</v>
      </c>
      <c r="H120" t="s">
        <v>356</v>
      </c>
      <c r="I120" t="s">
        <v>205</v>
      </c>
      <c r="J120" t="s">
        <v>603</v>
      </c>
      <c r="K120" t="s">
        <v>207</v>
      </c>
      <c r="M120" t="s">
        <v>131</v>
      </c>
      <c r="O120" t="s">
        <v>77</v>
      </c>
      <c r="P120" t="s">
        <v>78</v>
      </c>
      <c r="Q120" t="s">
        <v>50</v>
      </c>
      <c r="R120" t="s">
        <v>208</v>
      </c>
      <c r="S120" t="s">
        <v>209</v>
      </c>
      <c r="T120" t="s">
        <v>210</v>
      </c>
      <c r="U120" s="1">
        <v>46078.650416666664</v>
      </c>
      <c r="V120" t="s">
        <v>54</v>
      </c>
      <c r="W120" t="s">
        <v>55</v>
      </c>
      <c r="X120" t="s">
        <v>211</v>
      </c>
      <c r="Y120" t="s">
        <v>604</v>
      </c>
      <c r="Z120" t="s">
        <v>58</v>
      </c>
      <c r="AA120" t="s">
        <v>54</v>
      </c>
      <c r="AB120" t="s">
        <v>213</v>
      </c>
      <c r="AC120" t="s">
        <v>85</v>
      </c>
      <c r="AD120" t="s">
        <v>214</v>
      </c>
      <c r="AE120" t="s">
        <v>215</v>
      </c>
      <c r="AF120" t="s">
        <v>216</v>
      </c>
      <c r="AG120" t="s">
        <v>58</v>
      </c>
      <c r="AH120" t="s">
        <v>870</v>
      </c>
      <c r="AK120">
        <v>1</v>
      </c>
      <c r="AL120" t="s">
        <v>61</v>
      </c>
      <c r="AM120" t="s">
        <v>871</v>
      </c>
      <c r="AN120" t="s">
        <v>872</v>
      </c>
    </row>
    <row r="121" spans="1:40" x14ac:dyDescent="0.35">
      <c r="A121" t="s">
        <v>37</v>
      </c>
      <c r="B121" t="s">
        <v>873</v>
      </c>
      <c r="C121" t="s">
        <v>102</v>
      </c>
      <c r="D121" t="s">
        <v>617</v>
      </c>
      <c r="E121" t="s">
        <v>618</v>
      </c>
      <c r="F121" s="1">
        <v>46078.469386574077</v>
      </c>
      <c r="G121" t="s">
        <v>286</v>
      </c>
      <c r="H121" t="s">
        <v>287</v>
      </c>
      <c r="I121" t="s">
        <v>874</v>
      </c>
      <c r="J121" t="s">
        <v>620</v>
      </c>
      <c r="K121" t="s">
        <v>565</v>
      </c>
      <c r="M121" t="s">
        <v>76</v>
      </c>
      <c r="O121" t="s">
        <v>77</v>
      </c>
      <c r="P121" t="s">
        <v>78</v>
      </c>
      <c r="Q121" t="s">
        <v>50</v>
      </c>
      <c r="R121" t="s">
        <v>132</v>
      </c>
      <c r="S121" t="s">
        <v>133</v>
      </c>
      <c r="T121" t="s">
        <v>133</v>
      </c>
      <c r="U121" s="1">
        <v>46078.630925925929</v>
      </c>
      <c r="V121" t="s">
        <v>54</v>
      </c>
      <c r="W121" t="s">
        <v>55</v>
      </c>
      <c r="X121" t="s">
        <v>134</v>
      </c>
      <c r="Y121" t="s">
        <v>875</v>
      </c>
      <c r="Z121" t="s">
        <v>58</v>
      </c>
      <c r="AA121" t="s">
        <v>54</v>
      </c>
      <c r="AB121" t="s">
        <v>622</v>
      </c>
      <c r="AC121" t="s">
        <v>85</v>
      </c>
      <c r="AD121" t="s">
        <v>132</v>
      </c>
      <c r="AE121" t="s">
        <v>133</v>
      </c>
      <c r="AF121" t="s">
        <v>133</v>
      </c>
      <c r="AG121" t="s">
        <v>58</v>
      </c>
      <c r="AH121" t="s">
        <v>623</v>
      </c>
      <c r="AK121">
        <v>1</v>
      </c>
      <c r="AL121" t="s">
        <v>61</v>
      </c>
      <c r="AM121" t="s">
        <v>622</v>
      </c>
      <c r="AN121" t="s">
        <v>624</v>
      </c>
    </row>
    <row r="122" spans="1:40" x14ac:dyDescent="0.35">
      <c r="A122" t="s">
        <v>37</v>
      </c>
      <c r="B122" t="s">
        <v>876</v>
      </c>
      <c r="C122" t="s">
        <v>39</v>
      </c>
      <c r="D122" t="s">
        <v>877</v>
      </c>
      <c r="E122" t="s">
        <v>878</v>
      </c>
      <c r="F122" s="1">
        <v>46078.467615740738</v>
      </c>
      <c r="G122" t="s">
        <v>355</v>
      </c>
      <c r="H122" t="s">
        <v>356</v>
      </c>
      <c r="I122" t="s">
        <v>205</v>
      </c>
      <c r="J122" t="s">
        <v>603</v>
      </c>
      <c r="K122" t="s">
        <v>207</v>
      </c>
      <c r="M122" t="s">
        <v>131</v>
      </c>
      <c r="O122" t="s">
        <v>77</v>
      </c>
      <c r="P122" t="s">
        <v>78</v>
      </c>
      <c r="Q122" t="s">
        <v>50</v>
      </c>
      <c r="R122" t="s">
        <v>208</v>
      </c>
      <c r="S122" t="s">
        <v>209</v>
      </c>
      <c r="T122" t="s">
        <v>210</v>
      </c>
      <c r="U122" s="1">
        <v>46078.651134259257</v>
      </c>
      <c r="V122" t="s">
        <v>54</v>
      </c>
      <c r="W122" t="s">
        <v>55</v>
      </c>
      <c r="X122" t="s">
        <v>211</v>
      </c>
      <c r="Y122" t="s">
        <v>604</v>
      </c>
      <c r="Z122" t="s">
        <v>58</v>
      </c>
      <c r="AA122" t="s">
        <v>54</v>
      </c>
      <c r="AB122" t="s">
        <v>213</v>
      </c>
      <c r="AC122" t="s">
        <v>85</v>
      </c>
      <c r="AD122" t="s">
        <v>214</v>
      </c>
      <c r="AE122" t="s">
        <v>215</v>
      </c>
      <c r="AF122" t="s">
        <v>216</v>
      </c>
      <c r="AG122" t="s">
        <v>58</v>
      </c>
      <c r="AH122" t="s">
        <v>879</v>
      </c>
      <c r="AK122">
        <v>1</v>
      </c>
      <c r="AL122" t="s">
        <v>61</v>
      </c>
      <c r="AM122" t="s">
        <v>880</v>
      </c>
      <c r="AN122" t="s">
        <v>881</v>
      </c>
    </row>
    <row r="123" spans="1:40" x14ac:dyDescent="0.35">
      <c r="A123" t="s">
        <v>37</v>
      </c>
      <c r="B123" t="s">
        <v>882</v>
      </c>
      <c r="C123" t="s">
        <v>39</v>
      </c>
      <c r="D123" t="s">
        <v>40</v>
      </c>
      <c r="E123" t="s">
        <v>41</v>
      </c>
      <c r="F123" s="1">
        <v>46078.467129629629</v>
      </c>
      <c r="G123" t="s">
        <v>42</v>
      </c>
      <c r="H123" t="s">
        <v>43</v>
      </c>
      <c r="I123" t="s">
        <v>883</v>
      </c>
      <c r="J123" t="s">
        <v>45</v>
      </c>
      <c r="K123" t="s">
        <v>46</v>
      </c>
      <c r="M123" t="s">
        <v>47</v>
      </c>
      <c r="O123" t="s">
        <v>48</v>
      </c>
      <c r="P123" t="s">
        <v>49</v>
      </c>
      <c r="Q123" t="s">
        <v>50</v>
      </c>
      <c r="R123" t="s">
        <v>51</v>
      </c>
      <c r="S123" t="s">
        <v>52</v>
      </c>
      <c r="T123" t="s">
        <v>53</v>
      </c>
      <c r="U123" s="1">
        <v>46078.468229166669</v>
      </c>
      <c r="V123" t="s">
        <v>54</v>
      </c>
      <c r="W123" t="s">
        <v>55</v>
      </c>
      <c r="X123" t="s">
        <v>56</v>
      </c>
      <c r="Y123" t="s">
        <v>65</v>
      </c>
      <c r="Z123" t="s">
        <v>58</v>
      </c>
      <c r="AA123" t="s">
        <v>54</v>
      </c>
      <c r="AB123" t="s">
        <v>59</v>
      </c>
      <c r="AC123" t="s">
        <v>60</v>
      </c>
      <c r="AD123" t="s">
        <v>51</v>
      </c>
      <c r="AE123" t="s">
        <v>52</v>
      </c>
      <c r="AF123" t="s">
        <v>53</v>
      </c>
      <c r="AG123" t="s">
        <v>58</v>
      </c>
      <c r="AK123">
        <v>0</v>
      </c>
      <c r="AL123" t="s">
        <v>61</v>
      </c>
      <c r="AM123" t="s">
        <v>59</v>
      </c>
      <c r="AN123" t="s">
        <v>62</v>
      </c>
    </row>
    <row r="124" spans="1:40" x14ac:dyDescent="0.35">
      <c r="A124" t="s">
        <v>37</v>
      </c>
      <c r="B124" t="s">
        <v>884</v>
      </c>
      <c r="C124" t="s">
        <v>102</v>
      </c>
      <c r="D124" t="s">
        <v>824</v>
      </c>
      <c r="E124" t="s">
        <v>825</v>
      </c>
      <c r="F124" s="1">
        <v>46078.4687962963</v>
      </c>
      <c r="G124" t="s">
        <v>826</v>
      </c>
      <c r="H124" t="s">
        <v>356</v>
      </c>
      <c r="I124" t="s">
        <v>885</v>
      </c>
      <c r="J124" t="s">
        <v>828</v>
      </c>
      <c r="K124" t="s">
        <v>829</v>
      </c>
      <c r="M124" t="s">
        <v>830</v>
      </c>
      <c r="O124" t="s">
        <v>237</v>
      </c>
      <c r="P124" t="s">
        <v>238</v>
      </c>
      <c r="Q124" t="s">
        <v>50</v>
      </c>
      <c r="R124" t="s">
        <v>51</v>
      </c>
      <c r="S124" t="s">
        <v>831</v>
      </c>
      <c r="T124" t="s">
        <v>829</v>
      </c>
      <c r="U124" s="1">
        <v>46078.529409722221</v>
      </c>
      <c r="V124" t="s">
        <v>54</v>
      </c>
      <c r="W124" t="s">
        <v>55</v>
      </c>
      <c r="X124" t="s">
        <v>196</v>
      </c>
      <c r="Y124" t="s">
        <v>886</v>
      </c>
      <c r="Z124" t="s">
        <v>58</v>
      </c>
      <c r="AA124" t="s">
        <v>54</v>
      </c>
      <c r="AB124" t="s">
        <v>833</v>
      </c>
      <c r="AC124" t="s">
        <v>242</v>
      </c>
      <c r="AD124" t="s">
        <v>51</v>
      </c>
      <c r="AE124" t="s">
        <v>834</v>
      </c>
      <c r="AF124" t="s">
        <v>834</v>
      </c>
      <c r="AG124" t="s">
        <v>58</v>
      </c>
      <c r="AH124">
        <v>12697</v>
      </c>
      <c r="AK124">
        <v>0</v>
      </c>
      <c r="AL124" t="s">
        <v>61</v>
      </c>
      <c r="AM124" t="s">
        <v>833</v>
      </c>
      <c r="AN124" t="s">
        <v>835</v>
      </c>
    </row>
    <row r="125" spans="1:40" x14ac:dyDescent="0.35">
      <c r="A125" t="s">
        <v>37</v>
      </c>
      <c r="B125" t="s">
        <v>887</v>
      </c>
      <c r="C125" t="s">
        <v>102</v>
      </c>
      <c r="D125" t="s">
        <v>824</v>
      </c>
      <c r="E125" t="s">
        <v>825</v>
      </c>
      <c r="F125" s="1">
        <v>46078.466747685183</v>
      </c>
      <c r="G125" t="s">
        <v>826</v>
      </c>
      <c r="H125" t="s">
        <v>356</v>
      </c>
      <c r="I125" t="s">
        <v>888</v>
      </c>
      <c r="J125" t="s">
        <v>828</v>
      </c>
      <c r="K125" t="s">
        <v>829</v>
      </c>
      <c r="M125" t="s">
        <v>830</v>
      </c>
      <c r="O125" t="s">
        <v>237</v>
      </c>
      <c r="P125" t="s">
        <v>238</v>
      </c>
      <c r="Q125" t="s">
        <v>50</v>
      </c>
      <c r="R125" t="s">
        <v>51</v>
      </c>
      <c r="S125" t="s">
        <v>831</v>
      </c>
      <c r="T125" t="s">
        <v>829</v>
      </c>
      <c r="U125" s="1">
        <v>46078.519930555558</v>
      </c>
      <c r="V125" t="s">
        <v>54</v>
      </c>
      <c r="W125" t="s">
        <v>55</v>
      </c>
      <c r="X125" t="s">
        <v>196</v>
      </c>
      <c r="Y125" t="s">
        <v>889</v>
      </c>
      <c r="Z125" t="s">
        <v>58</v>
      </c>
      <c r="AA125" t="s">
        <v>54</v>
      </c>
      <c r="AB125" t="s">
        <v>833</v>
      </c>
      <c r="AC125" t="s">
        <v>242</v>
      </c>
      <c r="AD125" t="s">
        <v>51</v>
      </c>
      <c r="AE125" t="s">
        <v>834</v>
      </c>
      <c r="AF125" t="s">
        <v>834</v>
      </c>
      <c r="AG125" t="s">
        <v>58</v>
      </c>
      <c r="AH125">
        <v>12697</v>
      </c>
      <c r="AK125">
        <v>0</v>
      </c>
      <c r="AL125" t="s">
        <v>61</v>
      </c>
      <c r="AM125" t="s">
        <v>833</v>
      </c>
      <c r="AN125" t="s">
        <v>835</v>
      </c>
    </row>
    <row r="126" spans="1:40" x14ac:dyDescent="0.35">
      <c r="A126" t="s">
        <v>37</v>
      </c>
      <c r="B126" t="s">
        <v>890</v>
      </c>
      <c r="C126" t="s">
        <v>102</v>
      </c>
      <c r="D126" t="s">
        <v>191</v>
      </c>
      <c r="E126" t="s">
        <v>192</v>
      </c>
      <c r="F126" s="1">
        <v>46078.464687500003</v>
      </c>
      <c r="G126" t="s">
        <v>71</v>
      </c>
      <c r="H126" t="s">
        <v>72</v>
      </c>
      <c r="I126" t="s">
        <v>891</v>
      </c>
      <c r="J126" t="s">
        <v>194</v>
      </c>
      <c r="K126" t="s">
        <v>130</v>
      </c>
      <c r="M126" t="s">
        <v>131</v>
      </c>
      <c r="O126" t="s">
        <v>77</v>
      </c>
      <c r="P126" t="s">
        <v>78</v>
      </c>
      <c r="Q126" t="s">
        <v>50</v>
      </c>
      <c r="R126" t="s">
        <v>51</v>
      </c>
      <c r="S126" t="s">
        <v>52</v>
      </c>
      <c r="T126" t="s">
        <v>195</v>
      </c>
      <c r="U126" s="1">
        <v>46078.502430555556</v>
      </c>
      <c r="V126" t="s">
        <v>54</v>
      </c>
      <c r="W126" t="s">
        <v>55</v>
      </c>
      <c r="X126" t="s">
        <v>134</v>
      </c>
      <c r="Y126" t="s">
        <v>892</v>
      </c>
      <c r="Z126" t="s">
        <v>58</v>
      </c>
      <c r="AA126" t="s">
        <v>54</v>
      </c>
      <c r="AB126" t="s">
        <v>198</v>
      </c>
      <c r="AC126" t="s">
        <v>85</v>
      </c>
      <c r="AD126" t="s">
        <v>51</v>
      </c>
      <c r="AE126" t="s">
        <v>52</v>
      </c>
      <c r="AF126" t="s">
        <v>195</v>
      </c>
      <c r="AG126" t="s">
        <v>58</v>
      </c>
      <c r="AH126" t="s">
        <v>199</v>
      </c>
      <c r="AK126">
        <v>1</v>
      </c>
      <c r="AL126" t="s">
        <v>61</v>
      </c>
      <c r="AM126" t="s">
        <v>198</v>
      </c>
      <c r="AN126" t="s">
        <v>200</v>
      </c>
    </row>
    <row r="127" spans="1:40" x14ac:dyDescent="0.35">
      <c r="A127" t="s">
        <v>37</v>
      </c>
      <c r="B127" t="s">
        <v>893</v>
      </c>
      <c r="C127" t="s">
        <v>102</v>
      </c>
      <c r="D127" t="s">
        <v>824</v>
      </c>
      <c r="E127" t="s">
        <v>825</v>
      </c>
      <c r="F127" s="1">
        <v>46078.465231481481</v>
      </c>
      <c r="G127" t="s">
        <v>826</v>
      </c>
      <c r="H127" t="s">
        <v>356</v>
      </c>
      <c r="I127" t="s">
        <v>894</v>
      </c>
      <c r="J127" t="s">
        <v>828</v>
      </c>
      <c r="K127" t="s">
        <v>829</v>
      </c>
      <c r="M127" t="s">
        <v>830</v>
      </c>
      <c r="O127" t="s">
        <v>237</v>
      </c>
      <c r="P127" t="s">
        <v>238</v>
      </c>
      <c r="Q127" t="s">
        <v>50</v>
      </c>
      <c r="R127" t="s">
        <v>51</v>
      </c>
      <c r="S127" t="s">
        <v>831</v>
      </c>
      <c r="T127" t="s">
        <v>829</v>
      </c>
      <c r="U127" s="1">
        <v>46078.579155092593</v>
      </c>
      <c r="V127" t="s">
        <v>54</v>
      </c>
      <c r="W127" t="s">
        <v>55</v>
      </c>
      <c r="X127" t="s">
        <v>196</v>
      </c>
      <c r="Y127" t="s">
        <v>895</v>
      </c>
      <c r="Z127" t="s">
        <v>58</v>
      </c>
      <c r="AA127" t="s">
        <v>54</v>
      </c>
      <c r="AB127" t="s">
        <v>833</v>
      </c>
      <c r="AC127" t="s">
        <v>242</v>
      </c>
      <c r="AD127" t="s">
        <v>51</v>
      </c>
      <c r="AE127" t="s">
        <v>834</v>
      </c>
      <c r="AF127" t="s">
        <v>834</v>
      </c>
      <c r="AG127" t="s">
        <v>58</v>
      </c>
      <c r="AH127">
        <v>12697</v>
      </c>
      <c r="AK127">
        <v>0</v>
      </c>
      <c r="AL127" t="s">
        <v>61</v>
      </c>
      <c r="AM127" t="s">
        <v>833</v>
      </c>
      <c r="AN127" t="s">
        <v>835</v>
      </c>
    </row>
    <row r="128" spans="1:40" x14ac:dyDescent="0.35">
      <c r="A128" t="s">
        <v>37</v>
      </c>
      <c r="B128" t="s">
        <v>896</v>
      </c>
      <c r="C128" t="s">
        <v>39</v>
      </c>
      <c r="D128" t="s">
        <v>513</v>
      </c>
      <c r="E128" t="s">
        <v>897</v>
      </c>
      <c r="F128" s="1">
        <v>46078.463136574072</v>
      </c>
      <c r="G128" t="s">
        <v>355</v>
      </c>
      <c r="H128" t="s">
        <v>356</v>
      </c>
      <c r="I128" t="s">
        <v>205</v>
      </c>
      <c r="J128" t="s">
        <v>898</v>
      </c>
      <c r="K128" t="s">
        <v>207</v>
      </c>
      <c r="M128" t="s">
        <v>76</v>
      </c>
      <c r="O128" t="s">
        <v>77</v>
      </c>
      <c r="P128" t="s">
        <v>78</v>
      </c>
      <c r="Q128" t="s">
        <v>50</v>
      </c>
      <c r="R128" t="s">
        <v>305</v>
      </c>
      <c r="S128" t="s">
        <v>306</v>
      </c>
      <c r="T128" t="s">
        <v>307</v>
      </c>
      <c r="U128" s="1">
        <v>46078.535092592596</v>
      </c>
      <c r="V128" t="s">
        <v>54</v>
      </c>
      <c r="W128" t="s">
        <v>55</v>
      </c>
      <c r="X128" t="s">
        <v>211</v>
      </c>
      <c r="Y128" t="s">
        <v>899</v>
      </c>
      <c r="Z128" t="s">
        <v>58</v>
      </c>
      <c r="AA128" t="s">
        <v>54</v>
      </c>
      <c r="AB128" t="s">
        <v>213</v>
      </c>
      <c r="AC128" t="s">
        <v>85</v>
      </c>
      <c r="AD128" t="s">
        <v>214</v>
      </c>
      <c r="AE128" t="s">
        <v>215</v>
      </c>
      <c r="AF128" t="s">
        <v>900</v>
      </c>
      <c r="AG128" t="s">
        <v>58</v>
      </c>
      <c r="AH128" t="s">
        <v>901</v>
      </c>
      <c r="AK128">
        <v>2</v>
      </c>
      <c r="AL128" t="s">
        <v>61</v>
      </c>
      <c r="AM128" t="s">
        <v>902</v>
      </c>
      <c r="AN128" t="s">
        <v>903</v>
      </c>
    </row>
    <row r="129" spans="1:40" x14ac:dyDescent="0.35">
      <c r="A129" t="s">
        <v>37</v>
      </c>
      <c r="B129" t="s">
        <v>904</v>
      </c>
      <c r="C129" t="s">
        <v>39</v>
      </c>
      <c r="D129" t="s">
        <v>799</v>
      </c>
      <c r="E129" t="s">
        <v>800</v>
      </c>
      <c r="F129" s="1">
        <v>46078.461053240739</v>
      </c>
      <c r="G129" t="s">
        <v>540</v>
      </c>
      <c r="H129" t="s">
        <v>447</v>
      </c>
      <c r="I129" t="s">
        <v>215</v>
      </c>
      <c r="J129" t="s">
        <v>404</v>
      </c>
      <c r="K129" t="s">
        <v>405</v>
      </c>
      <c r="M129" t="s">
        <v>76</v>
      </c>
      <c r="O129" t="s">
        <v>237</v>
      </c>
      <c r="P129" t="s">
        <v>238</v>
      </c>
      <c r="Q129" t="s">
        <v>50</v>
      </c>
      <c r="R129" t="s">
        <v>51</v>
      </c>
      <c r="S129" t="s">
        <v>52</v>
      </c>
      <c r="T129" t="s">
        <v>240</v>
      </c>
      <c r="U129" s="1">
        <v>46078.543854166666</v>
      </c>
      <c r="V129" t="s">
        <v>54</v>
      </c>
      <c r="W129" t="s">
        <v>55</v>
      </c>
      <c r="X129" t="s">
        <v>211</v>
      </c>
      <c r="Y129" t="s">
        <v>905</v>
      </c>
      <c r="Z129" t="s">
        <v>58</v>
      </c>
      <c r="AA129" t="s">
        <v>54</v>
      </c>
      <c r="AB129" t="s">
        <v>213</v>
      </c>
      <c r="AC129" t="s">
        <v>242</v>
      </c>
      <c r="AD129" t="s">
        <v>52</v>
      </c>
      <c r="AE129" t="s">
        <v>438</v>
      </c>
      <c r="AF129" t="s">
        <v>439</v>
      </c>
      <c r="AG129" t="s">
        <v>58</v>
      </c>
      <c r="AH129">
        <v>12707</v>
      </c>
      <c r="AK129">
        <v>1</v>
      </c>
      <c r="AL129" t="s">
        <v>61</v>
      </c>
      <c r="AM129" t="s">
        <v>801</v>
      </c>
      <c r="AN129" t="s">
        <v>802</v>
      </c>
    </row>
    <row r="130" spans="1:40" x14ac:dyDescent="0.35">
      <c r="A130" t="s">
        <v>37</v>
      </c>
      <c r="B130" t="s">
        <v>906</v>
      </c>
      <c r="C130" t="s">
        <v>39</v>
      </c>
      <c r="D130" t="s">
        <v>220</v>
      </c>
      <c r="E130" t="s">
        <v>907</v>
      </c>
      <c r="F130" s="1">
        <v>46078.459756944445</v>
      </c>
      <c r="G130" t="s">
        <v>597</v>
      </c>
      <c r="H130" t="s">
        <v>287</v>
      </c>
      <c r="I130" t="s">
        <v>205</v>
      </c>
      <c r="J130" t="s">
        <v>603</v>
      </c>
      <c r="K130" t="s">
        <v>207</v>
      </c>
      <c r="M130" t="s">
        <v>131</v>
      </c>
      <c r="O130" t="s">
        <v>77</v>
      </c>
      <c r="P130" t="s">
        <v>78</v>
      </c>
      <c r="R130" t="s">
        <v>208</v>
      </c>
      <c r="S130" t="s">
        <v>209</v>
      </c>
      <c r="T130" t="s">
        <v>210</v>
      </c>
      <c r="U130" s="1">
        <v>46078.651828703703</v>
      </c>
      <c r="V130" t="s">
        <v>54</v>
      </c>
      <c r="W130" t="s">
        <v>55</v>
      </c>
      <c r="X130" t="s">
        <v>211</v>
      </c>
      <c r="Y130" t="s">
        <v>604</v>
      </c>
      <c r="Z130" t="s">
        <v>58</v>
      </c>
      <c r="AA130" t="s">
        <v>54</v>
      </c>
      <c r="AB130" t="s">
        <v>213</v>
      </c>
      <c r="AC130" t="s">
        <v>85</v>
      </c>
      <c r="AD130" t="s">
        <v>214</v>
      </c>
      <c r="AE130" t="s">
        <v>215</v>
      </c>
      <c r="AF130" t="s">
        <v>216</v>
      </c>
      <c r="AG130" t="s">
        <v>58</v>
      </c>
      <c r="AH130">
        <v>14978</v>
      </c>
      <c r="AK130">
        <v>1</v>
      </c>
      <c r="AL130" t="s">
        <v>61</v>
      </c>
      <c r="AM130" t="s">
        <v>908</v>
      </c>
      <c r="AN130" t="s">
        <v>909</v>
      </c>
    </row>
    <row r="131" spans="1:40" x14ac:dyDescent="0.35">
      <c r="A131" t="s">
        <v>37</v>
      </c>
      <c r="B131" t="s">
        <v>910</v>
      </c>
      <c r="C131" t="s">
        <v>39</v>
      </c>
      <c r="D131" t="s">
        <v>911</v>
      </c>
      <c r="E131" t="s">
        <v>912</v>
      </c>
      <c r="F131" s="1">
        <v>46078.457245370373</v>
      </c>
      <c r="G131" t="s">
        <v>913</v>
      </c>
      <c r="H131" t="s">
        <v>72</v>
      </c>
      <c r="I131" t="s">
        <v>914</v>
      </c>
      <c r="J131" t="s">
        <v>455</v>
      </c>
      <c r="K131" t="s">
        <v>436</v>
      </c>
      <c r="M131" t="s">
        <v>76</v>
      </c>
      <c r="O131" t="s">
        <v>77</v>
      </c>
      <c r="P131" t="s">
        <v>78</v>
      </c>
      <c r="R131" t="s">
        <v>51</v>
      </c>
      <c r="S131" t="s">
        <v>52</v>
      </c>
      <c r="T131" t="s">
        <v>240</v>
      </c>
      <c r="U131" s="1">
        <v>46078.651574074072</v>
      </c>
      <c r="V131" t="s">
        <v>54</v>
      </c>
      <c r="W131" t="s">
        <v>55</v>
      </c>
      <c r="X131" t="s">
        <v>82</v>
      </c>
      <c r="Y131" t="s">
        <v>915</v>
      </c>
      <c r="Z131" t="s">
        <v>58</v>
      </c>
      <c r="AA131" t="s">
        <v>54</v>
      </c>
      <c r="AB131" t="s">
        <v>645</v>
      </c>
      <c r="AC131" t="s">
        <v>85</v>
      </c>
      <c r="AD131" t="s">
        <v>52</v>
      </c>
      <c r="AE131" t="s">
        <v>438</v>
      </c>
      <c r="AF131" t="s">
        <v>775</v>
      </c>
      <c r="AG131" t="s">
        <v>58</v>
      </c>
      <c r="AH131" t="s">
        <v>916</v>
      </c>
      <c r="AK131">
        <v>1</v>
      </c>
      <c r="AL131" t="s">
        <v>61</v>
      </c>
      <c r="AM131" t="s">
        <v>917</v>
      </c>
      <c r="AN131" t="s">
        <v>918</v>
      </c>
    </row>
    <row r="132" spans="1:40" x14ac:dyDescent="0.35">
      <c r="A132" t="s">
        <v>37</v>
      </c>
      <c r="B132" t="s">
        <v>919</v>
      </c>
      <c r="C132" t="s">
        <v>39</v>
      </c>
      <c r="D132" t="s">
        <v>799</v>
      </c>
      <c r="E132" t="s">
        <v>800</v>
      </c>
      <c r="F132" s="1">
        <v>46078.455266203702</v>
      </c>
      <c r="G132" t="s">
        <v>540</v>
      </c>
      <c r="H132" t="s">
        <v>447</v>
      </c>
      <c r="I132" t="s">
        <v>215</v>
      </c>
      <c r="J132" t="s">
        <v>404</v>
      </c>
      <c r="K132" t="s">
        <v>405</v>
      </c>
      <c r="M132" t="s">
        <v>76</v>
      </c>
      <c r="O132" t="s">
        <v>237</v>
      </c>
      <c r="P132" t="s">
        <v>238</v>
      </c>
      <c r="Q132" t="s">
        <v>50</v>
      </c>
      <c r="R132" t="s">
        <v>51</v>
      </c>
      <c r="S132" t="s">
        <v>52</v>
      </c>
      <c r="T132" t="s">
        <v>240</v>
      </c>
      <c r="U132" s="1">
        <v>46078.544305555559</v>
      </c>
      <c r="V132" t="s">
        <v>54</v>
      </c>
      <c r="W132" t="s">
        <v>55</v>
      </c>
      <c r="X132" t="s">
        <v>211</v>
      </c>
      <c r="Y132" t="s">
        <v>920</v>
      </c>
      <c r="Z132" t="s">
        <v>58</v>
      </c>
      <c r="AA132" t="s">
        <v>54</v>
      </c>
      <c r="AB132" t="s">
        <v>213</v>
      </c>
      <c r="AC132" t="s">
        <v>242</v>
      </c>
      <c r="AD132" t="s">
        <v>52</v>
      </c>
      <c r="AE132" t="s">
        <v>438</v>
      </c>
      <c r="AF132" t="s">
        <v>439</v>
      </c>
      <c r="AG132" t="s">
        <v>58</v>
      </c>
      <c r="AH132">
        <v>12707</v>
      </c>
      <c r="AK132">
        <v>1</v>
      </c>
      <c r="AL132" t="s">
        <v>61</v>
      </c>
      <c r="AM132" t="s">
        <v>801</v>
      </c>
      <c r="AN132" t="s">
        <v>802</v>
      </c>
    </row>
    <row r="133" spans="1:40" x14ac:dyDescent="0.35">
      <c r="A133" t="s">
        <v>37</v>
      </c>
      <c r="B133" t="s">
        <v>921</v>
      </c>
      <c r="C133" t="s">
        <v>39</v>
      </c>
      <c r="D133" t="s">
        <v>469</v>
      </c>
      <c r="E133" t="s">
        <v>922</v>
      </c>
      <c r="F133" s="1">
        <v>46078.454780092594</v>
      </c>
      <c r="G133" t="s">
        <v>855</v>
      </c>
      <c r="H133" t="s">
        <v>447</v>
      </c>
      <c r="I133" t="s">
        <v>205</v>
      </c>
      <c r="J133" t="s">
        <v>741</v>
      </c>
      <c r="K133" t="s">
        <v>207</v>
      </c>
      <c r="M133" t="s">
        <v>131</v>
      </c>
      <c r="O133" t="s">
        <v>77</v>
      </c>
      <c r="P133" t="s">
        <v>78</v>
      </c>
      <c r="Q133" t="s">
        <v>50</v>
      </c>
      <c r="R133" t="s">
        <v>305</v>
      </c>
      <c r="S133" t="s">
        <v>306</v>
      </c>
      <c r="T133" t="s">
        <v>307</v>
      </c>
      <c r="U133" s="1">
        <v>46078.688819444447</v>
      </c>
      <c r="V133" t="s">
        <v>54</v>
      </c>
      <c r="W133" t="s">
        <v>55</v>
      </c>
      <c r="X133" t="s">
        <v>211</v>
      </c>
      <c r="Y133" t="s">
        <v>923</v>
      </c>
      <c r="Z133" t="s">
        <v>58</v>
      </c>
      <c r="AA133" t="s">
        <v>54</v>
      </c>
      <c r="AB133" t="s">
        <v>213</v>
      </c>
      <c r="AC133" t="s">
        <v>85</v>
      </c>
      <c r="AD133" t="s">
        <v>214</v>
      </c>
      <c r="AE133" t="s">
        <v>215</v>
      </c>
      <c r="AF133" t="s">
        <v>161</v>
      </c>
      <c r="AG133" t="s">
        <v>58</v>
      </c>
      <c r="AH133" t="s">
        <v>924</v>
      </c>
      <c r="AK133">
        <v>3</v>
      </c>
      <c r="AL133" t="s">
        <v>61</v>
      </c>
      <c r="AM133" t="s">
        <v>925</v>
      </c>
      <c r="AN133" t="s">
        <v>926</v>
      </c>
    </row>
    <row r="134" spans="1:40" x14ac:dyDescent="0.35">
      <c r="A134" t="s">
        <v>37</v>
      </c>
      <c r="B134" t="s">
        <v>927</v>
      </c>
      <c r="C134" t="s">
        <v>102</v>
      </c>
      <c r="D134" t="s">
        <v>284</v>
      </c>
      <c r="E134" t="s">
        <v>285</v>
      </c>
      <c r="F134" s="1">
        <v>46078.456770833334</v>
      </c>
      <c r="G134" t="s">
        <v>286</v>
      </c>
      <c r="H134" t="s">
        <v>287</v>
      </c>
      <c r="I134" t="s">
        <v>928</v>
      </c>
      <c r="J134" t="s">
        <v>929</v>
      </c>
      <c r="K134" t="s">
        <v>930</v>
      </c>
      <c r="M134" t="s">
        <v>131</v>
      </c>
      <c r="O134" t="s">
        <v>77</v>
      </c>
      <c r="P134" t="s">
        <v>78</v>
      </c>
      <c r="Q134" t="s">
        <v>50</v>
      </c>
      <c r="R134" t="s">
        <v>132</v>
      </c>
      <c r="S134" t="s">
        <v>133</v>
      </c>
      <c r="T134" t="s">
        <v>133</v>
      </c>
      <c r="U134" s="1">
        <v>46078.524710648147</v>
      </c>
      <c r="V134" t="s">
        <v>54</v>
      </c>
      <c r="W134" t="s">
        <v>55</v>
      </c>
      <c r="X134" t="s">
        <v>134</v>
      </c>
      <c r="Y134" t="s">
        <v>931</v>
      </c>
      <c r="Z134" t="s">
        <v>58</v>
      </c>
      <c r="AA134" t="s">
        <v>54</v>
      </c>
      <c r="AB134" t="s">
        <v>291</v>
      </c>
      <c r="AC134" t="s">
        <v>85</v>
      </c>
      <c r="AD134" t="s">
        <v>132</v>
      </c>
      <c r="AE134" t="s">
        <v>133</v>
      </c>
      <c r="AF134" t="s">
        <v>133</v>
      </c>
      <c r="AG134" t="s">
        <v>58</v>
      </c>
      <c r="AH134" t="s">
        <v>292</v>
      </c>
      <c r="AK134">
        <v>0</v>
      </c>
      <c r="AL134" t="s">
        <v>61</v>
      </c>
      <c r="AM134" t="s">
        <v>291</v>
      </c>
      <c r="AN134" t="s">
        <v>293</v>
      </c>
    </row>
    <row r="135" spans="1:40" x14ac:dyDescent="0.35">
      <c r="A135" t="s">
        <v>37</v>
      </c>
      <c r="B135" t="s">
        <v>932</v>
      </c>
      <c r="C135" t="s">
        <v>102</v>
      </c>
      <c r="D135" t="s">
        <v>933</v>
      </c>
      <c r="E135" t="s">
        <v>934</v>
      </c>
      <c r="F135" s="1">
        <v>46078.454432870371</v>
      </c>
      <c r="G135" t="s">
        <v>42</v>
      </c>
      <c r="H135" t="s">
        <v>43</v>
      </c>
      <c r="I135" t="s">
        <v>935</v>
      </c>
      <c r="J135" t="s">
        <v>707</v>
      </c>
      <c r="K135" t="s">
        <v>75</v>
      </c>
      <c r="M135" t="s">
        <v>76</v>
      </c>
      <c r="O135" t="s">
        <v>237</v>
      </c>
      <c r="P135" t="s">
        <v>238</v>
      </c>
      <c r="R135" t="s">
        <v>79</v>
      </c>
      <c r="S135" t="s">
        <v>936</v>
      </c>
      <c r="T135" t="s">
        <v>937</v>
      </c>
      <c r="U135" s="1">
        <v>46078.455405092594</v>
      </c>
      <c r="V135" t="s">
        <v>54</v>
      </c>
      <c r="W135" t="s">
        <v>55</v>
      </c>
      <c r="X135" t="s">
        <v>82</v>
      </c>
      <c r="Y135" t="s">
        <v>938</v>
      </c>
      <c r="Z135" t="s">
        <v>58</v>
      </c>
      <c r="AA135" t="s">
        <v>54</v>
      </c>
      <c r="AB135" t="s">
        <v>709</v>
      </c>
      <c r="AC135" t="s">
        <v>242</v>
      </c>
      <c r="AD135" t="s">
        <v>79</v>
      </c>
      <c r="AE135" t="s">
        <v>936</v>
      </c>
      <c r="AF135" t="s">
        <v>939</v>
      </c>
      <c r="AG135" t="s">
        <v>58</v>
      </c>
      <c r="AH135">
        <v>14932</v>
      </c>
      <c r="AK135">
        <v>0</v>
      </c>
      <c r="AL135" t="s">
        <v>61</v>
      </c>
      <c r="AM135" t="s">
        <v>940</v>
      </c>
      <c r="AN135" t="s">
        <v>941</v>
      </c>
    </row>
    <row r="136" spans="1:40" x14ac:dyDescent="0.35">
      <c r="A136" t="s">
        <v>37</v>
      </c>
      <c r="B136" t="s">
        <v>942</v>
      </c>
      <c r="C136" t="s">
        <v>39</v>
      </c>
      <c r="D136" t="s">
        <v>943</v>
      </c>
      <c r="E136" t="s">
        <v>944</v>
      </c>
      <c r="F136" s="1">
        <v>46078.450138888889</v>
      </c>
      <c r="G136" t="s">
        <v>855</v>
      </c>
      <c r="H136" t="s">
        <v>447</v>
      </c>
      <c r="I136" t="s">
        <v>205</v>
      </c>
      <c r="J136" t="s">
        <v>603</v>
      </c>
      <c r="K136" t="s">
        <v>207</v>
      </c>
      <c r="M136" t="s">
        <v>131</v>
      </c>
      <c r="O136" t="s">
        <v>77</v>
      </c>
      <c r="P136" t="s">
        <v>78</v>
      </c>
      <c r="Q136" t="s">
        <v>50</v>
      </c>
      <c r="R136" t="s">
        <v>208</v>
      </c>
      <c r="S136" t="s">
        <v>209</v>
      </c>
      <c r="T136" t="s">
        <v>210</v>
      </c>
      <c r="U136" s="1">
        <v>46078.65252314815</v>
      </c>
      <c r="V136" t="s">
        <v>54</v>
      </c>
      <c r="W136" t="s">
        <v>55</v>
      </c>
      <c r="X136" t="s">
        <v>211</v>
      </c>
      <c r="Y136" t="s">
        <v>604</v>
      </c>
      <c r="Z136" t="s">
        <v>58</v>
      </c>
      <c r="AA136" t="s">
        <v>54</v>
      </c>
      <c r="AB136" t="s">
        <v>213</v>
      </c>
      <c r="AC136" t="s">
        <v>85</v>
      </c>
      <c r="AD136" t="s">
        <v>214</v>
      </c>
      <c r="AE136" t="s">
        <v>215</v>
      </c>
      <c r="AF136" t="s">
        <v>216</v>
      </c>
      <c r="AG136" t="s">
        <v>58</v>
      </c>
      <c r="AH136">
        <v>14064</v>
      </c>
      <c r="AK136">
        <v>1</v>
      </c>
      <c r="AL136" t="s">
        <v>61</v>
      </c>
      <c r="AM136" t="s">
        <v>945</v>
      </c>
      <c r="AN136" t="s">
        <v>946</v>
      </c>
    </row>
    <row r="137" spans="1:40" x14ac:dyDescent="0.35">
      <c r="A137" t="s">
        <v>37</v>
      </c>
      <c r="B137" t="s">
        <v>947</v>
      </c>
      <c r="C137" t="s">
        <v>102</v>
      </c>
      <c r="D137" t="s">
        <v>320</v>
      </c>
      <c r="E137" t="s">
        <v>948</v>
      </c>
      <c r="F137" s="1">
        <v>46078.450879629629</v>
      </c>
      <c r="G137" t="s">
        <v>71</v>
      </c>
      <c r="H137" t="s">
        <v>72</v>
      </c>
      <c r="I137" t="s">
        <v>949</v>
      </c>
      <c r="J137" t="s">
        <v>950</v>
      </c>
      <c r="K137" t="s">
        <v>951</v>
      </c>
      <c r="M137" t="s">
        <v>76</v>
      </c>
      <c r="O137" t="s">
        <v>237</v>
      </c>
      <c r="P137" t="s">
        <v>238</v>
      </c>
      <c r="Q137" t="s">
        <v>50</v>
      </c>
      <c r="R137" t="s">
        <v>79</v>
      </c>
      <c r="S137" t="s">
        <v>952</v>
      </c>
      <c r="T137" t="s">
        <v>953</v>
      </c>
      <c r="U137" s="1">
        <v>46078.554189814815</v>
      </c>
      <c r="V137" t="s">
        <v>54</v>
      </c>
      <c r="W137" t="s">
        <v>55</v>
      </c>
      <c r="X137" t="s">
        <v>82</v>
      </c>
      <c r="Y137" t="e">
        <f>- All the Drivers has been successfully upgraded from Lenovo.</f>
        <v>#NAME?</v>
      </c>
      <c r="Z137" t="s">
        <v>58</v>
      </c>
      <c r="AA137" t="s">
        <v>54</v>
      </c>
      <c r="AB137" t="s">
        <v>954</v>
      </c>
      <c r="AC137" t="s">
        <v>242</v>
      </c>
      <c r="AD137" t="s">
        <v>79</v>
      </c>
      <c r="AE137" t="s">
        <v>955</v>
      </c>
      <c r="AF137" t="s">
        <v>956</v>
      </c>
      <c r="AG137" t="s">
        <v>58</v>
      </c>
      <c r="AH137">
        <v>15978</v>
      </c>
      <c r="AK137">
        <v>1</v>
      </c>
      <c r="AL137" t="s">
        <v>61</v>
      </c>
      <c r="AM137" t="s">
        <v>957</v>
      </c>
      <c r="AN137" t="s">
        <v>958</v>
      </c>
    </row>
    <row r="138" spans="1:40" x14ac:dyDescent="0.35">
      <c r="A138" t="s">
        <v>37</v>
      </c>
      <c r="B138" t="s">
        <v>959</v>
      </c>
      <c r="C138" t="s">
        <v>39</v>
      </c>
      <c r="D138" t="s">
        <v>960</v>
      </c>
      <c r="E138" t="s">
        <v>961</v>
      </c>
      <c r="F138" s="1">
        <v>46078.448923611111</v>
      </c>
      <c r="G138" t="s">
        <v>355</v>
      </c>
      <c r="H138" t="s">
        <v>356</v>
      </c>
      <c r="I138" t="s">
        <v>962</v>
      </c>
      <c r="J138" t="s">
        <v>963</v>
      </c>
      <c r="K138" t="s">
        <v>964</v>
      </c>
      <c r="M138" t="s">
        <v>131</v>
      </c>
      <c r="O138" t="s">
        <v>77</v>
      </c>
      <c r="P138" t="s">
        <v>78</v>
      </c>
      <c r="Q138" t="s">
        <v>50</v>
      </c>
      <c r="R138" t="s">
        <v>51</v>
      </c>
      <c r="S138" t="s">
        <v>52</v>
      </c>
      <c r="T138" t="s">
        <v>240</v>
      </c>
      <c r="U138" s="1">
        <v>46078.449733796297</v>
      </c>
      <c r="V138" t="s">
        <v>54</v>
      </c>
      <c r="W138" t="s">
        <v>55</v>
      </c>
      <c r="X138" t="s">
        <v>134</v>
      </c>
      <c r="Y138" t="s">
        <v>965</v>
      </c>
      <c r="Z138" t="s">
        <v>58</v>
      </c>
      <c r="AA138" t="s">
        <v>54</v>
      </c>
      <c r="AB138" t="s">
        <v>966</v>
      </c>
      <c r="AC138" t="s">
        <v>85</v>
      </c>
      <c r="AD138" t="s">
        <v>52</v>
      </c>
      <c r="AE138" t="s">
        <v>967</v>
      </c>
      <c r="AF138" t="s">
        <v>968</v>
      </c>
      <c r="AG138" t="s">
        <v>58</v>
      </c>
      <c r="AH138" t="s">
        <v>969</v>
      </c>
      <c r="AK138">
        <v>0</v>
      </c>
      <c r="AL138" t="s">
        <v>61</v>
      </c>
      <c r="AM138" t="s">
        <v>966</v>
      </c>
      <c r="AN138" t="s">
        <v>970</v>
      </c>
    </row>
    <row r="139" spans="1:40" x14ac:dyDescent="0.35">
      <c r="A139" t="s">
        <v>37</v>
      </c>
      <c r="B139" t="s">
        <v>971</v>
      </c>
      <c r="C139" t="s">
        <v>39</v>
      </c>
      <c r="D139" t="s">
        <v>972</v>
      </c>
      <c r="E139" t="s">
        <v>973</v>
      </c>
      <c r="F139" s="1">
        <v>46078.448252314818</v>
      </c>
      <c r="G139" t="s">
        <v>71</v>
      </c>
      <c r="H139" t="s">
        <v>72</v>
      </c>
      <c r="I139" t="s">
        <v>974</v>
      </c>
      <c r="J139" t="s">
        <v>707</v>
      </c>
      <c r="K139" t="s">
        <v>75</v>
      </c>
      <c r="M139" t="s">
        <v>76</v>
      </c>
      <c r="O139" t="s">
        <v>77</v>
      </c>
      <c r="P139" t="s">
        <v>78</v>
      </c>
      <c r="Q139" t="s">
        <v>50</v>
      </c>
      <c r="R139" t="s">
        <v>79</v>
      </c>
      <c r="S139" t="s">
        <v>975</v>
      </c>
      <c r="T139" t="s">
        <v>976</v>
      </c>
      <c r="U139" s="1">
        <v>46078.44866898148</v>
      </c>
      <c r="V139" t="s">
        <v>54</v>
      </c>
      <c r="W139" t="s">
        <v>55</v>
      </c>
      <c r="X139" t="s">
        <v>82</v>
      </c>
      <c r="Y139" t="s">
        <v>977</v>
      </c>
      <c r="Z139" t="s">
        <v>58</v>
      </c>
      <c r="AA139" t="s">
        <v>54</v>
      </c>
      <c r="AB139" t="s">
        <v>709</v>
      </c>
      <c r="AC139" t="s">
        <v>85</v>
      </c>
      <c r="AD139" t="s">
        <v>79</v>
      </c>
      <c r="AE139" t="s">
        <v>975</v>
      </c>
      <c r="AF139" t="s">
        <v>976</v>
      </c>
      <c r="AG139" t="s">
        <v>58</v>
      </c>
      <c r="AH139">
        <v>2942</v>
      </c>
      <c r="AK139">
        <v>0</v>
      </c>
      <c r="AL139" t="s">
        <v>410</v>
      </c>
      <c r="AM139" t="s">
        <v>978</v>
      </c>
      <c r="AN139" t="s">
        <v>979</v>
      </c>
    </row>
    <row r="140" spans="1:40" x14ac:dyDescent="0.35">
      <c r="A140" t="s">
        <v>37</v>
      </c>
      <c r="B140" t="s">
        <v>980</v>
      </c>
      <c r="C140" t="s">
        <v>39</v>
      </c>
      <c r="D140" t="s">
        <v>981</v>
      </c>
      <c r="E140" t="s">
        <v>982</v>
      </c>
      <c r="F140" s="1">
        <v>46078.445277777777</v>
      </c>
      <c r="G140" t="s">
        <v>464</v>
      </c>
      <c r="H140" t="s">
        <v>287</v>
      </c>
      <c r="I140" t="s">
        <v>205</v>
      </c>
      <c r="J140" t="s">
        <v>206</v>
      </c>
      <c r="K140" t="s">
        <v>207</v>
      </c>
      <c r="M140" t="s">
        <v>131</v>
      </c>
      <c r="O140" t="s">
        <v>77</v>
      </c>
      <c r="P140" t="s">
        <v>78</v>
      </c>
      <c r="Q140" t="s">
        <v>50</v>
      </c>
      <c r="R140" t="s">
        <v>208</v>
      </c>
      <c r="S140" t="s">
        <v>209</v>
      </c>
      <c r="T140" t="s">
        <v>210</v>
      </c>
      <c r="U140" s="1">
        <v>46078.657939814817</v>
      </c>
      <c r="V140" t="s">
        <v>54</v>
      </c>
      <c r="W140" t="s">
        <v>55</v>
      </c>
      <c r="X140" t="s">
        <v>211</v>
      </c>
      <c r="Y140" t="s">
        <v>212</v>
      </c>
      <c r="Z140" t="s">
        <v>58</v>
      </c>
      <c r="AA140" t="s">
        <v>54</v>
      </c>
      <c r="AB140" t="s">
        <v>213</v>
      </c>
      <c r="AC140" t="s">
        <v>85</v>
      </c>
      <c r="AD140" t="s">
        <v>214</v>
      </c>
      <c r="AE140" t="s">
        <v>215</v>
      </c>
      <c r="AF140" t="s">
        <v>216</v>
      </c>
      <c r="AG140" t="s">
        <v>58</v>
      </c>
      <c r="AH140">
        <v>12673</v>
      </c>
      <c r="AK140">
        <v>1</v>
      </c>
      <c r="AL140" t="s">
        <v>61</v>
      </c>
      <c r="AM140" t="s">
        <v>983</v>
      </c>
      <c r="AN140" t="s">
        <v>984</v>
      </c>
    </row>
    <row r="141" spans="1:40" x14ac:dyDescent="0.35">
      <c r="A141" t="s">
        <v>37</v>
      </c>
      <c r="B141" t="s">
        <v>985</v>
      </c>
      <c r="C141" t="s">
        <v>656</v>
      </c>
      <c r="D141" t="s">
        <v>986</v>
      </c>
      <c r="E141" t="s">
        <v>987</v>
      </c>
      <c r="F141" s="1">
        <v>46078.447175925925</v>
      </c>
      <c r="G141" t="s">
        <v>355</v>
      </c>
      <c r="H141" t="s">
        <v>356</v>
      </c>
      <c r="I141" t="s">
        <v>988</v>
      </c>
      <c r="J141" t="s">
        <v>660</v>
      </c>
      <c r="K141" t="s">
        <v>661</v>
      </c>
      <c r="M141" t="s">
        <v>131</v>
      </c>
      <c r="O141" t="s">
        <v>77</v>
      </c>
      <c r="P141" t="s">
        <v>78</v>
      </c>
      <c r="Q141" t="s">
        <v>50</v>
      </c>
      <c r="R141" t="s">
        <v>662</v>
      </c>
      <c r="S141" t="s">
        <v>663</v>
      </c>
      <c r="T141" t="s">
        <v>989</v>
      </c>
      <c r="U141" s="1">
        <v>46078.567083333335</v>
      </c>
      <c r="V141" t="s">
        <v>54</v>
      </c>
      <c r="W141" t="s">
        <v>55</v>
      </c>
      <c r="X141" t="s">
        <v>134</v>
      </c>
      <c r="Y141" t="s">
        <v>990</v>
      </c>
      <c r="Z141" t="s">
        <v>58</v>
      </c>
      <c r="AA141" t="s">
        <v>54</v>
      </c>
      <c r="AB141" t="s">
        <v>612</v>
      </c>
      <c r="AC141" t="s">
        <v>85</v>
      </c>
      <c r="AD141" t="s">
        <v>667</v>
      </c>
      <c r="AE141" t="s">
        <v>667</v>
      </c>
      <c r="AF141" t="s">
        <v>989</v>
      </c>
      <c r="AG141" t="s">
        <v>58</v>
      </c>
      <c r="AH141" t="s">
        <v>991</v>
      </c>
      <c r="AK141">
        <v>1</v>
      </c>
      <c r="AL141" t="s">
        <v>61</v>
      </c>
      <c r="AM141" t="s">
        <v>992</v>
      </c>
      <c r="AN141" t="s">
        <v>993</v>
      </c>
    </row>
    <row r="142" spans="1:40" x14ac:dyDescent="0.35">
      <c r="A142" t="s">
        <v>37</v>
      </c>
      <c r="B142" t="s">
        <v>994</v>
      </c>
      <c r="C142" t="s">
        <v>39</v>
      </c>
      <c r="D142" t="s">
        <v>320</v>
      </c>
      <c r="E142" t="s">
        <v>596</v>
      </c>
      <c r="F142" s="1">
        <v>46078.444050925929</v>
      </c>
      <c r="G142" t="s">
        <v>597</v>
      </c>
      <c r="H142" t="s">
        <v>287</v>
      </c>
      <c r="I142" t="s">
        <v>205</v>
      </c>
      <c r="J142" t="s">
        <v>206</v>
      </c>
      <c r="K142" t="s">
        <v>207</v>
      </c>
      <c r="M142" t="s">
        <v>131</v>
      </c>
      <c r="O142" t="s">
        <v>77</v>
      </c>
      <c r="P142" t="s">
        <v>78</v>
      </c>
      <c r="Q142" t="s">
        <v>50</v>
      </c>
      <c r="R142" t="s">
        <v>208</v>
      </c>
      <c r="S142" t="s">
        <v>209</v>
      </c>
      <c r="T142" t="s">
        <v>210</v>
      </c>
      <c r="U142" s="1">
        <v>46078.658136574071</v>
      </c>
      <c r="V142" t="s">
        <v>54</v>
      </c>
      <c r="W142" t="s">
        <v>55</v>
      </c>
      <c r="X142" t="s">
        <v>211</v>
      </c>
      <c r="Y142" t="s">
        <v>212</v>
      </c>
      <c r="Z142" t="s">
        <v>58</v>
      </c>
      <c r="AA142" t="s">
        <v>54</v>
      </c>
      <c r="AB142" t="s">
        <v>213</v>
      </c>
      <c r="AC142" t="s">
        <v>85</v>
      </c>
      <c r="AD142" t="s">
        <v>214</v>
      </c>
      <c r="AE142" t="s">
        <v>215</v>
      </c>
      <c r="AF142" t="s">
        <v>216</v>
      </c>
      <c r="AG142" t="s">
        <v>58</v>
      </c>
      <c r="AH142">
        <v>15417</v>
      </c>
      <c r="AK142">
        <v>1</v>
      </c>
      <c r="AL142" t="s">
        <v>61</v>
      </c>
      <c r="AM142" t="s">
        <v>598</v>
      </c>
      <c r="AN142" t="s">
        <v>599</v>
      </c>
    </row>
    <row r="143" spans="1:40" x14ac:dyDescent="0.35">
      <c r="A143" t="s">
        <v>37</v>
      </c>
      <c r="B143" t="s">
        <v>995</v>
      </c>
      <c r="C143" t="s">
        <v>39</v>
      </c>
      <c r="D143" t="s">
        <v>960</v>
      </c>
      <c r="E143" t="s">
        <v>961</v>
      </c>
      <c r="F143" s="1">
        <v>46078.444212962961</v>
      </c>
      <c r="G143" t="s">
        <v>355</v>
      </c>
      <c r="H143" t="s">
        <v>356</v>
      </c>
      <c r="I143" t="s">
        <v>996</v>
      </c>
      <c r="J143" t="s">
        <v>963</v>
      </c>
      <c r="K143" t="s">
        <v>964</v>
      </c>
      <c r="M143" t="s">
        <v>131</v>
      </c>
      <c r="O143" t="s">
        <v>77</v>
      </c>
      <c r="P143" t="s">
        <v>78</v>
      </c>
      <c r="Q143" t="s">
        <v>50</v>
      </c>
      <c r="R143" t="s">
        <v>51</v>
      </c>
      <c r="S143" t="s">
        <v>52</v>
      </c>
      <c r="T143" t="s">
        <v>997</v>
      </c>
      <c r="U143" s="1">
        <v>46078.446145833332</v>
      </c>
      <c r="V143" t="s">
        <v>54</v>
      </c>
      <c r="W143" t="s">
        <v>55</v>
      </c>
      <c r="X143" t="s">
        <v>134</v>
      </c>
      <c r="Y143" t="s">
        <v>998</v>
      </c>
      <c r="Z143" t="s">
        <v>58</v>
      </c>
      <c r="AA143" t="s">
        <v>54</v>
      </c>
      <c r="AB143" t="s">
        <v>966</v>
      </c>
      <c r="AC143" t="s">
        <v>85</v>
      </c>
      <c r="AD143" t="s">
        <v>52</v>
      </c>
      <c r="AE143" t="s">
        <v>999</v>
      </c>
      <c r="AF143" t="s">
        <v>1000</v>
      </c>
      <c r="AG143" t="s">
        <v>58</v>
      </c>
      <c r="AH143" t="s">
        <v>969</v>
      </c>
      <c r="AK143">
        <v>0</v>
      </c>
      <c r="AL143" t="s">
        <v>61</v>
      </c>
      <c r="AM143" t="s">
        <v>966</v>
      </c>
      <c r="AN143" t="s">
        <v>970</v>
      </c>
    </row>
    <row r="144" spans="1:40" x14ac:dyDescent="0.35">
      <c r="A144" t="s">
        <v>37</v>
      </c>
      <c r="B144" t="s">
        <v>1001</v>
      </c>
      <c r="C144" t="s">
        <v>39</v>
      </c>
      <c r="D144" t="s">
        <v>1002</v>
      </c>
      <c r="E144" t="s">
        <v>1003</v>
      </c>
      <c r="F144" s="1">
        <v>46078.442280092589</v>
      </c>
      <c r="G144" t="s">
        <v>855</v>
      </c>
      <c r="H144" t="s">
        <v>447</v>
      </c>
      <c r="I144" t="s">
        <v>205</v>
      </c>
      <c r="J144" t="s">
        <v>206</v>
      </c>
      <c r="K144" t="s">
        <v>207</v>
      </c>
      <c r="M144" t="s">
        <v>131</v>
      </c>
      <c r="O144" t="s">
        <v>77</v>
      </c>
      <c r="P144" t="s">
        <v>78</v>
      </c>
      <c r="Q144" t="s">
        <v>50</v>
      </c>
      <c r="R144" t="s">
        <v>208</v>
      </c>
      <c r="S144" t="s">
        <v>209</v>
      </c>
      <c r="T144" t="s">
        <v>210</v>
      </c>
      <c r="U144" s="1">
        <v>46078.657731481479</v>
      </c>
      <c r="V144" t="s">
        <v>54</v>
      </c>
      <c r="W144" t="s">
        <v>55</v>
      </c>
      <c r="X144" t="s">
        <v>211</v>
      </c>
      <c r="Y144" t="s">
        <v>212</v>
      </c>
      <c r="Z144" t="s">
        <v>58</v>
      </c>
      <c r="AA144" t="s">
        <v>54</v>
      </c>
      <c r="AB144" t="s">
        <v>213</v>
      </c>
      <c r="AC144" t="s">
        <v>85</v>
      </c>
      <c r="AD144" t="s">
        <v>214</v>
      </c>
      <c r="AE144" t="s">
        <v>215</v>
      </c>
      <c r="AF144" t="s">
        <v>216</v>
      </c>
      <c r="AG144" t="s">
        <v>58</v>
      </c>
      <c r="AH144" t="s">
        <v>1004</v>
      </c>
      <c r="AK144">
        <v>1</v>
      </c>
      <c r="AL144" t="s">
        <v>61</v>
      </c>
      <c r="AM144" t="s">
        <v>1005</v>
      </c>
      <c r="AN144" t="s">
        <v>1006</v>
      </c>
    </row>
    <row r="145" spans="1:40" x14ac:dyDescent="0.35">
      <c r="A145" t="s">
        <v>37</v>
      </c>
      <c r="B145" t="s">
        <v>1007</v>
      </c>
      <c r="C145" t="s">
        <v>39</v>
      </c>
      <c r="D145" t="s">
        <v>127</v>
      </c>
      <c r="E145" t="s">
        <v>1008</v>
      </c>
      <c r="F145" s="1">
        <v>46078.440150462964</v>
      </c>
      <c r="G145" t="s">
        <v>487</v>
      </c>
      <c r="H145" t="s">
        <v>447</v>
      </c>
      <c r="I145" t="s">
        <v>205</v>
      </c>
      <c r="J145" t="s">
        <v>206</v>
      </c>
      <c r="K145" t="s">
        <v>207</v>
      </c>
      <c r="M145" t="s">
        <v>131</v>
      </c>
      <c r="O145" t="s">
        <v>77</v>
      </c>
      <c r="P145" t="s">
        <v>78</v>
      </c>
      <c r="Q145" t="s">
        <v>50</v>
      </c>
      <c r="R145" t="s">
        <v>208</v>
      </c>
      <c r="S145" t="s">
        <v>209</v>
      </c>
      <c r="T145" t="s">
        <v>210</v>
      </c>
      <c r="U145" s="1">
        <v>46078.657523148147</v>
      </c>
      <c r="V145" t="s">
        <v>54</v>
      </c>
      <c r="W145" t="s">
        <v>55</v>
      </c>
      <c r="X145" t="s">
        <v>211</v>
      </c>
      <c r="Y145" t="s">
        <v>212</v>
      </c>
      <c r="Z145" t="s">
        <v>58</v>
      </c>
      <c r="AA145" t="s">
        <v>54</v>
      </c>
      <c r="AB145" t="s">
        <v>213</v>
      </c>
      <c r="AC145" t="s">
        <v>85</v>
      </c>
      <c r="AD145" t="s">
        <v>214</v>
      </c>
      <c r="AE145" t="s">
        <v>215</v>
      </c>
      <c r="AF145" t="s">
        <v>216</v>
      </c>
      <c r="AG145" t="s">
        <v>58</v>
      </c>
      <c r="AH145">
        <v>14667</v>
      </c>
      <c r="AK145">
        <v>1</v>
      </c>
      <c r="AL145" t="s">
        <v>61</v>
      </c>
      <c r="AM145" t="s">
        <v>1009</v>
      </c>
      <c r="AN145" t="s">
        <v>1010</v>
      </c>
    </row>
    <row r="146" spans="1:40" x14ac:dyDescent="0.35">
      <c r="A146" t="s">
        <v>37</v>
      </c>
      <c r="B146" t="s">
        <v>1011</v>
      </c>
      <c r="C146" t="s">
        <v>39</v>
      </c>
      <c r="D146" t="s">
        <v>1012</v>
      </c>
      <c r="E146" t="s">
        <v>1013</v>
      </c>
      <c r="F146" s="1">
        <v>46078.441724537035</v>
      </c>
      <c r="G146" t="s">
        <v>71</v>
      </c>
      <c r="H146" t="s">
        <v>72</v>
      </c>
      <c r="I146" t="s">
        <v>1014</v>
      </c>
      <c r="J146" t="s">
        <v>1015</v>
      </c>
      <c r="K146" t="s">
        <v>75</v>
      </c>
      <c r="M146" t="s">
        <v>76</v>
      </c>
      <c r="O146" t="s">
        <v>77</v>
      </c>
      <c r="P146" t="s">
        <v>78</v>
      </c>
      <c r="Q146" t="s">
        <v>50</v>
      </c>
      <c r="R146" t="s">
        <v>79</v>
      </c>
      <c r="S146" t="s">
        <v>1016</v>
      </c>
      <c r="T146" t="s">
        <v>1017</v>
      </c>
      <c r="U146" s="1">
        <v>46078.444120370368</v>
      </c>
      <c r="V146" t="s">
        <v>54</v>
      </c>
      <c r="W146" t="s">
        <v>55</v>
      </c>
      <c r="X146" t="s">
        <v>82</v>
      </c>
      <c r="Y146" t="s">
        <v>1018</v>
      </c>
      <c r="Z146" t="s">
        <v>58</v>
      </c>
      <c r="AA146" t="s">
        <v>54</v>
      </c>
      <c r="AB146" t="s">
        <v>954</v>
      </c>
      <c r="AC146" t="s">
        <v>85</v>
      </c>
      <c r="AD146" t="s">
        <v>79</v>
      </c>
      <c r="AE146" t="s">
        <v>1016</v>
      </c>
      <c r="AF146" t="s">
        <v>1019</v>
      </c>
      <c r="AG146" t="s">
        <v>58</v>
      </c>
      <c r="AH146" t="s">
        <v>1020</v>
      </c>
      <c r="AK146">
        <v>0</v>
      </c>
      <c r="AL146" t="s">
        <v>61</v>
      </c>
      <c r="AM146" t="s">
        <v>1021</v>
      </c>
      <c r="AN146" t="s">
        <v>1022</v>
      </c>
    </row>
    <row r="147" spans="1:40" x14ac:dyDescent="0.35">
      <c r="A147" t="s">
        <v>37</v>
      </c>
      <c r="B147" t="s">
        <v>1023</v>
      </c>
      <c r="C147" t="s">
        <v>102</v>
      </c>
      <c r="D147" t="s">
        <v>191</v>
      </c>
      <c r="E147" t="s">
        <v>192</v>
      </c>
      <c r="F147" s="1">
        <v>46078.437743055554</v>
      </c>
      <c r="G147" t="s">
        <v>71</v>
      </c>
      <c r="H147" t="s">
        <v>72</v>
      </c>
      <c r="I147" t="s">
        <v>163</v>
      </c>
      <c r="J147" t="s">
        <v>194</v>
      </c>
      <c r="K147" t="s">
        <v>130</v>
      </c>
      <c r="M147" t="s">
        <v>131</v>
      </c>
      <c r="O147" t="s">
        <v>77</v>
      </c>
      <c r="P147" t="s">
        <v>78</v>
      </c>
      <c r="Q147" t="s">
        <v>50</v>
      </c>
      <c r="R147" t="s">
        <v>51</v>
      </c>
      <c r="S147" t="s">
        <v>52</v>
      </c>
      <c r="T147" t="s">
        <v>195</v>
      </c>
      <c r="U147" s="1">
        <v>46078.501585648148</v>
      </c>
      <c r="V147" t="s">
        <v>54</v>
      </c>
      <c r="W147" t="s">
        <v>55</v>
      </c>
      <c r="X147" t="s">
        <v>196</v>
      </c>
      <c r="Y147" t="s">
        <v>1024</v>
      </c>
      <c r="Z147" t="s">
        <v>58</v>
      </c>
      <c r="AA147" t="s">
        <v>54</v>
      </c>
      <c r="AB147" t="s">
        <v>198</v>
      </c>
      <c r="AC147" t="s">
        <v>85</v>
      </c>
      <c r="AD147" t="s">
        <v>51</v>
      </c>
      <c r="AE147" t="s">
        <v>52</v>
      </c>
      <c r="AF147" t="s">
        <v>195</v>
      </c>
      <c r="AG147" t="s">
        <v>58</v>
      </c>
      <c r="AH147" t="s">
        <v>199</v>
      </c>
      <c r="AK147">
        <v>1</v>
      </c>
      <c r="AL147" t="s">
        <v>61</v>
      </c>
      <c r="AM147" t="s">
        <v>198</v>
      </c>
      <c r="AN147" t="s">
        <v>200</v>
      </c>
    </row>
    <row r="148" spans="1:40" x14ac:dyDescent="0.35">
      <c r="A148" t="s">
        <v>37</v>
      </c>
      <c r="B148" t="s">
        <v>1025</v>
      </c>
      <c r="C148" t="s">
        <v>39</v>
      </c>
      <c r="D148" t="s">
        <v>320</v>
      </c>
      <c r="E148" t="s">
        <v>321</v>
      </c>
      <c r="F148" s="1">
        <v>46078.438703703701</v>
      </c>
      <c r="G148" t="s">
        <v>71</v>
      </c>
      <c r="H148" t="s">
        <v>72</v>
      </c>
      <c r="I148" t="s">
        <v>1026</v>
      </c>
      <c r="J148" t="s">
        <v>394</v>
      </c>
      <c r="K148" t="s">
        <v>75</v>
      </c>
      <c r="M148" t="s">
        <v>76</v>
      </c>
      <c r="O148" t="s">
        <v>77</v>
      </c>
      <c r="P148" t="s">
        <v>78</v>
      </c>
      <c r="Q148" t="s">
        <v>1027</v>
      </c>
      <c r="R148" t="s">
        <v>79</v>
      </c>
      <c r="S148" t="s">
        <v>967</v>
      </c>
      <c r="T148" t="s">
        <v>1028</v>
      </c>
      <c r="U148" s="1">
        <v>46078.438958333332</v>
      </c>
      <c r="V148" t="s">
        <v>54</v>
      </c>
      <c r="W148" t="s">
        <v>55</v>
      </c>
      <c r="X148" t="s">
        <v>82</v>
      </c>
      <c r="Y148" t="s">
        <v>1029</v>
      </c>
      <c r="Z148" t="s">
        <v>58</v>
      </c>
      <c r="AA148" t="s">
        <v>54</v>
      </c>
      <c r="AB148" t="s">
        <v>396</v>
      </c>
      <c r="AC148" t="s">
        <v>85</v>
      </c>
      <c r="AD148" t="s">
        <v>79</v>
      </c>
      <c r="AE148" t="s">
        <v>967</v>
      </c>
      <c r="AF148" t="s">
        <v>1028</v>
      </c>
      <c r="AG148" t="s">
        <v>58</v>
      </c>
      <c r="AH148">
        <v>11229</v>
      </c>
      <c r="AK148">
        <v>0</v>
      </c>
      <c r="AL148" t="s">
        <v>61</v>
      </c>
      <c r="AM148" t="s">
        <v>1030</v>
      </c>
      <c r="AN148" t="s">
        <v>1031</v>
      </c>
    </row>
    <row r="149" spans="1:40" x14ac:dyDescent="0.35">
      <c r="A149" t="s">
        <v>37</v>
      </c>
      <c r="B149" t="s">
        <v>1032</v>
      </c>
      <c r="C149" t="s">
        <v>39</v>
      </c>
      <c r="D149" t="s">
        <v>1033</v>
      </c>
      <c r="E149" t="s">
        <v>1034</v>
      </c>
      <c r="F149" s="1">
        <v>46078.432766203703</v>
      </c>
      <c r="G149" t="s">
        <v>487</v>
      </c>
      <c r="H149" t="s">
        <v>447</v>
      </c>
      <c r="I149" t="s">
        <v>205</v>
      </c>
      <c r="J149" t="s">
        <v>206</v>
      </c>
      <c r="K149" t="s">
        <v>207</v>
      </c>
      <c r="M149" t="s">
        <v>131</v>
      </c>
      <c r="O149" t="s">
        <v>77</v>
      </c>
      <c r="P149" t="s">
        <v>78</v>
      </c>
      <c r="Q149" t="s">
        <v>50</v>
      </c>
      <c r="R149" t="s">
        <v>208</v>
      </c>
      <c r="S149" t="s">
        <v>209</v>
      </c>
      <c r="T149" t="s">
        <v>210</v>
      </c>
      <c r="U149" s="1">
        <v>46078.657326388886</v>
      </c>
      <c r="V149" t="s">
        <v>54</v>
      </c>
      <c r="W149" t="s">
        <v>55</v>
      </c>
      <c r="X149" t="s">
        <v>211</v>
      </c>
      <c r="Y149" t="s">
        <v>212</v>
      </c>
      <c r="Z149" t="s">
        <v>58</v>
      </c>
      <c r="AA149" t="s">
        <v>54</v>
      </c>
      <c r="AB149" t="s">
        <v>213</v>
      </c>
      <c r="AC149" t="s">
        <v>85</v>
      </c>
      <c r="AD149" t="s">
        <v>214</v>
      </c>
      <c r="AE149" t="s">
        <v>215</v>
      </c>
      <c r="AF149" t="s">
        <v>216</v>
      </c>
      <c r="AG149" t="s">
        <v>58</v>
      </c>
      <c r="AH149">
        <v>15690</v>
      </c>
      <c r="AK149">
        <v>1</v>
      </c>
      <c r="AL149" t="s">
        <v>61</v>
      </c>
      <c r="AM149" t="s">
        <v>1035</v>
      </c>
      <c r="AN149" t="s">
        <v>1036</v>
      </c>
    </row>
    <row r="150" spans="1:40" x14ac:dyDescent="0.35">
      <c r="A150" t="s">
        <v>37</v>
      </c>
      <c r="B150" t="s">
        <v>1037</v>
      </c>
      <c r="C150" t="s">
        <v>39</v>
      </c>
      <c r="D150" t="s">
        <v>1038</v>
      </c>
      <c r="E150" t="s">
        <v>1039</v>
      </c>
      <c r="F150" s="1">
        <v>46078.431701388887</v>
      </c>
      <c r="G150" t="s">
        <v>1040</v>
      </c>
      <c r="H150" t="s">
        <v>72</v>
      </c>
      <c r="I150" t="s">
        <v>205</v>
      </c>
      <c r="J150" t="s">
        <v>206</v>
      </c>
      <c r="K150" t="s">
        <v>207</v>
      </c>
      <c r="M150" t="s">
        <v>131</v>
      </c>
      <c r="O150" t="s">
        <v>77</v>
      </c>
      <c r="P150" t="s">
        <v>78</v>
      </c>
      <c r="Q150" t="s">
        <v>50</v>
      </c>
      <c r="R150" t="s">
        <v>208</v>
      </c>
      <c r="S150" t="s">
        <v>209</v>
      </c>
      <c r="T150" t="s">
        <v>210</v>
      </c>
      <c r="U150" s="1">
        <v>46078.657106481478</v>
      </c>
      <c r="V150" t="s">
        <v>54</v>
      </c>
      <c r="W150" t="s">
        <v>55</v>
      </c>
      <c r="X150" t="s">
        <v>211</v>
      </c>
      <c r="Y150" t="s">
        <v>212</v>
      </c>
      <c r="Z150" t="s">
        <v>58</v>
      </c>
      <c r="AA150" t="s">
        <v>54</v>
      </c>
      <c r="AB150" t="s">
        <v>213</v>
      </c>
      <c r="AC150" t="s">
        <v>85</v>
      </c>
      <c r="AD150" t="s">
        <v>214</v>
      </c>
      <c r="AE150" t="s">
        <v>215</v>
      </c>
      <c r="AF150" t="s">
        <v>216</v>
      </c>
      <c r="AG150" t="s">
        <v>58</v>
      </c>
      <c r="AH150">
        <v>13575</v>
      </c>
      <c r="AK150">
        <v>1</v>
      </c>
      <c r="AL150" t="s">
        <v>61</v>
      </c>
      <c r="AM150" t="s">
        <v>1041</v>
      </c>
      <c r="AN150" t="s">
        <v>1042</v>
      </c>
    </row>
    <row r="151" spans="1:40" x14ac:dyDescent="0.35">
      <c r="A151" t="s">
        <v>37</v>
      </c>
      <c r="B151" t="s">
        <v>1043</v>
      </c>
      <c r="C151" t="s">
        <v>102</v>
      </c>
      <c r="D151" t="s">
        <v>1044</v>
      </c>
      <c r="E151" t="s">
        <v>1045</v>
      </c>
      <c r="F151" s="1">
        <v>46078.431134259263</v>
      </c>
      <c r="G151" t="s">
        <v>913</v>
      </c>
      <c r="H151" t="s">
        <v>72</v>
      </c>
      <c r="I151" t="s">
        <v>1046</v>
      </c>
      <c r="J151" t="s">
        <v>235</v>
      </c>
      <c r="K151" t="s">
        <v>236</v>
      </c>
      <c r="M151" t="s">
        <v>76</v>
      </c>
      <c r="O151" t="s">
        <v>237</v>
      </c>
      <c r="P151" t="s">
        <v>238</v>
      </c>
      <c r="Q151" t="s">
        <v>50</v>
      </c>
      <c r="R151" t="s">
        <v>51</v>
      </c>
      <c r="S151" t="s">
        <v>52</v>
      </c>
      <c r="T151" t="s">
        <v>240</v>
      </c>
      <c r="U151" s="1">
        <v>46078.639178240737</v>
      </c>
      <c r="V151" t="s">
        <v>54</v>
      </c>
      <c r="W151" t="s">
        <v>55</v>
      </c>
      <c r="X151" t="s">
        <v>211</v>
      </c>
      <c r="Y151" t="s">
        <v>1047</v>
      </c>
      <c r="Z151" t="s">
        <v>58</v>
      </c>
      <c r="AA151" t="s">
        <v>54</v>
      </c>
      <c r="AB151" t="s">
        <v>213</v>
      </c>
      <c r="AC151" t="s">
        <v>242</v>
      </c>
      <c r="AD151" t="s">
        <v>52</v>
      </c>
      <c r="AE151" t="s">
        <v>243</v>
      </c>
      <c r="AF151" t="s">
        <v>244</v>
      </c>
      <c r="AG151" t="s">
        <v>58</v>
      </c>
      <c r="AH151" t="s">
        <v>1048</v>
      </c>
      <c r="AK151">
        <v>1</v>
      </c>
      <c r="AL151" t="s">
        <v>61</v>
      </c>
      <c r="AM151" t="s">
        <v>1049</v>
      </c>
      <c r="AN151" t="s">
        <v>1050</v>
      </c>
    </row>
    <row r="152" spans="1:40" x14ac:dyDescent="0.35">
      <c r="A152" t="s">
        <v>37</v>
      </c>
      <c r="B152" t="s">
        <v>1051</v>
      </c>
      <c r="C152" t="s">
        <v>39</v>
      </c>
      <c r="D152" t="s">
        <v>320</v>
      </c>
      <c r="E152" t="s">
        <v>321</v>
      </c>
      <c r="F152" s="1">
        <v>46078.433946759258</v>
      </c>
      <c r="G152" t="s">
        <v>71</v>
      </c>
      <c r="H152" t="s">
        <v>72</v>
      </c>
      <c r="I152" t="s">
        <v>1052</v>
      </c>
      <c r="J152" t="s">
        <v>394</v>
      </c>
      <c r="K152" t="s">
        <v>75</v>
      </c>
      <c r="M152" t="s">
        <v>76</v>
      </c>
      <c r="O152" t="s">
        <v>77</v>
      </c>
      <c r="P152" t="s">
        <v>78</v>
      </c>
      <c r="Q152" t="s">
        <v>1027</v>
      </c>
      <c r="R152" t="s">
        <v>79</v>
      </c>
      <c r="S152" t="s">
        <v>975</v>
      </c>
      <c r="T152" t="s">
        <v>976</v>
      </c>
      <c r="U152" s="1">
        <v>46078.434618055559</v>
      </c>
      <c r="V152" t="s">
        <v>54</v>
      </c>
      <c r="W152" t="s">
        <v>55</v>
      </c>
      <c r="X152" t="s">
        <v>82</v>
      </c>
      <c r="Y152" t="s">
        <v>1053</v>
      </c>
      <c r="Z152" t="s">
        <v>58</v>
      </c>
      <c r="AA152" t="s">
        <v>54</v>
      </c>
      <c r="AB152" t="s">
        <v>396</v>
      </c>
      <c r="AC152" t="s">
        <v>85</v>
      </c>
      <c r="AD152" t="s">
        <v>79</v>
      </c>
      <c r="AE152" t="s">
        <v>975</v>
      </c>
      <c r="AF152" t="s">
        <v>976</v>
      </c>
      <c r="AG152" t="s">
        <v>58</v>
      </c>
      <c r="AH152">
        <v>11229</v>
      </c>
      <c r="AK152">
        <v>0</v>
      </c>
      <c r="AL152" t="s">
        <v>61</v>
      </c>
      <c r="AM152" t="s">
        <v>1030</v>
      </c>
      <c r="AN152" t="s">
        <v>1031</v>
      </c>
    </row>
    <row r="153" spans="1:40" x14ac:dyDescent="0.35">
      <c r="A153" t="s">
        <v>37</v>
      </c>
      <c r="B153" t="s">
        <v>1054</v>
      </c>
      <c r="C153" t="s">
        <v>39</v>
      </c>
      <c r="D153" t="s">
        <v>1055</v>
      </c>
      <c r="E153" t="s">
        <v>1056</v>
      </c>
      <c r="F153" s="1">
        <v>46078.429270833331</v>
      </c>
      <c r="G153" t="s">
        <v>355</v>
      </c>
      <c r="H153" t="s">
        <v>356</v>
      </c>
      <c r="I153" t="s">
        <v>1057</v>
      </c>
      <c r="J153" t="s">
        <v>1058</v>
      </c>
      <c r="K153" t="s">
        <v>436</v>
      </c>
      <c r="M153" t="s">
        <v>76</v>
      </c>
      <c r="O153" t="s">
        <v>77</v>
      </c>
      <c r="P153" t="s">
        <v>78</v>
      </c>
      <c r="Q153" t="s">
        <v>50</v>
      </c>
      <c r="R153" t="s">
        <v>51</v>
      </c>
      <c r="S153" t="s">
        <v>52</v>
      </c>
      <c r="T153" t="s">
        <v>240</v>
      </c>
      <c r="U153" s="1">
        <v>46078.674363425926</v>
      </c>
      <c r="V153" t="s">
        <v>54</v>
      </c>
      <c r="W153" t="s">
        <v>55</v>
      </c>
      <c r="X153" t="s">
        <v>134</v>
      </c>
      <c r="Y153" t="s">
        <v>1059</v>
      </c>
      <c r="Z153" t="s">
        <v>58</v>
      </c>
      <c r="AA153" t="s">
        <v>54</v>
      </c>
      <c r="AB153" t="s">
        <v>458</v>
      </c>
      <c r="AC153" t="s">
        <v>85</v>
      </c>
      <c r="AD153" t="s">
        <v>52</v>
      </c>
      <c r="AE153" t="s">
        <v>438</v>
      </c>
      <c r="AF153" t="s">
        <v>439</v>
      </c>
      <c r="AG153" t="s">
        <v>58</v>
      </c>
      <c r="AH153" t="s">
        <v>1060</v>
      </c>
      <c r="AK153">
        <v>1</v>
      </c>
      <c r="AL153" t="s">
        <v>61</v>
      </c>
      <c r="AM153" t="s">
        <v>1061</v>
      </c>
      <c r="AN153" t="s">
        <v>1062</v>
      </c>
    </row>
    <row r="154" spans="1:40" x14ac:dyDescent="0.35">
      <c r="A154" t="s">
        <v>37</v>
      </c>
      <c r="B154" t="s">
        <v>1063</v>
      </c>
      <c r="C154" t="s">
        <v>39</v>
      </c>
      <c r="D154" t="s">
        <v>555</v>
      </c>
      <c r="E154" t="s">
        <v>1064</v>
      </c>
      <c r="F154" s="1">
        <v>46078.427523148152</v>
      </c>
      <c r="G154" t="s">
        <v>855</v>
      </c>
      <c r="H154" t="s">
        <v>447</v>
      </c>
      <c r="I154" t="s">
        <v>205</v>
      </c>
      <c r="J154" t="s">
        <v>603</v>
      </c>
      <c r="K154" t="s">
        <v>207</v>
      </c>
      <c r="M154" t="s">
        <v>131</v>
      </c>
      <c r="O154" t="s">
        <v>77</v>
      </c>
      <c r="P154" t="s">
        <v>78</v>
      </c>
      <c r="Q154" t="s">
        <v>50</v>
      </c>
      <c r="R154" t="s">
        <v>208</v>
      </c>
      <c r="S154" t="s">
        <v>209</v>
      </c>
      <c r="T154" t="s">
        <v>210</v>
      </c>
      <c r="U154" s="1">
        <v>46078.640081018515</v>
      </c>
      <c r="V154" t="s">
        <v>54</v>
      </c>
      <c r="W154" t="s">
        <v>55</v>
      </c>
      <c r="X154" t="s">
        <v>211</v>
      </c>
      <c r="Y154" t="s">
        <v>604</v>
      </c>
      <c r="Z154" t="s">
        <v>58</v>
      </c>
      <c r="AA154" t="s">
        <v>54</v>
      </c>
      <c r="AB154" t="s">
        <v>213</v>
      </c>
      <c r="AC154" t="s">
        <v>85</v>
      </c>
      <c r="AD154" t="s">
        <v>214</v>
      </c>
      <c r="AE154" t="s">
        <v>215</v>
      </c>
      <c r="AF154" t="s">
        <v>216</v>
      </c>
      <c r="AG154" t="s">
        <v>58</v>
      </c>
      <c r="AH154">
        <v>14750</v>
      </c>
      <c r="AK154">
        <v>1</v>
      </c>
      <c r="AL154" t="s">
        <v>61</v>
      </c>
      <c r="AM154" t="s">
        <v>1065</v>
      </c>
      <c r="AN154" t="s">
        <v>1066</v>
      </c>
    </row>
    <row r="155" spans="1:40" x14ac:dyDescent="0.35">
      <c r="A155" t="s">
        <v>37</v>
      </c>
      <c r="B155" t="s">
        <v>1067</v>
      </c>
      <c r="C155" t="s">
        <v>39</v>
      </c>
      <c r="D155" t="s">
        <v>40</v>
      </c>
      <c r="E155" t="s">
        <v>41</v>
      </c>
      <c r="F155" s="1">
        <v>46078.425335648149</v>
      </c>
      <c r="G155" t="s">
        <v>42</v>
      </c>
      <c r="H155" t="s">
        <v>43</v>
      </c>
      <c r="I155" t="s">
        <v>1068</v>
      </c>
      <c r="J155" t="s">
        <v>45</v>
      </c>
      <c r="K155" t="s">
        <v>46</v>
      </c>
      <c r="M155" t="s">
        <v>47</v>
      </c>
      <c r="O155" t="s">
        <v>48</v>
      </c>
      <c r="P155" t="s">
        <v>49</v>
      </c>
      <c r="Q155" t="s">
        <v>50</v>
      </c>
      <c r="R155" t="s">
        <v>51</v>
      </c>
      <c r="S155" t="s">
        <v>52</v>
      </c>
      <c r="T155" t="s">
        <v>53</v>
      </c>
      <c r="U155" s="1">
        <v>46078.426516203705</v>
      </c>
      <c r="V155" t="s">
        <v>54</v>
      </c>
      <c r="W155" t="s">
        <v>55</v>
      </c>
      <c r="X155" t="s">
        <v>56</v>
      </c>
      <c r="Y155" t="s">
        <v>65</v>
      </c>
      <c r="Z155" t="s">
        <v>58</v>
      </c>
      <c r="AA155" t="s">
        <v>54</v>
      </c>
      <c r="AB155" t="s">
        <v>59</v>
      </c>
      <c r="AC155" t="s">
        <v>60</v>
      </c>
      <c r="AD155" t="s">
        <v>51</v>
      </c>
      <c r="AE155" t="s">
        <v>52</v>
      </c>
      <c r="AF155" t="s">
        <v>53</v>
      </c>
      <c r="AG155" t="s">
        <v>58</v>
      </c>
      <c r="AK155">
        <v>0</v>
      </c>
      <c r="AL155" t="s">
        <v>61</v>
      </c>
      <c r="AM155" t="s">
        <v>59</v>
      </c>
      <c r="AN155" t="s">
        <v>62</v>
      </c>
    </row>
    <row r="156" spans="1:40" x14ac:dyDescent="0.35">
      <c r="A156" t="s">
        <v>37</v>
      </c>
      <c r="B156" t="s">
        <v>1069</v>
      </c>
      <c r="C156" t="s">
        <v>39</v>
      </c>
      <c r="D156" t="s">
        <v>325</v>
      </c>
      <c r="E156" t="s">
        <v>1070</v>
      </c>
      <c r="F156" s="1">
        <v>46078.423622685186</v>
      </c>
      <c r="G156" t="s">
        <v>540</v>
      </c>
      <c r="H156" t="s">
        <v>447</v>
      </c>
      <c r="I156" t="s">
        <v>1071</v>
      </c>
      <c r="J156" t="s">
        <v>724</v>
      </c>
      <c r="K156" t="s">
        <v>75</v>
      </c>
      <c r="M156" t="s">
        <v>76</v>
      </c>
      <c r="O156" t="s">
        <v>77</v>
      </c>
      <c r="P156" t="s">
        <v>78</v>
      </c>
      <c r="Q156" t="s">
        <v>50</v>
      </c>
      <c r="R156" t="s">
        <v>79</v>
      </c>
      <c r="S156" t="s">
        <v>967</v>
      </c>
      <c r="T156" t="s">
        <v>1072</v>
      </c>
      <c r="U156" s="1">
        <v>46078.425543981481</v>
      </c>
      <c r="V156" t="s">
        <v>54</v>
      </c>
      <c r="W156" t="s">
        <v>55</v>
      </c>
      <c r="X156" t="s">
        <v>82</v>
      </c>
      <c r="Y156" t="s">
        <v>1073</v>
      </c>
      <c r="Z156" t="s">
        <v>58</v>
      </c>
      <c r="AA156" t="s">
        <v>54</v>
      </c>
      <c r="AB156" t="s">
        <v>727</v>
      </c>
      <c r="AC156" t="s">
        <v>85</v>
      </c>
      <c r="AD156" t="s">
        <v>79</v>
      </c>
      <c r="AE156" t="s">
        <v>967</v>
      </c>
      <c r="AF156" t="s">
        <v>1072</v>
      </c>
      <c r="AG156" t="s">
        <v>58</v>
      </c>
      <c r="AH156">
        <v>15969</v>
      </c>
      <c r="AK156">
        <v>0</v>
      </c>
      <c r="AL156" t="s">
        <v>61</v>
      </c>
      <c r="AM156" t="s">
        <v>1074</v>
      </c>
      <c r="AN156" t="s">
        <v>1075</v>
      </c>
    </row>
    <row r="157" spans="1:40" x14ac:dyDescent="0.35">
      <c r="A157" t="s">
        <v>37</v>
      </c>
      <c r="B157" t="s">
        <v>1076</v>
      </c>
      <c r="C157" t="s">
        <v>39</v>
      </c>
      <c r="D157" t="s">
        <v>325</v>
      </c>
      <c r="E157" t="s">
        <v>1070</v>
      </c>
      <c r="F157" s="1">
        <v>46078.422453703701</v>
      </c>
      <c r="G157" t="s">
        <v>540</v>
      </c>
      <c r="H157" t="s">
        <v>447</v>
      </c>
      <c r="I157" t="s">
        <v>1077</v>
      </c>
      <c r="J157" t="s">
        <v>724</v>
      </c>
      <c r="K157" t="s">
        <v>75</v>
      </c>
      <c r="M157" t="s">
        <v>76</v>
      </c>
      <c r="O157" t="s">
        <v>77</v>
      </c>
      <c r="P157" t="s">
        <v>78</v>
      </c>
      <c r="Q157" t="s">
        <v>50</v>
      </c>
      <c r="R157" t="s">
        <v>79</v>
      </c>
      <c r="S157" t="s">
        <v>1078</v>
      </c>
      <c r="T157" t="s">
        <v>1078</v>
      </c>
      <c r="U157" s="1">
        <v>46078.422986111109</v>
      </c>
      <c r="V157" t="s">
        <v>54</v>
      </c>
      <c r="W157" t="s">
        <v>55</v>
      </c>
      <c r="X157" t="s">
        <v>82</v>
      </c>
      <c r="Y157" t="s">
        <v>1079</v>
      </c>
      <c r="Z157" t="s">
        <v>58</v>
      </c>
      <c r="AA157" t="s">
        <v>54</v>
      </c>
      <c r="AB157" t="s">
        <v>727</v>
      </c>
      <c r="AC157" t="s">
        <v>85</v>
      </c>
      <c r="AD157" t="s">
        <v>79</v>
      </c>
      <c r="AE157" t="s">
        <v>1078</v>
      </c>
      <c r="AF157" t="s">
        <v>1078</v>
      </c>
      <c r="AG157" t="s">
        <v>58</v>
      </c>
      <c r="AH157">
        <v>15969</v>
      </c>
      <c r="AK157">
        <v>0</v>
      </c>
      <c r="AL157" t="s">
        <v>61</v>
      </c>
      <c r="AM157" t="s">
        <v>1074</v>
      </c>
      <c r="AN157" t="s">
        <v>1075</v>
      </c>
    </row>
    <row r="158" spans="1:40" x14ac:dyDescent="0.35">
      <c r="A158" t="s">
        <v>37</v>
      </c>
      <c r="B158" t="s">
        <v>1080</v>
      </c>
      <c r="C158" t="s">
        <v>39</v>
      </c>
      <c r="D158" t="s">
        <v>545</v>
      </c>
      <c r="E158" t="s">
        <v>1081</v>
      </c>
      <c r="F158" s="1">
        <v>46078.421168981484</v>
      </c>
      <c r="G158" t="s">
        <v>597</v>
      </c>
      <c r="H158" t="s">
        <v>287</v>
      </c>
      <c r="I158" t="s">
        <v>205</v>
      </c>
      <c r="J158" t="s">
        <v>206</v>
      </c>
      <c r="K158" t="s">
        <v>207</v>
      </c>
      <c r="M158" t="s">
        <v>131</v>
      </c>
      <c r="O158" t="s">
        <v>77</v>
      </c>
      <c r="P158" t="s">
        <v>78</v>
      </c>
      <c r="Q158" t="s">
        <v>465</v>
      </c>
      <c r="R158" t="s">
        <v>208</v>
      </c>
      <c r="S158" t="s">
        <v>209</v>
      </c>
      <c r="T158" t="s">
        <v>210</v>
      </c>
      <c r="U158" s="1">
        <v>46078.665196759262</v>
      </c>
      <c r="V158" t="s">
        <v>54</v>
      </c>
      <c r="W158" t="s">
        <v>55</v>
      </c>
      <c r="X158" t="s">
        <v>211</v>
      </c>
      <c r="Y158" t="s">
        <v>298</v>
      </c>
      <c r="Z158" t="s">
        <v>58</v>
      </c>
      <c r="AA158" t="s">
        <v>54</v>
      </c>
      <c r="AB158" t="s">
        <v>213</v>
      </c>
      <c r="AC158" t="s">
        <v>85</v>
      </c>
      <c r="AD158" t="s">
        <v>214</v>
      </c>
      <c r="AE158" t="s">
        <v>215</v>
      </c>
      <c r="AF158" t="s">
        <v>216</v>
      </c>
      <c r="AG158" t="s">
        <v>58</v>
      </c>
      <c r="AH158">
        <v>3081</v>
      </c>
      <c r="AK158">
        <v>1</v>
      </c>
      <c r="AL158" t="s">
        <v>61</v>
      </c>
      <c r="AM158" t="s">
        <v>1082</v>
      </c>
      <c r="AN158" t="s">
        <v>1083</v>
      </c>
    </row>
    <row r="159" spans="1:40" x14ac:dyDescent="0.35">
      <c r="A159" t="s">
        <v>37</v>
      </c>
      <c r="B159" t="s">
        <v>1084</v>
      </c>
      <c r="C159" t="s">
        <v>39</v>
      </c>
      <c r="D159" t="s">
        <v>1085</v>
      </c>
      <c r="E159" t="s">
        <v>1086</v>
      </c>
      <c r="F159" s="1">
        <v>46078.421284722222</v>
      </c>
      <c r="G159" t="s">
        <v>232</v>
      </c>
      <c r="H159" t="s">
        <v>233</v>
      </c>
      <c r="I159" t="s">
        <v>1087</v>
      </c>
      <c r="J159" t="s">
        <v>1015</v>
      </c>
      <c r="K159" t="s">
        <v>75</v>
      </c>
      <c r="M159" t="s">
        <v>76</v>
      </c>
      <c r="O159" t="s">
        <v>77</v>
      </c>
      <c r="P159" t="s">
        <v>78</v>
      </c>
      <c r="Q159" t="s">
        <v>1088</v>
      </c>
      <c r="R159" t="s">
        <v>79</v>
      </c>
      <c r="S159" t="s">
        <v>1078</v>
      </c>
      <c r="T159" t="s">
        <v>1078</v>
      </c>
      <c r="U159" s="1">
        <v>46078.422337962962</v>
      </c>
      <c r="V159" t="s">
        <v>54</v>
      </c>
      <c r="W159" t="s">
        <v>55</v>
      </c>
      <c r="X159" t="s">
        <v>82</v>
      </c>
      <c r="Y159" t="s">
        <v>1089</v>
      </c>
      <c r="Z159" t="s">
        <v>58</v>
      </c>
      <c r="AA159" t="s">
        <v>54</v>
      </c>
      <c r="AB159" t="s">
        <v>954</v>
      </c>
      <c r="AC159" t="s">
        <v>85</v>
      </c>
      <c r="AD159" t="s">
        <v>79</v>
      </c>
      <c r="AE159" t="s">
        <v>1078</v>
      </c>
      <c r="AF159" t="s">
        <v>1078</v>
      </c>
      <c r="AG159" t="s">
        <v>58</v>
      </c>
      <c r="AH159">
        <v>9062</v>
      </c>
      <c r="AK159">
        <v>0</v>
      </c>
      <c r="AL159" t="s">
        <v>61</v>
      </c>
      <c r="AM159" t="s">
        <v>1090</v>
      </c>
      <c r="AN159" t="s">
        <v>1091</v>
      </c>
    </row>
    <row r="160" spans="1:40" x14ac:dyDescent="0.35">
      <c r="A160" t="s">
        <v>37</v>
      </c>
      <c r="B160" t="s">
        <v>1092</v>
      </c>
      <c r="C160" t="s">
        <v>39</v>
      </c>
      <c r="D160" t="s">
        <v>513</v>
      </c>
      <c r="E160" t="s">
        <v>1093</v>
      </c>
      <c r="F160" s="1">
        <v>46078.419560185182</v>
      </c>
      <c r="G160" t="s">
        <v>1094</v>
      </c>
      <c r="H160" t="s">
        <v>447</v>
      </c>
      <c r="I160" t="s">
        <v>1095</v>
      </c>
      <c r="J160" t="s">
        <v>404</v>
      </c>
      <c r="K160" t="s">
        <v>405</v>
      </c>
      <c r="M160" t="s">
        <v>76</v>
      </c>
      <c r="O160" t="s">
        <v>237</v>
      </c>
      <c r="P160" t="s">
        <v>238</v>
      </c>
      <c r="Q160" t="s">
        <v>50</v>
      </c>
      <c r="R160" t="s">
        <v>51</v>
      </c>
      <c r="S160" t="s">
        <v>52</v>
      </c>
      <c r="T160" t="s">
        <v>240</v>
      </c>
      <c r="U160" s="1">
        <v>46078.457766203705</v>
      </c>
      <c r="V160" t="s">
        <v>54</v>
      </c>
      <c r="W160" t="s">
        <v>55</v>
      </c>
      <c r="X160" t="s">
        <v>211</v>
      </c>
      <c r="Y160" t="s">
        <v>1096</v>
      </c>
      <c r="Z160" t="s">
        <v>58</v>
      </c>
      <c r="AA160" t="s">
        <v>54</v>
      </c>
      <c r="AB160" t="s">
        <v>213</v>
      </c>
      <c r="AC160" t="s">
        <v>242</v>
      </c>
      <c r="AD160" t="s">
        <v>52</v>
      </c>
      <c r="AE160" t="s">
        <v>438</v>
      </c>
      <c r="AF160" t="s">
        <v>439</v>
      </c>
      <c r="AG160" t="s">
        <v>58</v>
      </c>
      <c r="AH160">
        <v>14097</v>
      </c>
      <c r="AK160">
        <v>1</v>
      </c>
      <c r="AL160" t="s">
        <v>61</v>
      </c>
      <c r="AM160" t="s">
        <v>1097</v>
      </c>
      <c r="AN160" t="s">
        <v>1098</v>
      </c>
    </row>
    <row r="161" spans="1:40" x14ac:dyDescent="0.35">
      <c r="A161" t="s">
        <v>37</v>
      </c>
      <c r="B161" t="s">
        <v>1099</v>
      </c>
      <c r="C161" t="s">
        <v>39</v>
      </c>
      <c r="D161" t="s">
        <v>1100</v>
      </c>
      <c r="E161" t="s">
        <v>1101</v>
      </c>
      <c r="F161" s="1">
        <v>46078.419537037036</v>
      </c>
      <c r="G161" t="s">
        <v>540</v>
      </c>
      <c r="H161" t="s">
        <v>447</v>
      </c>
      <c r="I161" t="s">
        <v>205</v>
      </c>
      <c r="J161" t="s">
        <v>206</v>
      </c>
      <c r="K161" t="s">
        <v>207</v>
      </c>
      <c r="M161" t="s">
        <v>131</v>
      </c>
      <c r="O161" t="s">
        <v>77</v>
      </c>
      <c r="P161" t="s">
        <v>78</v>
      </c>
      <c r="Q161" t="s">
        <v>1102</v>
      </c>
      <c r="R161" t="s">
        <v>208</v>
      </c>
      <c r="S161" t="s">
        <v>209</v>
      </c>
      <c r="T161" t="s">
        <v>210</v>
      </c>
      <c r="U161" s="1">
        <v>46078.664988425924</v>
      </c>
      <c r="V161" t="s">
        <v>54</v>
      </c>
      <c r="W161" t="s">
        <v>55</v>
      </c>
      <c r="X161" t="s">
        <v>211</v>
      </c>
      <c r="Y161" t="s">
        <v>298</v>
      </c>
      <c r="Z161" t="s">
        <v>58</v>
      </c>
      <c r="AA161" t="s">
        <v>54</v>
      </c>
      <c r="AB161" t="s">
        <v>213</v>
      </c>
      <c r="AC161" t="s">
        <v>85</v>
      </c>
      <c r="AD161" t="s">
        <v>214</v>
      </c>
      <c r="AE161" t="s">
        <v>215</v>
      </c>
      <c r="AF161" t="s">
        <v>216</v>
      </c>
      <c r="AG161" t="s">
        <v>58</v>
      </c>
      <c r="AH161">
        <v>522</v>
      </c>
      <c r="AK161">
        <v>1</v>
      </c>
      <c r="AL161" t="s">
        <v>61</v>
      </c>
      <c r="AM161" t="s">
        <v>1103</v>
      </c>
      <c r="AN161" t="s">
        <v>1104</v>
      </c>
    </row>
    <row r="162" spans="1:40" x14ac:dyDescent="0.35">
      <c r="A162" t="s">
        <v>37</v>
      </c>
      <c r="B162" t="s">
        <v>1105</v>
      </c>
      <c r="C162" t="s">
        <v>102</v>
      </c>
      <c r="D162" t="s">
        <v>1106</v>
      </c>
      <c r="E162" t="s">
        <v>757</v>
      </c>
      <c r="F162" s="1">
        <v>46078.420289351852</v>
      </c>
      <c r="G162" t="s">
        <v>261</v>
      </c>
      <c r="H162" t="s">
        <v>72</v>
      </c>
      <c r="I162" t="s">
        <v>1107</v>
      </c>
      <c r="J162" t="s">
        <v>724</v>
      </c>
      <c r="K162" t="s">
        <v>75</v>
      </c>
      <c r="M162" t="s">
        <v>76</v>
      </c>
      <c r="O162" t="s">
        <v>237</v>
      </c>
      <c r="P162" t="s">
        <v>238</v>
      </c>
      <c r="Q162" t="s">
        <v>50</v>
      </c>
      <c r="R162" t="s">
        <v>79</v>
      </c>
      <c r="S162" t="s">
        <v>558</v>
      </c>
      <c r="T162" t="s">
        <v>1108</v>
      </c>
      <c r="U162" s="1">
        <v>46078.421400462961</v>
      </c>
      <c r="V162" t="s">
        <v>54</v>
      </c>
      <c r="W162" t="s">
        <v>55</v>
      </c>
      <c r="X162" t="s">
        <v>82</v>
      </c>
      <c r="Y162" t="s">
        <v>1109</v>
      </c>
      <c r="Z162" t="s">
        <v>58</v>
      </c>
      <c r="AA162" t="s">
        <v>54</v>
      </c>
      <c r="AB162" t="s">
        <v>727</v>
      </c>
      <c r="AC162" t="s">
        <v>242</v>
      </c>
      <c r="AD162" t="s">
        <v>79</v>
      </c>
      <c r="AE162" t="s">
        <v>558</v>
      </c>
      <c r="AF162" t="s">
        <v>1110</v>
      </c>
      <c r="AG162" t="s">
        <v>58</v>
      </c>
      <c r="AH162" t="s">
        <v>1111</v>
      </c>
      <c r="AK162">
        <v>0</v>
      </c>
      <c r="AL162" t="s">
        <v>61</v>
      </c>
      <c r="AM162" t="s">
        <v>1112</v>
      </c>
      <c r="AN162" t="s">
        <v>1113</v>
      </c>
    </row>
    <row r="163" spans="1:40" x14ac:dyDescent="0.35">
      <c r="A163" t="s">
        <v>37</v>
      </c>
      <c r="B163" t="s">
        <v>1114</v>
      </c>
      <c r="C163" t="s">
        <v>39</v>
      </c>
      <c r="D163" t="s">
        <v>1115</v>
      </c>
      <c r="E163" t="s">
        <v>1116</v>
      </c>
      <c r="F163" s="1">
        <v>46078.418055555558</v>
      </c>
      <c r="G163" t="s">
        <v>1117</v>
      </c>
      <c r="H163" t="s">
        <v>92</v>
      </c>
      <c r="I163" t="s">
        <v>205</v>
      </c>
      <c r="J163" t="s">
        <v>206</v>
      </c>
      <c r="K163" t="s">
        <v>207</v>
      </c>
      <c r="M163" t="s">
        <v>131</v>
      </c>
      <c r="O163" t="s">
        <v>77</v>
      </c>
      <c r="P163" t="s">
        <v>78</v>
      </c>
      <c r="Q163" t="s">
        <v>50</v>
      </c>
      <c r="R163" t="s">
        <v>208</v>
      </c>
      <c r="S163" t="s">
        <v>209</v>
      </c>
      <c r="T163" t="s">
        <v>210</v>
      </c>
      <c r="U163" s="1">
        <v>46078.664722222224</v>
      </c>
      <c r="V163" t="s">
        <v>54</v>
      </c>
      <c r="W163" t="s">
        <v>55</v>
      </c>
      <c r="X163" t="s">
        <v>211</v>
      </c>
      <c r="Y163" t="s">
        <v>298</v>
      </c>
      <c r="Z163" t="s">
        <v>58</v>
      </c>
      <c r="AA163" t="s">
        <v>54</v>
      </c>
      <c r="AB163" t="s">
        <v>213</v>
      </c>
      <c r="AC163" t="s">
        <v>85</v>
      </c>
      <c r="AD163" t="s">
        <v>214</v>
      </c>
      <c r="AE163" t="s">
        <v>215</v>
      </c>
      <c r="AF163" t="s">
        <v>216</v>
      </c>
      <c r="AG163" t="s">
        <v>58</v>
      </c>
      <c r="AH163">
        <v>13209</v>
      </c>
      <c r="AK163">
        <v>1</v>
      </c>
      <c r="AL163" t="s">
        <v>61</v>
      </c>
      <c r="AM163" t="s">
        <v>1118</v>
      </c>
      <c r="AN163" t="s">
        <v>1119</v>
      </c>
    </row>
    <row r="164" spans="1:40" x14ac:dyDescent="0.35">
      <c r="A164" t="s">
        <v>37</v>
      </c>
      <c r="B164" t="s">
        <v>1120</v>
      </c>
      <c r="C164" t="s">
        <v>102</v>
      </c>
      <c r="D164" t="s">
        <v>1121</v>
      </c>
      <c r="E164" t="s">
        <v>1122</v>
      </c>
      <c r="F164" s="1">
        <v>46078.416886574072</v>
      </c>
      <c r="G164" t="s">
        <v>393</v>
      </c>
      <c r="H164" t="s">
        <v>92</v>
      </c>
      <c r="I164" t="s">
        <v>1123</v>
      </c>
      <c r="J164" t="s">
        <v>724</v>
      </c>
      <c r="K164" t="s">
        <v>75</v>
      </c>
      <c r="M164" t="s">
        <v>76</v>
      </c>
      <c r="O164" t="s">
        <v>237</v>
      </c>
      <c r="P164" t="s">
        <v>238</v>
      </c>
      <c r="R164" t="s">
        <v>79</v>
      </c>
      <c r="S164" t="s">
        <v>1124</v>
      </c>
      <c r="T164" t="s">
        <v>81</v>
      </c>
      <c r="U164" s="1">
        <v>46078.417962962965</v>
      </c>
      <c r="V164" t="s">
        <v>54</v>
      </c>
      <c r="W164" t="s">
        <v>55</v>
      </c>
      <c r="X164" t="s">
        <v>82</v>
      </c>
      <c r="Y164" t="s">
        <v>1125</v>
      </c>
      <c r="Z164" t="s">
        <v>58</v>
      </c>
      <c r="AA164" t="s">
        <v>54</v>
      </c>
      <c r="AB164" t="s">
        <v>727</v>
      </c>
      <c r="AC164" t="s">
        <v>242</v>
      </c>
      <c r="AD164" t="s">
        <v>79</v>
      </c>
      <c r="AE164" t="s">
        <v>1124</v>
      </c>
      <c r="AF164" t="s">
        <v>1126</v>
      </c>
      <c r="AG164" t="s">
        <v>58</v>
      </c>
      <c r="AH164">
        <v>14915</v>
      </c>
      <c r="AK164">
        <v>0</v>
      </c>
      <c r="AL164" t="s">
        <v>61</v>
      </c>
      <c r="AM164" t="s">
        <v>1127</v>
      </c>
      <c r="AN164" t="s">
        <v>1128</v>
      </c>
    </row>
    <row r="165" spans="1:40" x14ac:dyDescent="0.35">
      <c r="A165" t="s">
        <v>37</v>
      </c>
      <c r="B165" t="s">
        <v>1129</v>
      </c>
      <c r="C165" t="s">
        <v>39</v>
      </c>
      <c r="D165" t="s">
        <v>147</v>
      </c>
      <c r="E165" t="s">
        <v>1130</v>
      </c>
      <c r="F165" s="1">
        <v>46078.418888888889</v>
      </c>
      <c r="G165" t="s">
        <v>631</v>
      </c>
      <c r="H165" t="s">
        <v>447</v>
      </c>
      <c r="I165" t="s">
        <v>1052</v>
      </c>
      <c r="J165" t="s">
        <v>394</v>
      </c>
      <c r="K165" t="s">
        <v>75</v>
      </c>
      <c r="M165" t="s">
        <v>76</v>
      </c>
      <c r="O165" t="s">
        <v>77</v>
      </c>
      <c r="P165" t="s">
        <v>78</v>
      </c>
      <c r="Q165" t="s">
        <v>50</v>
      </c>
      <c r="R165" t="s">
        <v>79</v>
      </c>
      <c r="S165" t="s">
        <v>975</v>
      </c>
      <c r="T165" t="s">
        <v>976</v>
      </c>
      <c r="U165" s="1">
        <v>46078.419791666667</v>
      </c>
      <c r="V165" t="s">
        <v>54</v>
      </c>
      <c r="W165" t="s">
        <v>55</v>
      </c>
      <c r="X165" t="s">
        <v>82</v>
      </c>
      <c r="Y165" t="s">
        <v>1131</v>
      </c>
      <c r="Z165" t="s">
        <v>58</v>
      </c>
      <c r="AA165" t="s">
        <v>54</v>
      </c>
      <c r="AB165" t="s">
        <v>396</v>
      </c>
      <c r="AC165" t="s">
        <v>85</v>
      </c>
      <c r="AD165" t="s">
        <v>79</v>
      </c>
      <c r="AE165" t="s">
        <v>975</v>
      </c>
      <c r="AF165" t="s">
        <v>976</v>
      </c>
      <c r="AG165" t="s">
        <v>58</v>
      </c>
      <c r="AH165">
        <v>15670</v>
      </c>
      <c r="AK165">
        <v>0</v>
      </c>
      <c r="AL165" t="s">
        <v>61</v>
      </c>
      <c r="AM165" t="s">
        <v>1132</v>
      </c>
      <c r="AN165" t="s">
        <v>1133</v>
      </c>
    </row>
    <row r="166" spans="1:40" x14ac:dyDescent="0.35">
      <c r="A166" t="s">
        <v>37</v>
      </c>
      <c r="B166" t="s">
        <v>1134</v>
      </c>
      <c r="C166" t="s">
        <v>102</v>
      </c>
      <c r="D166" t="s">
        <v>191</v>
      </c>
      <c r="E166" t="s">
        <v>192</v>
      </c>
      <c r="F166" s="1">
        <v>46078.414548611108</v>
      </c>
      <c r="G166" t="s">
        <v>71</v>
      </c>
      <c r="H166" t="s">
        <v>72</v>
      </c>
      <c r="I166" t="s">
        <v>1135</v>
      </c>
      <c r="J166" t="s">
        <v>194</v>
      </c>
      <c r="K166" t="s">
        <v>130</v>
      </c>
      <c r="M166" t="s">
        <v>150</v>
      </c>
      <c r="O166" t="s">
        <v>77</v>
      </c>
      <c r="P166" t="s">
        <v>78</v>
      </c>
      <c r="Q166" t="s">
        <v>50</v>
      </c>
      <c r="R166" t="s">
        <v>51</v>
      </c>
      <c r="S166" t="s">
        <v>52</v>
      </c>
      <c r="T166" t="s">
        <v>195</v>
      </c>
      <c r="U166" s="1">
        <v>46078.526053240741</v>
      </c>
      <c r="V166" t="s">
        <v>54</v>
      </c>
      <c r="W166" t="s">
        <v>55</v>
      </c>
      <c r="X166" t="s">
        <v>196</v>
      </c>
      <c r="Y166" t="s">
        <v>1136</v>
      </c>
      <c r="Z166" t="s">
        <v>58</v>
      </c>
      <c r="AA166" t="s">
        <v>54</v>
      </c>
      <c r="AB166" t="s">
        <v>198</v>
      </c>
      <c r="AC166" t="s">
        <v>85</v>
      </c>
      <c r="AD166" t="s">
        <v>51</v>
      </c>
      <c r="AE166" t="s">
        <v>52</v>
      </c>
      <c r="AF166" t="s">
        <v>195</v>
      </c>
      <c r="AG166" t="s">
        <v>58</v>
      </c>
      <c r="AH166" t="s">
        <v>199</v>
      </c>
      <c r="AK166">
        <v>1</v>
      </c>
      <c r="AL166" t="s">
        <v>61</v>
      </c>
      <c r="AM166" t="s">
        <v>198</v>
      </c>
      <c r="AN166" t="s">
        <v>200</v>
      </c>
    </row>
    <row r="167" spans="1:40" x14ac:dyDescent="0.35">
      <c r="A167" t="s">
        <v>37</v>
      </c>
      <c r="B167" t="s">
        <v>1137</v>
      </c>
      <c r="C167" t="s">
        <v>39</v>
      </c>
      <c r="D167" t="s">
        <v>1138</v>
      </c>
      <c r="E167" t="s">
        <v>1139</v>
      </c>
      <c r="F167" s="1">
        <v>46078.412256944444</v>
      </c>
      <c r="G167" t="s">
        <v>1094</v>
      </c>
      <c r="H167" t="s">
        <v>447</v>
      </c>
      <c r="I167" t="s">
        <v>1140</v>
      </c>
      <c r="J167" t="s">
        <v>1015</v>
      </c>
      <c r="K167" t="s">
        <v>75</v>
      </c>
      <c r="M167" t="s">
        <v>76</v>
      </c>
      <c r="O167" t="s">
        <v>77</v>
      </c>
      <c r="P167" t="s">
        <v>78</v>
      </c>
      <c r="Q167" t="s">
        <v>1141</v>
      </c>
      <c r="R167" t="s">
        <v>79</v>
      </c>
      <c r="S167" t="s">
        <v>967</v>
      </c>
      <c r="T167" t="s">
        <v>1072</v>
      </c>
      <c r="U167" s="1">
        <v>46078.473356481481</v>
      </c>
      <c r="V167" t="s">
        <v>54</v>
      </c>
      <c r="W167" t="s">
        <v>55</v>
      </c>
      <c r="X167" t="s">
        <v>82</v>
      </c>
      <c r="Y167" t="s">
        <v>1142</v>
      </c>
      <c r="Z167" t="s">
        <v>58</v>
      </c>
      <c r="AA167" t="s">
        <v>54</v>
      </c>
      <c r="AB167" t="s">
        <v>954</v>
      </c>
      <c r="AC167" t="s">
        <v>85</v>
      </c>
      <c r="AD167" t="s">
        <v>79</v>
      </c>
      <c r="AE167" t="s">
        <v>967</v>
      </c>
      <c r="AF167" t="s">
        <v>1072</v>
      </c>
      <c r="AG167" t="s">
        <v>58</v>
      </c>
      <c r="AH167">
        <v>2951</v>
      </c>
      <c r="AK167">
        <v>2</v>
      </c>
      <c r="AL167" t="s">
        <v>61</v>
      </c>
      <c r="AM167" t="s">
        <v>1143</v>
      </c>
      <c r="AN167" t="s">
        <v>1144</v>
      </c>
    </row>
    <row r="168" spans="1:40" x14ac:dyDescent="0.35">
      <c r="A168" t="s">
        <v>37</v>
      </c>
      <c r="B168" t="s">
        <v>1145</v>
      </c>
      <c r="C168" t="s">
        <v>39</v>
      </c>
      <c r="D168" t="s">
        <v>1146</v>
      </c>
      <c r="E168" t="s">
        <v>1147</v>
      </c>
      <c r="F168" s="1">
        <v>46078.411261574074</v>
      </c>
      <c r="G168" t="s">
        <v>370</v>
      </c>
      <c r="H168" t="s">
        <v>371</v>
      </c>
      <c r="I168" t="s">
        <v>205</v>
      </c>
      <c r="J168" t="s">
        <v>206</v>
      </c>
      <c r="K168" t="s">
        <v>207</v>
      </c>
      <c r="M168" t="s">
        <v>131</v>
      </c>
      <c r="O168" t="s">
        <v>77</v>
      </c>
      <c r="P168" t="s">
        <v>78</v>
      </c>
      <c r="Q168" t="s">
        <v>50</v>
      </c>
      <c r="R168" t="s">
        <v>208</v>
      </c>
      <c r="S168" t="s">
        <v>209</v>
      </c>
      <c r="T168" t="s">
        <v>210</v>
      </c>
      <c r="U168" s="1">
        <v>46078.664525462962</v>
      </c>
      <c r="V168" t="s">
        <v>54</v>
      </c>
      <c r="W168" t="s">
        <v>55</v>
      </c>
      <c r="X168" t="s">
        <v>211</v>
      </c>
      <c r="Y168" t="s">
        <v>298</v>
      </c>
      <c r="Z168" t="s">
        <v>58</v>
      </c>
      <c r="AA168" t="s">
        <v>54</v>
      </c>
      <c r="AB168" t="s">
        <v>213</v>
      </c>
      <c r="AC168" t="s">
        <v>85</v>
      </c>
      <c r="AD168" t="s">
        <v>214</v>
      </c>
      <c r="AE168" t="s">
        <v>215</v>
      </c>
      <c r="AF168" t="s">
        <v>216</v>
      </c>
      <c r="AG168" t="s">
        <v>58</v>
      </c>
      <c r="AH168">
        <v>15703</v>
      </c>
      <c r="AK168">
        <v>1</v>
      </c>
      <c r="AL168" t="s">
        <v>61</v>
      </c>
      <c r="AM168" t="s">
        <v>1148</v>
      </c>
      <c r="AN168" t="s">
        <v>1149</v>
      </c>
    </row>
    <row r="169" spans="1:40" x14ac:dyDescent="0.35">
      <c r="A169" t="s">
        <v>37</v>
      </c>
      <c r="B169" t="s">
        <v>1150</v>
      </c>
      <c r="C169" t="s">
        <v>39</v>
      </c>
      <c r="D169" t="s">
        <v>1151</v>
      </c>
      <c r="E169" t="s">
        <v>1152</v>
      </c>
      <c r="F169" s="1">
        <v>46078.410381944443</v>
      </c>
      <c r="G169" t="s">
        <v>105</v>
      </c>
      <c r="H169" t="s">
        <v>106</v>
      </c>
      <c r="I169" t="s">
        <v>205</v>
      </c>
      <c r="J169" t="s">
        <v>206</v>
      </c>
      <c r="K169" t="s">
        <v>207</v>
      </c>
      <c r="M169" t="s">
        <v>131</v>
      </c>
      <c r="O169" t="s">
        <v>77</v>
      </c>
      <c r="P169" t="s">
        <v>78</v>
      </c>
      <c r="Q169" t="s">
        <v>50</v>
      </c>
      <c r="R169" t="s">
        <v>208</v>
      </c>
      <c r="S169" t="s">
        <v>209</v>
      </c>
      <c r="T169" t="s">
        <v>210</v>
      </c>
      <c r="U169" s="1">
        <v>46078.664317129631</v>
      </c>
      <c r="V169" t="s">
        <v>54</v>
      </c>
      <c r="W169" t="s">
        <v>55</v>
      </c>
      <c r="X169" t="s">
        <v>211</v>
      </c>
      <c r="Y169" t="s">
        <v>298</v>
      </c>
      <c r="Z169" t="s">
        <v>58</v>
      </c>
      <c r="AA169" t="s">
        <v>54</v>
      </c>
      <c r="AB169" t="s">
        <v>213</v>
      </c>
      <c r="AC169" t="s">
        <v>85</v>
      </c>
      <c r="AD169" t="s">
        <v>214</v>
      </c>
      <c r="AE169" t="s">
        <v>215</v>
      </c>
      <c r="AF169" t="s">
        <v>216</v>
      </c>
      <c r="AG169" t="s">
        <v>58</v>
      </c>
      <c r="AH169" t="s">
        <v>1153</v>
      </c>
      <c r="AK169">
        <v>1</v>
      </c>
      <c r="AL169" t="s">
        <v>61</v>
      </c>
      <c r="AM169" t="s">
        <v>1154</v>
      </c>
      <c r="AN169" t="s">
        <v>1155</v>
      </c>
    </row>
    <row r="170" spans="1:40" x14ac:dyDescent="0.35">
      <c r="A170" t="s">
        <v>37</v>
      </c>
      <c r="B170" t="s">
        <v>1156</v>
      </c>
      <c r="C170" t="s">
        <v>39</v>
      </c>
      <c r="D170" t="s">
        <v>1157</v>
      </c>
      <c r="E170" t="s">
        <v>1158</v>
      </c>
      <c r="F170" s="1">
        <v>46078.409155092595</v>
      </c>
      <c r="G170" t="s">
        <v>105</v>
      </c>
      <c r="H170" t="s">
        <v>106</v>
      </c>
      <c r="I170" t="s">
        <v>205</v>
      </c>
      <c r="J170" t="s">
        <v>206</v>
      </c>
      <c r="K170" t="s">
        <v>207</v>
      </c>
      <c r="M170" t="s">
        <v>131</v>
      </c>
      <c r="O170" t="s">
        <v>77</v>
      </c>
      <c r="P170" t="s">
        <v>78</v>
      </c>
      <c r="Q170" t="s">
        <v>50</v>
      </c>
      <c r="R170" t="s">
        <v>208</v>
      </c>
      <c r="S170" t="s">
        <v>209</v>
      </c>
      <c r="T170" t="s">
        <v>210</v>
      </c>
      <c r="U170" s="1">
        <v>46078.664097222223</v>
      </c>
      <c r="V170" t="s">
        <v>54</v>
      </c>
      <c r="W170" t="s">
        <v>55</v>
      </c>
      <c r="X170" t="s">
        <v>211</v>
      </c>
      <c r="Y170" t="s">
        <v>298</v>
      </c>
      <c r="Z170" t="s">
        <v>58</v>
      </c>
      <c r="AA170" t="s">
        <v>54</v>
      </c>
      <c r="AB170" t="s">
        <v>213</v>
      </c>
      <c r="AC170" t="s">
        <v>85</v>
      </c>
      <c r="AD170" t="s">
        <v>214</v>
      </c>
      <c r="AE170" t="s">
        <v>215</v>
      </c>
      <c r="AF170" t="s">
        <v>216</v>
      </c>
      <c r="AG170" t="s">
        <v>58</v>
      </c>
      <c r="AH170">
        <v>13083</v>
      </c>
      <c r="AK170">
        <v>1</v>
      </c>
      <c r="AL170" t="s">
        <v>61</v>
      </c>
      <c r="AM170" t="s">
        <v>1159</v>
      </c>
      <c r="AN170" t="s">
        <v>1160</v>
      </c>
    </row>
    <row r="171" spans="1:40" x14ac:dyDescent="0.35">
      <c r="A171" t="s">
        <v>37</v>
      </c>
      <c r="B171" t="s">
        <v>1161</v>
      </c>
      <c r="C171" t="s">
        <v>102</v>
      </c>
      <c r="D171" t="s">
        <v>824</v>
      </c>
      <c r="E171" t="s">
        <v>825</v>
      </c>
      <c r="F171" s="1">
        <v>46078.409768518519</v>
      </c>
      <c r="G171" t="s">
        <v>826</v>
      </c>
      <c r="H171" t="s">
        <v>356</v>
      </c>
      <c r="I171" t="s">
        <v>1162</v>
      </c>
      <c r="J171" t="s">
        <v>828</v>
      </c>
      <c r="K171" t="s">
        <v>829</v>
      </c>
      <c r="M171" t="s">
        <v>830</v>
      </c>
      <c r="O171" t="s">
        <v>237</v>
      </c>
      <c r="P171" t="s">
        <v>238</v>
      </c>
      <c r="Q171" t="s">
        <v>50</v>
      </c>
      <c r="R171" t="s">
        <v>51</v>
      </c>
      <c r="S171" t="s">
        <v>831</v>
      </c>
      <c r="T171" t="s">
        <v>829</v>
      </c>
      <c r="U171" s="1">
        <v>46078.445671296293</v>
      </c>
      <c r="V171" t="s">
        <v>54</v>
      </c>
      <c r="W171" t="s">
        <v>55</v>
      </c>
      <c r="X171" t="s">
        <v>134</v>
      </c>
      <c r="Y171" t="s">
        <v>1163</v>
      </c>
      <c r="Z171" t="s">
        <v>58</v>
      </c>
      <c r="AA171" t="s">
        <v>54</v>
      </c>
      <c r="AB171" t="s">
        <v>833</v>
      </c>
      <c r="AC171" t="s">
        <v>242</v>
      </c>
      <c r="AD171" t="s">
        <v>51</v>
      </c>
      <c r="AE171" t="s">
        <v>834</v>
      </c>
      <c r="AF171" t="s">
        <v>834</v>
      </c>
      <c r="AG171" t="s">
        <v>58</v>
      </c>
      <c r="AH171">
        <v>12697</v>
      </c>
      <c r="AK171">
        <v>0</v>
      </c>
      <c r="AL171" t="s">
        <v>61</v>
      </c>
      <c r="AM171" t="s">
        <v>833</v>
      </c>
      <c r="AN171" t="s">
        <v>835</v>
      </c>
    </row>
    <row r="172" spans="1:40" x14ac:dyDescent="0.35">
      <c r="A172" t="s">
        <v>37</v>
      </c>
      <c r="B172" t="s">
        <v>1164</v>
      </c>
      <c r="C172" t="s">
        <v>39</v>
      </c>
      <c r="D172" t="s">
        <v>1165</v>
      </c>
      <c r="E172" t="s">
        <v>948</v>
      </c>
      <c r="F172" s="1">
        <v>46078.408020833333</v>
      </c>
      <c r="G172" t="s">
        <v>105</v>
      </c>
      <c r="H172" t="s">
        <v>106</v>
      </c>
      <c r="I172" t="s">
        <v>205</v>
      </c>
      <c r="J172" t="s">
        <v>206</v>
      </c>
      <c r="K172" t="s">
        <v>207</v>
      </c>
      <c r="M172" t="s">
        <v>131</v>
      </c>
      <c r="O172" t="s">
        <v>77</v>
      </c>
      <c r="P172" t="s">
        <v>78</v>
      </c>
      <c r="Q172" t="s">
        <v>50</v>
      </c>
      <c r="R172" t="s">
        <v>208</v>
      </c>
      <c r="S172" t="s">
        <v>209</v>
      </c>
      <c r="T172" t="s">
        <v>210</v>
      </c>
      <c r="U172" s="1">
        <v>46078.663854166669</v>
      </c>
      <c r="V172" t="s">
        <v>54</v>
      </c>
      <c r="W172" t="s">
        <v>55</v>
      </c>
      <c r="X172" t="s">
        <v>211</v>
      </c>
      <c r="Y172" t="s">
        <v>298</v>
      </c>
      <c r="Z172" t="s">
        <v>58</v>
      </c>
      <c r="AA172" t="s">
        <v>54</v>
      </c>
      <c r="AB172" t="s">
        <v>213</v>
      </c>
      <c r="AC172" t="s">
        <v>85</v>
      </c>
      <c r="AD172" t="s">
        <v>214</v>
      </c>
      <c r="AE172" t="s">
        <v>215</v>
      </c>
      <c r="AF172" t="s">
        <v>216</v>
      </c>
      <c r="AG172" t="s">
        <v>58</v>
      </c>
      <c r="AH172">
        <v>15876</v>
      </c>
      <c r="AK172">
        <v>1</v>
      </c>
      <c r="AL172" t="s">
        <v>61</v>
      </c>
      <c r="AM172" t="s">
        <v>1166</v>
      </c>
      <c r="AN172" t="s">
        <v>1167</v>
      </c>
    </row>
    <row r="173" spans="1:40" x14ac:dyDescent="0.35">
      <c r="A173" t="s">
        <v>37</v>
      </c>
      <c r="B173" t="s">
        <v>1168</v>
      </c>
      <c r="C173" t="s">
        <v>102</v>
      </c>
      <c r="D173" t="s">
        <v>824</v>
      </c>
      <c r="E173" t="s">
        <v>825</v>
      </c>
      <c r="F173" s="1">
        <v>46078.408599537041</v>
      </c>
      <c r="G173" t="s">
        <v>826</v>
      </c>
      <c r="H173" t="s">
        <v>356</v>
      </c>
      <c r="I173" t="s">
        <v>1169</v>
      </c>
      <c r="J173" t="s">
        <v>828</v>
      </c>
      <c r="K173" t="s">
        <v>829</v>
      </c>
      <c r="M173" t="s">
        <v>131</v>
      </c>
      <c r="O173" t="s">
        <v>237</v>
      </c>
      <c r="P173" t="s">
        <v>238</v>
      </c>
      <c r="Q173" t="s">
        <v>50</v>
      </c>
      <c r="R173" t="s">
        <v>51</v>
      </c>
      <c r="S173" t="s">
        <v>831</v>
      </c>
      <c r="T173" t="s">
        <v>829</v>
      </c>
      <c r="U173" s="1">
        <v>46078.436192129629</v>
      </c>
      <c r="V173" t="s">
        <v>54</v>
      </c>
      <c r="W173" t="s">
        <v>55</v>
      </c>
      <c r="X173" t="s">
        <v>134</v>
      </c>
      <c r="Y173" t="s">
        <v>1170</v>
      </c>
      <c r="Z173" t="s">
        <v>58</v>
      </c>
      <c r="AA173" t="s">
        <v>54</v>
      </c>
      <c r="AB173" t="s">
        <v>833</v>
      </c>
      <c r="AC173" t="s">
        <v>242</v>
      </c>
      <c r="AD173" t="s">
        <v>51</v>
      </c>
      <c r="AE173" t="s">
        <v>834</v>
      </c>
      <c r="AF173" t="s">
        <v>834</v>
      </c>
      <c r="AG173" t="s">
        <v>58</v>
      </c>
      <c r="AH173">
        <v>12697</v>
      </c>
      <c r="AK173">
        <v>0</v>
      </c>
      <c r="AL173" t="s">
        <v>61</v>
      </c>
      <c r="AM173" t="s">
        <v>833</v>
      </c>
      <c r="AN173" t="s">
        <v>835</v>
      </c>
    </row>
    <row r="174" spans="1:40" x14ac:dyDescent="0.35">
      <c r="A174" t="s">
        <v>37</v>
      </c>
      <c r="B174" t="s">
        <v>1171</v>
      </c>
      <c r="C174" t="s">
        <v>39</v>
      </c>
      <c r="D174" t="s">
        <v>1172</v>
      </c>
      <c r="E174" t="s">
        <v>1172</v>
      </c>
      <c r="F174" s="1">
        <v>46078.408101851855</v>
      </c>
      <c r="G174" t="s">
        <v>250</v>
      </c>
      <c r="H174" t="s">
        <v>106</v>
      </c>
      <c r="I174" t="s">
        <v>1173</v>
      </c>
      <c r="J174" t="s">
        <v>724</v>
      </c>
      <c r="K174" t="s">
        <v>75</v>
      </c>
      <c r="M174" t="s">
        <v>76</v>
      </c>
      <c r="O174" t="s">
        <v>77</v>
      </c>
      <c r="P174" t="s">
        <v>78</v>
      </c>
      <c r="Q174" t="s">
        <v>1174</v>
      </c>
      <c r="R174" t="s">
        <v>79</v>
      </c>
      <c r="S174" t="s">
        <v>975</v>
      </c>
      <c r="T174" t="s">
        <v>976</v>
      </c>
      <c r="U174" s="1">
        <v>46078.409305555557</v>
      </c>
      <c r="V174" t="s">
        <v>54</v>
      </c>
      <c r="W174" t="s">
        <v>55</v>
      </c>
      <c r="X174" t="s">
        <v>82</v>
      </c>
      <c r="Y174" t="s">
        <v>1175</v>
      </c>
      <c r="Z174" t="s">
        <v>58</v>
      </c>
      <c r="AA174" t="s">
        <v>54</v>
      </c>
      <c r="AB174" t="s">
        <v>727</v>
      </c>
      <c r="AC174" t="s">
        <v>85</v>
      </c>
      <c r="AD174" t="s">
        <v>79</v>
      </c>
      <c r="AE174" t="s">
        <v>975</v>
      </c>
      <c r="AF174" t="s">
        <v>976</v>
      </c>
      <c r="AG174" t="s">
        <v>58</v>
      </c>
      <c r="AH174">
        <v>2301</v>
      </c>
      <c r="AK174">
        <v>0</v>
      </c>
      <c r="AL174" t="s">
        <v>61</v>
      </c>
      <c r="AM174" t="s">
        <v>1176</v>
      </c>
      <c r="AN174" t="s">
        <v>1177</v>
      </c>
    </row>
    <row r="175" spans="1:40" x14ac:dyDescent="0.35">
      <c r="A175" t="s">
        <v>37</v>
      </c>
      <c r="B175" t="s">
        <v>1178</v>
      </c>
      <c r="C175" t="s">
        <v>39</v>
      </c>
      <c r="D175" t="s">
        <v>747</v>
      </c>
      <c r="E175" t="s">
        <v>1179</v>
      </c>
      <c r="F175" s="1">
        <v>46078.4062962963</v>
      </c>
      <c r="G175" t="s">
        <v>597</v>
      </c>
      <c r="H175" t="s">
        <v>287</v>
      </c>
      <c r="I175" t="s">
        <v>205</v>
      </c>
      <c r="J175" t="s">
        <v>603</v>
      </c>
      <c r="K175" t="s">
        <v>207</v>
      </c>
      <c r="M175" t="s">
        <v>131</v>
      </c>
      <c r="O175" t="s">
        <v>77</v>
      </c>
      <c r="P175" t="s">
        <v>78</v>
      </c>
      <c r="R175" t="s">
        <v>208</v>
      </c>
      <c r="S175" t="s">
        <v>209</v>
      </c>
      <c r="T175" t="s">
        <v>210</v>
      </c>
      <c r="U175" s="1">
        <v>46078.653819444444</v>
      </c>
      <c r="V175" t="s">
        <v>54</v>
      </c>
      <c r="W175" t="s">
        <v>55</v>
      </c>
      <c r="X175" t="s">
        <v>211</v>
      </c>
      <c r="Y175" t="s">
        <v>604</v>
      </c>
      <c r="Z175" t="s">
        <v>58</v>
      </c>
      <c r="AA175" t="s">
        <v>54</v>
      </c>
      <c r="AB175" t="s">
        <v>213</v>
      </c>
      <c r="AC175" t="s">
        <v>85</v>
      </c>
      <c r="AD175" t="s">
        <v>214</v>
      </c>
      <c r="AE175" t="s">
        <v>215</v>
      </c>
      <c r="AF175" t="s">
        <v>216</v>
      </c>
      <c r="AG175" t="s">
        <v>58</v>
      </c>
      <c r="AH175" t="s">
        <v>1180</v>
      </c>
      <c r="AK175">
        <v>1</v>
      </c>
      <c r="AL175" t="s">
        <v>61</v>
      </c>
      <c r="AM175" t="s">
        <v>1181</v>
      </c>
      <c r="AN175" t="s">
        <v>1182</v>
      </c>
    </row>
    <row r="176" spans="1:40" x14ac:dyDescent="0.35">
      <c r="A176" t="s">
        <v>37</v>
      </c>
      <c r="B176" t="s">
        <v>1183</v>
      </c>
      <c r="C176" t="s">
        <v>39</v>
      </c>
      <c r="D176" t="s">
        <v>1184</v>
      </c>
      <c r="E176" t="s">
        <v>272</v>
      </c>
      <c r="F176" s="1">
        <v>46078.404652777775</v>
      </c>
      <c r="G176" t="s">
        <v>355</v>
      </c>
      <c r="H176" t="s">
        <v>356</v>
      </c>
      <c r="I176" t="s">
        <v>1185</v>
      </c>
      <c r="J176" t="s">
        <v>1186</v>
      </c>
      <c r="K176" t="s">
        <v>1187</v>
      </c>
      <c r="M176" t="s">
        <v>76</v>
      </c>
      <c r="O176" t="s">
        <v>77</v>
      </c>
      <c r="P176" t="s">
        <v>78</v>
      </c>
      <c r="Q176" t="s">
        <v>50</v>
      </c>
      <c r="R176" t="s">
        <v>305</v>
      </c>
      <c r="S176" t="s">
        <v>306</v>
      </c>
      <c r="T176" t="s">
        <v>307</v>
      </c>
      <c r="U176" s="1">
        <v>46078.523344907408</v>
      </c>
      <c r="V176" t="s">
        <v>54</v>
      </c>
      <c r="W176" t="s">
        <v>55</v>
      </c>
      <c r="X176" t="s">
        <v>211</v>
      </c>
      <c r="Y176" t="s">
        <v>1188</v>
      </c>
      <c r="Z176" t="s">
        <v>58</v>
      </c>
      <c r="AA176" t="s">
        <v>54</v>
      </c>
      <c r="AB176" t="s">
        <v>213</v>
      </c>
      <c r="AC176" t="s">
        <v>85</v>
      </c>
      <c r="AD176" t="s">
        <v>1189</v>
      </c>
      <c r="AE176" t="s">
        <v>1190</v>
      </c>
      <c r="AF176" t="s">
        <v>1191</v>
      </c>
      <c r="AG176" t="s">
        <v>58</v>
      </c>
      <c r="AH176" t="s">
        <v>1192</v>
      </c>
      <c r="AK176">
        <v>5</v>
      </c>
      <c r="AL176" t="s">
        <v>61</v>
      </c>
      <c r="AM176" t="s">
        <v>1193</v>
      </c>
      <c r="AN176" t="s">
        <v>1194</v>
      </c>
    </row>
    <row r="177" spans="1:40" x14ac:dyDescent="0.35">
      <c r="A177" t="s">
        <v>37</v>
      </c>
      <c r="B177" t="s">
        <v>1195</v>
      </c>
      <c r="C177" t="s">
        <v>39</v>
      </c>
      <c r="D177" t="s">
        <v>303</v>
      </c>
      <c r="E177" t="s">
        <v>948</v>
      </c>
      <c r="F177" s="1">
        <v>46078.40519675926</v>
      </c>
      <c r="G177" t="s">
        <v>515</v>
      </c>
      <c r="H177" t="s">
        <v>92</v>
      </c>
      <c r="I177" t="s">
        <v>1196</v>
      </c>
      <c r="J177" t="s">
        <v>707</v>
      </c>
      <c r="K177" t="s">
        <v>75</v>
      </c>
      <c r="M177" t="s">
        <v>76</v>
      </c>
      <c r="O177" t="s">
        <v>77</v>
      </c>
      <c r="P177" t="s">
        <v>78</v>
      </c>
      <c r="Q177" t="s">
        <v>50</v>
      </c>
      <c r="R177" t="s">
        <v>79</v>
      </c>
      <c r="S177" t="s">
        <v>1078</v>
      </c>
      <c r="T177" t="s">
        <v>1078</v>
      </c>
      <c r="U177" s="1">
        <v>46078.405370370368</v>
      </c>
      <c r="V177" t="s">
        <v>54</v>
      </c>
      <c r="W177" t="s">
        <v>55</v>
      </c>
      <c r="X177" t="s">
        <v>82</v>
      </c>
      <c r="Y177" t="s">
        <v>1197</v>
      </c>
      <c r="Z177" t="s">
        <v>58</v>
      </c>
      <c r="AA177" t="s">
        <v>54</v>
      </c>
      <c r="AB177" t="s">
        <v>709</v>
      </c>
      <c r="AC177" t="s">
        <v>85</v>
      </c>
      <c r="AD177" t="s">
        <v>79</v>
      </c>
      <c r="AE177" t="s">
        <v>1078</v>
      </c>
      <c r="AF177" t="s">
        <v>1078</v>
      </c>
      <c r="AG177" t="s">
        <v>58</v>
      </c>
      <c r="AH177">
        <v>12598</v>
      </c>
      <c r="AK177">
        <v>0</v>
      </c>
      <c r="AL177" t="s">
        <v>61</v>
      </c>
      <c r="AM177" t="s">
        <v>1198</v>
      </c>
      <c r="AN177" t="s">
        <v>1199</v>
      </c>
    </row>
    <row r="178" spans="1:40" x14ac:dyDescent="0.35">
      <c r="A178" t="s">
        <v>37</v>
      </c>
      <c r="B178" t="s">
        <v>1200</v>
      </c>
      <c r="C178" t="s">
        <v>102</v>
      </c>
      <c r="D178" t="s">
        <v>1201</v>
      </c>
      <c r="E178" t="s">
        <v>1202</v>
      </c>
      <c r="F178" s="1">
        <v>46078.403692129628</v>
      </c>
      <c r="G178" t="s">
        <v>913</v>
      </c>
      <c r="H178" t="s">
        <v>72</v>
      </c>
      <c r="I178" t="s">
        <v>1203</v>
      </c>
      <c r="J178" t="s">
        <v>235</v>
      </c>
      <c r="K178" t="s">
        <v>236</v>
      </c>
      <c r="M178" t="s">
        <v>76</v>
      </c>
      <c r="O178" t="s">
        <v>237</v>
      </c>
      <c r="P178" t="s">
        <v>238</v>
      </c>
      <c r="Q178" t="s">
        <v>50</v>
      </c>
      <c r="R178" t="s">
        <v>51</v>
      </c>
      <c r="S178" t="s">
        <v>52</v>
      </c>
      <c r="T178" t="s">
        <v>240</v>
      </c>
      <c r="U178" s="1">
        <v>46078.681550925925</v>
      </c>
      <c r="V178" t="s">
        <v>54</v>
      </c>
      <c r="W178" t="s">
        <v>55</v>
      </c>
      <c r="X178" t="s">
        <v>211</v>
      </c>
      <c r="Y178" t="s">
        <v>1204</v>
      </c>
      <c r="Z178" t="s">
        <v>58</v>
      </c>
      <c r="AA178" t="s">
        <v>54</v>
      </c>
      <c r="AB178" t="s">
        <v>213</v>
      </c>
      <c r="AC178" t="s">
        <v>242</v>
      </c>
      <c r="AD178" t="s">
        <v>52</v>
      </c>
      <c r="AE178" t="s">
        <v>243</v>
      </c>
      <c r="AF178" t="s">
        <v>244</v>
      </c>
      <c r="AG178" t="s">
        <v>58</v>
      </c>
      <c r="AH178" t="s">
        <v>1205</v>
      </c>
      <c r="AK178">
        <v>1</v>
      </c>
      <c r="AL178" t="s">
        <v>61</v>
      </c>
      <c r="AM178" t="s">
        <v>1206</v>
      </c>
      <c r="AN178" t="s">
        <v>1207</v>
      </c>
    </row>
    <row r="179" spans="1:40" x14ac:dyDescent="0.35">
      <c r="A179" t="s">
        <v>37</v>
      </c>
      <c r="B179" t="s">
        <v>1208</v>
      </c>
      <c r="C179" t="s">
        <v>39</v>
      </c>
      <c r="D179" t="s">
        <v>1209</v>
      </c>
      <c r="E179" t="s">
        <v>1210</v>
      </c>
      <c r="F179" s="1">
        <v>46078.403043981481</v>
      </c>
      <c r="G179" t="s">
        <v>105</v>
      </c>
      <c r="H179" t="s">
        <v>106</v>
      </c>
      <c r="I179" t="s">
        <v>205</v>
      </c>
      <c r="J179" t="s">
        <v>603</v>
      </c>
      <c r="K179" t="s">
        <v>207</v>
      </c>
      <c r="M179" t="s">
        <v>131</v>
      </c>
      <c r="O179" t="s">
        <v>77</v>
      </c>
      <c r="P179" t="s">
        <v>78</v>
      </c>
      <c r="Q179" t="s">
        <v>50</v>
      </c>
      <c r="R179" t="s">
        <v>208</v>
      </c>
      <c r="S179" t="s">
        <v>209</v>
      </c>
      <c r="T179" t="s">
        <v>210</v>
      </c>
      <c r="U179" s="1">
        <v>46078.659849537034</v>
      </c>
      <c r="V179" t="s">
        <v>54</v>
      </c>
      <c r="W179" t="s">
        <v>55</v>
      </c>
      <c r="X179" t="s">
        <v>211</v>
      </c>
      <c r="Y179" t="s">
        <v>604</v>
      </c>
      <c r="Z179" t="s">
        <v>58</v>
      </c>
      <c r="AA179" t="s">
        <v>54</v>
      </c>
      <c r="AB179" t="s">
        <v>213</v>
      </c>
      <c r="AC179" t="s">
        <v>85</v>
      </c>
      <c r="AD179" t="s">
        <v>214</v>
      </c>
      <c r="AE179" t="s">
        <v>215</v>
      </c>
      <c r="AF179" t="s">
        <v>216</v>
      </c>
      <c r="AG179" t="s">
        <v>58</v>
      </c>
      <c r="AH179" t="s">
        <v>1211</v>
      </c>
      <c r="AK179">
        <v>1</v>
      </c>
      <c r="AL179" t="s">
        <v>61</v>
      </c>
      <c r="AM179" t="s">
        <v>1212</v>
      </c>
      <c r="AN179" t="s">
        <v>1213</v>
      </c>
    </row>
    <row r="180" spans="1:40" x14ac:dyDescent="0.35">
      <c r="A180" t="s">
        <v>37</v>
      </c>
      <c r="B180" t="s">
        <v>1214</v>
      </c>
      <c r="C180" t="s">
        <v>39</v>
      </c>
      <c r="D180" t="s">
        <v>1215</v>
      </c>
      <c r="E180" t="s">
        <v>1216</v>
      </c>
      <c r="F180" s="1">
        <v>46078.400462962964</v>
      </c>
      <c r="G180" t="s">
        <v>1217</v>
      </c>
      <c r="H180" t="s">
        <v>92</v>
      </c>
      <c r="I180" t="s">
        <v>205</v>
      </c>
      <c r="J180" t="s">
        <v>603</v>
      </c>
      <c r="K180" t="s">
        <v>207</v>
      </c>
      <c r="M180" t="s">
        <v>131</v>
      </c>
      <c r="O180" t="s">
        <v>77</v>
      </c>
      <c r="P180" t="s">
        <v>78</v>
      </c>
      <c r="Q180" t="s">
        <v>1218</v>
      </c>
      <c r="R180" t="s">
        <v>208</v>
      </c>
      <c r="S180" t="s">
        <v>209</v>
      </c>
      <c r="T180" t="s">
        <v>210</v>
      </c>
      <c r="U180" s="1">
        <v>46078.66064814815</v>
      </c>
      <c r="V180" t="s">
        <v>54</v>
      </c>
      <c r="W180" t="s">
        <v>55</v>
      </c>
      <c r="X180" t="s">
        <v>211</v>
      </c>
      <c r="Y180" t="s">
        <v>604</v>
      </c>
      <c r="Z180" t="s">
        <v>58</v>
      </c>
      <c r="AA180" t="s">
        <v>54</v>
      </c>
      <c r="AB180" t="s">
        <v>213</v>
      </c>
      <c r="AC180" t="s">
        <v>85</v>
      </c>
      <c r="AD180" t="s">
        <v>214</v>
      </c>
      <c r="AE180" t="s">
        <v>215</v>
      </c>
      <c r="AF180" t="s">
        <v>216</v>
      </c>
      <c r="AG180" t="s">
        <v>58</v>
      </c>
      <c r="AH180">
        <v>8833</v>
      </c>
      <c r="AK180">
        <v>1</v>
      </c>
      <c r="AL180" t="s">
        <v>61</v>
      </c>
      <c r="AM180" t="s">
        <v>1219</v>
      </c>
      <c r="AN180" t="s">
        <v>1220</v>
      </c>
    </row>
    <row r="181" spans="1:40" x14ac:dyDescent="0.35">
      <c r="A181" t="s">
        <v>37</v>
      </c>
      <c r="B181" t="s">
        <v>1221</v>
      </c>
      <c r="C181" t="s">
        <v>39</v>
      </c>
      <c r="D181" t="s">
        <v>320</v>
      </c>
      <c r="E181" t="s">
        <v>948</v>
      </c>
      <c r="F181" s="1">
        <v>46078.399328703701</v>
      </c>
      <c r="G181" t="s">
        <v>71</v>
      </c>
      <c r="H181" t="s">
        <v>72</v>
      </c>
      <c r="I181" t="s">
        <v>1222</v>
      </c>
      <c r="J181" t="s">
        <v>1058</v>
      </c>
      <c r="K181" t="s">
        <v>436</v>
      </c>
      <c r="M181" t="s">
        <v>76</v>
      </c>
      <c r="O181" t="s">
        <v>77</v>
      </c>
      <c r="P181" t="s">
        <v>78</v>
      </c>
      <c r="Q181" t="s">
        <v>50</v>
      </c>
      <c r="R181" t="s">
        <v>51</v>
      </c>
      <c r="S181" t="s">
        <v>52</v>
      </c>
      <c r="T181" t="s">
        <v>240</v>
      </c>
      <c r="U181" s="1">
        <v>46078.6641087963</v>
      </c>
      <c r="V181" t="s">
        <v>54</v>
      </c>
      <c r="W181" t="s">
        <v>55</v>
      </c>
      <c r="X181" t="s">
        <v>211</v>
      </c>
      <c r="Y181" t="s">
        <v>1223</v>
      </c>
      <c r="Z181" t="s">
        <v>58</v>
      </c>
      <c r="AA181" t="s">
        <v>54</v>
      </c>
      <c r="AB181" t="s">
        <v>213</v>
      </c>
      <c r="AC181" t="s">
        <v>85</v>
      </c>
      <c r="AD181" t="s">
        <v>52</v>
      </c>
      <c r="AE181" t="s">
        <v>438</v>
      </c>
      <c r="AF181" t="s">
        <v>775</v>
      </c>
      <c r="AG181" t="s">
        <v>58</v>
      </c>
      <c r="AH181">
        <v>15978</v>
      </c>
      <c r="AK181">
        <v>2</v>
      </c>
      <c r="AL181" t="s">
        <v>61</v>
      </c>
      <c r="AM181" t="s">
        <v>957</v>
      </c>
      <c r="AN181" t="s">
        <v>958</v>
      </c>
    </row>
    <row r="182" spans="1:40" x14ac:dyDescent="0.35">
      <c r="A182" t="s">
        <v>37</v>
      </c>
      <c r="B182" t="s">
        <v>1224</v>
      </c>
      <c r="C182" t="s">
        <v>39</v>
      </c>
      <c r="D182" t="s">
        <v>1225</v>
      </c>
      <c r="E182" t="s">
        <v>1226</v>
      </c>
      <c r="F182" s="1">
        <v>46078.398935185185</v>
      </c>
      <c r="G182" t="s">
        <v>1217</v>
      </c>
      <c r="H182" t="s">
        <v>92</v>
      </c>
      <c r="I182" t="s">
        <v>205</v>
      </c>
      <c r="J182" t="s">
        <v>603</v>
      </c>
      <c r="K182" t="s">
        <v>207</v>
      </c>
      <c r="M182" t="s">
        <v>131</v>
      </c>
      <c r="O182" t="s">
        <v>77</v>
      </c>
      <c r="P182" t="s">
        <v>78</v>
      </c>
      <c r="Q182" t="s">
        <v>50</v>
      </c>
      <c r="R182" t="s">
        <v>208</v>
      </c>
      <c r="S182" t="s">
        <v>209</v>
      </c>
      <c r="T182" t="s">
        <v>210</v>
      </c>
      <c r="U182" s="1">
        <v>46078.661249999997</v>
      </c>
      <c r="V182" t="s">
        <v>54</v>
      </c>
      <c r="W182" t="s">
        <v>55</v>
      </c>
      <c r="X182" t="s">
        <v>211</v>
      </c>
      <c r="Y182" t="s">
        <v>604</v>
      </c>
      <c r="Z182" t="s">
        <v>58</v>
      </c>
      <c r="AA182" t="s">
        <v>54</v>
      </c>
      <c r="AB182" t="s">
        <v>213</v>
      </c>
      <c r="AC182" t="s">
        <v>85</v>
      </c>
      <c r="AD182" t="s">
        <v>214</v>
      </c>
      <c r="AE182" t="s">
        <v>215</v>
      </c>
      <c r="AF182" t="s">
        <v>216</v>
      </c>
      <c r="AG182" t="s">
        <v>58</v>
      </c>
      <c r="AH182">
        <v>13285</v>
      </c>
      <c r="AK182">
        <v>1</v>
      </c>
      <c r="AL182" t="s">
        <v>61</v>
      </c>
      <c r="AM182" t="s">
        <v>1227</v>
      </c>
      <c r="AN182" t="s">
        <v>1228</v>
      </c>
    </row>
    <row r="183" spans="1:40" x14ac:dyDescent="0.35">
      <c r="A183" t="s">
        <v>37</v>
      </c>
      <c r="B183" t="s">
        <v>1229</v>
      </c>
      <c r="C183" t="s">
        <v>39</v>
      </c>
      <c r="D183" t="s">
        <v>1230</v>
      </c>
      <c r="E183" t="s">
        <v>1231</v>
      </c>
      <c r="F183" s="1">
        <v>46078.400243055556</v>
      </c>
      <c r="G183" t="s">
        <v>913</v>
      </c>
      <c r="H183" t="s">
        <v>72</v>
      </c>
      <c r="I183" t="s">
        <v>1196</v>
      </c>
      <c r="J183" t="s">
        <v>394</v>
      </c>
      <c r="K183" t="s">
        <v>75</v>
      </c>
      <c r="M183" t="s">
        <v>76</v>
      </c>
      <c r="O183" t="s">
        <v>77</v>
      </c>
      <c r="P183" t="s">
        <v>78</v>
      </c>
      <c r="Q183" t="s">
        <v>50</v>
      </c>
      <c r="R183" t="s">
        <v>79</v>
      </c>
      <c r="S183" t="s">
        <v>1078</v>
      </c>
      <c r="T183" t="s">
        <v>1078</v>
      </c>
      <c r="U183" s="1">
        <v>46078.400439814817</v>
      </c>
      <c r="V183" t="s">
        <v>54</v>
      </c>
      <c r="W183" t="s">
        <v>55</v>
      </c>
      <c r="X183" t="s">
        <v>82</v>
      </c>
      <c r="Y183" t="s">
        <v>1197</v>
      </c>
      <c r="Z183" t="s">
        <v>58</v>
      </c>
      <c r="AA183" t="s">
        <v>54</v>
      </c>
      <c r="AB183" t="s">
        <v>396</v>
      </c>
      <c r="AC183" t="s">
        <v>85</v>
      </c>
      <c r="AD183" t="s">
        <v>79</v>
      </c>
      <c r="AE183" t="s">
        <v>1078</v>
      </c>
      <c r="AF183" t="s">
        <v>1078</v>
      </c>
      <c r="AG183" t="s">
        <v>58</v>
      </c>
      <c r="AH183">
        <v>13189</v>
      </c>
      <c r="AK183">
        <v>0</v>
      </c>
      <c r="AL183" t="s">
        <v>61</v>
      </c>
      <c r="AM183" t="s">
        <v>1232</v>
      </c>
      <c r="AN183" t="s">
        <v>1233</v>
      </c>
    </row>
    <row r="184" spans="1:40" x14ac:dyDescent="0.35">
      <c r="A184" t="s">
        <v>37</v>
      </c>
      <c r="B184" t="s">
        <v>1234</v>
      </c>
      <c r="C184" t="s">
        <v>39</v>
      </c>
      <c r="D184" t="s">
        <v>1235</v>
      </c>
      <c r="E184" t="s">
        <v>1236</v>
      </c>
      <c r="F184" s="1">
        <v>46078.41474537037</v>
      </c>
      <c r="G184" t="s">
        <v>793</v>
      </c>
      <c r="H184" t="s">
        <v>356</v>
      </c>
      <c r="I184" t="s">
        <v>1052</v>
      </c>
      <c r="J184" t="s">
        <v>394</v>
      </c>
      <c r="K184" t="s">
        <v>75</v>
      </c>
      <c r="M184" t="s">
        <v>76</v>
      </c>
      <c r="O184" t="s">
        <v>77</v>
      </c>
      <c r="P184" t="s">
        <v>78</v>
      </c>
      <c r="Q184" t="s">
        <v>50</v>
      </c>
      <c r="R184" t="s">
        <v>79</v>
      </c>
      <c r="S184" t="s">
        <v>975</v>
      </c>
      <c r="T184" t="s">
        <v>976</v>
      </c>
      <c r="U184" s="1">
        <v>46078.414988425924</v>
      </c>
      <c r="V184" t="s">
        <v>54</v>
      </c>
      <c r="W184" t="s">
        <v>55</v>
      </c>
      <c r="X184" t="s">
        <v>82</v>
      </c>
      <c r="Y184" t="s">
        <v>1237</v>
      </c>
      <c r="Z184" t="s">
        <v>58</v>
      </c>
      <c r="AA184" t="s">
        <v>54</v>
      </c>
      <c r="AB184" t="s">
        <v>396</v>
      </c>
      <c r="AC184" t="s">
        <v>85</v>
      </c>
      <c r="AD184" t="s">
        <v>79</v>
      </c>
      <c r="AE184" t="s">
        <v>975</v>
      </c>
      <c r="AF184" t="s">
        <v>976</v>
      </c>
      <c r="AG184" t="s">
        <v>58</v>
      </c>
      <c r="AH184" t="s">
        <v>1238</v>
      </c>
      <c r="AK184">
        <v>0</v>
      </c>
      <c r="AL184" t="s">
        <v>61</v>
      </c>
      <c r="AM184" t="s">
        <v>1239</v>
      </c>
      <c r="AN184" t="s">
        <v>1240</v>
      </c>
    </row>
    <row r="185" spans="1:40" x14ac:dyDescent="0.35">
      <c r="A185" t="s">
        <v>37</v>
      </c>
      <c r="B185" t="s">
        <v>1241</v>
      </c>
      <c r="C185" t="s">
        <v>39</v>
      </c>
      <c r="D185" t="s">
        <v>1242</v>
      </c>
      <c r="E185" t="s">
        <v>1243</v>
      </c>
      <c r="F185" s="1">
        <v>46078.396423611113</v>
      </c>
      <c r="G185" t="s">
        <v>105</v>
      </c>
      <c r="H185" t="s">
        <v>106</v>
      </c>
      <c r="I185" t="s">
        <v>205</v>
      </c>
      <c r="J185" t="s">
        <v>603</v>
      </c>
      <c r="K185" t="s">
        <v>207</v>
      </c>
      <c r="M185" t="s">
        <v>131</v>
      </c>
      <c r="O185" t="s">
        <v>77</v>
      </c>
      <c r="P185" t="s">
        <v>78</v>
      </c>
      <c r="Q185" t="s">
        <v>50</v>
      </c>
      <c r="R185" t="s">
        <v>208</v>
      </c>
      <c r="S185" t="s">
        <v>209</v>
      </c>
      <c r="T185" t="s">
        <v>210</v>
      </c>
      <c r="U185" s="1">
        <v>46078.662048611113</v>
      </c>
      <c r="V185" t="s">
        <v>54</v>
      </c>
      <c r="W185" t="s">
        <v>55</v>
      </c>
      <c r="X185" t="s">
        <v>211</v>
      </c>
      <c r="Y185" t="s">
        <v>604</v>
      </c>
      <c r="Z185" t="s">
        <v>58</v>
      </c>
      <c r="AA185" t="s">
        <v>54</v>
      </c>
      <c r="AB185" t="s">
        <v>213</v>
      </c>
      <c r="AC185" t="s">
        <v>85</v>
      </c>
      <c r="AD185" t="s">
        <v>214</v>
      </c>
      <c r="AE185" t="s">
        <v>215</v>
      </c>
      <c r="AF185" t="s">
        <v>216</v>
      </c>
      <c r="AG185" t="s">
        <v>58</v>
      </c>
      <c r="AH185" t="s">
        <v>1244</v>
      </c>
      <c r="AK185">
        <v>1</v>
      </c>
      <c r="AL185" t="s">
        <v>61</v>
      </c>
      <c r="AM185" t="s">
        <v>1245</v>
      </c>
      <c r="AN185" t="s">
        <v>1246</v>
      </c>
    </row>
    <row r="186" spans="1:40" x14ac:dyDescent="0.35">
      <c r="A186" t="s">
        <v>37</v>
      </c>
      <c r="B186" t="s">
        <v>1247</v>
      </c>
      <c r="C186" t="s">
        <v>39</v>
      </c>
      <c r="D186" t="s">
        <v>799</v>
      </c>
      <c r="E186" t="s">
        <v>1248</v>
      </c>
      <c r="F186" s="1">
        <v>46078.479849537034</v>
      </c>
      <c r="G186" t="s">
        <v>1249</v>
      </c>
      <c r="H186" t="s">
        <v>233</v>
      </c>
      <c r="I186" t="s">
        <v>1250</v>
      </c>
      <c r="J186" t="s">
        <v>394</v>
      </c>
      <c r="K186" t="s">
        <v>75</v>
      </c>
      <c r="M186" t="s">
        <v>76</v>
      </c>
      <c r="O186" t="s">
        <v>77</v>
      </c>
      <c r="P186" t="s">
        <v>78</v>
      </c>
      <c r="R186" t="s">
        <v>79</v>
      </c>
      <c r="S186" t="s">
        <v>1078</v>
      </c>
      <c r="T186" t="s">
        <v>1078</v>
      </c>
      <c r="U186" s="1">
        <v>46078.480486111112</v>
      </c>
      <c r="V186" t="s">
        <v>54</v>
      </c>
      <c r="W186" t="s">
        <v>55</v>
      </c>
      <c r="X186" t="s">
        <v>82</v>
      </c>
      <c r="Y186" t="s">
        <v>1251</v>
      </c>
      <c r="Z186" t="s">
        <v>58</v>
      </c>
      <c r="AA186" t="s">
        <v>54</v>
      </c>
      <c r="AB186" t="s">
        <v>396</v>
      </c>
      <c r="AC186" t="s">
        <v>85</v>
      </c>
      <c r="AD186" t="s">
        <v>79</v>
      </c>
      <c r="AE186" t="s">
        <v>1078</v>
      </c>
      <c r="AF186" t="s">
        <v>1078</v>
      </c>
      <c r="AG186" t="s">
        <v>58</v>
      </c>
      <c r="AH186">
        <v>14988</v>
      </c>
      <c r="AK186">
        <v>0</v>
      </c>
      <c r="AL186" t="s">
        <v>61</v>
      </c>
      <c r="AM186" t="s">
        <v>1252</v>
      </c>
      <c r="AN186" t="s">
        <v>1253</v>
      </c>
    </row>
    <row r="187" spans="1:40" x14ac:dyDescent="0.35">
      <c r="A187" t="s">
        <v>37</v>
      </c>
      <c r="B187" t="s">
        <v>1254</v>
      </c>
      <c r="C187" t="s">
        <v>102</v>
      </c>
      <c r="D187" t="s">
        <v>1255</v>
      </c>
      <c r="E187" t="s">
        <v>1256</v>
      </c>
      <c r="F187" s="1">
        <v>46078.39503472222</v>
      </c>
      <c r="G187" t="s">
        <v>913</v>
      </c>
      <c r="H187" t="s">
        <v>72</v>
      </c>
      <c r="I187" t="s">
        <v>1257</v>
      </c>
      <c r="J187" t="s">
        <v>235</v>
      </c>
      <c r="K187" t="s">
        <v>236</v>
      </c>
      <c r="M187" t="s">
        <v>76</v>
      </c>
      <c r="O187" t="s">
        <v>237</v>
      </c>
      <c r="P187" t="s">
        <v>238</v>
      </c>
      <c r="Q187" t="s">
        <v>50</v>
      </c>
      <c r="R187" t="s">
        <v>51</v>
      </c>
      <c r="S187" t="s">
        <v>52</v>
      </c>
      <c r="T187" t="s">
        <v>240</v>
      </c>
      <c r="U187" s="1">
        <v>46078.679525462961</v>
      </c>
      <c r="V187" t="s">
        <v>54</v>
      </c>
      <c r="W187" t="s">
        <v>55</v>
      </c>
      <c r="X187" t="s">
        <v>211</v>
      </c>
      <c r="Y187" t="s">
        <v>1258</v>
      </c>
      <c r="Z187" t="s">
        <v>58</v>
      </c>
      <c r="AA187" t="s">
        <v>54</v>
      </c>
      <c r="AB187" t="s">
        <v>213</v>
      </c>
      <c r="AC187" t="s">
        <v>242</v>
      </c>
      <c r="AD187" t="s">
        <v>52</v>
      </c>
      <c r="AE187" t="s">
        <v>243</v>
      </c>
      <c r="AF187" t="s">
        <v>244</v>
      </c>
      <c r="AG187" t="s">
        <v>58</v>
      </c>
      <c r="AH187" t="s">
        <v>1259</v>
      </c>
      <c r="AK187">
        <v>1</v>
      </c>
      <c r="AL187" t="s">
        <v>61</v>
      </c>
      <c r="AM187" t="s">
        <v>1260</v>
      </c>
      <c r="AN187" t="s">
        <v>1261</v>
      </c>
    </row>
    <row r="188" spans="1:40" x14ac:dyDescent="0.35">
      <c r="A188" t="s">
        <v>37</v>
      </c>
      <c r="B188" t="s">
        <v>1262</v>
      </c>
      <c r="C188" t="s">
        <v>102</v>
      </c>
      <c r="D188" t="s">
        <v>469</v>
      </c>
      <c r="E188" t="s">
        <v>1263</v>
      </c>
      <c r="F188" s="1">
        <v>46078.394768518519</v>
      </c>
      <c r="G188" t="s">
        <v>1264</v>
      </c>
      <c r="H188" t="s">
        <v>43</v>
      </c>
      <c r="I188" t="s">
        <v>1265</v>
      </c>
      <c r="J188" t="s">
        <v>695</v>
      </c>
      <c r="K188" t="s">
        <v>75</v>
      </c>
      <c r="M188" t="s">
        <v>76</v>
      </c>
      <c r="O188" t="s">
        <v>237</v>
      </c>
      <c r="P188" t="s">
        <v>238</v>
      </c>
      <c r="Q188" t="s">
        <v>50</v>
      </c>
      <c r="R188" t="s">
        <v>79</v>
      </c>
      <c r="S188" t="s">
        <v>696</v>
      </c>
      <c r="T188" t="s">
        <v>1266</v>
      </c>
      <c r="U188" s="1">
        <v>46078.443599537037</v>
      </c>
      <c r="V188" t="s">
        <v>54</v>
      </c>
      <c r="W188" t="s">
        <v>55</v>
      </c>
      <c r="X188" t="s">
        <v>82</v>
      </c>
      <c r="Y188" t="s">
        <v>1267</v>
      </c>
      <c r="Z188" t="s">
        <v>58</v>
      </c>
      <c r="AA188" t="s">
        <v>54</v>
      </c>
      <c r="AB188" t="s">
        <v>698</v>
      </c>
      <c r="AC188" t="s">
        <v>242</v>
      </c>
      <c r="AD188" t="s">
        <v>79</v>
      </c>
      <c r="AE188" t="s">
        <v>696</v>
      </c>
      <c r="AF188" t="s">
        <v>1266</v>
      </c>
      <c r="AG188" t="s">
        <v>58</v>
      </c>
      <c r="AH188">
        <v>11870</v>
      </c>
      <c r="AK188">
        <v>0</v>
      </c>
      <c r="AL188" t="s">
        <v>61</v>
      </c>
      <c r="AM188" t="s">
        <v>1268</v>
      </c>
      <c r="AN188" t="s">
        <v>1269</v>
      </c>
    </row>
    <row r="189" spans="1:40" x14ac:dyDescent="0.35">
      <c r="A189" t="s">
        <v>37</v>
      </c>
      <c r="B189" t="s">
        <v>1270</v>
      </c>
      <c r="C189" t="s">
        <v>39</v>
      </c>
      <c r="D189" t="s">
        <v>513</v>
      </c>
      <c r="E189" t="s">
        <v>514</v>
      </c>
      <c r="F189" s="1">
        <v>46078.393923611111</v>
      </c>
      <c r="G189" t="s">
        <v>515</v>
      </c>
      <c r="H189" t="s">
        <v>92</v>
      </c>
      <c r="I189" t="s">
        <v>1185</v>
      </c>
      <c r="J189" t="s">
        <v>1186</v>
      </c>
      <c r="K189" t="s">
        <v>1187</v>
      </c>
      <c r="M189" t="s">
        <v>76</v>
      </c>
      <c r="O189" t="s">
        <v>77</v>
      </c>
      <c r="P189" t="s">
        <v>78</v>
      </c>
      <c r="R189" t="s">
        <v>305</v>
      </c>
      <c r="S189" t="s">
        <v>306</v>
      </c>
      <c r="T189" t="s">
        <v>307</v>
      </c>
      <c r="U189" s="1">
        <v>46078.522800925923</v>
      </c>
      <c r="V189" t="s">
        <v>54</v>
      </c>
      <c r="W189" t="s">
        <v>55</v>
      </c>
      <c r="X189" t="s">
        <v>211</v>
      </c>
      <c r="Y189" t="s">
        <v>1188</v>
      </c>
      <c r="Z189" t="s">
        <v>58</v>
      </c>
      <c r="AA189" t="s">
        <v>54</v>
      </c>
      <c r="AB189" t="s">
        <v>213</v>
      </c>
      <c r="AC189" t="s">
        <v>85</v>
      </c>
      <c r="AD189" t="s">
        <v>1189</v>
      </c>
      <c r="AE189" t="s">
        <v>1190</v>
      </c>
      <c r="AF189" t="s">
        <v>1191</v>
      </c>
      <c r="AG189" t="s">
        <v>58</v>
      </c>
      <c r="AH189">
        <v>14959</v>
      </c>
      <c r="AK189">
        <v>5</v>
      </c>
      <c r="AL189" t="s">
        <v>61</v>
      </c>
      <c r="AM189" t="s">
        <v>516</v>
      </c>
      <c r="AN189" t="s">
        <v>517</v>
      </c>
    </row>
    <row r="190" spans="1:40" x14ac:dyDescent="0.35">
      <c r="A190" t="s">
        <v>37</v>
      </c>
      <c r="B190" t="s">
        <v>1271</v>
      </c>
      <c r="C190" t="s">
        <v>39</v>
      </c>
      <c r="D190" t="s">
        <v>320</v>
      </c>
      <c r="E190" t="s">
        <v>948</v>
      </c>
      <c r="F190" s="1">
        <v>46078.392870370371</v>
      </c>
      <c r="G190" t="s">
        <v>71</v>
      </c>
      <c r="H190" t="s">
        <v>72</v>
      </c>
      <c r="I190" t="s">
        <v>1222</v>
      </c>
      <c r="J190" t="s">
        <v>1272</v>
      </c>
      <c r="K190" t="s">
        <v>436</v>
      </c>
      <c r="M190" t="s">
        <v>76</v>
      </c>
      <c r="O190" t="s">
        <v>77</v>
      </c>
      <c r="P190" t="s">
        <v>78</v>
      </c>
      <c r="Q190" t="s">
        <v>50</v>
      </c>
      <c r="R190" t="s">
        <v>51</v>
      </c>
      <c r="S190" t="s">
        <v>52</v>
      </c>
      <c r="T190" t="s">
        <v>240</v>
      </c>
      <c r="U190" s="1">
        <v>46078.669363425928</v>
      </c>
      <c r="V190" t="s">
        <v>54</v>
      </c>
      <c r="W190" t="s">
        <v>55</v>
      </c>
      <c r="X190" t="s">
        <v>211</v>
      </c>
      <c r="Y190" t="s">
        <v>1273</v>
      </c>
      <c r="Z190" t="s">
        <v>58</v>
      </c>
      <c r="AA190" t="s">
        <v>54</v>
      </c>
      <c r="AB190" t="s">
        <v>213</v>
      </c>
      <c r="AC190" t="s">
        <v>85</v>
      </c>
      <c r="AD190" t="s">
        <v>52</v>
      </c>
      <c r="AE190" t="s">
        <v>438</v>
      </c>
      <c r="AF190" t="s">
        <v>775</v>
      </c>
      <c r="AG190" t="s">
        <v>58</v>
      </c>
      <c r="AH190">
        <v>15978</v>
      </c>
      <c r="AK190">
        <v>2</v>
      </c>
      <c r="AL190" t="s">
        <v>61</v>
      </c>
      <c r="AM190" t="s">
        <v>957</v>
      </c>
      <c r="AN190" t="s">
        <v>958</v>
      </c>
    </row>
    <row r="191" spans="1:40" x14ac:dyDescent="0.35">
      <c r="A191" t="s">
        <v>37</v>
      </c>
      <c r="B191" t="s">
        <v>1274</v>
      </c>
      <c r="C191" t="s">
        <v>102</v>
      </c>
      <c r="D191" t="s">
        <v>1275</v>
      </c>
      <c r="E191" t="s">
        <v>1276</v>
      </c>
      <c r="F191" s="1">
        <v>46078.396377314813</v>
      </c>
      <c r="G191" t="s">
        <v>91</v>
      </c>
      <c r="H191" t="s">
        <v>92</v>
      </c>
      <c r="I191" t="s">
        <v>1277</v>
      </c>
      <c r="J191" t="s">
        <v>707</v>
      </c>
      <c r="K191" t="s">
        <v>75</v>
      </c>
      <c r="M191" t="s">
        <v>76</v>
      </c>
      <c r="O191" t="s">
        <v>237</v>
      </c>
      <c r="P191" t="s">
        <v>238</v>
      </c>
      <c r="Q191" t="s">
        <v>50</v>
      </c>
      <c r="R191" t="s">
        <v>79</v>
      </c>
      <c r="S191" t="s">
        <v>936</v>
      </c>
      <c r="T191" t="s">
        <v>937</v>
      </c>
      <c r="U191" s="1">
        <v>46078.398090277777</v>
      </c>
      <c r="V191" t="s">
        <v>54</v>
      </c>
      <c r="W191" t="s">
        <v>55</v>
      </c>
      <c r="X191" t="s">
        <v>82</v>
      </c>
      <c r="Y191" t="s">
        <v>1278</v>
      </c>
      <c r="Z191" t="s">
        <v>58</v>
      </c>
      <c r="AA191" t="s">
        <v>54</v>
      </c>
      <c r="AB191" t="s">
        <v>709</v>
      </c>
      <c r="AC191" t="s">
        <v>242</v>
      </c>
      <c r="AD191" t="s">
        <v>79</v>
      </c>
      <c r="AE191" t="s">
        <v>936</v>
      </c>
      <c r="AF191" t="s">
        <v>939</v>
      </c>
      <c r="AG191" t="s">
        <v>58</v>
      </c>
      <c r="AH191" t="s">
        <v>1279</v>
      </c>
      <c r="AK191">
        <v>0</v>
      </c>
      <c r="AL191" t="s">
        <v>61</v>
      </c>
      <c r="AM191" t="s">
        <v>1280</v>
      </c>
      <c r="AN191" t="s">
        <v>1281</v>
      </c>
    </row>
    <row r="192" spans="1:40" x14ac:dyDescent="0.35">
      <c r="A192" t="s">
        <v>37</v>
      </c>
      <c r="B192" t="s">
        <v>1282</v>
      </c>
      <c r="C192" t="s">
        <v>39</v>
      </c>
      <c r="D192" t="s">
        <v>1283</v>
      </c>
      <c r="E192" t="s">
        <v>1284</v>
      </c>
      <c r="F192" s="1">
        <v>46078.39130787037</v>
      </c>
      <c r="G192" t="s">
        <v>105</v>
      </c>
      <c r="H192" t="s">
        <v>106</v>
      </c>
      <c r="I192" t="s">
        <v>205</v>
      </c>
      <c r="J192" t="s">
        <v>898</v>
      </c>
      <c r="K192" t="s">
        <v>207</v>
      </c>
      <c r="M192" t="s">
        <v>76</v>
      </c>
      <c r="O192" t="s">
        <v>77</v>
      </c>
      <c r="P192" t="s">
        <v>78</v>
      </c>
      <c r="Q192" t="s">
        <v>50</v>
      </c>
      <c r="R192" t="s">
        <v>305</v>
      </c>
      <c r="S192" t="s">
        <v>306</v>
      </c>
      <c r="T192" t="s">
        <v>307</v>
      </c>
      <c r="U192" s="1">
        <v>46078.515428240738</v>
      </c>
      <c r="V192" t="s">
        <v>54</v>
      </c>
      <c r="W192" t="s">
        <v>55</v>
      </c>
      <c r="X192" t="s">
        <v>211</v>
      </c>
      <c r="Y192" t="s">
        <v>1285</v>
      </c>
      <c r="Z192" t="s">
        <v>58</v>
      </c>
      <c r="AA192" t="s">
        <v>54</v>
      </c>
      <c r="AB192" t="s">
        <v>213</v>
      </c>
      <c r="AC192" t="s">
        <v>85</v>
      </c>
      <c r="AD192" t="s">
        <v>214</v>
      </c>
      <c r="AE192" t="s">
        <v>215</v>
      </c>
      <c r="AF192" t="s">
        <v>900</v>
      </c>
      <c r="AG192" t="s">
        <v>58</v>
      </c>
      <c r="AH192" t="s">
        <v>1286</v>
      </c>
      <c r="AK192">
        <v>2</v>
      </c>
      <c r="AL192" t="s">
        <v>61</v>
      </c>
      <c r="AM192" t="s">
        <v>1287</v>
      </c>
      <c r="AN192" t="s">
        <v>1288</v>
      </c>
    </row>
    <row r="193" spans="1:40" x14ac:dyDescent="0.35">
      <c r="A193" t="s">
        <v>37</v>
      </c>
      <c r="B193" t="s">
        <v>1289</v>
      </c>
      <c r="C193" t="s">
        <v>39</v>
      </c>
      <c r="D193" t="s">
        <v>40</v>
      </c>
      <c r="E193" t="s">
        <v>41</v>
      </c>
      <c r="F193" s="1">
        <v>46078.390497685185</v>
      </c>
      <c r="G193" t="s">
        <v>42</v>
      </c>
      <c r="H193" t="s">
        <v>43</v>
      </c>
      <c r="I193" t="s">
        <v>1290</v>
      </c>
      <c r="J193" t="s">
        <v>45</v>
      </c>
      <c r="K193" t="s">
        <v>46</v>
      </c>
      <c r="M193" t="s">
        <v>47</v>
      </c>
      <c r="O193" t="s">
        <v>48</v>
      </c>
      <c r="P193" t="s">
        <v>49</v>
      </c>
      <c r="Q193" t="s">
        <v>50</v>
      </c>
      <c r="R193" t="s">
        <v>51</v>
      </c>
      <c r="S193" t="s">
        <v>52</v>
      </c>
      <c r="T193" t="s">
        <v>53</v>
      </c>
      <c r="U193" s="1">
        <v>46078.391377314816</v>
      </c>
      <c r="V193" t="s">
        <v>54</v>
      </c>
      <c r="W193" t="s">
        <v>55</v>
      </c>
      <c r="X193" t="s">
        <v>56</v>
      </c>
      <c r="Y193" t="s">
        <v>57</v>
      </c>
      <c r="Z193" t="s">
        <v>58</v>
      </c>
      <c r="AA193" t="s">
        <v>54</v>
      </c>
      <c r="AB193" t="s">
        <v>59</v>
      </c>
      <c r="AC193" t="s">
        <v>60</v>
      </c>
      <c r="AD193" t="s">
        <v>51</v>
      </c>
      <c r="AE193" t="s">
        <v>52</v>
      </c>
      <c r="AF193" t="s">
        <v>53</v>
      </c>
      <c r="AG193" t="s">
        <v>58</v>
      </c>
      <c r="AK193">
        <v>0</v>
      </c>
      <c r="AL193" t="s">
        <v>61</v>
      </c>
      <c r="AM193" t="s">
        <v>59</v>
      </c>
      <c r="AN193" t="s">
        <v>62</v>
      </c>
    </row>
    <row r="194" spans="1:40" x14ac:dyDescent="0.35">
      <c r="A194" t="s">
        <v>37</v>
      </c>
      <c r="B194" t="s">
        <v>1291</v>
      </c>
      <c r="C194" t="s">
        <v>39</v>
      </c>
      <c r="D194" t="s">
        <v>1292</v>
      </c>
      <c r="E194" t="s">
        <v>1293</v>
      </c>
      <c r="F194" s="1">
        <v>46078.39167824074</v>
      </c>
      <c r="G194" t="s">
        <v>1294</v>
      </c>
      <c r="H194" t="s">
        <v>447</v>
      </c>
      <c r="I194" t="s">
        <v>1295</v>
      </c>
      <c r="J194" t="s">
        <v>455</v>
      </c>
      <c r="K194" t="s">
        <v>436</v>
      </c>
      <c r="M194" t="s">
        <v>76</v>
      </c>
      <c r="O194" t="s">
        <v>77</v>
      </c>
      <c r="P194" t="s">
        <v>78</v>
      </c>
      <c r="Q194" t="s">
        <v>1296</v>
      </c>
      <c r="R194" t="s">
        <v>51</v>
      </c>
      <c r="S194" t="s">
        <v>52</v>
      </c>
      <c r="T194" t="s">
        <v>240</v>
      </c>
      <c r="U194" s="1">
        <v>46078.408020833333</v>
      </c>
      <c r="V194" t="s">
        <v>54</v>
      </c>
      <c r="W194" t="s">
        <v>55</v>
      </c>
      <c r="X194" t="s">
        <v>134</v>
      </c>
      <c r="Y194" t="s">
        <v>1297</v>
      </c>
      <c r="Z194" t="s">
        <v>58</v>
      </c>
      <c r="AA194" t="s">
        <v>54</v>
      </c>
      <c r="AB194" t="s">
        <v>458</v>
      </c>
      <c r="AC194" t="s">
        <v>85</v>
      </c>
      <c r="AD194" t="s">
        <v>52</v>
      </c>
      <c r="AE194" t="s">
        <v>438</v>
      </c>
      <c r="AF194" t="s">
        <v>775</v>
      </c>
      <c r="AG194" t="s">
        <v>58</v>
      </c>
      <c r="AH194">
        <v>2731</v>
      </c>
      <c r="AK194">
        <v>1</v>
      </c>
      <c r="AL194" t="s">
        <v>61</v>
      </c>
      <c r="AM194" t="s">
        <v>1298</v>
      </c>
      <c r="AN194" t="s">
        <v>1299</v>
      </c>
    </row>
    <row r="195" spans="1:40" x14ac:dyDescent="0.35">
      <c r="A195" t="s">
        <v>37</v>
      </c>
      <c r="B195" t="s">
        <v>1300</v>
      </c>
      <c r="C195" t="s">
        <v>39</v>
      </c>
      <c r="D195" t="s">
        <v>1301</v>
      </c>
      <c r="E195" t="s">
        <v>1302</v>
      </c>
      <c r="F195" s="1">
        <v>46078.38958333333</v>
      </c>
      <c r="G195" t="s">
        <v>105</v>
      </c>
      <c r="H195" t="s">
        <v>106</v>
      </c>
      <c r="I195" t="s">
        <v>205</v>
      </c>
      <c r="J195" t="s">
        <v>741</v>
      </c>
      <c r="K195" t="s">
        <v>207</v>
      </c>
      <c r="M195" t="s">
        <v>131</v>
      </c>
      <c r="O195" t="s">
        <v>77</v>
      </c>
      <c r="P195" t="s">
        <v>78</v>
      </c>
      <c r="Q195" t="s">
        <v>50</v>
      </c>
      <c r="R195" t="s">
        <v>305</v>
      </c>
      <c r="S195" t="s">
        <v>306</v>
      </c>
      <c r="T195" t="s">
        <v>307</v>
      </c>
      <c r="U195" s="1">
        <v>46078.625057870369</v>
      </c>
      <c r="V195" t="s">
        <v>54</v>
      </c>
      <c r="W195" t="s">
        <v>55</v>
      </c>
      <c r="X195" t="s">
        <v>211</v>
      </c>
      <c r="Y195" t="s">
        <v>1303</v>
      </c>
      <c r="Z195" t="s">
        <v>58</v>
      </c>
      <c r="AA195" t="s">
        <v>54</v>
      </c>
      <c r="AB195" t="s">
        <v>213</v>
      </c>
      <c r="AC195" t="s">
        <v>85</v>
      </c>
      <c r="AD195" t="s">
        <v>214</v>
      </c>
      <c r="AE195" t="s">
        <v>215</v>
      </c>
      <c r="AF195" t="s">
        <v>161</v>
      </c>
      <c r="AG195" t="s">
        <v>58</v>
      </c>
      <c r="AH195" t="s">
        <v>1304</v>
      </c>
      <c r="AK195">
        <v>2</v>
      </c>
      <c r="AL195" t="s">
        <v>61</v>
      </c>
      <c r="AM195" t="s">
        <v>1305</v>
      </c>
      <c r="AN195" t="s">
        <v>1306</v>
      </c>
    </row>
    <row r="196" spans="1:40" x14ac:dyDescent="0.35">
      <c r="A196" t="s">
        <v>37</v>
      </c>
      <c r="B196" t="s">
        <v>1307</v>
      </c>
      <c r="C196" t="s">
        <v>39</v>
      </c>
      <c r="D196" t="s">
        <v>1308</v>
      </c>
      <c r="E196" t="s">
        <v>325</v>
      </c>
      <c r="F196" s="1">
        <v>46078.383368055554</v>
      </c>
      <c r="G196" t="s">
        <v>1217</v>
      </c>
      <c r="H196" t="s">
        <v>92</v>
      </c>
      <c r="I196" t="s">
        <v>205</v>
      </c>
      <c r="J196" t="s">
        <v>741</v>
      </c>
      <c r="K196" t="s">
        <v>207</v>
      </c>
      <c r="M196" t="s">
        <v>131</v>
      </c>
      <c r="O196" t="s">
        <v>77</v>
      </c>
      <c r="P196" t="s">
        <v>78</v>
      </c>
      <c r="Q196" t="s">
        <v>50</v>
      </c>
      <c r="R196" t="s">
        <v>208</v>
      </c>
      <c r="S196" t="s">
        <v>209</v>
      </c>
      <c r="T196" t="s">
        <v>210</v>
      </c>
      <c r="U196" s="1">
        <v>46078.455324074072</v>
      </c>
      <c r="V196" t="s">
        <v>54</v>
      </c>
      <c r="W196" t="s">
        <v>55</v>
      </c>
      <c r="X196" t="s">
        <v>211</v>
      </c>
      <c r="Y196" t="s">
        <v>1309</v>
      </c>
      <c r="Z196" t="s">
        <v>58</v>
      </c>
      <c r="AA196" t="s">
        <v>54</v>
      </c>
      <c r="AB196" t="s">
        <v>213</v>
      </c>
      <c r="AC196" t="s">
        <v>85</v>
      </c>
      <c r="AD196" t="s">
        <v>214</v>
      </c>
      <c r="AE196" t="s">
        <v>215</v>
      </c>
      <c r="AF196" t="s">
        <v>216</v>
      </c>
      <c r="AG196" t="s">
        <v>58</v>
      </c>
      <c r="AH196">
        <v>15440</v>
      </c>
      <c r="AK196">
        <v>1</v>
      </c>
      <c r="AL196" t="s">
        <v>61</v>
      </c>
      <c r="AM196" t="s">
        <v>1310</v>
      </c>
      <c r="AN196" t="s">
        <v>1311</v>
      </c>
    </row>
    <row r="197" spans="1:40" x14ac:dyDescent="0.35">
      <c r="A197" t="s">
        <v>37</v>
      </c>
      <c r="B197" t="s">
        <v>1312</v>
      </c>
      <c r="C197" t="s">
        <v>39</v>
      </c>
      <c r="D197" t="s">
        <v>40</v>
      </c>
      <c r="E197" t="s">
        <v>41</v>
      </c>
      <c r="F197" s="1">
        <v>46078.382002314815</v>
      </c>
      <c r="G197" t="s">
        <v>42</v>
      </c>
      <c r="H197" t="s">
        <v>43</v>
      </c>
      <c r="I197" t="s">
        <v>1313</v>
      </c>
      <c r="J197" t="s">
        <v>45</v>
      </c>
      <c r="K197" t="s">
        <v>46</v>
      </c>
      <c r="M197" t="s">
        <v>47</v>
      </c>
      <c r="O197" t="s">
        <v>48</v>
      </c>
      <c r="P197" t="s">
        <v>49</v>
      </c>
      <c r="Q197" t="s">
        <v>50</v>
      </c>
      <c r="R197" t="s">
        <v>51</v>
      </c>
      <c r="S197" t="s">
        <v>52</v>
      </c>
      <c r="T197" t="s">
        <v>53</v>
      </c>
      <c r="U197" s="1">
        <v>46078.383159722223</v>
      </c>
      <c r="V197" t="s">
        <v>54</v>
      </c>
      <c r="W197" t="s">
        <v>55</v>
      </c>
      <c r="X197" t="s">
        <v>56</v>
      </c>
      <c r="Y197" t="s">
        <v>65</v>
      </c>
      <c r="Z197" t="s">
        <v>58</v>
      </c>
      <c r="AA197" t="s">
        <v>54</v>
      </c>
      <c r="AB197" t="s">
        <v>59</v>
      </c>
      <c r="AC197" t="s">
        <v>60</v>
      </c>
      <c r="AD197" t="s">
        <v>51</v>
      </c>
      <c r="AE197" t="s">
        <v>52</v>
      </c>
      <c r="AF197" t="s">
        <v>53</v>
      </c>
      <c r="AG197" t="s">
        <v>58</v>
      </c>
      <c r="AK197">
        <v>0</v>
      </c>
      <c r="AL197" t="s">
        <v>61</v>
      </c>
      <c r="AM197" t="s">
        <v>59</v>
      </c>
      <c r="AN197" t="s">
        <v>62</v>
      </c>
    </row>
    <row r="198" spans="1:40" x14ac:dyDescent="0.35">
      <c r="A198" t="s">
        <v>37</v>
      </c>
      <c r="B198" t="s">
        <v>1314</v>
      </c>
      <c r="C198" t="s">
        <v>656</v>
      </c>
      <c r="D198" t="s">
        <v>1315</v>
      </c>
      <c r="E198" t="s">
        <v>1316</v>
      </c>
      <c r="F198" s="1">
        <v>46078.382453703707</v>
      </c>
      <c r="G198" t="s">
        <v>355</v>
      </c>
      <c r="H198" t="s">
        <v>356</v>
      </c>
      <c r="I198" t="s">
        <v>1317</v>
      </c>
      <c r="J198" t="s">
        <v>1318</v>
      </c>
      <c r="K198" t="s">
        <v>1319</v>
      </c>
      <c r="M198" t="s">
        <v>76</v>
      </c>
      <c r="O198" t="s">
        <v>77</v>
      </c>
      <c r="P198" t="s">
        <v>78</v>
      </c>
      <c r="Q198" t="s">
        <v>1320</v>
      </c>
      <c r="R198" t="s">
        <v>1321</v>
      </c>
      <c r="S198" t="s">
        <v>1322</v>
      </c>
      <c r="T198" t="s">
        <v>1323</v>
      </c>
      <c r="U198" s="1">
        <v>46078.392534722225</v>
      </c>
      <c r="V198" t="s">
        <v>54</v>
      </c>
      <c r="W198" t="s">
        <v>55</v>
      </c>
      <c r="X198" t="s">
        <v>134</v>
      </c>
      <c r="Y198" t="s">
        <v>1324</v>
      </c>
      <c r="Z198" t="s">
        <v>58</v>
      </c>
      <c r="AA198" t="s">
        <v>54</v>
      </c>
      <c r="AB198" t="s">
        <v>1325</v>
      </c>
      <c r="AC198" t="s">
        <v>85</v>
      </c>
      <c r="AD198" t="s">
        <v>1321</v>
      </c>
      <c r="AE198" t="s">
        <v>1322</v>
      </c>
      <c r="AF198" t="s">
        <v>1326</v>
      </c>
      <c r="AG198" t="s">
        <v>58</v>
      </c>
      <c r="AK198">
        <v>0</v>
      </c>
      <c r="AL198" t="s">
        <v>61</v>
      </c>
      <c r="AM198" t="s">
        <v>1325</v>
      </c>
      <c r="AN198" t="s">
        <v>1327</v>
      </c>
    </row>
    <row r="199" spans="1:40" x14ac:dyDescent="0.35">
      <c r="A199" t="s">
        <v>37</v>
      </c>
      <c r="B199" t="s">
        <v>1328</v>
      </c>
      <c r="C199" t="s">
        <v>656</v>
      </c>
      <c r="D199" t="s">
        <v>1315</v>
      </c>
      <c r="E199" t="s">
        <v>1316</v>
      </c>
      <c r="F199" s="1">
        <v>46078.381527777776</v>
      </c>
      <c r="G199" t="s">
        <v>355</v>
      </c>
      <c r="H199" t="s">
        <v>356</v>
      </c>
      <c r="I199" t="s">
        <v>1329</v>
      </c>
      <c r="J199" t="s">
        <v>1318</v>
      </c>
      <c r="K199" t="s">
        <v>1319</v>
      </c>
      <c r="M199" t="s">
        <v>76</v>
      </c>
      <c r="O199" t="s">
        <v>77</v>
      </c>
      <c r="P199" t="s">
        <v>78</v>
      </c>
      <c r="Q199" t="s">
        <v>1320</v>
      </c>
      <c r="R199" t="s">
        <v>1321</v>
      </c>
      <c r="S199" t="s">
        <v>1322</v>
      </c>
      <c r="T199" t="s">
        <v>1323</v>
      </c>
      <c r="U199" s="1">
        <v>46078.393136574072</v>
      </c>
      <c r="V199" t="s">
        <v>54</v>
      </c>
      <c r="W199" t="s">
        <v>55</v>
      </c>
      <c r="X199" t="s">
        <v>134</v>
      </c>
      <c r="Y199" t="s">
        <v>1324</v>
      </c>
      <c r="Z199" t="s">
        <v>58</v>
      </c>
      <c r="AA199" t="s">
        <v>54</v>
      </c>
      <c r="AB199" t="s">
        <v>1325</v>
      </c>
      <c r="AC199" t="s">
        <v>85</v>
      </c>
      <c r="AD199" t="s">
        <v>1321</v>
      </c>
      <c r="AE199" t="s">
        <v>1322</v>
      </c>
      <c r="AF199" t="s">
        <v>1326</v>
      </c>
      <c r="AG199" t="s">
        <v>58</v>
      </c>
      <c r="AK199">
        <v>0</v>
      </c>
      <c r="AL199" t="s">
        <v>61</v>
      </c>
      <c r="AM199" t="s">
        <v>1325</v>
      </c>
      <c r="AN199" t="s">
        <v>1327</v>
      </c>
    </row>
    <row r="200" spans="1:40" x14ac:dyDescent="0.35">
      <c r="A200" t="s">
        <v>37</v>
      </c>
      <c r="B200" t="s">
        <v>1330</v>
      </c>
      <c r="C200" t="s">
        <v>102</v>
      </c>
      <c r="D200" t="s">
        <v>617</v>
      </c>
      <c r="E200" t="s">
        <v>618</v>
      </c>
      <c r="F200" s="1">
        <v>46078.380682870367</v>
      </c>
      <c r="G200" t="s">
        <v>286</v>
      </c>
      <c r="H200" t="s">
        <v>287</v>
      </c>
      <c r="I200" t="s">
        <v>1331</v>
      </c>
      <c r="J200" t="s">
        <v>620</v>
      </c>
      <c r="K200" t="s">
        <v>130</v>
      </c>
      <c r="M200" t="s">
        <v>131</v>
      </c>
      <c r="O200" t="s">
        <v>77</v>
      </c>
      <c r="P200" t="s">
        <v>78</v>
      </c>
      <c r="Q200" t="s">
        <v>50</v>
      </c>
      <c r="R200" t="s">
        <v>132</v>
      </c>
      <c r="S200" t="s">
        <v>133</v>
      </c>
      <c r="T200" t="s">
        <v>133</v>
      </c>
      <c r="U200" s="1">
        <v>46078.422233796293</v>
      </c>
      <c r="V200" t="s">
        <v>54</v>
      </c>
      <c r="W200" t="s">
        <v>55</v>
      </c>
      <c r="X200" t="s">
        <v>134</v>
      </c>
      <c r="Y200" t="s">
        <v>1332</v>
      </c>
      <c r="Z200" t="s">
        <v>58</v>
      </c>
      <c r="AA200" t="s">
        <v>54</v>
      </c>
      <c r="AB200" t="s">
        <v>622</v>
      </c>
      <c r="AC200" t="s">
        <v>85</v>
      </c>
      <c r="AD200" t="s">
        <v>132</v>
      </c>
      <c r="AE200" t="s">
        <v>133</v>
      </c>
      <c r="AF200" t="s">
        <v>133</v>
      </c>
      <c r="AG200" t="s">
        <v>58</v>
      </c>
      <c r="AH200" t="s">
        <v>623</v>
      </c>
      <c r="AK200">
        <v>1</v>
      </c>
      <c r="AL200" t="s">
        <v>61</v>
      </c>
      <c r="AM200" t="s">
        <v>622</v>
      </c>
      <c r="AN200" t="s">
        <v>624</v>
      </c>
    </row>
    <row r="201" spans="1:40" x14ac:dyDescent="0.35">
      <c r="A201" t="s">
        <v>37</v>
      </c>
      <c r="B201" t="s">
        <v>1333</v>
      </c>
      <c r="C201" t="s">
        <v>102</v>
      </c>
      <c r="D201" t="s">
        <v>1334</v>
      </c>
      <c r="E201" t="s">
        <v>1335</v>
      </c>
      <c r="F201" s="1">
        <v>46078.382708333331</v>
      </c>
      <c r="G201" t="s">
        <v>722</v>
      </c>
      <c r="H201" t="s">
        <v>356</v>
      </c>
      <c r="I201" t="s">
        <v>1336</v>
      </c>
      <c r="J201" t="s">
        <v>1337</v>
      </c>
      <c r="K201" t="s">
        <v>951</v>
      </c>
      <c r="M201" t="s">
        <v>76</v>
      </c>
      <c r="O201" t="s">
        <v>48</v>
      </c>
      <c r="P201" t="s">
        <v>49</v>
      </c>
      <c r="Q201" t="s">
        <v>818</v>
      </c>
      <c r="R201" t="s">
        <v>79</v>
      </c>
      <c r="S201" t="s">
        <v>642</v>
      </c>
      <c r="T201" t="s">
        <v>643</v>
      </c>
      <c r="U201" s="1">
        <v>46078.398032407407</v>
      </c>
      <c r="V201" t="s">
        <v>1338</v>
      </c>
      <c r="W201" t="s">
        <v>55</v>
      </c>
      <c r="X201" t="s">
        <v>82</v>
      </c>
      <c r="Y201" t="e">
        <f>- the issue has been resolved after restarting the laptop</f>
        <v>#NAME?</v>
      </c>
      <c r="Z201" t="s">
        <v>58</v>
      </c>
      <c r="AA201" t="s">
        <v>1338</v>
      </c>
      <c r="AB201" t="s">
        <v>954</v>
      </c>
      <c r="AC201" t="s">
        <v>60</v>
      </c>
      <c r="AD201" t="s">
        <v>79</v>
      </c>
      <c r="AE201" t="s">
        <v>1339</v>
      </c>
      <c r="AF201" t="s">
        <v>1340</v>
      </c>
      <c r="AG201" t="s">
        <v>58</v>
      </c>
      <c r="AH201">
        <v>12521</v>
      </c>
      <c r="AK201">
        <v>1</v>
      </c>
      <c r="AL201" t="s">
        <v>410</v>
      </c>
      <c r="AM201" t="s">
        <v>1341</v>
      </c>
      <c r="AN201" t="s">
        <v>1342</v>
      </c>
    </row>
    <row r="202" spans="1:40" x14ac:dyDescent="0.35">
      <c r="A202" t="s">
        <v>37</v>
      </c>
      <c r="B202" t="s">
        <v>1343</v>
      </c>
      <c r="C202" t="s">
        <v>39</v>
      </c>
      <c r="D202" t="s">
        <v>40</v>
      </c>
      <c r="E202" t="s">
        <v>41</v>
      </c>
      <c r="F202" s="1">
        <v>46078.378182870372</v>
      </c>
      <c r="G202" t="s">
        <v>42</v>
      </c>
      <c r="H202" t="s">
        <v>43</v>
      </c>
      <c r="I202" t="s">
        <v>1344</v>
      </c>
      <c r="J202" t="s">
        <v>45</v>
      </c>
      <c r="K202" t="s">
        <v>46</v>
      </c>
      <c r="M202" t="s">
        <v>47</v>
      </c>
      <c r="O202" t="s">
        <v>48</v>
      </c>
      <c r="P202" t="s">
        <v>49</v>
      </c>
      <c r="Q202" t="s">
        <v>50</v>
      </c>
      <c r="R202" t="s">
        <v>51</v>
      </c>
      <c r="S202" t="s">
        <v>52</v>
      </c>
      <c r="T202" t="s">
        <v>53</v>
      </c>
      <c r="U202" s="1">
        <v>46078.379074074073</v>
      </c>
      <c r="V202" t="s">
        <v>54</v>
      </c>
      <c r="W202" t="s">
        <v>55</v>
      </c>
      <c r="X202" t="s">
        <v>56</v>
      </c>
      <c r="Y202" t="s">
        <v>57</v>
      </c>
      <c r="Z202" t="s">
        <v>58</v>
      </c>
      <c r="AA202" t="s">
        <v>54</v>
      </c>
      <c r="AB202" t="s">
        <v>59</v>
      </c>
      <c r="AC202" t="s">
        <v>60</v>
      </c>
      <c r="AD202" t="s">
        <v>51</v>
      </c>
      <c r="AE202" t="s">
        <v>52</v>
      </c>
      <c r="AF202" t="s">
        <v>53</v>
      </c>
      <c r="AG202" t="s">
        <v>58</v>
      </c>
      <c r="AK202">
        <v>0</v>
      </c>
      <c r="AL202" t="s">
        <v>61</v>
      </c>
      <c r="AM202" t="s">
        <v>59</v>
      </c>
      <c r="AN202" t="s">
        <v>62</v>
      </c>
    </row>
    <row r="203" spans="1:40" x14ac:dyDescent="0.35">
      <c r="A203" t="s">
        <v>37</v>
      </c>
      <c r="B203" t="s">
        <v>1345</v>
      </c>
      <c r="C203" t="s">
        <v>39</v>
      </c>
      <c r="D203" t="s">
        <v>1346</v>
      </c>
      <c r="E203" t="s">
        <v>1347</v>
      </c>
      <c r="F203" s="1">
        <v>46078.375740740739</v>
      </c>
      <c r="G203" t="s">
        <v>1217</v>
      </c>
      <c r="H203" t="s">
        <v>92</v>
      </c>
      <c r="I203" t="s">
        <v>205</v>
      </c>
      <c r="J203" t="s">
        <v>741</v>
      </c>
      <c r="K203" t="s">
        <v>207</v>
      </c>
      <c r="M203" t="s">
        <v>131</v>
      </c>
      <c r="O203" t="s">
        <v>77</v>
      </c>
      <c r="P203" t="s">
        <v>78</v>
      </c>
      <c r="Q203" t="s">
        <v>818</v>
      </c>
      <c r="R203" t="s">
        <v>208</v>
      </c>
      <c r="S203" t="s">
        <v>209</v>
      </c>
      <c r="T203" t="s">
        <v>210</v>
      </c>
      <c r="U203" s="1">
        <v>46078.452152777776</v>
      </c>
      <c r="V203" t="s">
        <v>54</v>
      </c>
      <c r="W203" t="s">
        <v>55</v>
      </c>
      <c r="X203" t="s">
        <v>211</v>
      </c>
      <c r="Y203" t="s">
        <v>1348</v>
      </c>
      <c r="Z203" t="s">
        <v>58</v>
      </c>
      <c r="AA203" t="s">
        <v>54</v>
      </c>
      <c r="AB203" t="s">
        <v>213</v>
      </c>
      <c r="AC203" t="s">
        <v>85</v>
      </c>
      <c r="AD203" t="s">
        <v>214</v>
      </c>
      <c r="AE203" t="s">
        <v>215</v>
      </c>
      <c r="AF203" t="s">
        <v>216</v>
      </c>
      <c r="AG203" t="s">
        <v>58</v>
      </c>
      <c r="AH203">
        <v>4082</v>
      </c>
      <c r="AK203">
        <v>1</v>
      </c>
      <c r="AL203" t="s">
        <v>61</v>
      </c>
      <c r="AM203" t="s">
        <v>1349</v>
      </c>
      <c r="AN203" t="s">
        <v>1350</v>
      </c>
    </row>
    <row r="204" spans="1:40" x14ac:dyDescent="0.35">
      <c r="A204" t="s">
        <v>37</v>
      </c>
      <c r="B204" t="s">
        <v>1351</v>
      </c>
      <c r="C204" t="s">
        <v>39</v>
      </c>
      <c r="D204" t="s">
        <v>1352</v>
      </c>
      <c r="E204" t="s">
        <v>1353</v>
      </c>
      <c r="F204" s="1">
        <v>46078.374710648146</v>
      </c>
      <c r="G204" t="s">
        <v>377</v>
      </c>
      <c r="H204" t="s">
        <v>287</v>
      </c>
      <c r="I204" t="s">
        <v>1354</v>
      </c>
      <c r="J204" t="s">
        <v>707</v>
      </c>
      <c r="K204" t="s">
        <v>75</v>
      </c>
      <c r="M204" t="s">
        <v>76</v>
      </c>
      <c r="O204" t="s">
        <v>77</v>
      </c>
      <c r="P204" t="s">
        <v>78</v>
      </c>
      <c r="Q204" t="s">
        <v>50</v>
      </c>
      <c r="R204" t="s">
        <v>79</v>
      </c>
      <c r="S204" t="s">
        <v>80</v>
      </c>
      <c r="T204" t="s">
        <v>1355</v>
      </c>
      <c r="U204" s="1">
        <v>46078.375300925924</v>
      </c>
      <c r="V204" t="s">
        <v>54</v>
      </c>
      <c r="W204" t="s">
        <v>55</v>
      </c>
      <c r="X204" t="s">
        <v>134</v>
      </c>
      <c r="Y204" t="s">
        <v>1356</v>
      </c>
      <c r="Z204" t="s">
        <v>58</v>
      </c>
      <c r="AA204" t="s">
        <v>54</v>
      </c>
      <c r="AB204" t="s">
        <v>709</v>
      </c>
      <c r="AC204" t="s">
        <v>85</v>
      </c>
      <c r="AD204" t="s">
        <v>79</v>
      </c>
      <c r="AE204" t="s">
        <v>80</v>
      </c>
      <c r="AF204" t="s">
        <v>1355</v>
      </c>
      <c r="AG204" t="s">
        <v>58</v>
      </c>
      <c r="AH204" t="s">
        <v>1357</v>
      </c>
      <c r="AK204">
        <v>0</v>
      </c>
      <c r="AL204" t="s">
        <v>61</v>
      </c>
      <c r="AM204" t="s">
        <v>1358</v>
      </c>
      <c r="AN204" t="s">
        <v>1359</v>
      </c>
    </row>
    <row r="205" spans="1:40" x14ac:dyDescent="0.35">
      <c r="A205" t="s">
        <v>37</v>
      </c>
      <c r="B205" t="s">
        <v>1360</v>
      </c>
      <c r="C205" t="s">
        <v>102</v>
      </c>
      <c r="D205" t="s">
        <v>1361</v>
      </c>
      <c r="E205" t="s">
        <v>1362</v>
      </c>
      <c r="F205" s="1">
        <v>46078.371412037035</v>
      </c>
      <c r="G205" t="s">
        <v>1363</v>
      </c>
      <c r="H205" t="s">
        <v>106</v>
      </c>
      <c r="I205" t="s">
        <v>1364</v>
      </c>
      <c r="J205" t="s">
        <v>707</v>
      </c>
      <c r="K205" t="s">
        <v>75</v>
      </c>
      <c r="M205" t="s">
        <v>76</v>
      </c>
      <c r="O205" t="s">
        <v>237</v>
      </c>
      <c r="P205" t="s">
        <v>238</v>
      </c>
      <c r="Q205" t="s">
        <v>50</v>
      </c>
      <c r="R205" t="s">
        <v>79</v>
      </c>
      <c r="S205" t="s">
        <v>781</v>
      </c>
      <c r="T205" t="s">
        <v>782</v>
      </c>
      <c r="U205" s="1">
        <v>46078.372384259259</v>
      </c>
      <c r="V205" t="s">
        <v>54</v>
      </c>
      <c r="W205" t="s">
        <v>55</v>
      </c>
      <c r="X205" t="s">
        <v>82</v>
      </c>
      <c r="Y205" t="s">
        <v>783</v>
      </c>
      <c r="Z205" t="s">
        <v>58</v>
      </c>
      <c r="AA205" t="s">
        <v>54</v>
      </c>
      <c r="AB205" t="s">
        <v>709</v>
      </c>
      <c r="AC205" t="s">
        <v>242</v>
      </c>
      <c r="AD205" t="s">
        <v>79</v>
      </c>
      <c r="AE205" t="s">
        <v>784</v>
      </c>
      <c r="AF205" t="s">
        <v>785</v>
      </c>
      <c r="AG205" t="s">
        <v>58</v>
      </c>
      <c r="AH205">
        <v>15959</v>
      </c>
      <c r="AK205">
        <v>0</v>
      </c>
      <c r="AL205" t="s">
        <v>61</v>
      </c>
      <c r="AM205" t="s">
        <v>1365</v>
      </c>
      <c r="AN205" t="s">
        <v>1366</v>
      </c>
    </row>
    <row r="206" spans="1:40" x14ac:dyDescent="0.35">
      <c r="A206" t="s">
        <v>37</v>
      </c>
      <c r="B206" t="s">
        <v>1367</v>
      </c>
      <c r="C206" t="s">
        <v>39</v>
      </c>
      <c r="D206" t="s">
        <v>1368</v>
      </c>
      <c r="E206" t="s">
        <v>1369</v>
      </c>
      <c r="F206" s="1">
        <v>46078.369525462964</v>
      </c>
      <c r="G206" t="s">
        <v>71</v>
      </c>
      <c r="H206" t="s">
        <v>72</v>
      </c>
      <c r="I206" t="s">
        <v>403</v>
      </c>
      <c r="J206" t="s">
        <v>235</v>
      </c>
      <c r="K206" t="s">
        <v>236</v>
      </c>
      <c r="M206" t="s">
        <v>76</v>
      </c>
      <c r="O206" t="s">
        <v>77</v>
      </c>
      <c r="P206" t="s">
        <v>78</v>
      </c>
      <c r="Q206" t="s">
        <v>1370</v>
      </c>
      <c r="R206" t="s">
        <v>51</v>
      </c>
      <c r="S206" t="s">
        <v>52</v>
      </c>
      <c r="T206" t="s">
        <v>240</v>
      </c>
      <c r="U206" s="1">
        <v>46078.650289351855</v>
      </c>
      <c r="V206" t="s">
        <v>54</v>
      </c>
      <c r="W206" t="s">
        <v>55</v>
      </c>
      <c r="X206" t="s">
        <v>134</v>
      </c>
      <c r="Y206" t="s">
        <v>1371</v>
      </c>
      <c r="Z206" t="s">
        <v>58</v>
      </c>
      <c r="AA206" t="s">
        <v>54</v>
      </c>
      <c r="AB206" t="s">
        <v>954</v>
      </c>
      <c r="AC206" t="s">
        <v>85</v>
      </c>
      <c r="AD206" t="s">
        <v>52</v>
      </c>
      <c r="AE206" t="s">
        <v>243</v>
      </c>
      <c r="AF206" t="s">
        <v>244</v>
      </c>
      <c r="AG206" t="s">
        <v>58</v>
      </c>
      <c r="AH206">
        <v>6570</v>
      </c>
      <c r="AK206">
        <v>2</v>
      </c>
      <c r="AL206" t="s">
        <v>410</v>
      </c>
      <c r="AM206" t="s">
        <v>1372</v>
      </c>
      <c r="AN206" t="s">
        <v>1373</v>
      </c>
    </row>
    <row r="207" spans="1:40" x14ac:dyDescent="0.35">
      <c r="A207" t="s">
        <v>37</v>
      </c>
      <c r="B207" t="s">
        <v>1374</v>
      </c>
      <c r="C207" t="s">
        <v>102</v>
      </c>
      <c r="D207" t="s">
        <v>761</v>
      </c>
      <c r="E207" t="s">
        <v>762</v>
      </c>
      <c r="F207" s="1">
        <v>46078.367025462961</v>
      </c>
      <c r="G207" t="s">
        <v>105</v>
      </c>
      <c r="H207" t="s">
        <v>106</v>
      </c>
      <c r="I207" t="s">
        <v>1375</v>
      </c>
      <c r="J207" t="s">
        <v>108</v>
      </c>
      <c r="K207" t="s">
        <v>571</v>
      </c>
      <c r="M207" t="s">
        <v>76</v>
      </c>
      <c r="O207" t="s">
        <v>77</v>
      </c>
      <c r="P207" t="s">
        <v>78</v>
      </c>
      <c r="Q207" t="s">
        <v>50</v>
      </c>
      <c r="R207" t="s">
        <v>111</v>
      </c>
      <c r="S207" t="s">
        <v>51</v>
      </c>
      <c r="T207" t="s">
        <v>112</v>
      </c>
      <c r="U207" s="1">
        <v>46078.401539351849</v>
      </c>
      <c r="V207" t="s">
        <v>54</v>
      </c>
      <c r="W207" t="s">
        <v>55</v>
      </c>
      <c r="X207" t="s">
        <v>113</v>
      </c>
      <c r="Y207" t="s">
        <v>1376</v>
      </c>
      <c r="Z207" t="s">
        <v>58</v>
      </c>
      <c r="AA207" t="s">
        <v>54</v>
      </c>
      <c r="AB207" t="s">
        <v>115</v>
      </c>
      <c r="AC207" t="s">
        <v>85</v>
      </c>
      <c r="AD207" t="s">
        <v>116</v>
      </c>
      <c r="AE207" t="s">
        <v>574</v>
      </c>
      <c r="AF207" t="s">
        <v>1377</v>
      </c>
      <c r="AG207" t="s">
        <v>58</v>
      </c>
      <c r="AH207" t="s">
        <v>765</v>
      </c>
      <c r="AK207">
        <v>1</v>
      </c>
      <c r="AL207" t="s">
        <v>61</v>
      </c>
      <c r="AM207" t="s">
        <v>766</v>
      </c>
      <c r="AN207" t="s">
        <v>767</v>
      </c>
    </row>
    <row r="208" spans="1:40" x14ac:dyDescent="0.35">
      <c r="A208" t="s">
        <v>37</v>
      </c>
      <c r="B208" t="s">
        <v>1378</v>
      </c>
      <c r="C208" t="s">
        <v>656</v>
      </c>
      <c r="D208" t="s">
        <v>1379</v>
      </c>
      <c r="E208" t="s">
        <v>1380</v>
      </c>
      <c r="F208" s="1">
        <v>46078.361192129632</v>
      </c>
      <c r="G208" t="s">
        <v>355</v>
      </c>
      <c r="H208" t="s">
        <v>356</v>
      </c>
      <c r="I208" t="s">
        <v>1381</v>
      </c>
      <c r="J208" t="s">
        <v>1382</v>
      </c>
      <c r="K208" t="s">
        <v>661</v>
      </c>
      <c r="M208" t="s">
        <v>131</v>
      </c>
      <c r="O208" t="s">
        <v>77</v>
      </c>
      <c r="P208" t="s">
        <v>78</v>
      </c>
      <c r="Q208" t="s">
        <v>50</v>
      </c>
      <c r="R208" t="s">
        <v>662</v>
      </c>
      <c r="S208" t="s">
        <v>663</v>
      </c>
      <c r="T208" t="s">
        <v>664</v>
      </c>
      <c r="U208" s="1">
        <v>46078.462604166663</v>
      </c>
      <c r="V208" t="s">
        <v>54</v>
      </c>
      <c r="W208" t="s">
        <v>55</v>
      </c>
      <c r="X208" t="s">
        <v>56</v>
      </c>
      <c r="Y208" t="s">
        <v>1383</v>
      </c>
      <c r="Z208" t="s">
        <v>58</v>
      </c>
      <c r="AA208" t="s">
        <v>54</v>
      </c>
      <c r="AB208" t="s">
        <v>1384</v>
      </c>
      <c r="AC208" t="s">
        <v>85</v>
      </c>
      <c r="AD208" t="s">
        <v>667</v>
      </c>
      <c r="AE208" t="s">
        <v>667</v>
      </c>
      <c r="AF208" t="s">
        <v>664</v>
      </c>
      <c r="AG208" t="s">
        <v>58</v>
      </c>
      <c r="AH208" t="s">
        <v>1385</v>
      </c>
      <c r="AK208">
        <v>0</v>
      </c>
      <c r="AL208" t="s">
        <v>61</v>
      </c>
      <c r="AM208" t="s">
        <v>1384</v>
      </c>
      <c r="AN208" t="s">
        <v>1386</v>
      </c>
    </row>
    <row r="209" spans="1:40" x14ac:dyDescent="0.35">
      <c r="A209" t="s">
        <v>37</v>
      </c>
      <c r="B209" t="s">
        <v>1387</v>
      </c>
      <c r="C209" t="s">
        <v>39</v>
      </c>
      <c r="D209" t="s">
        <v>1388</v>
      </c>
      <c r="E209" t="s">
        <v>1389</v>
      </c>
      <c r="F209" s="1">
        <v>46078.36613425926</v>
      </c>
      <c r="G209" t="s">
        <v>105</v>
      </c>
      <c r="H209" t="s">
        <v>106</v>
      </c>
      <c r="I209" t="s">
        <v>1250</v>
      </c>
      <c r="J209" t="s">
        <v>394</v>
      </c>
      <c r="K209" t="s">
        <v>75</v>
      </c>
      <c r="M209" t="s">
        <v>76</v>
      </c>
      <c r="O209" t="s">
        <v>77</v>
      </c>
      <c r="P209" t="s">
        <v>78</v>
      </c>
      <c r="R209" t="s">
        <v>79</v>
      </c>
      <c r="S209" t="s">
        <v>1078</v>
      </c>
      <c r="T209" t="s">
        <v>1078</v>
      </c>
      <c r="U209" s="1">
        <v>46078.366435185184</v>
      </c>
      <c r="V209" t="s">
        <v>54</v>
      </c>
      <c r="W209" t="s">
        <v>55</v>
      </c>
      <c r="X209" t="s">
        <v>82</v>
      </c>
      <c r="Y209" t="s">
        <v>1390</v>
      </c>
      <c r="Z209" t="s">
        <v>58</v>
      </c>
      <c r="AA209" t="s">
        <v>54</v>
      </c>
      <c r="AB209" t="s">
        <v>396</v>
      </c>
      <c r="AC209" t="s">
        <v>85</v>
      </c>
      <c r="AD209" t="s">
        <v>79</v>
      </c>
      <c r="AE209" t="s">
        <v>1078</v>
      </c>
      <c r="AF209" t="s">
        <v>1078</v>
      </c>
      <c r="AG209" t="s">
        <v>58</v>
      </c>
      <c r="AH209" t="s">
        <v>1391</v>
      </c>
      <c r="AK209">
        <v>0</v>
      </c>
      <c r="AL209" t="s">
        <v>61</v>
      </c>
      <c r="AM209" t="s">
        <v>1392</v>
      </c>
      <c r="AN209" t="s">
        <v>1393</v>
      </c>
    </row>
    <row r="210" spans="1:40" x14ac:dyDescent="0.35">
      <c r="A210" t="s">
        <v>37</v>
      </c>
      <c r="B210" t="s">
        <v>1394</v>
      </c>
      <c r="C210" t="s">
        <v>39</v>
      </c>
      <c r="D210" t="s">
        <v>40</v>
      </c>
      <c r="E210" t="s">
        <v>41</v>
      </c>
      <c r="F210" s="1">
        <v>46078.357476851852</v>
      </c>
      <c r="G210" t="s">
        <v>42</v>
      </c>
      <c r="H210" t="s">
        <v>43</v>
      </c>
      <c r="I210" t="s">
        <v>1395</v>
      </c>
      <c r="J210" t="s">
        <v>45</v>
      </c>
      <c r="K210" t="s">
        <v>46</v>
      </c>
      <c r="M210" t="s">
        <v>47</v>
      </c>
      <c r="O210" t="s">
        <v>48</v>
      </c>
      <c r="P210" t="s">
        <v>49</v>
      </c>
      <c r="Q210" t="s">
        <v>50</v>
      </c>
      <c r="R210" t="s">
        <v>51</v>
      </c>
      <c r="S210" t="s">
        <v>52</v>
      </c>
      <c r="T210" t="s">
        <v>53</v>
      </c>
      <c r="U210" s="1">
        <v>46078.358449074076</v>
      </c>
      <c r="V210" t="s">
        <v>54</v>
      </c>
      <c r="W210" t="s">
        <v>55</v>
      </c>
      <c r="X210" t="s">
        <v>56</v>
      </c>
      <c r="Y210" t="s">
        <v>57</v>
      </c>
      <c r="Z210" t="s">
        <v>58</v>
      </c>
      <c r="AA210" t="s">
        <v>54</v>
      </c>
      <c r="AB210" t="s">
        <v>59</v>
      </c>
      <c r="AC210" t="s">
        <v>60</v>
      </c>
      <c r="AD210" t="s">
        <v>51</v>
      </c>
      <c r="AE210" t="s">
        <v>52</v>
      </c>
      <c r="AF210" t="s">
        <v>53</v>
      </c>
      <c r="AG210" t="s">
        <v>58</v>
      </c>
      <c r="AK210">
        <v>0</v>
      </c>
      <c r="AL210" t="s">
        <v>61</v>
      </c>
      <c r="AM210" t="s">
        <v>59</v>
      </c>
      <c r="AN210" t="s">
        <v>62</v>
      </c>
    </row>
    <row r="211" spans="1:40" x14ac:dyDescent="0.35">
      <c r="A211" t="s">
        <v>37</v>
      </c>
      <c r="B211" t="s">
        <v>1396</v>
      </c>
      <c r="C211" t="s">
        <v>39</v>
      </c>
      <c r="D211" t="s">
        <v>40</v>
      </c>
      <c r="E211" t="s">
        <v>41</v>
      </c>
      <c r="F211" s="1">
        <v>46078.357372685183</v>
      </c>
      <c r="G211" t="s">
        <v>42</v>
      </c>
      <c r="H211" t="s">
        <v>43</v>
      </c>
      <c r="I211" t="s">
        <v>1397</v>
      </c>
      <c r="J211" t="s">
        <v>45</v>
      </c>
      <c r="K211" t="s">
        <v>46</v>
      </c>
      <c r="M211" t="s">
        <v>47</v>
      </c>
      <c r="O211" t="s">
        <v>48</v>
      </c>
      <c r="P211" t="s">
        <v>49</v>
      </c>
      <c r="Q211" t="s">
        <v>50</v>
      </c>
      <c r="R211" t="s">
        <v>51</v>
      </c>
      <c r="S211" t="s">
        <v>52</v>
      </c>
      <c r="T211" t="s">
        <v>53</v>
      </c>
      <c r="U211" s="1">
        <v>46078.358275462961</v>
      </c>
      <c r="V211" t="s">
        <v>54</v>
      </c>
      <c r="W211" t="s">
        <v>55</v>
      </c>
      <c r="X211" t="s">
        <v>56</v>
      </c>
      <c r="Y211" t="s">
        <v>57</v>
      </c>
      <c r="Z211" t="s">
        <v>58</v>
      </c>
      <c r="AA211" t="s">
        <v>54</v>
      </c>
      <c r="AB211" t="s">
        <v>59</v>
      </c>
      <c r="AC211" t="s">
        <v>60</v>
      </c>
      <c r="AD211" t="s">
        <v>51</v>
      </c>
      <c r="AE211" t="s">
        <v>52</v>
      </c>
      <c r="AF211" t="s">
        <v>53</v>
      </c>
      <c r="AG211" t="s">
        <v>58</v>
      </c>
      <c r="AK211">
        <v>0</v>
      </c>
      <c r="AL211" t="s">
        <v>61</v>
      </c>
      <c r="AM211" t="s">
        <v>59</v>
      </c>
      <c r="AN211" t="s">
        <v>62</v>
      </c>
    </row>
    <row r="212" spans="1:40" x14ac:dyDescent="0.35">
      <c r="A212" t="s">
        <v>37</v>
      </c>
      <c r="B212" t="s">
        <v>1398</v>
      </c>
      <c r="C212" t="s">
        <v>39</v>
      </c>
      <c r="D212" t="s">
        <v>40</v>
      </c>
      <c r="E212" t="s">
        <v>41</v>
      </c>
      <c r="F212" s="1">
        <v>46078.357164351852</v>
      </c>
      <c r="G212" t="s">
        <v>42</v>
      </c>
      <c r="H212" t="s">
        <v>43</v>
      </c>
      <c r="I212" t="s">
        <v>1399</v>
      </c>
      <c r="J212" t="s">
        <v>45</v>
      </c>
      <c r="K212" t="s">
        <v>46</v>
      </c>
      <c r="M212" t="s">
        <v>47</v>
      </c>
      <c r="O212" t="s">
        <v>48</v>
      </c>
      <c r="P212" t="s">
        <v>49</v>
      </c>
      <c r="Q212" t="s">
        <v>50</v>
      </c>
      <c r="R212" t="s">
        <v>51</v>
      </c>
      <c r="S212" t="s">
        <v>52</v>
      </c>
      <c r="T212" t="s">
        <v>53</v>
      </c>
      <c r="U212" s="1">
        <v>46078.358171296299</v>
      </c>
      <c r="V212" t="s">
        <v>54</v>
      </c>
      <c r="W212" t="s">
        <v>55</v>
      </c>
      <c r="X212" t="s">
        <v>56</v>
      </c>
      <c r="Y212" t="s">
        <v>57</v>
      </c>
      <c r="Z212" t="s">
        <v>58</v>
      </c>
      <c r="AA212" t="s">
        <v>54</v>
      </c>
      <c r="AB212" t="s">
        <v>59</v>
      </c>
      <c r="AC212" t="s">
        <v>60</v>
      </c>
      <c r="AD212" t="s">
        <v>51</v>
      </c>
      <c r="AE212" t="s">
        <v>52</v>
      </c>
      <c r="AF212" t="s">
        <v>53</v>
      </c>
      <c r="AG212" t="s">
        <v>58</v>
      </c>
      <c r="AK212">
        <v>0</v>
      </c>
      <c r="AL212" t="s">
        <v>61</v>
      </c>
      <c r="AM212" t="s">
        <v>59</v>
      </c>
      <c r="AN212" t="s">
        <v>62</v>
      </c>
    </row>
    <row r="213" spans="1:40" x14ac:dyDescent="0.35">
      <c r="A213" t="s">
        <v>37</v>
      </c>
      <c r="B213" t="s">
        <v>1400</v>
      </c>
      <c r="C213" t="s">
        <v>102</v>
      </c>
      <c r="D213" t="s">
        <v>747</v>
      </c>
      <c r="E213" t="s">
        <v>748</v>
      </c>
      <c r="F213" s="1">
        <v>46078.355069444442</v>
      </c>
      <c r="G213" t="s">
        <v>464</v>
      </c>
      <c r="H213" t="s">
        <v>287</v>
      </c>
      <c r="I213" t="s">
        <v>749</v>
      </c>
      <c r="J213" t="s">
        <v>750</v>
      </c>
      <c r="K213" t="s">
        <v>751</v>
      </c>
      <c r="M213" t="s">
        <v>131</v>
      </c>
      <c r="O213" t="s">
        <v>237</v>
      </c>
      <c r="P213" t="s">
        <v>238</v>
      </c>
      <c r="Q213" t="s">
        <v>50</v>
      </c>
      <c r="R213" t="s">
        <v>305</v>
      </c>
      <c r="S213" t="s">
        <v>306</v>
      </c>
      <c r="T213" t="s">
        <v>307</v>
      </c>
      <c r="U213" s="1">
        <v>46078.449143518519</v>
      </c>
      <c r="V213" t="s">
        <v>54</v>
      </c>
      <c r="W213" t="s">
        <v>55</v>
      </c>
      <c r="X213" t="s">
        <v>211</v>
      </c>
      <c r="Y213" t="s">
        <v>1401</v>
      </c>
      <c r="Z213" t="s">
        <v>58</v>
      </c>
      <c r="AA213" t="s">
        <v>54</v>
      </c>
      <c r="AB213" t="s">
        <v>213</v>
      </c>
      <c r="AC213" t="s">
        <v>242</v>
      </c>
      <c r="AD213" t="s">
        <v>305</v>
      </c>
      <c r="AE213" t="s">
        <v>306</v>
      </c>
      <c r="AF213" t="s">
        <v>307</v>
      </c>
      <c r="AG213" t="s">
        <v>58</v>
      </c>
      <c r="AH213">
        <v>12153</v>
      </c>
      <c r="AK213">
        <v>1</v>
      </c>
      <c r="AL213" t="s">
        <v>61</v>
      </c>
      <c r="AM213" t="s">
        <v>753</v>
      </c>
      <c r="AN213" t="s">
        <v>754</v>
      </c>
    </row>
    <row r="214" spans="1:40" x14ac:dyDescent="0.35">
      <c r="A214" t="s">
        <v>37</v>
      </c>
      <c r="B214" t="s">
        <v>1402</v>
      </c>
      <c r="C214" t="s">
        <v>102</v>
      </c>
      <c r="D214" t="s">
        <v>676</v>
      </c>
      <c r="E214" t="s">
        <v>677</v>
      </c>
      <c r="F214" s="1">
        <v>46078.35565972222</v>
      </c>
      <c r="G214" t="s">
        <v>71</v>
      </c>
      <c r="H214" t="s">
        <v>72</v>
      </c>
      <c r="I214" t="s">
        <v>1403</v>
      </c>
      <c r="J214" t="s">
        <v>679</v>
      </c>
      <c r="K214" t="s">
        <v>130</v>
      </c>
      <c r="M214" t="s">
        <v>131</v>
      </c>
      <c r="O214" t="s">
        <v>77</v>
      </c>
      <c r="P214" t="s">
        <v>78</v>
      </c>
      <c r="Q214" t="s">
        <v>50</v>
      </c>
      <c r="R214" t="s">
        <v>51</v>
      </c>
      <c r="S214" t="s">
        <v>195</v>
      </c>
      <c r="T214" t="s">
        <v>680</v>
      </c>
      <c r="U214" s="1">
        <v>46078.479131944441</v>
      </c>
      <c r="V214" t="s">
        <v>54</v>
      </c>
      <c r="W214" t="s">
        <v>55</v>
      </c>
      <c r="X214" t="s">
        <v>134</v>
      </c>
      <c r="Y214" t="s">
        <v>1404</v>
      </c>
      <c r="Z214" t="s">
        <v>58</v>
      </c>
      <c r="AA214" t="s">
        <v>54</v>
      </c>
      <c r="AB214" t="s">
        <v>682</v>
      </c>
      <c r="AC214" t="s">
        <v>85</v>
      </c>
      <c r="AD214" t="s">
        <v>51</v>
      </c>
      <c r="AE214" t="s">
        <v>195</v>
      </c>
      <c r="AF214" t="s">
        <v>680</v>
      </c>
      <c r="AG214" t="s">
        <v>58</v>
      </c>
      <c r="AH214" t="s">
        <v>683</v>
      </c>
      <c r="AK214">
        <v>1</v>
      </c>
      <c r="AL214" t="s">
        <v>61</v>
      </c>
      <c r="AM214" t="s">
        <v>682</v>
      </c>
      <c r="AN214" t="s">
        <v>684</v>
      </c>
    </row>
    <row r="215" spans="1:40" x14ac:dyDescent="0.35">
      <c r="A215" t="s">
        <v>37</v>
      </c>
      <c r="B215" t="s">
        <v>1405</v>
      </c>
      <c r="C215" t="s">
        <v>39</v>
      </c>
      <c r="D215" t="s">
        <v>1406</v>
      </c>
      <c r="E215" t="s">
        <v>1407</v>
      </c>
      <c r="F215" s="1">
        <v>46078.35527777778</v>
      </c>
      <c r="G215" t="s">
        <v>1264</v>
      </c>
      <c r="H215" t="s">
        <v>43</v>
      </c>
      <c r="I215" t="s">
        <v>1408</v>
      </c>
      <c r="J215" t="s">
        <v>707</v>
      </c>
      <c r="K215" t="s">
        <v>75</v>
      </c>
      <c r="M215" t="s">
        <v>76</v>
      </c>
      <c r="O215" t="s">
        <v>77</v>
      </c>
      <c r="P215" t="s">
        <v>78</v>
      </c>
      <c r="Q215" t="s">
        <v>50</v>
      </c>
      <c r="R215" t="s">
        <v>79</v>
      </c>
      <c r="S215" t="s">
        <v>1078</v>
      </c>
      <c r="T215" t="s">
        <v>1078</v>
      </c>
      <c r="U215" s="1">
        <v>46078.355416666665</v>
      </c>
      <c r="V215" t="s">
        <v>54</v>
      </c>
      <c r="W215" t="s">
        <v>55</v>
      </c>
      <c r="X215" t="s">
        <v>82</v>
      </c>
      <c r="Y215" t="s">
        <v>1409</v>
      </c>
      <c r="Z215" t="s">
        <v>58</v>
      </c>
      <c r="AA215" t="s">
        <v>54</v>
      </c>
      <c r="AB215" t="s">
        <v>709</v>
      </c>
      <c r="AC215" t="s">
        <v>85</v>
      </c>
      <c r="AD215" t="s">
        <v>79</v>
      </c>
      <c r="AE215" t="s">
        <v>1078</v>
      </c>
      <c r="AF215" t="s">
        <v>1078</v>
      </c>
      <c r="AG215" t="s">
        <v>58</v>
      </c>
      <c r="AH215">
        <v>15821</v>
      </c>
      <c r="AK215">
        <v>0</v>
      </c>
      <c r="AL215" t="s">
        <v>61</v>
      </c>
      <c r="AM215" t="s">
        <v>1410</v>
      </c>
      <c r="AN215" t="s">
        <v>1411</v>
      </c>
    </row>
    <row r="216" spans="1:40" x14ac:dyDescent="0.35">
      <c r="A216" t="s">
        <v>37</v>
      </c>
      <c r="B216" t="s">
        <v>1412</v>
      </c>
      <c r="C216" t="s">
        <v>102</v>
      </c>
      <c r="D216" t="s">
        <v>617</v>
      </c>
      <c r="E216" t="s">
        <v>618</v>
      </c>
      <c r="F216" s="1">
        <v>46078.352986111109</v>
      </c>
      <c r="G216" t="s">
        <v>286</v>
      </c>
      <c r="H216" t="s">
        <v>287</v>
      </c>
      <c r="I216" t="s">
        <v>1413</v>
      </c>
      <c r="J216" t="s">
        <v>620</v>
      </c>
      <c r="K216" t="s">
        <v>565</v>
      </c>
      <c r="M216" t="s">
        <v>76</v>
      </c>
      <c r="O216" t="s">
        <v>77</v>
      </c>
      <c r="P216" t="s">
        <v>78</v>
      </c>
      <c r="Q216" t="s">
        <v>50</v>
      </c>
      <c r="R216" t="s">
        <v>132</v>
      </c>
      <c r="S216" t="s">
        <v>133</v>
      </c>
      <c r="T216" t="s">
        <v>133</v>
      </c>
      <c r="U216" s="1">
        <v>46078.414247685185</v>
      </c>
      <c r="V216" t="s">
        <v>54</v>
      </c>
      <c r="W216" t="s">
        <v>55</v>
      </c>
      <c r="X216" t="s">
        <v>134</v>
      </c>
      <c r="Y216" t="s">
        <v>1414</v>
      </c>
      <c r="Z216" t="s">
        <v>58</v>
      </c>
      <c r="AA216" t="s">
        <v>54</v>
      </c>
      <c r="AB216" t="s">
        <v>622</v>
      </c>
      <c r="AC216" t="s">
        <v>85</v>
      </c>
      <c r="AD216" t="s">
        <v>132</v>
      </c>
      <c r="AE216" t="s">
        <v>133</v>
      </c>
      <c r="AF216" t="s">
        <v>133</v>
      </c>
      <c r="AG216" t="s">
        <v>58</v>
      </c>
      <c r="AH216" t="s">
        <v>623</v>
      </c>
      <c r="AK216">
        <v>1</v>
      </c>
      <c r="AL216" t="s">
        <v>61</v>
      </c>
      <c r="AM216" t="s">
        <v>622</v>
      </c>
      <c r="AN216" t="s">
        <v>624</v>
      </c>
    </row>
    <row r="217" spans="1:40" x14ac:dyDescent="0.35">
      <c r="A217" t="s">
        <v>37</v>
      </c>
      <c r="B217" t="s">
        <v>1415</v>
      </c>
      <c r="C217" t="s">
        <v>39</v>
      </c>
      <c r="D217" t="s">
        <v>40</v>
      </c>
      <c r="E217" t="s">
        <v>41</v>
      </c>
      <c r="F217" s="1">
        <v>46078.348796296297</v>
      </c>
      <c r="G217" t="s">
        <v>42</v>
      </c>
      <c r="H217" t="s">
        <v>43</v>
      </c>
      <c r="I217" t="s">
        <v>1416</v>
      </c>
      <c r="J217" t="s">
        <v>45</v>
      </c>
      <c r="K217" t="s">
        <v>46</v>
      </c>
      <c r="M217" t="s">
        <v>47</v>
      </c>
      <c r="O217" t="s">
        <v>48</v>
      </c>
      <c r="P217" t="s">
        <v>49</v>
      </c>
      <c r="Q217" t="s">
        <v>50</v>
      </c>
      <c r="R217" t="s">
        <v>51</v>
      </c>
      <c r="S217" t="s">
        <v>52</v>
      </c>
      <c r="T217" t="s">
        <v>53</v>
      </c>
      <c r="U217" s="1">
        <v>46078.34951388889</v>
      </c>
      <c r="V217" t="s">
        <v>54</v>
      </c>
      <c r="W217" t="s">
        <v>55</v>
      </c>
      <c r="X217" t="s">
        <v>56</v>
      </c>
      <c r="Y217" t="s">
        <v>57</v>
      </c>
      <c r="Z217" t="s">
        <v>58</v>
      </c>
      <c r="AA217" t="s">
        <v>54</v>
      </c>
      <c r="AB217" t="s">
        <v>59</v>
      </c>
      <c r="AC217" t="s">
        <v>60</v>
      </c>
      <c r="AD217" t="s">
        <v>51</v>
      </c>
      <c r="AE217" t="s">
        <v>52</v>
      </c>
      <c r="AF217" t="s">
        <v>53</v>
      </c>
      <c r="AG217" t="s">
        <v>58</v>
      </c>
      <c r="AK217">
        <v>0</v>
      </c>
      <c r="AL217" t="s">
        <v>61</v>
      </c>
      <c r="AM217" t="s">
        <v>59</v>
      </c>
      <c r="AN217" t="s">
        <v>62</v>
      </c>
    </row>
    <row r="218" spans="1:40" x14ac:dyDescent="0.35">
      <c r="A218" t="s">
        <v>37</v>
      </c>
      <c r="B218" t="s">
        <v>1417</v>
      </c>
      <c r="C218" t="s">
        <v>102</v>
      </c>
      <c r="D218" t="s">
        <v>747</v>
      </c>
      <c r="E218" t="s">
        <v>748</v>
      </c>
      <c r="F218" s="1">
        <v>46078.341990740744</v>
      </c>
      <c r="G218" t="s">
        <v>464</v>
      </c>
      <c r="H218" t="s">
        <v>287</v>
      </c>
      <c r="I218" t="s">
        <v>1418</v>
      </c>
      <c r="J218" t="s">
        <v>750</v>
      </c>
      <c r="K218" t="s">
        <v>751</v>
      </c>
      <c r="M218" t="s">
        <v>131</v>
      </c>
      <c r="O218" t="s">
        <v>237</v>
      </c>
      <c r="P218" t="s">
        <v>238</v>
      </c>
      <c r="Q218" t="s">
        <v>50</v>
      </c>
      <c r="R218" t="s">
        <v>305</v>
      </c>
      <c r="S218" t="s">
        <v>306</v>
      </c>
      <c r="T218" t="s">
        <v>307</v>
      </c>
      <c r="U218" s="1">
        <v>46078.447881944441</v>
      </c>
      <c r="V218" t="s">
        <v>54</v>
      </c>
      <c r="W218" t="s">
        <v>55</v>
      </c>
      <c r="X218" t="s">
        <v>211</v>
      </c>
      <c r="Y218" t="s">
        <v>1419</v>
      </c>
      <c r="Z218" t="s">
        <v>58</v>
      </c>
      <c r="AA218" t="s">
        <v>54</v>
      </c>
      <c r="AB218" t="s">
        <v>213</v>
      </c>
      <c r="AC218" t="s">
        <v>242</v>
      </c>
      <c r="AD218" t="s">
        <v>305</v>
      </c>
      <c r="AE218" t="s">
        <v>306</v>
      </c>
      <c r="AF218" t="s">
        <v>307</v>
      </c>
      <c r="AG218" t="s">
        <v>58</v>
      </c>
      <c r="AH218">
        <v>12153</v>
      </c>
      <c r="AK218">
        <v>1</v>
      </c>
      <c r="AL218" t="s">
        <v>61</v>
      </c>
      <c r="AM218" t="s">
        <v>753</v>
      </c>
      <c r="AN218" t="s">
        <v>754</v>
      </c>
    </row>
    <row r="219" spans="1:40" x14ac:dyDescent="0.35">
      <c r="A219" t="s">
        <v>37</v>
      </c>
      <c r="B219" t="s">
        <v>1420</v>
      </c>
      <c r="C219" t="s">
        <v>39</v>
      </c>
      <c r="D219" t="s">
        <v>640</v>
      </c>
      <c r="E219" t="s">
        <v>1421</v>
      </c>
      <c r="F219" s="1">
        <v>46078.34</v>
      </c>
      <c r="G219" t="s">
        <v>432</v>
      </c>
      <c r="H219" t="s">
        <v>433</v>
      </c>
      <c r="I219" t="s">
        <v>1422</v>
      </c>
      <c r="J219" t="s">
        <v>1423</v>
      </c>
      <c r="K219" t="s">
        <v>1424</v>
      </c>
      <c r="M219" t="s">
        <v>131</v>
      </c>
      <c r="O219" t="s">
        <v>77</v>
      </c>
      <c r="P219" t="s">
        <v>78</v>
      </c>
      <c r="Q219" t="s">
        <v>50</v>
      </c>
      <c r="R219" t="s">
        <v>305</v>
      </c>
      <c r="S219" t="s">
        <v>306</v>
      </c>
      <c r="T219" t="s">
        <v>307</v>
      </c>
      <c r="U219" s="1">
        <v>46078.431064814817</v>
      </c>
      <c r="V219" t="s">
        <v>54</v>
      </c>
      <c r="X219" t="s">
        <v>211</v>
      </c>
      <c r="Y219" t="s">
        <v>1425</v>
      </c>
      <c r="Z219" t="s">
        <v>58</v>
      </c>
      <c r="AA219" t="s">
        <v>54</v>
      </c>
      <c r="AB219" t="s">
        <v>213</v>
      </c>
      <c r="AC219" t="s">
        <v>85</v>
      </c>
      <c r="AD219" t="s">
        <v>305</v>
      </c>
      <c r="AE219" t="s">
        <v>306</v>
      </c>
      <c r="AF219" t="s">
        <v>307</v>
      </c>
      <c r="AG219" t="s">
        <v>58</v>
      </c>
      <c r="AH219">
        <v>15178</v>
      </c>
      <c r="AK219">
        <v>0</v>
      </c>
      <c r="AL219" t="s">
        <v>61</v>
      </c>
      <c r="AM219" t="s">
        <v>1426</v>
      </c>
      <c r="AN219" t="s">
        <v>1427</v>
      </c>
    </row>
    <row r="220" spans="1:40" x14ac:dyDescent="0.35">
      <c r="A220" t="s">
        <v>37</v>
      </c>
      <c r="B220" t="s">
        <v>1428</v>
      </c>
      <c r="C220" t="s">
        <v>39</v>
      </c>
      <c r="D220" t="s">
        <v>1429</v>
      </c>
      <c r="E220" t="s">
        <v>220</v>
      </c>
      <c r="F220" s="1">
        <v>46078.33966435185</v>
      </c>
      <c r="G220" t="s">
        <v>487</v>
      </c>
      <c r="H220" t="s">
        <v>447</v>
      </c>
      <c r="I220" t="s">
        <v>1422</v>
      </c>
      <c r="J220" t="s">
        <v>1423</v>
      </c>
      <c r="K220" t="s">
        <v>1424</v>
      </c>
      <c r="M220" t="s">
        <v>131</v>
      </c>
      <c r="O220" t="s">
        <v>77</v>
      </c>
      <c r="P220" t="s">
        <v>78</v>
      </c>
      <c r="Q220" t="s">
        <v>50</v>
      </c>
      <c r="R220" t="s">
        <v>305</v>
      </c>
      <c r="S220" t="s">
        <v>306</v>
      </c>
      <c r="T220" t="s">
        <v>307</v>
      </c>
      <c r="U220" s="1">
        <v>46078.429606481484</v>
      </c>
      <c r="V220" t="s">
        <v>54</v>
      </c>
      <c r="X220" t="s">
        <v>211</v>
      </c>
      <c r="Y220" t="s">
        <v>1430</v>
      </c>
      <c r="Z220" t="s">
        <v>58</v>
      </c>
      <c r="AA220" t="s">
        <v>54</v>
      </c>
      <c r="AB220" t="s">
        <v>213</v>
      </c>
      <c r="AC220" t="s">
        <v>85</v>
      </c>
      <c r="AD220" t="s">
        <v>305</v>
      </c>
      <c r="AE220" t="s">
        <v>306</v>
      </c>
      <c r="AF220" t="s">
        <v>307</v>
      </c>
      <c r="AG220" t="s">
        <v>58</v>
      </c>
      <c r="AH220">
        <v>15523</v>
      </c>
      <c r="AK220">
        <v>0</v>
      </c>
      <c r="AL220" t="s">
        <v>61</v>
      </c>
      <c r="AM220" t="s">
        <v>1431</v>
      </c>
      <c r="AN220" t="s">
        <v>1432</v>
      </c>
    </row>
    <row r="221" spans="1:40" x14ac:dyDescent="0.35">
      <c r="A221" t="s">
        <v>37</v>
      </c>
      <c r="B221" t="s">
        <v>1433</v>
      </c>
      <c r="C221" t="s">
        <v>39</v>
      </c>
      <c r="D221" t="s">
        <v>40</v>
      </c>
      <c r="E221" t="s">
        <v>41</v>
      </c>
      <c r="F221" s="1">
        <v>46078.339409722219</v>
      </c>
      <c r="G221" t="s">
        <v>42</v>
      </c>
      <c r="H221" t="s">
        <v>43</v>
      </c>
      <c r="I221" t="s">
        <v>1434</v>
      </c>
      <c r="J221" t="s">
        <v>45</v>
      </c>
      <c r="K221" t="s">
        <v>46</v>
      </c>
      <c r="M221" t="s">
        <v>47</v>
      </c>
      <c r="O221" t="s">
        <v>48</v>
      </c>
      <c r="P221" t="s">
        <v>49</v>
      </c>
      <c r="Q221" t="s">
        <v>50</v>
      </c>
      <c r="R221" t="s">
        <v>51</v>
      </c>
      <c r="S221" t="s">
        <v>52</v>
      </c>
      <c r="T221" t="s">
        <v>53</v>
      </c>
      <c r="U221" s="1">
        <v>46078.340300925927</v>
      </c>
      <c r="V221" t="s">
        <v>54</v>
      </c>
      <c r="W221" t="s">
        <v>55</v>
      </c>
      <c r="X221" t="s">
        <v>56</v>
      </c>
      <c r="Y221" t="s">
        <v>65</v>
      </c>
      <c r="Z221" t="s">
        <v>58</v>
      </c>
      <c r="AA221" t="s">
        <v>54</v>
      </c>
      <c r="AB221" t="s">
        <v>59</v>
      </c>
      <c r="AC221" t="s">
        <v>60</v>
      </c>
      <c r="AD221" t="s">
        <v>51</v>
      </c>
      <c r="AE221" t="s">
        <v>52</v>
      </c>
      <c r="AF221" t="s">
        <v>53</v>
      </c>
      <c r="AG221" t="s">
        <v>58</v>
      </c>
      <c r="AK221">
        <v>0</v>
      </c>
      <c r="AL221" t="s">
        <v>61</v>
      </c>
      <c r="AM221" t="s">
        <v>59</v>
      </c>
      <c r="AN221" t="s">
        <v>62</v>
      </c>
    </row>
    <row r="222" spans="1:40" x14ac:dyDescent="0.35">
      <c r="A222" t="s">
        <v>37</v>
      </c>
      <c r="B222" t="s">
        <v>1435</v>
      </c>
      <c r="C222" t="s">
        <v>39</v>
      </c>
      <c r="D222" t="s">
        <v>1436</v>
      </c>
      <c r="E222" t="s">
        <v>1437</v>
      </c>
      <c r="F222" s="1">
        <v>46078.337789351855</v>
      </c>
      <c r="G222" t="s">
        <v>355</v>
      </c>
      <c r="H222" t="s">
        <v>356</v>
      </c>
      <c r="I222" t="s">
        <v>1438</v>
      </c>
      <c r="J222" t="s">
        <v>1423</v>
      </c>
      <c r="K222" t="s">
        <v>1424</v>
      </c>
      <c r="M222" t="s">
        <v>131</v>
      </c>
      <c r="O222" t="s">
        <v>77</v>
      </c>
      <c r="P222" t="s">
        <v>78</v>
      </c>
      <c r="Q222" t="s">
        <v>50</v>
      </c>
      <c r="R222" t="s">
        <v>305</v>
      </c>
      <c r="S222" t="s">
        <v>306</v>
      </c>
      <c r="T222" t="s">
        <v>307</v>
      </c>
      <c r="U222" s="1">
        <v>46078.42796296296</v>
      </c>
      <c r="V222" t="s">
        <v>54</v>
      </c>
      <c r="X222" t="s">
        <v>211</v>
      </c>
      <c r="Y222" t="s">
        <v>1439</v>
      </c>
      <c r="Z222" t="s">
        <v>58</v>
      </c>
      <c r="AA222" t="s">
        <v>54</v>
      </c>
      <c r="AB222" t="s">
        <v>213</v>
      </c>
      <c r="AC222" t="s">
        <v>85</v>
      </c>
      <c r="AD222" t="s">
        <v>305</v>
      </c>
      <c r="AE222" t="s">
        <v>306</v>
      </c>
      <c r="AF222" t="s">
        <v>307</v>
      </c>
      <c r="AG222" t="s">
        <v>58</v>
      </c>
      <c r="AH222" t="s">
        <v>1440</v>
      </c>
      <c r="AK222">
        <v>0</v>
      </c>
      <c r="AL222" t="s">
        <v>61</v>
      </c>
      <c r="AM222" t="s">
        <v>1441</v>
      </c>
      <c r="AN222" t="s">
        <v>1442</v>
      </c>
    </row>
    <row r="223" spans="1:40" x14ac:dyDescent="0.35">
      <c r="A223" t="s">
        <v>37</v>
      </c>
      <c r="B223" t="s">
        <v>1443</v>
      </c>
      <c r="C223" t="s">
        <v>39</v>
      </c>
      <c r="D223" t="s">
        <v>1444</v>
      </c>
      <c r="E223" t="s">
        <v>1445</v>
      </c>
      <c r="F223" s="1">
        <v>46078.335844907408</v>
      </c>
      <c r="G223" t="s">
        <v>250</v>
      </c>
      <c r="H223" t="s">
        <v>106</v>
      </c>
      <c r="I223" t="s">
        <v>1446</v>
      </c>
      <c r="J223" t="s">
        <v>695</v>
      </c>
      <c r="K223" t="s">
        <v>75</v>
      </c>
      <c r="M223" t="s">
        <v>76</v>
      </c>
      <c r="O223" t="s">
        <v>77</v>
      </c>
      <c r="P223" t="s">
        <v>78</v>
      </c>
      <c r="Q223" t="s">
        <v>50</v>
      </c>
      <c r="R223" t="s">
        <v>305</v>
      </c>
      <c r="S223" t="s">
        <v>306</v>
      </c>
      <c r="T223" t="s">
        <v>307</v>
      </c>
      <c r="U223" s="1">
        <v>46078.442291666666</v>
      </c>
      <c r="V223" t="s">
        <v>54</v>
      </c>
      <c r="W223" t="s">
        <v>55</v>
      </c>
      <c r="X223" t="s">
        <v>211</v>
      </c>
      <c r="Y223" t="s">
        <v>1447</v>
      </c>
      <c r="Z223" t="s">
        <v>58</v>
      </c>
      <c r="AA223" t="s">
        <v>54</v>
      </c>
      <c r="AB223" t="s">
        <v>213</v>
      </c>
      <c r="AC223" t="s">
        <v>85</v>
      </c>
      <c r="AD223" t="s">
        <v>79</v>
      </c>
      <c r="AE223" t="s">
        <v>1016</v>
      </c>
      <c r="AF223" t="s">
        <v>1019</v>
      </c>
      <c r="AG223" t="s">
        <v>58</v>
      </c>
      <c r="AH223" t="s">
        <v>1448</v>
      </c>
      <c r="AK223">
        <v>2</v>
      </c>
      <c r="AL223" t="s">
        <v>61</v>
      </c>
      <c r="AM223" t="s">
        <v>1449</v>
      </c>
      <c r="AN223" t="s">
        <v>1450</v>
      </c>
    </row>
    <row r="224" spans="1:40" x14ac:dyDescent="0.35">
      <c r="A224" t="s">
        <v>37</v>
      </c>
      <c r="B224" t="s">
        <v>1451</v>
      </c>
      <c r="C224" t="s">
        <v>39</v>
      </c>
      <c r="D224" t="s">
        <v>1452</v>
      </c>
      <c r="E224" t="s">
        <v>1453</v>
      </c>
      <c r="F224" s="1">
        <v>46078.33320601852</v>
      </c>
      <c r="G224" t="s">
        <v>250</v>
      </c>
      <c r="H224" t="s">
        <v>106</v>
      </c>
      <c r="I224" t="s">
        <v>1446</v>
      </c>
      <c r="J224" t="s">
        <v>1454</v>
      </c>
      <c r="K224" t="s">
        <v>75</v>
      </c>
      <c r="M224" t="s">
        <v>76</v>
      </c>
      <c r="O224" t="s">
        <v>77</v>
      </c>
      <c r="P224" t="s">
        <v>78</v>
      </c>
      <c r="Q224" t="s">
        <v>50</v>
      </c>
      <c r="R224" t="s">
        <v>305</v>
      </c>
      <c r="S224" t="s">
        <v>306</v>
      </c>
      <c r="T224" t="s">
        <v>307</v>
      </c>
      <c r="U224" s="1">
        <v>46078.533668981479</v>
      </c>
      <c r="V224" t="s">
        <v>54</v>
      </c>
      <c r="W224" t="s">
        <v>55</v>
      </c>
      <c r="X224" t="s">
        <v>211</v>
      </c>
      <c r="Y224" t="s">
        <v>1455</v>
      </c>
      <c r="Z224" t="s">
        <v>58</v>
      </c>
      <c r="AA224" t="s">
        <v>54</v>
      </c>
      <c r="AB224" t="s">
        <v>213</v>
      </c>
      <c r="AC224" t="s">
        <v>85</v>
      </c>
      <c r="AD224" t="s">
        <v>79</v>
      </c>
      <c r="AE224" t="s">
        <v>1016</v>
      </c>
      <c r="AF224" t="s">
        <v>1456</v>
      </c>
      <c r="AG224" t="s">
        <v>58</v>
      </c>
      <c r="AH224" t="s">
        <v>1457</v>
      </c>
      <c r="AK224">
        <v>8</v>
      </c>
      <c r="AL224" t="s">
        <v>61</v>
      </c>
      <c r="AM224" t="s">
        <v>1458</v>
      </c>
      <c r="AN224" t="s">
        <v>1459</v>
      </c>
    </row>
    <row r="225" spans="1:40" x14ac:dyDescent="0.35">
      <c r="A225" t="s">
        <v>37</v>
      </c>
      <c r="B225" t="s">
        <v>1460</v>
      </c>
      <c r="C225" t="s">
        <v>656</v>
      </c>
      <c r="D225" t="s">
        <v>1379</v>
      </c>
      <c r="E225" t="s">
        <v>1380</v>
      </c>
      <c r="F225" s="1">
        <v>46078.333310185182</v>
      </c>
      <c r="G225" t="s">
        <v>355</v>
      </c>
      <c r="H225" t="s">
        <v>356</v>
      </c>
      <c r="I225" t="s">
        <v>1461</v>
      </c>
      <c r="J225" t="s">
        <v>1382</v>
      </c>
      <c r="K225" t="s">
        <v>661</v>
      </c>
      <c r="M225" t="s">
        <v>131</v>
      </c>
      <c r="O225" t="s">
        <v>77</v>
      </c>
      <c r="P225" t="s">
        <v>78</v>
      </c>
      <c r="Q225" t="s">
        <v>50</v>
      </c>
      <c r="R225" t="s">
        <v>662</v>
      </c>
      <c r="S225" t="s">
        <v>663</v>
      </c>
      <c r="T225" t="s">
        <v>1462</v>
      </c>
      <c r="U225" s="1">
        <v>46078.415231481478</v>
      </c>
      <c r="V225" t="s">
        <v>54</v>
      </c>
      <c r="W225" t="s">
        <v>55</v>
      </c>
      <c r="X225" t="s">
        <v>134</v>
      </c>
      <c r="Y225" t="s">
        <v>1463</v>
      </c>
      <c r="Z225" t="s">
        <v>58</v>
      </c>
      <c r="AA225" t="s">
        <v>54</v>
      </c>
      <c r="AB225" t="s">
        <v>1384</v>
      </c>
      <c r="AC225" t="s">
        <v>85</v>
      </c>
      <c r="AD225" t="s">
        <v>667</v>
      </c>
      <c r="AE225" t="s">
        <v>667</v>
      </c>
      <c r="AF225" t="s">
        <v>989</v>
      </c>
      <c r="AG225" t="s">
        <v>58</v>
      </c>
      <c r="AH225" t="s">
        <v>1385</v>
      </c>
      <c r="AK225">
        <v>0</v>
      </c>
      <c r="AL225" t="s">
        <v>61</v>
      </c>
      <c r="AM225" t="s">
        <v>1384</v>
      </c>
      <c r="AN225" t="s">
        <v>1386</v>
      </c>
    </row>
    <row r="226" spans="1:40" x14ac:dyDescent="0.35">
      <c r="A226" t="s">
        <v>37</v>
      </c>
      <c r="B226" t="s">
        <v>1464</v>
      </c>
      <c r="C226" t="s">
        <v>102</v>
      </c>
      <c r="D226" t="s">
        <v>651</v>
      </c>
      <c r="E226" t="s">
        <v>1465</v>
      </c>
      <c r="F226" s="1">
        <v>46078.319606481484</v>
      </c>
      <c r="G226" t="s">
        <v>722</v>
      </c>
      <c r="H226" t="s">
        <v>356</v>
      </c>
      <c r="I226" t="s">
        <v>1466</v>
      </c>
      <c r="J226" t="s">
        <v>1467</v>
      </c>
      <c r="K226" t="s">
        <v>1468</v>
      </c>
      <c r="M226" t="s">
        <v>131</v>
      </c>
      <c r="O226" t="s">
        <v>237</v>
      </c>
      <c r="P226" t="s">
        <v>238</v>
      </c>
      <c r="Q226" t="s">
        <v>50</v>
      </c>
      <c r="R226" t="s">
        <v>51</v>
      </c>
      <c r="S226" t="s">
        <v>52</v>
      </c>
      <c r="T226" t="s">
        <v>240</v>
      </c>
      <c r="U226" s="1">
        <v>46078.365057870367</v>
      </c>
      <c r="V226" t="s">
        <v>54</v>
      </c>
      <c r="W226" t="s">
        <v>55</v>
      </c>
      <c r="X226" t="s">
        <v>211</v>
      </c>
      <c r="Y226" t="s">
        <v>1469</v>
      </c>
      <c r="Z226" t="s">
        <v>58</v>
      </c>
      <c r="AA226" t="s">
        <v>54</v>
      </c>
      <c r="AB226" t="s">
        <v>213</v>
      </c>
      <c r="AC226" t="s">
        <v>242</v>
      </c>
      <c r="AD226" t="s">
        <v>52</v>
      </c>
      <c r="AE226" t="s">
        <v>243</v>
      </c>
      <c r="AF226" t="s">
        <v>1470</v>
      </c>
      <c r="AG226" t="s">
        <v>58</v>
      </c>
      <c r="AH226">
        <v>12396</v>
      </c>
      <c r="AK226">
        <v>1</v>
      </c>
      <c r="AL226" t="s">
        <v>61</v>
      </c>
      <c r="AM226" t="s">
        <v>1471</v>
      </c>
      <c r="AN226" t="s">
        <v>1472</v>
      </c>
    </row>
    <row r="227" spans="1:40" x14ac:dyDescent="0.35">
      <c r="A227" t="s">
        <v>37</v>
      </c>
      <c r="B227" t="s">
        <v>1473</v>
      </c>
      <c r="C227" t="s">
        <v>102</v>
      </c>
      <c r="D227" t="s">
        <v>747</v>
      </c>
      <c r="E227" t="s">
        <v>748</v>
      </c>
      <c r="F227" s="1">
        <v>46078.31858796296</v>
      </c>
      <c r="G227" t="s">
        <v>464</v>
      </c>
      <c r="H227" t="s">
        <v>287</v>
      </c>
      <c r="I227" t="s">
        <v>1474</v>
      </c>
      <c r="J227" t="s">
        <v>750</v>
      </c>
      <c r="K227" t="s">
        <v>751</v>
      </c>
      <c r="M227" t="s">
        <v>131</v>
      </c>
      <c r="O227" t="s">
        <v>237</v>
      </c>
      <c r="P227" t="s">
        <v>238</v>
      </c>
      <c r="Q227" t="s">
        <v>50</v>
      </c>
      <c r="R227" t="s">
        <v>305</v>
      </c>
      <c r="S227" t="s">
        <v>306</v>
      </c>
      <c r="T227" t="s">
        <v>307</v>
      </c>
      <c r="U227" s="1">
        <v>46078.446840277778</v>
      </c>
      <c r="V227" t="s">
        <v>54</v>
      </c>
      <c r="W227" t="s">
        <v>55</v>
      </c>
      <c r="X227" t="s">
        <v>211</v>
      </c>
      <c r="Y227" t="s">
        <v>1419</v>
      </c>
      <c r="Z227" t="s">
        <v>58</v>
      </c>
      <c r="AA227" t="s">
        <v>54</v>
      </c>
      <c r="AB227" t="s">
        <v>213</v>
      </c>
      <c r="AC227" t="s">
        <v>242</v>
      </c>
      <c r="AD227" t="s">
        <v>305</v>
      </c>
      <c r="AE227" t="s">
        <v>306</v>
      </c>
      <c r="AF227" t="s">
        <v>307</v>
      </c>
      <c r="AG227" t="s">
        <v>58</v>
      </c>
      <c r="AH227">
        <v>12153</v>
      </c>
      <c r="AK227">
        <v>1</v>
      </c>
      <c r="AL227" t="s">
        <v>61</v>
      </c>
      <c r="AM227" t="s">
        <v>753</v>
      </c>
      <c r="AN227" t="s">
        <v>754</v>
      </c>
    </row>
    <row r="228" spans="1:40" x14ac:dyDescent="0.35">
      <c r="A228" t="s">
        <v>37</v>
      </c>
      <c r="B228" t="s">
        <v>1475</v>
      </c>
      <c r="C228" t="s">
        <v>102</v>
      </c>
      <c r="D228" t="s">
        <v>747</v>
      </c>
      <c r="E228" t="s">
        <v>748</v>
      </c>
      <c r="F228" s="1">
        <v>46078.317118055558</v>
      </c>
      <c r="G228" t="s">
        <v>464</v>
      </c>
      <c r="H228" t="s">
        <v>287</v>
      </c>
      <c r="I228" t="s">
        <v>749</v>
      </c>
      <c r="J228" t="s">
        <v>750</v>
      </c>
      <c r="K228" t="s">
        <v>751</v>
      </c>
      <c r="M228" t="s">
        <v>131</v>
      </c>
      <c r="O228" t="s">
        <v>237</v>
      </c>
      <c r="P228" t="s">
        <v>238</v>
      </c>
      <c r="Q228" t="s">
        <v>50</v>
      </c>
      <c r="R228" t="s">
        <v>305</v>
      </c>
      <c r="S228" t="s">
        <v>306</v>
      </c>
      <c r="T228" t="s">
        <v>307</v>
      </c>
      <c r="U228" s="1">
        <v>46078.446516203701</v>
      </c>
      <c r="V228" t="s">
        <v>54</v>
      </c>
      <c r="W228" t="s">
        <v>55</v>
      </c>
      <c r="X228" t="s">
        <v>211</v>
      </c>
      <c r="Y228" t="s">
        <v>1419</v>
      </c>
      <c r="Z228" t="s">
        <v>58</v>
      </c>
      <c r="AA228" t="s">
        <v>54</v>
      </c>
      <c r="AB228" t="s">
        <v>213</v>
      </c>
      <c r="AC228" t="s">
        <v>242</v>
      </c>
      <c r="AD228" t="s">
        <v>305</v>
      </c>
      <c r="AE228" t="s">
        <v>306</v>
      </c>
      <c r="AF228" t="s">
        <v>307</v>
      </c>
      <c r="AG228" t="s">
        <v>58</v>
      </c>
      <c r="AH228">
        <v>12153</v>
      </c>
      <c r="AK228">
        <v>1</v>
      </c>
      <c r="AL228" t="s">
        <v>61</v>
      </c>
      <c r="AM228" t="s">
        <v>753</v>
      </c>
      <c r="AN228" t="s">
        <v>754</v>
      </c>
    </row>
    <row r="229" spans="1:40" x14ac:dyDescent="0.35">
      <c r="A229" t="s">
        <v>37</v>
      </c>
      <c r="B229" t="s">
        <v>1476</v>
      </c>
      <c r="C229" t="s">
        <v>39</v>
      </c>
      <c r="D229" t="s">
        <v>40</v>
      </c>
      <c r="E229" t="s">
        <v>41</v>
      </c>
      <c r="F229" s="1">
        <v>46078.307071759256</v>
      </c>
      <c r="G229" t="s">
        <v>42</v>
      </c>
      <c r="H229" t="s">
        <v>43</v>
      </c>
      <c r="I229" t="s">
        <v>1477</v>
      </c>
      <c r="J229" t="s">
        <v>45</v>
      </c>
      <c r="K229" t="s">
        <v>46</v>
      </c>
      <c r="M229" t="s">
        <v>47</v>
      </c>
      <c r="O229" t="s">
        <v>48</v>
      </c>
      <c r="P229" t="s">
        <v>49</v>
      </c>
      <c r="Q229" t="s">
        <v>50</v>
      </c>
      <c r="R229" t="s">
        <v>51</v>
      </c>
      <c r="S229" t="s">
        <v>52</v>
      </c>
      <c r="T229" t="s">
        <v>53</v>
      </c>
      <c r="U229" s="1">
        <v>46078.307812500003</v>
      </c>
      <c r="V229" t="s">
        <v>54</v>
      </c>
      <c r="W229" t="s">
        <v>55</v>
      </c>
      <c r="X229" t="s">
        <v>56</v>
      </c>
      <c r="Y229" t="s">
        <v>57</v>
      </c>
      <c r="Z229" t="s">
        <v>58</v>
      </c>
      <c r="AA229" t="s">
        <v>54</v>
      </c>
      <c r="AB229" t="s">
        <v>59</v>
      </c>
      <c r="AC229" t="s">
        <v>60</v>
      </c>
      <c r="AD229" t="s">
        <v>51</v>
      </c>
      <c r="AE229" t="s">
        <v>52</v>
      </c>
      <c r="AF229" t="s">
        <v>53</v>
      </c>
      <c r="AG229" t="s">
        <v>58</v>
      </c>
      <c r="AK229">
        <v>0</v>
      </c>
      <c r="AL229" t="s">
        <v>61</v>
      </c>
      <c r="AM229" t="s">
        <v>59</v>
      </c>
      <c r="AN229" t="s">
        <v>62</v>
      </c>
    </row>
    <row r="230" spans="1:40" x14ac:dyDescent="0.35">
      <c r="A230" t="s">
        <v>37</v>
      </c>
      <c r="B230" t="s">
        <v>1478</v>
      </c>
      <c r="C230" t="s">
        <v>39</v>
      </c>
      <c r="D230" t="s">
        <v>40</v>
      </c>
      <c r="E230" t="s">
        <v>41</v>
      </c>
      <c r="F230" s="1">
        <v>46078.296979166669</v>
      </c>
      <c r="G230" t="s">
        <v>42</v>
      </c>
      <c r="H230" t="s">
        <v>43</v>
      </c>
      <c r="I230" t="s">
        <v>1479</v>
      </c>
      <c r="J230" t="s">
        <v>45</v>
      </c>
      <c r="K230" t="s">
        <v>46</v>
      </c>
      <c r="M230" t="s">
        <v>47</v>
      </c>
      <c r="O230" t="s">
        <v>48</v>
      </c>
      <c r="P230" t="s">
        <v>49</v>
      </c>
      <c r="Q230" t="s">
        <v>50</v>
      </c>
      <c r="R230" t="s">
        <v>51</v>
      </c>
      <c r="S230" t="s">
        <v>52</v>
      </c>
      <c r="T230" t="s">
        <v>53</v>
      </c>
      <c r="U230" s="1">
        <v>46078.297743055555</v>
      </c>
      <c r="V230" t="s">
        <v>54</v>
      </c>
      <c r="W230" t="s">
        <v>55</v>
      </c>
      <c r="X230" t="s">
        <v>56</v>
      </c>
      <c r="Y230" t="s">
        <v>65</v>
      </c>
      <c r="Z230" t="s">
        <v>58</v>
      </c>
      <c r="AA230" t="s">
        <v>54</v>
      </c>
      <c r="AB230" t="s">
        <v>59</v>
      </c>
      <c r="AC230" t="s">
        <v>60</v>
      </c>
      <c r="AD230" t="s">
        <v>51</v>
      </c>
      <c r="AE230" t="s">
        <v>52</v>
      </c>
      <c r="AF230" t="s">
        <v>53</v>
      </c>
      <c r="AG230" t="s">
        <v>58</v>
      </c>
      <c r="AK230">
        <v>0</v>
      </c>
      <c r="AL230" t="s">
        <v>61</v>
      </c>
      <c r="AM230" t="s">
        <v>59</v>
      </c>
      <c r="AN230" t="s">
        <v>62</v>
      </c>
    </row>
    <row r="231" spans="1:40" x14ac:dyDescent="0.35">
      <c r="A231" t="s">
        <v>37</v>
      </c>
      <c r="B231" t="s">
        <v>1480</v>
      </c>
      <c r="C231" t="s">
        <v>39</v>
      </c>
      <c r="D231" t="s">
        <v>1481</v>
      </c>
      <c r="E231" t="s">
        <v>1316</v>
      </c>
      <c r="F231" s="1">
        <v>46078.280277777776</v>
      </c>
      <c r="G231" t="s">
        <v>286</v>
      </c>
      <c r="H231" t="s">
        <v>287</v>
      </c>
      <c r="I231" t="s">
        <v>1482</v>
      </c>
      <c r="J231" t="s">
        <v>1483</v>
      </c>
      <c r="K231" t="s">
        <v>1484</v>
      </c>
      <c r="M231" t="s">
        <v>131</v>
      </c>
      <c r="O231" t="s">
        <v>77</v>
      </c>
      <c r="P231" t="s">
        <v>78</v>
      </c>
      <c r="Q231" t="s">
        <v>50</v>
      </c>
      <c r="R231" t="s">
        <v>51</v>
      </c>
      <c r="S231" t="s">
        <v>52</v>
      </c>
      <c r="T231" t="s">
        <v>240</v>
      </c>
      <c r="U231" s="1">
        <v>46078.540150462963</v>
      </c>
      <c r="V231" t="s">
        <v>54</v>
      </c>
      <c r="W231" t="s">
        <v>55</v>
      </c>
      <c r="X231" t="s">
        <v>134</v>
      </c>
      <c r="Y231" t="s">
        <v>1485</v>
      </c>
      <c r="Z231" t="s">
        <v>58</v>
      </c>
      <c r="AA231" t="s">
        <v>54</v>
      </c>
      <c r="AB231" t="s">
        <v>1486</v>
      </c>
      <c r="AC231" t="s">
        <v>85</v>
      </c>
      <c r="AD231" t="s">
        <v>52</v>
      </c>
      <c r="AE231" t="s">
        <v>243</v>
      </c>
      <c r="AF231" t="s">
        <v>409</v>
      </c>
      <c r="AG231" t="s">
        <v>58</v>
      </c>
      <c r="AK231">
        <v>1</v>
      </c>
      <c r="AL231" t="s">
        <v>61</v>
      </c>
      <c r="AM231" t="s">
        <v>1487</v>
      </c>
      <c r="AN231" t="s">
        <v>1488</v>
      </c>
    </row>
    <row r="232" spans="1:40" x14ac:dyDescent="0.35">
      <c r="A232" t="s">
        <v>37</v>
      </c>
      <c r="B232" t="s">
        <v>1489</v>
      </c>
      <c r="C232" t="s">
        <v>39</v>
      </c>
      <c r="D232" t="s">
        <v>1481</v>
      </c>
      <c r="E232" t="s">
        <v>1316</v>
      </c>
      <c r="F232" s="1">
        <v>46078.278958333336</v>
      </c>
      <c r="G232" t="s">
        <v>286</v>
      </c>
      <c r="H232" t="s">
        <v>287</v>
      </c>
      <c r="I232" t="s">
        <v>1490</v>
      </c>
      <c r="J232" t="s">
        <v>1483</v>
      </c>
      <c r="K232" t="s">
        <v>1484</v>
      </c>
      <c r="M232" t="s">
        <v>131</v>
      </c>
      <c r="O232" t="s">
        <v>77</v>
      </c>
      <c r="P232" t="s">
        <v>78</v>
      </c>
      <c r="Q232" t="s">
        <v>50</v>
      </c>
      <c r="R232" t="s">
        <v>51</v>
      </c>
      <c r="S232" t="s">
        <v>52</v>
      </c>
      <c r="T232" t="s">
        <v>240</v>
      </c>
      <c r="U232" s="1">
        <v>46078.546944444446</v>
      </c>
      <c r="V232" t="s">
        <v>54</v>
      </c>
      <c r="W232" t="s">
        <v>55</v>
      </c>
      <c r="X232" t="s">
        <v>134</v>
      </c>
      <c r="Y232" t="s">
        <v>1485</v>
      </c>
      <c r="Z232" t="s">
        <v>58</v>
      </c>
      <c r="AA232" t="s">
        <v>54</v>
      </c>
      <c r="AB232" t="s">
        <v>1486</v>
      </c>
      <c r="AC232" t="s">
        <v>85</v>
      </c>
      <c r="AD232" t="s">
        <v>52</v>
      </c>
      <c r="AE232" t="s">
        <v>243</v>
      </c>
      <c r="AF232" t="s">
        <v>409</v>
      </c>
      <c r="AG232" t="s">
        <v>58</v>
      </c>
      <c r="AK232">
        <v>1</v>
      </c>
      <c r="AL232" t="s">
        <v>61</v>
      </c>
      <c r="AM232" t="s">
        <v>1487</v>
      </c>
      <c r="AN232" t="s">
        <v>1488</v>
      </c>
    </row>
    <row r="233" spans="1:40" x14ac:dyDescent="0.35">
      <c r="A233" t="s">
        <v>37</v>
      </c>
      <c r="B233" t="s">
        <v>1491</v>
      </c>
      <c r="C233" t="s">
        <v>39</v>
      </c>
      <c r="D233" t="s">
        <v>1481</v>
      </c>
      <c r="E233" t="s">
        <v>1316</v>
      </c>
      <c r="F233" s="1">
        <v>46078.277384259258</v>
      </c>
      <c r="G233" t="s">
        <v>286</v>
      </c>
      <c r="H233" t="s">
        <v>287</v>
      </c>
      <c r="I233" t="s">
        <v>1492</v>
      </c>
      <c r="J233" t="s">
        <v>1483</v>
      </c>
      <c r="K233" t="s">
        <v>1484</v>
      </c>
      <c r="M233" t="s">
        <v>131</v>
      </c>
      <c r="O233" t="s">
        <v>77</v>
      </c>
      <c r="P233" t="s">
        <v>78</v>
      </c>
      <c r="Q233" t="s">
        <v>50</v>
      </c>
      <c r="R233" t="s">
        <v>51</v>
      </c>
      <c r="S233" t="s">
        <v>52</v>
      </c>
      <c r="T233" t="s">
        <v>240</v>
      </c>
      <c r="U233" s="1">
        <v>46078.543576388889</v>
      </c>
      <c r="V233" t="s">
        <v>54</v>
      </c>
      <c r="W233" t="s">
        <v>55</v>
      </c>
      <c r="X233" t="s">
        <v>134</v>
      </c>
      <c r="Y233" t="s">
        <v>1485</v>
      </c>
      <c r="Z233" t="s">
        <v>58</v>
      </c>
      <c r="AA233" t="s">
        <v>54</v>
      </c>
      <c r="AB233" t="s">
        <v>1486</v>
      </c>
      <c r="AC233" t="s">
        <v>85</v>
      </c>
      <c r="AD233" t="s">
        <v>52</v>
      </c>
      <c r="AE233" t="s">
        <v>243</v>
      </c>
      <c r="AF233" t="s">
        <v>409</v>
      </c>
      <c r="AG233" t="s">
        <v>58</v>
      </c>
      <c r="AK233">
        <v>1</v>
      </c>
      <c r="AL233" t="s">
        <v>61</v>
      </c>
      <c r="AM233" t="s">
        <v>1487</v>
      </c>
      <c r="AN233" t="s">
        <v>1488</v>
      </c>
    </row>
    <row r="234" spans="1:40" x14ac:dyDescent="0.35">
      <c r="A234" t="s">
        <v>37</v>
      </c>
      <c r="B234" t="s">
        <v>1493</v>
      </c>
      <c r="C234" t="s">
        <v>39</v>
      </c>
      <c r="D234" t="s">
        <v>1481</v>
      </c>
      <c r="E234" t="s">
        <v>1316</v>
      </c>
      <c r="F234" s="1">
        <v>46078.273506944446</v>
      </c>
      <c r="G234" t="s">
        <v>286</v>
      </c>
      <c r="H234" t="s">
        <v>287</v>
      </c>
      <c r="I234" t="s">
        <v>1494</v>
      </c>
      <c r="J234" t="s">
        <v>1483</v>
      </c>
      <c r="K234" t="s">
        <v>1484</v>
      </c>
      <c r="M234" t="s">
        <v>131</v>
      </c>
      <c r="O234" t="s">
        <v>77</v>
      </c>
      <c r="P234" t="s">
        <v>78</v>
      </c>
      <c r="Q234" t="s">
        <v>50</v>
      </c>
      <c r="R234" t="s">
        <v>51</v>
      </c>
      <c r="S234" t="s">
        <v>52</v>
      </c>
      <c r="T234" t="s">
        <v>240</v>
      </c>
      <c r="U234" s="1">
        <v>46078.547349537039</v>
      </c>
      <c r="V234" t="s">
        <v>54</v>
      </c>
      <c r="W234" t="s">
        <v>55</v>
      </c>
      <c r="X234" t="s">
        <v>134</v>
      </c>
      <c r="Y234" t="s">
        <v>1485</v>
      </c>
      <c r="Z234" t="s">
        <v>58</v>
      </c>
      <c r="AA234" t="s">
        <v>54</v>
      </c>
      <c r="AB234" t="s">
        <v>1486</v>
      </c>
      <c r="AC234" t="s">
        <v>85</v>
      </c>
      <c r="AD234" t="s">
        <v>52</v>
      </c>
      <c r="AE234" t="s">
        <v>243</v>
      </c>
      <c r="AF234" t="s">
        <v>409</v>
      </c>
      <c r="AG234" t="s">
        <v>58</v>
      </c>
      <c r="AK234">
        <v>1</v>
      </c>
      <c r="AL234" t="s">
        <v>61</v>
      </c>
      <c r="AM234" t="s">
        <v>1487</v>
      </c>
      <c r="AN234" t="s">
        <v>1488</v>
      </c>
    </row>
    <row r="235" spans="1:40" x14ac:dyDescent="0.35">
      <c r="A235" t="s">
        <v>37</v>
      </c>
      <c r="B235" t="s">
        <v>1495</v>
      </c>
      <c r="C235" t="s">
        <v>39</v>
      </c>
      <c r="D235" t="s">
        <v>1481</v>
      </c>
      <c r="E235" t="s">
        <v>1316</v>
      </c>
      <c r="F235" s="1">
        <v>46078.272280092591</v>
      </c>
      <c r="G235" t="s">
        <v>286</v>
      </c>
      <c r="H235" t="s">
        <v>287</v>
      </c>
      <c r="I235" t="s">
        <v>1496</v>
      </c>
      <c r="J235" t="s">
        <v>1483</v>
      </c>
      <c r="K235" t="s">
        <v>1484</v>
      </c>
      <c r="M235" t="s">
        <v>131</v>
      </c>
      <c r="O235" t="s">
        <v>77</v>
      </c>
      <c r="P235" t="s">
        <v>78</v>
      </c>
      <c r="Q235" t="s">
        <v>50</v>
      </c>
      <c r="R235" t="s">
        <v>51</v>
      </c>
      <c r="S235" t="s">
        <v>52</v>
      </c>
      <c r="T235" t="s">
        <v>240</v>
      </c>
      <c r="U235" s="1">
        <v>46078.547789351855</v>
      </c>
      <c r="V235" t="s">
        <v>54</v>
      </c>
      <c r="W235" t="s">
        <v>55</v>
      </c>
      <c r="X235" t="s">
        <v>134</v>
      </c>
      <c r="Y235" t="s">
        <v>1485</v>
      </c>
      <c r="Z235" t="s">
        <v>58</v>
      </c>
      <c r="AA235" t="s">
        <v>54</v>
      </c>
      <c r="AB235" t="s">
        <v>1486</v>
      </c>
      <c r="AC235" t="s">
        <v>85</v>
      </c>
      <c r="AD235" t="s">
        <v>52</v>
      </c>
      <c r="AE235" t="s">
        <v>243</v>
      </c>
      <c r="AF235" t="s">
        <v>409</v>
      </c>
      <c r="AG235" t="s">
        <v>58</v>
      </c>
      <c r="AK235">
        <v>1</v>
      </c>
      <c r="AL235" t="s">
        <v>61</v>
      </c>
      <c r="AM235" t="s">
        <v>1487</v>
      </c>
      <c r="AN235" t="s">
        <v>1488</v>
      </c>
    </row>
    <row r="236" spans="1:40" x14ac:dyDescent="0.35">
      <c r="A236" t="s">
        <v>37</v>
      </c>
      <c r="B236" t="s">
        <v>1497</v>
      </c>
      <c r="C236" t="s">
        <v>102</v>
      </c>
      <c r="D236" t="s">
        <v>1498</v>
      </c>
      <c r="E236" t="s">
        <v>1499</v>
      </c>
      <c r="F236" s="1">
        <v>46078.274363425924</v>
      </c>
      <c r="G236" t="s">
        <v>688</v>
      </c>
      <c r="H236" t="s">
        <v>106</v>
      </c>
      <c r="I236" t="s">
        <v>1500</v>
      </c>
      <c r="J236" t="s">
        <v>950</v>
      </c>
      <c r="K236" t="s">
        <v>951</v>
      </c>
      <c r="M236" t="s">
        <v>76</v>
      </c>
      <c r="O236" t="s">
        <v>1501</v>
      </c>
      <c r="P236" t="s">
        <v>1502</v>
      </c>
      <c r="Q236" t="s">
        <v>50</v>
      </c>
      <c r="R236" t="s">
        <v>79</v>
      </c>
      <c r="S236" t="s">
        <v>955</v>
      </c>
      <c r="T236" t="s">
        <v>1500</v>
      </c>
      <c r="U236" s="1">
        <v>46078.360798611109</v>
      </c>
      <c r="V236" t="s">
        <v>54</v>
      </c>
      <c r="W236" t="s">
        <v>55</v>
      </c>
      <c r="X236" t="s">
        <v>82</v>
      </c>
      <c r="Y236" t="e">
        <f>- A hard power reset was performed and the laptop restarted successfully. - the issue has been resolved, and the device is now functioning normally.</f>
        <v>#NAME?</v>
      </c>
      <c r="Z236" t="s">
        <v>58</v>
      </c>
      <c r="AA236" t="s">
        <v>54</v>
      </c>
      <c r="AB236" t="s">
        <v>1503</v>
      </c>
      <c r="AC236" t="s">
        <v>1504</v>
      </c>
      <c r="AD236" t="s">
        <v>79</v>
      </c>
      <c r="AE236" t="s">
        <v>955</v>
      </c>
      <c r="AF236" t="s">
        <v>1500</v>
      </c>
      <c r="AG236" t="s">
        <v>58</v>
      </c>
      <c r="AH236" t="s">
        <v>1505</v>
      </c>
      <c r="AK236">
        <v>1</v>
      </c>
      <c r="AL236" t="s">
        <v>61</v>
      </c>
      <c r="AM236" t="s">
        <v>1506</v>
      </c>
      <c r="AN236" t="s">
        <v>1507</v>
      </c>
    </row>
    <row r="237" spans="1:40" x14ac:dyDescent="0.35">
      <c r="A237" t="s">
        <v>37</v>
      </c>
      <c r="B237" t="s">
        <v>1508</v>
      </c>
      <c r="C237" t="s">
        <v>39</v>
      </c>
      <c r="D237" t="s">
        <v>1481</v>
      </c>
      <c r="E237" t="s">
        <v>1316</v>
      </c>
      <c r="F237" s="1">
        <v>46078.270960648151</v>
      </c>
      <c r="G237" t="s">
        <v>286</v>
      </c>
      <c r="H237" t="s">
        <v>287</v>
      </c>
      <c r="I237" t="s">
        <v>1509</v>
      </c>
      <c r="J237" t="s">
        <v>1483</v>
      </c>
      <c r="K237" t="s">
        <v>1484</v>
      </c>
      <c r="M237" t="s">
        <v>131</v>
      </c>
      <c r="O237" t="s">
        <v>77</v>
      </c>
      <c r="P237" t="s">
        <v>78</v>
      </c>
      <c r="Q237" t="s">
        <v>50</v>
      </c>
      <c r="R237" t="s">
        <v>51</v>
      </c>
      <c r="S237" t="s">
        <v>52</v>
      </c>
      <c r="T237" t="s">
        <v>240</v>
      </c>
      <c r="U237" s="1">
        <v>46078.541539351849</v>
      </c>
      <c r="V237" t="s">
        <v>54</v>
      </c>
      <c r="W237" t="s">
        <v>55</v>
      </c>
      <c r="X237" t="s">
        <v>134</v>
      </c>
      <c r="Y237" t="s">
        <v>1485</v>
      </c>
      <c r="Z237" t="s">
        <v>58</v>
      </c>
      <c r="AA237" t="s">
        <v>54</v>
      </c>
      <c r="AB237" t="s">
        <v>1486</v>
      </c>
      <c r="AC237" t="s">
        <v>85</v>
      </c>
      <c r="AD237" t="s">
        <v>52</v>
      </c>
      <c r="AE237" t="s">
        <v>243</v>
      </c>
      <c r="AF237" t="s">
        <v>409</v>
      </c>
      <c r="AG237" t="s">
        <v>58</v>
      </c>
      <c r="AK237">
        <v>1</v>
      </c>
      <c r="AL237" t="s">
        <v>61</v>
      </c>
      <c r="AM237" t="s">
        <v>1487</v>
      </c>
      <c r="AN237" t="s">
        <v>1488</v>
      </c>
    </row>
    <row r="238" spans="1:40" x14ac:dyDescent="0.35">
      <c r="A238" t="s">
        <v>37</v>
      </c>
      <c r="B238" t="s">
        <v>1510</v>
      </c>
      <c r="C238" t="s">
        <v>39</v>
      </c>
      <c r="D238" t="s">
        <v>40</v>
      </c>
      <c r="E238" t="s">
        <v>41</v>
      </c>
      <c r="F238" s="1">
        <v>46078.265405092592</v>
      </c>
      <c r="G238" t="s">
        <v>42</v>
      </c>
      <c r="H238" t="s">
        <v>43</v>
      </c>
      <c r="I238" t="s">
        <v>1511</v>
      </c>
      <c r="J238" t="s">
        <v>45</v>
      </c>
      <c r="K238" t="s">
        <v>46</v>
      </c>
      <c r="M238" t="s">
        <v>47</v>
      </c>
      <c r="O238" t="s">
        <v>48</v>
      </c>
      <c r="P238" t="s">
        <v>49</v>
      </c>
      <c r="Q238" t="s">
        <v>50</v>
      </c>
      <c r="R238" t="s">
        <v>51</v>
      </c>
      <c r="S238" t="s">
        <v>52</v>
      </c>
      <c r="T238" t="s">
        <v>53</v>
      </c>
      <c r="U238" s="1">
        <v>46078.266134259262</v>
      </c>
      <c r="V238" t="s">
        <v>54</v>
      </c>
      <c r="W238" t="s">
        <v>55</v>
      </c>
      <c r="X238" t="s">
        <v>56</v>
      </c>
      <c r="Y238" t="s">
        <v>57</v>
      </c>
      <c r="Z238" t="s">
        <v>58</v>
      </c>
      <c r="AA238" t="s">
        <v>54</v>
      </c>
      <c r="AB238" t="s">
        <v>59</v>
      </c>
      <c r="AC238" t="s">
        <v>60</v>
      </c>
      <c r="AD238" t="s">
        <v>51</v>
      </c>
      <c r="AE238" t="s">
        <v>52</v>
      </c>
      <c r="AF238" t="s">
        <v>53</v>
      </c>
      <c r="AG238" t="s">
        <v>58</v>
      </c>
      <c r="AK238">
        <v>0</v>
      </c>
      <c r="AL238" t="s">
        <v>61</v>
      </c>
      <c r="AM238" t="s">
        <v>59</v>
      </c>
      <c r="AN238" t="s">
        <v>62</v>
      </c>
    </row>
    <row r="239" spans="1:40" x14ac:dyDescent="0.35">
      <c r="A239" t="s">
        <v>37</v>
      </c>
      <c r="B239" t="s">
        <v>1512</v>
      </c>
      <c r="C239" t="s">
        <v>39</v>
      </c>
      <c r="D239" t="s">
        <v>40</v>
      </c>
      <c r="E239" t="s">
        <v>41</v>
      </c>
      <c r="F239" s="1">
        <v>46078.265462962961</v>
      </c>
      <c r="G239" t="s">
        <v>42</v>
      </c>
      <c r="H239" t="s">
        <v>43</v>
      </c>
      <c r="I239" t="s">
        <v>1513</v>
      </c>
      <c r="J239" t="s">
        <v>45</v>
      </c>
      <c r="K239" t="s">
        <v>46</v>
      </c>
      <c r="M239" t="s">
        <v>47</v>
      </c>
      <c r="O239" t="s">
        <v>48</v>
      </c>
      <c r="P239" t="s">
        <v>49</v>
      </c>
      <c r="Q239" t="s">
        <v>50</v>
      </c>
      <c r="R239" t="s">
        <v>51</v>
      </c>
      <c r="S239" t="s">
        <v>52</v>
      </c>
      <c r="T239" t="s">
        <v>53</v>
      </c>
      <c r="U239" s="1">
        <v>46078.266157407408</v>
      </c>
      <c r="V239" t="s">
        <v>54</v>
      </c>
      <c r="W239" t="s">
        <v>55</v>
      </c>
      <c r="X239" t="s">
        <v>56</v>
      </c>
      <c r="Y239" t="s">
        <v>57</v>
      </c>
      <c r="Z239" t="s">
        <v>58</v>
      </c>
      <c r="AA239" t="s">
        <v>54</v>
      </c>
      <c r="AB239" t="s">
        <v>59</v>
      </c>
      <c r="AC239" t="s">
        <v>60</v>
      </c>
      <c r="AD239" t="s">
        <v>51</v>
      </c>
      <c r="AE239" t="s">
        <v>52</v>
      </c>
      <c r="AF239" t="s">
        <v>53</v>
      </c>
      <c r="AG239" t="s">
        <v>58</v>
      </c>
      <c r="AK239">
        <v>0</v>
      </c>
      <c r="AL239" t="s">
        <v>61</v>
      </c>
      <c r="AM239" t="s">
        <v>59</v>
      </c>
      <c r="AN239" t="s">
        <v>62</v>
      </c>
    </row>
    <row r="240" spans="1:40" x14ac:dyDescent="0.35">
      <c r="A240" t="s">
        <v>37</v>
      </c>
      <c r="B240" t="s">
        <v>1514</v>
      </c>
      <c r="C240" t="s">
        <v>39</v>
      </c>
      <c r="D240" t="s">
        <v>1515</v>
      </c>
      <c r="E240" t="s">
        <v>1516</v>
      </c>
      <c r="F240" s="1">
        <v>46078.264421296299</v>
      </c>
      <c r="G240" t="s">
        <v>826</v>
      </c>
      <c r="H240" t="s">
        <v>356</v>
      </c>
      <c r="I240" t="s">
        <v>1517</v>
      </c>
      <c r="J240" t="s">
        <v>1518</v>
      </c>
      <c r="K240" t="s">
        <v>75</v>
      </c>
      <c r="M240" t="s">
        <v>76</v>
      </c>
      <c r="O240" t="s">
        <v>77</v>
      </c>
      <c r="P240" t="s">
        <v>78</v>
      </c>
      <c r="Q240" t="s">
        <v>50</v>
      </c>
      <c r="R240" t="s">
        <v>79</v>
      </c>
      <c r="S240" t="s">
        <v>967</v>
      </c>
      <c r="T240" t="s">
        <v>1072</v>
      </c>
      <c r="U240" s="1">
        <v>46078.97383101852</v>
      </c>
      <c r="V240" t="s">
        <v>54</v>
      </c>
      <c r="W240" t="s">
        <v>55</v>
      </c>
      <c r="X240" t="s">
        <v>82</v>
      </c>
      <c r="Y240" t="s">
        <v>1519</v>
      </c>
      <c r="Z240" t="s">
        <v>58</v>
      </c>
      <c r="AA240" t="s">
        <v>54</v>
      </c>
      <c r="AB240" t="s">
        <v>1503</v>
      </c>
      <c r="AC240" t="s">
        <v>85</v>
      </c>
      <c r="AD240" t="s">
        <v>79</v>
      </c>
      <c r="AE240" t="s">
        <v>967</v>
      </c>
      <c r="AF240" t="s">
        <v>1072</v>
      </c>
      <c r="AG240" t="s">
        <v>58</v>
      </c>
      <c r="AH240" t="s">
        <v>1520</v>
      </c>
      <c r="AK240">
        <v>2</v>
      </c>
      <c r="AL240" t="s">
        <v>61</v>
      </c>
      <c r="AM240" t="s">
        <v>1521</v>
      </c>
      <c r="AN240" t="s">
        <v>1522</v>
      </c>
    </row>
    <row r="241" spans="1:40" x14ac:dyDescent="0.35">
      <c r="A241" t="s">
        <v>37</v>
      </c>
      <c r="B241" t="s">
        <v>1523</v>
      </c>
      <c r="C241" t="s">
        <v>39</v>
      </c>
      <c r="D241" t="s">
        <v>1524</v>
      </c>
      <c r="E241" t="s">
        <v>1525</v>
      </c>
      <c r="F241" s="1">
        <v>46078.263055555559</v>
      </c>
      <c r="G241" t="s">
        <v>250</v>
      </c>
      <c r="H241" t="s">
        <v>106</v>
      </c>
      <c r="I241" t="s">
        <v>171</v>
      </c>
      <c r="J241" t="s">
        <v>1518</v>
      </c>
      <c r="K241" t="s">
        <v>75</v>
      </c>
      <c r="M241" t="s">
        <v>76</v>
      </c>
      <c r="O241" t="s">
        <v>77</v>
      </c>
      <c r="P241" t="s">
        <v>78</v>
      </c>
      <c r="Q241" t="s">
        <v>50</v>
      </c>
      <c r="R241" t="s">
        <v>79</v>
      </c>
      <c r="S241" t="s">
        <v>172</v>
      </c>
      <c r="T241" t="s">
        <v>173</v>
      </c>
      <c r="U241" s="1">
        <v>46078.263159722221</v>
      </c>
      <c r="V241" t="s">
        <v>54</v>
      </c>
      <c r="W241" t="s">
        <v>55</v>
      </c>
      <c r="X241" t="s">
        <v>82</v>
      </c>
      <c r="Y241" t="s">
        <v>1526</v>
      </c>
      <c r="Z241" t="s">
        <v>58</v>
      </c>
      <c r="AA241" t="s">
        <v>54</v>
      </c>
      <c r="AB241" t="s">
        <v>1503</v>
      </c>
      <c r="AC241" t="s">
        <v>85</v>
      </c>
      <c r="AD241" t="s">
        <v>79</v>
      </c>
      <c r="AE241" t="s">
        <v>172</v>
      </c>
      <c r="AF241" t="s">
        <v>173</v>
      </c>
      <c r="AG241" t="s">
        <v>58</v>
      </c>
      <c r="AH241" t="s">
        <v>1527</v>
      </c>
      <c r="AK241">
        <v>0</v>
      </c>
      <c r="AL241" t="s">
        <v>61</v>
      </c>
      <c r="AM241" t="s">
        <v>1528</v>
      </c>
      <c r="AN241" t="s">
        <v>1529</v>
      </c>
    </row>
    <row r="242" spans="1:40" x14ac:dyDescent="0.35">
      <c r="A242" t="s">
        <v>37</v>
      </c>
      <c r="B242" t="s">
        <v>1530</v>
      </c>
      <c r="C242" t="s">
        <v>39</v>
      </c>
      <c r="D242" t="s">
        <v>40</v>
      </c>
      <c r="E242" t="s">
        <v>41</v>
      </c>
      <c r="F242" s="1">
        <v>46078.255196759259</v>
      </c>
      <c r="G242" t="s">
        <v>42</v>
      </c>
      <c r="H242" t="s">
        <v>43</v>
      </c>
      <c r="I242" t="s">
        <v>1531</v>
      </c>
      <c r="J242" t="s">
        <v>45</v>
      </c>
      <c r="K242" t="s">
        <v>46</v>
      </c>
      <c r="M242" t="s">
        <v>47</v>
      </c>
      <c r="O242" t="s">
        <v>48</v>
      </c>
      <c r="P242" t="s">
        <v>49</v>
      </c>
      <c r="Q242" t="s">
        <v>50</v>
      </c>
      <c r="R242" t="s">
        <v>51</v>
      </c>
      <c r="S242" t="s">
        <v>52</v>
      </c>
      <c r="T242" t="s">
        <v>53</v>
      </c>
      <c r="U242" s="1">
        <v>46078.255972222221</v>
      </c>
      <c r="V242" t="s">
        <v>54</v>
      </c>
      <c r="W242" t="s">
        <v>55</v>
      </c>
      <c r="X242" t="s">
        <v>56</v>
      </c>
      <c r="Y242" t="s">
        <v>65</v>
      </c>
      <c r="Z242" t="s">
        <v>58</v>
      </c>
      <c r="AA242" t="s">
        <v>54</v>
      </c>
      <c r="AB242" t="s">
        <v>59</v>
      </c>
      <c r="AC242" t="s">
        <v>60</v>
      </c>
      <c r="AD242" t="s">
        <v>51</v>
      </c>
      <c r="AE242" t="s">
        <v>52</v>
      </c>
      <c r="AF242" t="s">
        <v>53</v>
      </c>
      <c r="AG242" t="s">
        <v>58</v>
      </c>
      <c r="AK242">
        <v>0</v>
      </c>
      <c r="AL242" t="s">
        <v>61</v>
      </c>
      <c r="AM242" t="s">
        <v>59</v>
      </c>
      <c r="AN242" t="s">
        <v>62</v>
      </c>
    </row>
    <row r="243" spans="1:40" x14ac:dyDescent="0.35">
      <c r="A243" t="s">
        <v>37</v>
      </c>
      <c r="B243" t="s">
        <v>1532</v>
      </c>
      <c r="C243" t="s">
        <v>39</v>
      </c>
      <c r="D243" t="s">
        <v>40</v>
      </c>
      <c r="E243" t="s">
        <v>41</v>
      </c>
      <c r="F243" s="1">
        <v>46078.244745370372</v>
      </c>
      <c r="G243" t="s">
        <v>42</v>
      </c>
      <c r="H243" t="s">
        <v>43</v>
      </c>
      <c r="I243" t="s">
        <v>1533</v>
      </c>
      <c r="J243" t="s">
        <v>45</v>
      </c>
      <c r="K243" t="s">
        <v>46</v>
      </c>
      <c r="M243" t="s">
        <v>47</v>
      </c>
      <c r="O243" t="s">
        <v>48</v>
      </c>
      <c r="P243" t="s">
        <v>49</v>
      </c>
      <c r="Q243" t="s">
        <v>50</v>
      </c>
      <c r="R243" t="s">
        <v>51</v>
      </c>
      <c r="S243" t="s">
        <v>52</v>
      </c>
      <c r="T243" t="s">
        <v>53</v>
      </c>
      <c r="U243" s="1">
        <v>46078.245451388888</v>
      </c>
      <c r="V243" t="s">
        <v>54</v>
      </c>
      <c r="W243" t="s">
        <v>55</v>
      </c>
      <c r="X243" t="s">
        <v>56</v>
      </c>
      <c r="Y243" t="s">
        <v>57</v>
      </c>
      <c r="Z243" t="s">
        <v>58</v>
      </c>
      <c r="AA243" t="s">
        <v>54</v>
      </c>
      <c r="AB243" t="s">
        <v>59</v>
      </c>
      <c r="AC243" t="s">
        <v>60</v>
      </c>
      <c r="AD243" t="s">
        <v>51</v>
      </c>
      <c r="AE243" t="s">
        <v>52</v>
      </c>
      <c r="AF243" t="s">
        <v>53</v>
      </c>
      <c r="AG243" t="s">
        <v>58</v>
      </c>
      <c r="AK243">
        <v>0</v>
      </c>
      <c r="AL243" t="s">
        <v>61</v>
      </c>
      <c r="AM243" t="s">
        <v>59</v>
      </c>
      <c r="AN243" t="s">
        <v>62</v>
      </c>
    </row>
    <row r="244" spans="1:40" x14ac:dyDescent="0.35">
      <c r="A244" t="s">
        <v>37</v>
      </c>
      <c r="B244" t="s">
        <v>1534</v>
      </c>
      <c r="C244" t="s">
        <v>39</v>
      </c>
      <c r="D244" t="s">
        <v>40</v>
      </c>
      <c r="E244" t="s">
        <v>41</v>
      </c>
      <c r="F244" s="1">
        <v>46078.223749999997</v>
      </c>
      <c r="G244" t="s">
        <v>42</v>
      </c>
      <c r="H244" t="s">
        <v>43</v>
      </c>
      <c r="I244" t="s">
        <v>1535</v>
      </c>
      <c r="J244" t="s">
        <v>45</v>
      </c>
      <c r="K244" t="s">
        <v>46</v>
      </c>
      <c r="M244" t="s">
        <v>47</v>
      </c>
      <c r="O244" t="s">
        <v>48</v>
      </c>
      <c r="P244" t="s">
        <v>49</v>
      </c>
      <c r="Q244" t="s">
        <v>50</v>
      </c>
      <c r="R244" t="s">
        <v>51</v>
      </c>
      <c r="S244" t="s">
        <v>52</v>
      </c>
      <c r="T244" t="s">
        <v>53</v>
      </c>
      <c r="U244" s="1">
        <v>46078.224537037036</v>
      </c>
      <c r="V244" t="s">
        <v>54</v>
      </c>
      <c r="W244" t="s">
        <v>55</v>
      </c>
      <c r="X244" t="s">
        <v>56</v>
      </c>
      <c r="Y244" t="s">
        <v>57</v>
      </c>
      <c r="Z244" t="s">
        <v>58</v>
      </c>
      <c r="AA244" t="s">
        <v>54</v>
      </c>
      <c r="AB244" t="s">
        <v>59</v>
      </c>
      <c r="AC244" t="s">
        <v>60</v>
      </c>
      <c r="AD244" t="s">
        <v>51</v>
      </c>
      <c r="AE244" t="s">
        <v>52</v>
      </c>
      <c r="AF244" t="s">
        <v>53</v>
      </c>
      <c r="AG244" t="s">
        <v>58</v>
      </c>
      <c r="AK244">
        <v>0</v>
      </c>
      <c r="AL244" t="s">
        <v>61</v>
      </c>
      <c r="AM244" t="s">
        <v>59</v>
      </c>
      <c r="AN244" t="s">
        <v>62</v>
      </c>
    </row>
    <row r="245" spans="1:40" x14ac:dyDescent="0.35">
      <c r="A245" t="s">
        <v>37</v>
      </c>
      <c r="B245" t="s">
        <v>1536</v>
      </c>
      <c r="C245" t="s">
        <v>102</v>
      </c>
      <c r="D245" t="s">
        <v>1537</v>
      </c>
      <c r="E245" t="s">
        <v>1538</v>
      </c>
      <c r="F245" s="1">
        <v>46078.224236111113</v>
      </c>
      <c r="G245" t="s">
        <v>105</v>
      </c>
      <c r="H245" t="s">
        <v>106</v>
      </c>
      <c r="I245" t="s">
        <v>1539</v>
      </c>
      <c r="J245" t="s">
        <v>108</v>
      </c>
      <c r="K245" t="s">
        <v>571</v>
      </c>
      <c r="M245" t="s">
        <v>76</v>
      </c>
      <c r="O245" t="s">
        <v>77</v>
      </c>
      <c r="P245" t="s">
        <v>78</v>
      </c>
      <c r="Q245" t="s">
        <v>50</v>
      </c>
      <c r="R245" t="s">
        <v>111</v>
      </c>
      <c r="S245" t="s">
        <v>51</v>
      </c>
      <c r="T245" t="s">
        <v>112</v>
      </c>
      <c r="U245" s="1">
        <v>46078.229062500002</v>
      </c>
      <c r="V245" t="s">
        <v>54</v>
      </c>
      <c r="W245" t="s">
        <v>55</v>
      </c>
      <c r="X245" t="s">
        <v>113</v>
      </c>
      <c r="Y245" t="s">
        <v>1540</v>
      </c>
      <c r="Z245" t="s">
        <v>58</v>
      </c>
      <c r="AA245" t="s">
        <v>54</v>
      </c>
      <c r="AB245" t="s">
        <v>115</v>
      </c>
      <c r="AC245" t="s">
        <v>85</v>
      </c>
      <c r="AD245" t="s">
        <v>116</v>
      </c>
      <c r="AE245" t="s">
        <v>1541</v>
      </c>
      <c r="AF245" t="s">
        <v>144</v>
      </c>
      <c r="AG245" t="s">
        <v>58</v>
      </c>
      <c r="AH245">
        <v>14840</v>
      </c>
      <c r="AK245">
        <v>1</v>
      </c>
      <c r="AL245" t="s">
        <v>61</v>
      </c>
      <c r="AM245" t="s">
        <v>1542</v>
      </c>
      <c r="AN245" t="s">
        <v>1543</v>
      </c>
    </row>
    <row r="246" spans="1:40" x14ac:dyDescent="0.35">
      <c r="A246" t="s">
        <v>37</v>
      </c>
      <c r="B246" t="s">
        <v>1544</v>
      </c>
      <c r="C246" t="s">
        <v>39</v>
      </c>
      <c r="D246" t="s">
        <v>40</v>
      </c>
      <c r="E246" t="s">
        <v>41</v>
      </c>
      <c r="F246" s="1">
        <v>46078.213506944441</v>
      </c>
      <c r="G246" t="s">
        <v>42</v>
      </c>
      <c r="H246" t="s">
        <v>43</v>
      </c>
      <c r="I246" t="s">
        <v>1545</v>
      </c>
      <c r="J246" t="s">
        <v>45</v>
      </c>
      <c r="K246" t="s">
        <v>46</v>
      </c>
      <c r="M246" t="s">
        <v>47</v>
      </c>
      <c r="O246" t="s">
        <v>48</v>
      </c>
      <c r="P246" t="s">
        <v>49</v>
      </c>
      <c r="Q246" t="s">
        <v>50</v>
      </c>
      <c r="R246" t="s">
        <v>51</v>
      </c>
      <c r="S246" t="s">
        <v>52</v>
      </c>
      <c r="T246" t="s">
        <v>53</v>
      </c>
      <c r="U246" s="1">
        <v>46078.214826388888</v>
      </c>
      <c r="V246" t="s">
        <v>54</v>
      </c>
      <c r="W246" t="s">
        <v>55</v>
      </c>
      <c r="X246" t="s">
        <v>56</v>
      </c>
      <c r="Y246" t="s">
        <v>65</v>
      </c>
      <c r="Z246" t="s">
        <v>58</v>
      </c>
      <c r="AA246" t="s">
        <v>54</v>
      </c>
      <c r="AB246" t="s">
        <v>59</v>
      </c>
      <c r="AC246" t="s">
        <v>60</v>
      </c>
      <c r="AD246" t="s">
        <v>51</v>
      </c>
      <c r="AE246" t="s">
        <v>52</v>
      </c>
      <c r="AF246" t="s">
        <v>53</v>
      </c>
      <c r="AG246" t="s">
        <v>58</v>
      </c>
      <c r="AK246">
        <v>0</v>
      </c>
      <c r="AL246" t="s">
        <v>61</v>
      </c>
      <c r="AM246" t="s">
        <v>59</v>
      </c>
      <c r="AN246" t="s">
        <v>62</v>
      </c>
    </row>
    <row r="247" spans="1:40" x14ac:dyDescent="0.35">
      <c r="A247" t="s">
        <v>37</v>
      </c>
      <c r="B247" t="s">
        <v>1546</v>
      </c>
      <c r="C247" t="s">
        <v>39</v>
      </c>
      <c r="D247" t="s">
        <v>1547</v>
      </c>
      <c r="E247" t="s">
        <v>1548</v>
      </c>
      <c r="F247" s="1">
        <v>46078.19703703704</v>
      </c>
      <c r="G247" t="s">
        <v>261</v>
      </c>
      <c r="H247" t="s">
        <v>72</v>
      </c>
      <c r="I247" t="s">
        <v>1549</v>
      </c>
      <c r="J247" t="s">
        <v>1518</v>
      </c>
      <c r="K247" t="s">
        <v>75</v>
      </c>
      <c r="M247" t="s">
        <v>76</v>
      </c>
      <c r="O247" t="s">
        <v>77</v>
      </c>
      <c r="P247" t="s">
        <v>78</v>
      </c>
      <c r="Q247" t="s">
        <v>50</v>
      </c>
      <c r="R247" t="s">
        <v>79</v>
      </c>
      <c r="S247" t="s">
        <v>1078</v>
      </c>
      <c r="T247" t="s">
        <v>1078</v>
      </c>
      <c r="U247" s="1">
        <v>46078.19736111111</v>
      </c>
      <c r="V247" t="s">
        <v>54</v>
      </c>
      <c r="W247" t="s">
        <v>55</v>
      </c>
      <c r="X247" t="s">
        <v>82</v>
      </c>
      <c r="Y247" t="s">
        <v>1549</v>
      </c>
      <c r="Z247" t="s">
        <v>58</v>
      </c>
      <c r="AA247" t="s">
        <v>54</v>
      </c>
      <c r="AB247" t="s">
        <v>1503</v>
      </c>
      <c r="AC247" t="s">
        <v>85</v>
      </c>
      <c r="AD247" t="s">
        <v>79</v>
      </c>
      <c r="AE247" t="s">
        <v>1078</v>
      </c>
      <c r="AF247" t="s">
        <v>1078</v>
      </c>
      <c r="AG247" t="s">
        <v>58</v>
      </c>
      <c r="AH247" t="s">
        <v>1550</v>
      </c>
      <c r="AK247">
        <v>0</v>
      </c>
      <c r="AL247" t="s">
        <v>61</v>
      </c>
      <c r="AM247" t="s">
        <v>1551</v>
      </c>
      <c r="AN247" t="s">
        <v>1552</v>
      </c>
    </row>
    <row r="248" spans="1:40" x14ac:dyDescent="0.35">
      <c r="A248" t="s">
        <v>37</v>
      </c>
      <c r="B248" t="s">
        <v>1553</v>
      </c>
      <c r="C248" t="s">
        <v>39</v>
      </c>
      <c r="D248" t="s">
        <v>583</v>
      </c>
      <c r="E248" t="s">
        <v>584</v>
      </c>
      <c r="F248" s="1">
        <v>46078.178680555553</v>
      </c>
      <c r="G248" t="s">
        <v>585</v>
      </c>
      <c r="H248" t="s">
        <v>356</v>
      </c>
      <c r="I248" t="s">
        <v>1554</v>
      </c>
      <c r="J248" t="s">
        <v>1555</v>
      </c>
      <c r="K248" t="s">
        <v>951</v>
      </c>
      <c r="M248" t="s">
        <v>76</v>
      </c>
      <c r="O248" t="s">
        <v>77</v>
      </c>
      <c r="P248" t="s">
        <v>78</v>
      </c>
      <c r="Q248" t="s">
        <v>50</v>
      </c>
      <c r="R248" t="s">
        <v>79</v>
      </c>
      <c r="S248" t="s">
        <v>1556</v>
      </c>
      <c r="T248" t="s">
        <v>1557</v>
      </c>
      <c r="U248" s="1">
        <v>46078.351886574077</v>
      </c>
      <c r="V248" t="s">
        <v>54</v>
      </c>
      <c r="W248" t="s">
        <v>55</v>
      </c>
      <c r="X248" t="s">
        <v>134</v>
      </c>
      <c r="Y248" t="e">
        <f>- Cleaned / deleted Quarantined items. - deleted temporary files, temporary internet files and cookies. - Ran SEP Active scan. - Completed successfully</f>
        <v>#NAME?</v>
      </c>
      <c r="Z248" t="s">
        <v>58</v>
      </c>
      <c r="AA248" t="s">
        <v>54</v>
      </c>
      <c r="AB248" t="s">
        <v>1503</v>
      </c>
      <c r="AC248" t="s">
        <v>85</v>
      </c>
      <c r="AD248" t="s">
        <v>79</v>
      </c>
      <c r="AE248" t="s">
        <v>1556</v>
      </c>
      <c r="AF248" t="s">
        <v>1557</v>
      </c>
      <c r="AG248" t="s">
        <v>58</v>
      </c>
      <c r="AK248">
        <v>1</v>
      </c>
      <c r="AL248" t="s">
        <v>61</v>
      </c>
      <c r="AM248" t="s">
        <v>593</v>
      </c>
      <c r="AN248" t="s">
        <v>594</v>
      </c>
    </row>
    <row r="249" spans="1:40" x14ac:dyDescent="0.35">
      <c r="A249" t="s">
        <v>37</v>
      </c>
      <c r="B249" t="s">
        <v>1558</v>
      </c>
      <c r="C249" t="s">
        <v>39</v>
      </c>
      <c r="D249" t="s">
        <v>583</v>
      </c>
      <c r="E249" t="s">
        <v>584</v>
      </c>
      <c r="F249" s="1">
        <v>46078.178657407407</v>
      </c>
      <c r="G249" t="s">
        <v>585</v>
      </c>
      <c r="H249" t="s">
        <v>356</v>
      </c>
      <c r="I249" t="s">
        <v>1554</v>
      </c>
      <c r="J249" t="s">
        <v>950</v>
      </c>
      <c r="K249" t="s">
        <v>951</v>
      </c>
      <c r="M249" t="s">
        <v>76</v>
      </c>
      <c r="O249" t="s">
        <v>77</v>
      </c>
      <c r="P249" t="s">
        <v>78</v>
      </c>
      <c r="Q249" t="s">
        <v>50</v>
      </c>
      <c r="R249" t="s">
        <v>79</v>
      </c>
      <c r="S249" t="s">
        <v>1556</v>
      </c>
      <c r="T249" t="s">
        <v>1557</v>
      </c>
      <c r="U249" s="1">
        <v>46078.548009259262</v>
      </c>
      <c r="V249" t="s">
        <v>54</v>
      </c>
      <c r="W249" t="s">
        <v>55</v>
      </c>
      <c r="X249" t="s">
        <v>134</v>
      </c>
      <c r="Y249" t="s">
        <v>1559</v>
      </c>
      <c r="Z249" t="s">
        <v>58</v>
      </c>
      <c r="AA249" t="s">
        <v>54</v>
      </c>
      <c r="AB249" t="s">
        <v>1503</v>
      </c>
      <c r="AC249" t="s">
        <v>85</v>
      </c>
      <c r="AD249" t="s">
        <v>79</v>
      </c>
      <c r="AE249" t="s">
        <v>1560</v>
      </c>
      <c r="AF249" t="s">
        <v>1561</v>
      </c>
      <c r="AG249" t="s">
        <v>58</v>
      </c>
      <c r="AK249">
        <v>1</v>
      </c>
      <c r="AL249" t="s">
        <v>61</v>
      </c>
      <c r="AM249" t="s">
        <v>593</v>
      </c>
      <c r="AN249" t="s">
        <v>594</v>
      </c>
    </row>
    <row r="250" spans="1:40" x14ac:dyDescent="0.35">
      <c r="A250" t="s">
        <v>37</v>
      </c>
      <c r="B250" t="s">
        <v>1562</v>
      </c>
      <c r="C250" t="s">
        <v>39</v>
      </c>
      <c r="D250" t="s">
        <v>40</v>
      </c>
      <c r="E250" t="s">
        <v>41</v>
      </c>
      <c r="F250" s="1">
        <v>46078.171851851854</v>
      </c>
      <c r="G250" t="s">
        <v>42</v>
      </c>
      <c r="H250" t="s">
        <v>43</v>
      </c>
      <c r="I250" t="s">
        <v>1563</v>
      </c>
      <c r="J250" t="s">
        <v>45</v>
      </c>
      <c r="K250" t="s">
        <v>46</v>
      </c>
      <c r="M250" t="s">
        <v>47</v>
      </c>
      <c r="O250" t="s">
        <v>48</v>
      </c>
      <c r="P250" t="s">
        <v>49</v>
      </c>
      <c r="Q250" t="s">
        <v>50</v>
      </c>
      <c r="R250" t="s">
        <v>51</v>
      </c>
      <c r="S250" t="s">
        <v>52</v>
      </c>
      <c r="T250" t="s">
        <v>53</v>
      </c>
      <c r="U250" s="1">
        <v>46078.173055555555</v>
      </c>
      <c r="V250" t="s">
        <v>54</v>
      </c>
      <c r="W250" t="s">
        <v>55</v>
      </c>
      <c r="X250" t="s">
        <v>56</v>
      </c>
      <c r="Y250" t="s">
        <v>65</v>
      </c>
      <c r="Z250" t="s">
        <v>58</v>
      </c>
      <c r="AA250" t="s">
        <v>54</v>
      </c>
      <c r="AB250" t="s">
        <v>59</v>
      </c>
      <c r="AC250" t="s">
        <v>60</v>
      </c>
      <c r="AD250" t="s">
        <v>51</v>
      </c>
      <c r="AE250" t="s">
        <v>52</v>
      </c>
      <c r="AF250" t="s">
        <v>53</v>
      </c>
      <c r="AG250" t="s">
        <v>58</v>
      </c>
      <c r="AK250">
        <v>0</v>
      </c>
      <c r="AL250" t="s">
        <v>61</v>
      </c>
      <c r="AM250" t="s">
        <v>59</v>
      </c>
      <c r="AN250" t="s">
        <v>62</v>
      </c>
    </row>
    <row r="251" spans="1:40" x14ac:dyDescent="0.35">
      <c r="A251" t="s">
        <v>37</v>
      </c>
      <c r="B251" t="s">
        <v>1564</v>
      </c>
      <c r="C251" t="s">
        <v>39</v>
      </c>
      <c r="D251" t="s">
        <v>40</v>
      </c>
      <c r="E251" t="s">
        <v>41</v>
      </c>
      <c r="F251" s="1">
        <v>46078.130162037036</v>
      </c>
      <c r="G251" t="s">
        <v>42</v>
      </c>
      <c r="H251" t="s">
        <v>43</v>
      </c>
      <c r="I251" t="s">
        <v>1565</v>
      </c>
      <c r="J251" t="s">
        <v>45</v>
      </c>
      <c r="K251" t="s">
        <v>46</v>
      </c>
      <c r="M251" t="s">
        <v>47</v>
      </c>
      <c r="O251" t="s">
        <v>48</v>
      </c>
      <c r="P251" t="s">
        <v>49</v>
      </c>
      <c r="Q251" t="s">
        <v>50</v>
      </c>
      <c r="R251" t="s">
        <v>51</v>
      </c>
      <c r="S251" t="s">
        <v>52</v>
      </c>
      <c r="T251" t="s">
        <v>53</v>
      </c>
      <c r="U251" s="1">
        <v>46078.131145833337</v>
      </c>
      <c r="V251" t="s">
        <v>54</v>
      </c>
      <c r="W251" t="s">
        <v>55</v>
      </c>
      <c r="X251" t="s">
        <v>56</v>
      </c>
      <c r="Y251" t="s">
        <v>65</v>
      </c>
      <c r="Z251" t="s">
        <v>58</v>
      </c>
      <c r="AA251" t="s">
        <v>54</v>
      </c>
      <c r="AB251" t="s">
        <v>59</v>
      </c>
      <c r="AC251" t="s">
        <v>60</v>
      </c>
      <c r="AD251" t="s">
        <v>51</v>
      </c>
      <c r="AE251" t="s">
        <v>52</v>
      </c>
      <c r="AF251" t="s">
        <v>53</v>
      </c>
      <c r="AG251" t="s">
        <v>58</v>
      </c>
      <c r="AK251">
        <v>0</v>
      </c>
      <c r="AL251" t="s">
        <v>61</v>
      </c>
      <c r="AM251" t="s">
        <v>59</v>
      </c>
      <c r="AN251" t="s">
        <v>62</v>
      </c>
    </row>
    <row r="252" spans="1:40" x14ac:dyDescent="0.35">
      <c r="A252" t="s">
        <v>37</v>
      </c>
      <c r="B252" t="s">
        <v>1566</v>
      </c>
      <c r="C252" t="s">
        <v>102</v>
      </c>
      <c r="D252" t="s">
        <v>1537</v>
      </c>
      <c r="E252" t="s">
        <v>1538</v>
      </c>
      <c r="F252" s="1">
        <v>46078.108865740738</v>
      </c>
      <c r="G252" t="s">
        <v>105</v>
      </c>
      <c r="H252" t="s">
        <v>106</v>
      </c>
      <c r="I252" t="s">
        <v>1567</v>
      </c>
      <c r="J252" t="s">
        <v>108</v>
      </c>
      <c r="K252" t="s">
        <v>571</v>
      </c>
      <c r="M252" t="s">
        <v>76</v>
      </c>
      <c r="O252" t="s">
        <v>77</v>
      </c>
      <c r="P252" t="s">
        <v>78</v>
      </c>
      <c r="Q252" t="s">
        <v>50</v>
      </c>
      <c r="R252" t="s">
        <v>111</v>
      </c>
      <c r="S252" t="s">
        <v>51</v>
      </c>
      <c r="T252" t="s">
        <v>112</v>
      </c>
      <c r="U252" s="1">
        <v>46078.135104166664</v>
      </c>
      <c r="V252" t="s">
        <v>54</v>
      </c>
      <c r="W252" t="s">
        <v>55</v>
      </c>
      <c r="X252" t="s">
        <v>113</v>
      </c>
      <c r="Y252" t="s">
        <v>1568</v>
      </c>
      <c r="Z252" t="s">
        <v>58</v>
      </c>
      <c r="AA252" t="s">
        <v>54</v>
      </c>
      <c r="AB252" t="s">
        <v>115</v>
      </c>
      <c r="AC252" t="s">
        <v>85</v>
      </c>
      <c r="AD252" t="s">
        <v>116</v>
      </c>
      <c r="AE252" t="s">
        <v>1541</v>
      </c>
      <c r="AF252" t="s">
        <v>1569</v>
      </c>
      <c r="AG252" t="s">
        <v>58</v>
      </c>
      <c r="AH252">
        <v>14840</v>
      </c>
      <c r="AK252">
        <v>1</v>
      </c>
      <c r="AL252" t="s">
        <v>61</v>
      </c>
      <c r="AM252" t="s">
        <v>1542</v>
      </c>
      <c r="AN252" t="s">
        <v>1543</v>
      </c>
    </row>
    <row r="253" spans="1:40" x14ac:dyDescent="0.35">
      <c r="A253" t="s">
        <v>37</v>
      </c>
      <c r="B253" t="s">
        <v>1570</v>
      </c>
      <c r="C253" t="s">
        <v>102</v>
      </c>
      <c r="D253" t="s">
        <v>1537</v>
      </c>
      <c r="E253" t="s">
        <v>1538</v>
      </c>
      <c r="F253" s="1">
        <v>46078.108506944445</v>
      </c>
      <c r="G253" t="s">
        <v>105</v>
      </c>
      <c r="H253" t="s">
        <v>106</v>
      </c>
      <c r="I253" t="s">
        <v>1571</v>
      </c>
      <c r="J253" t="s">
        <v>108</v>
      </c>
      <c r="K253" t="s">
        <v>571</v>
      </c>
      <c r="M253" t="s">
        <v>76</v>
      </c>
      <c r="O253" t="s">
        <v>77</v>
      </c>
      <c r="P253" t="s">
        <v>78</v>
      </c>
      <c r="Q253" t="s">
        <v>50</v>
      </c>
      <c r="R253" t="s">
        <v>111</v>
      </c>
      <c r="S253" t="s">
        <v>51</v>
      </c>
      <c r="T253" t="s">
        <v>112</v>
      </c>
      <c r="U253" s="1">
        <v>46078.128171296295</v>
      </c>
      <c r="V253" t="s">
        <v>54</v>
      </c>
      <c r="W253" t="s">
        <v>55</v>
      </c>
      <c r="X253" t="s">
        <v>113</v>
      </c>
      <c r="Y253" t="s">
        <v>1572</v>
      </c>
      <c r="Z253" t="s">
        <v>58</v>
      </c>
      <c r="AA253" t="s">
        <v>54</v>
      </c>
      <c r="AB253" t="s">
        <v>115</v>
      </c>
      <c r="AC253" t="s">
        <v>85</v>
      </c>
      <c r="AD253" t="s">
        <v>116</v>
      </c>
      <c r="AE253" t="s">
        <v>1541</v>
      </c>
      <c r="AF253" t="s">
        <v>144</v>
      </c>
      <c r="AG253" t="s">
        <v>58</v>
      </c>
      <c r="AH253">
        <v>14840</v>
      </c>
      <c r="AK253">
        <v>1</v>
      </c>
      <c r="AL253" t="s">
        <v>61</v>
      </c>
      <c r="AM253" t="s">
        <v>1542</v>
      </c>
      <c r="AN253" t="s">
        <v>1543</v>
      </c>
    </row>
    <row r="254" spans="1:40" x14ac:dyDescent="0.35">
      <c r="A254" t="s">
        <v>37</v>
      </c>
      <c r="B254" t="s">
        <v>1573</v>
      </c>
      <c r="C254" t="s">
        <v>102</v>
      </c>
      <c r="D254" t="s">
        <v>1537</v>
      </c>
      <c r="E254" t="s">
        <v>1538</v>
      </c>
      <c r="F254" s="1">
        <v>46078.108032407406</v>
      </c>
      <c r="G254" t="s">
        <v>105</v>
      </c>
      <c r="H254" t="s">
        <v>106</v>
      </c>
      <c r="I254" t="s">
        <v>1574</v>
      </c>
      <c r="J254" t="s">
        <v>108</v>
      </c>
      <c r="K254" t="s">
        <v>571</v>
      </c>
      <c r="M254" t="s">
        <v>76</v>
      </c>
      <c r="O254" t="s">
        <v>77</v>
      </c>
      <c r="P254" t="s">
        <v>78</v>
      </c>
      <c r="Q254" t="s">
        <v>50</v>
      </c>
      <c r="R254" t="s">
        <v>111</v>
      </c>
      <c r="S254" t="s">
        <v>51</v>
      </c>
      <c r="T254" t="s">
        <v>112</v>
      </c>
      <c r="U254" s="1">
        <v>46078.128483796296</v>
      </c>
      <c r="V254" t="s">
        <v>54</v>
      </c>
      <c r="W254" t="s">
        <v>55</v>
      </c>
      <c r="X254" t="s">
        <v>113</v>
      </c>
      <c r="Y254" t="s">
        <v>1572</v>
      </c>
      <c r="Z254" t="s">
        <v>58</v>
      </c>
      <c r="AA254" t="s">
        <v>54</v>
      </c>
      <c r="AB254" t="s">
        <v>115</v>
      </c>
      <c r="AC254" t="s">
        <v>85</v>
      </c>
      <c r="AD254" t="s">
        <v>116</v>
      </c>
      <c r="AE254" t="s">
        <v>1541</v>
      </c>
      <c r="AF254" t="s">
        <v>144</v>
      </c>
      <c r="AG254" t="s">
        <v>58</v>
      </c>
      <c r="AH254">
        <v>14840</v>
      </c>
      <c r="AK254">
        <v>1</v>
      </c>
      <c r="AL254" t="s">
        <v>61</v>
      </c>
      <c r="AM254" t="s">
        <v>1542</v>
      </c>
      <c r="AN254" t="s">
        <v>1543</v>
      </c>
    </row>
    <row r="255" spans="1:40" x14ac:dyDescent="0.35">
      <c r="A255" t="s">
        <v>37</v>
      </c>
      <c r="B255" t="s">
        <v>1575</v>
      </c>
      <c r="C255" t="s">
        <v>102</v>
      </c>
      <c r="D255" t="s">
        <v>1537</v>
      </c>
      <c r="E255" t="s">
        <v>1538</v>
      </c>
      <c r="F255" s="1">
        <v>46078.100474537037</v>
      </c>
      <c r="G255" t="s">
        <v>105</v>
      </c>
      <c r="H255" t="s">
        <v>106</v>
      </c>
      <c r="I255" t="s">
        <v>1576</v>
      </c>
      <c r="J255" t="s">
        <v>108</v>
      </c>
      <c r="K255" t="s">
        <v>571</v>
      </c>
      <c r="M255" t="s">
        <v>76</v>
      </c>
      <c r="O255" t="s">
        <v>77</v>
      </c>
      <c r="P255" t="s">
        <v>78</v>
      </c>
      <c r="Q255" t="s">
        <v>50</v>
      </c>
      <c r="R255" t="s">
        <v>111</v>
      </c>
      <c r="S255" t="s">
        <v>51</v>
      </c>
      <c r="T255" t="s">
        <v>112</v>
      </c>
      <c r="U255" s="1">
        <v>46078.457141203704</v>
      </c>
      <c r="V255" t="s">
        <v>54</v>
      </c>
      <c r="W255" t="s">
        <v>55</v>
      </c>
      <c r="X255" t="s">
        <v>113</v>
      </c>
      <c r="Y255" t="s">
        <v>1577</v>
      </c>
      <c r="Z255" t="s">
        <v>58</v>
      </c>
      <c r="AA255" t="s">
        <v>54</v>
      </c>
      <c r="AB255" t="s">
        <v>115</v>
      </c>
      <c r="AC255" t="s">
        <v>85</v>
      </c>
      <c r="AD255" t="s">
        <v>116</v>
      </c>
      <c r="AE255" t="s">
        <v>574</v>
      </c>
      <c r="AF255" t="s">
        <v>664</v>
      </c>
      <c r="AG255" t="s">
        <v>58</v>
      </c>
      <c r="AH255">
        <v>14840</v>
      </c>
      <c r="AK255">
        <v>1</v>
      </c>
      <c r="AL255" t="s">
        <v>61</v>
      </c>
      <c r="AM255" t="s">
        <v>1542</v>
      </c>
      <c r="AN255" t="s">
        <v>1543</v>
      </c>
    </row>
    <row r="256" spans="1:40" x14ac:dyDescent="0.35">
      <c r="A256" t="s">
        <v>37</v>
      </c>
      <c r="B256" t="s">
        <v>1578</v>
      </c>
      <c r="C256" t="s">
        <v>102</v>
      </c>
      <c r="D256" t="s">
        <v>1537</v>
      </c>
      <c r="E256" t="s">
        <v>1538</v>
      </c>
      <c r="F256" s="1">
        <v>46078.100011574075</v>
      </c>
      <c r="G256" t="s">
        <v>105</v>
      </c>
      <c r="H256" t="s">
        <v>106</v>
      </c>
      <c r="I256" t="s">
        <v>1579</v>
      </c>
      <c r="J256" t="s">
        <v>108</v>
      </c>
      <c r="K256" t="s">
        <v>571</v>
      </c>
      <c r="M256" t="s">
        <v>76</v>
      </c>
      <c r="O256" t="s">
        <v>77</v>
      </c>
      <c r="P256" t="s">
        <v>78</v>
      </c>
      <c r="Q256" t="s">
        <v>50</v>
      </c>
      <c r="R256" t="s">
        <v>111</v>
      </c>
      <c r="S256" t="s">
        <v>51</v>
      </c>
      <c r="T256" t="s">
        <v>112</v>
      </c>
      <c r="U256" s="1">
        <v>46078.403703703705</v>
      </c>
      <c r="V256" t="s">
        <v>54</v>
      </c>
      <c r="W256" t="s">
        <v>55</v>
      </c>
      <c r="X256" t="s">
        <v>113</v>
      </c>
      <c r="Y256" t="s">
        <v>1580</v>
      </c>
      <c r="Z256" t="s">
        <v>58</v>
      </c>
      <c r="AA256" t="s">
        <v>54</v>
      </c>
      <c r="AB256" t="s">
        <v>115</v>
      </c>
      <c r="AC256" t="s">
        <v>85</v>
      </c>
      <c r="AD256" t="s">
        <v>116</v>
      </c>
      <c r="AE256" t="s">
        <v>574</v>
      </c>
      <c r="AF256" t="s">
        <v>664</v>
      </c>
      <c r="AG256" t="s">
        <v>58</v>
      </c>
      <c r="AH256">
        <v>14840</v>
      </c>
      <c r="AK256">
        <v>1</v>
      </c>
      <c r="AL256" t="s">
        <v>61</v>
      </c>
      <c r="AM256" t="s">
        <v>1542</v>
      </c>
      <c r="AN256" t="s">
        <v>1543</v>
      </c>
    </row>
    <row r="257" spans="1:40" x14ac:dyDescent="0.35">
      <c r="A257" t="s">
        <v>37</v>
      </c>
      <c r="B257" t="s">
        <v>1581</v>
      </c>
      <c r="C257" t="s">
        <v>102</v>
      </c>
      <c r="D257" t="s">
        <v>1537</v>
      </c>
      <c r="E257" t="s">
        <v>1538</v>
      </c>
      <c r="F257" s="1">
        <v>46078.099340277775</v>
      </c>
      <c r="G257" t="s">
        <v>105</v>
      </c>
      <c r="H257" t="s">
        <v>106</v>
      </c>
      <c r="I257" t="s">
        <v>1582</v>
      </c>
      <c r="J257" t="s">
        <v>108</v>
      </c>
      <c r="K257" t="s">
        <v>109</v>
      </c>
      <c r="M257" t="s">
        <v>76</v>
      </c>
      <c r="O257" t="s">
        <v>77</v>
      </c>
      <c r="P257" t="s">
        <v>78</v>
      </c>
      <c r="Q257" t="s">
        <v>50</v>
      </c>
      <c r="R257" t="s">
        <v>111</v>
      </c>
      <c r="S257" t="s">
        <v>51</v>
      </c>
      <c r="T257" t="s">
        <v>1583</v>
      </c>
      <c r="U257" s="1">
        <v>46078.897685185184</v>
      </c>
      <c r="V257" t="s">
        <v>54</v>
      </c>
      <c r="W257" t="s">
        <v>1584</v>
      </c>
      <c r="X257" t="s">
        <v>113</v>
      </c>
      <c r="Y257" t="s">
        <v>1585</v>
      </c>
      <c r="Z257" t="s">
        <v>58</v>
      </c>
      <c r="AA257" t="s">
        <v>54</v>
      </c>
      <c r="AB257" t="s">
        <v>115</v>
      </c>
      <c r="AC257" t="s">
        <v>85</v>
      </c>
      <c r="AD257" t="s">
        <v>116</v>
      </c>
      <c r="AE257" t="s">
        <v>1586</v>
      </c>
      <c r="AF257" t="s">
        <v>664</v>
      </c>
      <c r="AG257" t="s">
        <v>58</v>
      </c>
      <c r="AH257">
        <v>14840</v>
      </c>
      <c r="AK257">
        <v>1</v>
      </c>
      <c r="AL257" t="s">
        <v>61</v>
      </c>
      <c r="AM257" t="s">
        <v>1542</v>
      </c>
      <c r="AN257" t="s">
        <v>1543</v>
      </c>
    </row>
    <row r="258" spans="1:40" x14ac:dyDescent="0.35">
      <c r="A258" t="s">
        <v>37</v>
      </c>
      <c r="B258" t="s">
        <v>1587</v>
      </c>
      <c r="C258" t="s">
        <v>102</v>
      </c>
      <c r="D258" t="s">
        <v>1537</v>
      </c>
      <c r="E258" t="s">
        <v>1538</v>
      </c>
      <c r="F258" s="1">
        <v>46078.098935185182</v>
      </c>
      <c r="G258" t="s">
        <v>105</v>
      </c>
      <c r="H258" t="s">
        <v>106</v>
      </c>
      <c r="I258" t="s">
        <v>1588</v>
      </c>
      <c r="J258" t="s">
        <v>108</v>
      </c>
      <c r="K258" t="s">
        <v>109</v>
      </c>
      <c r="M258" t="s">
        <v>76</v>
      </c>
      <c r="O258" t="s">
        <v>77</v>
      </c>
      <c r="P258" t="s">
        <v>78</v>
      </c>
      <c r="Q258" t="s">
        <v>50</v>
      </c>
      <c r="R258" t="s">
        <v>111</v>
      </c>
      <c r="S258" t="s">
        <v>51</v>
      </c>
      <c r="T258" t="s">
        <v>1583</v>
      </c>
      <c r="U258" s="1">
        <v>46078.897974537038</v>
      </c>
      <c r="V258" t="s">
        <v>54</v>
      </c>
      <c r="W258" t="s">
        <v>1584</v>
      </c>
      <c r="X258" t="s">
        <v>113</v>
      </c>
      <c r="Y258" t="s">
        <v>1589</v>
      </c>
      <c r="Z258" t="s">
        <v>58</v>
      </c>
      <c r="AA258" t="s">
        <v>54</v>
      </c>
      <c r="AB258" t="s">
        <v>115</v>
      </c>
      <c r="AC258" t="s">
        <v>85</v>
      </c>
      <c r="AD258" t="s">
        <v>116</v>
      </c>
      <c r="AE258" t="s">
        <v>1586</v>
      </c>
      <c r="AF258" t="s">
        <v>664</v>
      </c>
      <c r="AG258" t="s">
        <v>58</v>
      </c>
      <c r="AH258">
        <v>14840</v>
      </c>
      <c r="AK258">
        <v>1</v>
      </c>
      <c r="AL258" t="s">
        <v>61</v>
      </c>
      <c r="AM258" t="s">
        <v>1542</v>
      </c>
      <c r="AN258" t="s">
        <v>1543</v>
      </c>
    </row>
    <row r="259" spans="1:40" x14ac:dyDescent="0.35">
      <c r="A259" t="s">
        <v>37</v>
      </c>
      <c r="B259" t="s">
        <v>1590</v>
      </c>
      <c r="C259" t="s">
        <v>102</v>
      </c>
      <c r="D259" t="s">
        <v>1537</v>
      </c>
      <c r="E259" t="s">
        <v>1538</v>
      </c>
      <c r="F259" s="1">
        <v>46078.098460648151</v>
      </c>
      <c r="G259" t="s">
        <v>105</v>
      </c>
      <c r="H259" t="s">
        <v>106</v>
      </c>
      <c r="I259" t="s">
        <v>1591</v>
      </c>
      <c r="J259" t="s">
        <v>108</v>
      </c>
      <c r="K259" t="s">
        <v>109</v>
      </c>
      <c r="M259" t="s">
        <v>76</v>
      </c>
      <c r="O259" t="s">
        <v>77</v>
      </c>
      <c r="P259" t="s">
        <v>78</v>
      </c>
      <c r="Q259" t="s">
        <v>50</v>
      </c>
      <c r="R259" t="s">
        <v>111</v>
      </c>
      <c r="S259" t="s">
        <v>51</v>
      </c>
      <c r="T259" t="s">
        <v>1583</v>
      </c>
      <c r="U259" s="1">
        <v>46078.97587962963</v>
      </c>
      <c r="V259" t="s">
        <v>54</v>
      </c>
      <c r="W259" t="s">
        <v>1584</v>
      </c>
      <c r="X259" t="s">
        <v>113</v>
      </c>
      <c r="Y259" t="s">
        <v>1592</v>
      </c>
      <c r="Z259" t="s">
        <v>58</v>
      </c>
      <c r="AA259" t="s">
        <v>54</v>
      </c>
      <c r="AB259" t="s">
        <v>115</v>
      </c>
      <c r="AC259" t="s">
        <v>85</v>
      </c>
      <c r="AD259" t="s">
        <v>116</v>
      </c>
      <c r="AE259" t="s">
        <v>1586</v>
      </c>
      <c r="AF259" t="s">
        <v>664</v>
      </c>
      <c r="AG259" t="s">
        <v>58</v>
      </c>
      <c r="AH259">
        <v>14840</v>
      </c>
      <c r="AK259">
        <v>1</v>
      </c>
      <c r="AL259" t="s">
        <v>61</v>
      </c>
      <c r="AM259" t="s">
        <v>1542</v>
      </c>
      <c r="AN259" t="s">
        <v>1543</v>
      </c>
    </row>
    <row r="260" spans="1:40" x14ac:dyDescent="0.35">
      <c r="A260" t="s">
        <v>37</v>
      </c>
      <c r="B260" t="s">
        <v>1593</v>
      </c>
      <c r="C260" t="s">
        <v>102</v>
      </c>
      <c r="D260" t="s">
        <v>1537</v>
      </c>
      <c r="E260" t="s">
        <v>1538</v>
      </c>
      <c r="F260" s="1">
        <v>46078.098067129627</v>
      </c>
      <c r="G260" t="s">
        <v>105</v>
      </c>
      <c r="H260" t="s">
        <v>106</v>
      </c>
      <c r="I260" t="s">
        <v>1594</v>
      </c>
      <c r="J260" t="s">
        <v>108</v>
      </c>
      <c r="K260" t="s">
        <v>109</v>
      </c>
      <c r="M260" t="s">
        <v>76</v>
      </c>
      <c r="O260" t="s">
        <v>77</v>
      </c>
      <c r="P260" t="s">
        <v>78</v>
      </c>
      <c r="Q260" t="s">
        <v>50</v>
      </c>
      <c r="R260" t="s">
        <v>111</v>
      </c>
      <c r="S260" t="s">
        <v>51</v>
      </c>
      <c r="T260" t="s">
        <v>1583</v>
      </c>
      <c r="U260" s="1">
        <v>46078.975578703707</v>
      </c>
      <c r="V260" t="s">
        <v>54</v>
      </c>
      <c r="W260" t="s">
        <v>1584</v>
      </c>
      <c r="X260" t="s">
        <v>113</v>
      </c>
      <c r="Y260" t="s">
        <v>1595</v>
      </c>
      <c r="Z260" t="s">
        <v>58</v>
      </c>
      <c r="AA260" t="s">
        <v>54</v>
      </c>
      <c r="AB260" t="s">
        <v>115</v>
      </c>
      <c r="AC260" t="s">
        <v>85</v>
      </c>
      <c r="AD260" t="s">
        <v>116</v>
      </c>
      <c r="AE260" t="s">
        <v>1586</v>
      </c>
      <c r="AF260" t="s">
        <v>664</v>
      </c>
      <c r="AG260" t="s">
        <v>58</v>
      </c>
      <c r="AH260">
        <v>14840</v>
      </c>
      <c r="AK260">
        <v>1</v>
      </c>
      <c r="AL260" t="s">
        <v>61</v>
      </c>
      <c r="AM260" t="s">
        <v>1542</v>
      </c>
      <c r="AN260" t="s">
        <v>1543</v>
      </c>
    </row>
    <row r="261" spans="1:40" x14ac:dyDescent="0.35">
      <c r="A261" t="s">
        <v>37</v>
      </c>
      <c r="B261" t="s">
        <v>1596</v>
      </c>
      <c r="C261" t="s">
        <v>102</v>
      </c>
      <c r="D261" t="s">
        <v>1537</v>
      </c>
      <c r="E261" t="s">
        <v>1538</v>
      </c>
      <c r="F261" s="1">
        <v>46078.096724537034</v>
      </c>
      <c r="G261" t="s">
        <v>105</v>
      </c>
      <c r="H261" t="s">
        <v>106</v>
      </c>
      <c r="I261" t="s">
        <v>1597</v>
      </c>
      <c r="J261" t="s">
        <v>108</v>
      </c>
      <c r="K261" t="s">
        <v>109</v>
      </c>
      <c r="M261" t="s">
        <v>76</v>
      </c>
      <c r="O261" t="s">
        <v>77</v>
      </c>
      <c r="P261" t="s">
        <v>78</v>
      </c>
      <c r="Q261" t="s">
        <v>50</v>
      </c>
      <c r="R261" t="s">
        <v>111</v>
      </c>
      <c r="S261" t="s">
        <v>51</v>
      </c>
      <c r="T261" t="s">
        <v>1583</v>
      </c>
      <c r="U261" s="1">
        <v>46078.618807870371</v>
      </c>
      <c r="V261" t="s">
        <v>54</v>
      </c>
      <c r="W261" t="s">
        <v>1584</v>
      </c>
      <c r="X261" t="s">
        <v>113</v>
      </c>
      <c r="Y261" t="s">
        <v>1598</v>
      </c>
      <c r="Z261" t="s">
        <v>58</v>
      </c>
      <c r="AA261" t="s">
        <v>54</v>
      </c>
      <c r="AB261" t="s">
        <v>115</v>
      </c>
      <c r="AC261" t="s">
        <v>85</v>
      </c>
      <c r="AD261" t="s">
        <v>116</v>
      </c>
      <c r="AE261" t="s">
        <v>1586</v>
      </c>
      <c r="AF261" t="s">
        <v>664</v>
      </c>
      <c r="AG261" t="s">
        <v>58</v>
      </c>
      <c r="AH261">
        <v>14840</v>
      </c>
      <c r="AK261">
        <v>1</v>
      </c>
      <c r="AL261" t="s">
        <v>61</v>
      </c>
      <c r="AM261" t="s">
        <v>1542</v>
      </c>
      <c r="AN261" t="s">
        <v>1543</v>
      </c>
    </row>
    <row r="262" spans="1:40" x14ac:dyDescent="0.35">
      <c r="A262" t="s">
        <v>37</v>
      </c>
      <c r="B262" t="s">
        <v>1599</v>
      </c>
      <c r="C262" t="s">
        <v>102</v>
      </c>
      <c r="D262" t="s">
        <v>1537</v>
      </c>
      <c r="E262" t="s">
        <v>1538</v>
      </c>
      <c r="F262" s="1">
        <v>46078.096354166664</v>
      </c>
      <c r="G262" t="s">
        <v>105</v>
      </c>
      <c r="H262" t="s">
        <v>106</v>
      </c>
      <c r="I262" t="s">
        <v>1600</v>
      </c>
      <c r="J262" t="s">
        <v>108</v>
      </c>
      <c r="K262" t="s">
        <v>109</v>
      </c>
      <c r="M262" t="s">
        <v>76</v>
      </c>
      <c r="O262" t="s">
        <v>77</v>
      </c>
      <c r="P262" t="s">
        <v>78</v>
      </c>
      <c r="Q262" t="s">
        <v>50</v>
      </c>
      <c r="R262" t="s">
        <v>111</v>
      </c>
      <c r="S262" t="s">
        <v>51</v>
      </c>
      <c r="T262" t="s">
        <v>1583</v>
      </c>
      <c r="U262" s="1">
        <v>46078.61959490741</v>
      </c>
      <c r="V262" t="s">
        <v>54</v>
      </c>
      <c r="W262" t="s">
        <v>1584</v>
      </c>
      <c r="X262" t="s">
        <v>113</v>
      </c>
      <c r="Y262" t="s">
        <v>1601</v>
      </c>
      <c r="Z262" t="s">
        <v>58</v>
      </c>
      <c r="AA262" t="s">
        <v>54</v>
      </c>
      <c r="AB262" t="s">
        <v>115</v>
      </c>
      <c r="AC262" t="s">
        <v>85</v>
      </c>
      <c r="AD262" t="s">
        <v>116</v>
      </c>
      <c r="AE262" t="s">
        <v>1586</v>
      </c>
      <c r="AF262" t="s">
        <v>664</v>
      </c>
      <c r="AG262" t="s">
        <v>58</v>
      </c>
      <c r="AH262">
        <v>14840</v>
      </c>
      <c r="AK262">
        <v>1</v>
      </c>
      <c r="AL262" t="s">
        <v>61</v>
      </c>
      <c r="AM262" t="s">
        <v>1542</v>
      </c>
      <c r="AN262" t="s">
        <v>1543</v>
      </c>
    </row>
    <row r="263" spans="1:40" x14ac:dyDescent="0.35">
      <c r="A263" t="s">
        <v>37</v>
      </c>
      <c r="B263" t="s">
        <v>1602</v>
      </c>
      <c r="C263" t="s">
        <v>102</v>
      </c>
      <c r="D263" t="s">
        <v>1537</v>
      </c>
      <c r="E263" t="s">
        <v>1538</v>
      </c>
      <c r="F263" s="1">
        <v>46078.095995370371</v>
      </c>
      <c r="G263" t="s">
        <v>105</v>
      </c>
      <c r="H263" t="s">
        <v>106</v>
      </c>
      <c r="I263" t="s">
        <v>1603</v>
      </c>
      <c r="J263" t="s">
        <v>108</v>
      </c>
      <c r="K263" t="s">
        <v>109</v>
      </c>
      <c r="M263" t="s">
        <v>76</v>
      </c>
      <c r="O263" t="s">
        <v>77</v>
      </c>
      <c r="P263" t="s">
        <v>78</v>
      </c>
      <c r="Q263" t="s">
        <v>50</v>
      </c>
      <c r="R263" t="s">
        <v>111</v>
      </c>
      <c r="S263" t="s">
        <v>51</v>
      </c>
      <c r="T263" t="s">
        <v>1583</v>
      </c>
      <c r="U263" s="1">
        <v>46078.618391203701</v>
      </c>
      <c r="V263" t="s">
        <v>54</v>
      </c>
      <c r="W263" t="s">
        <v>1584</v>
      </c>
      <c r="X263" t="s">
        <v>113</v>
      </c>
      <c r="Y263" t="s">
        <v>1604</v>
      </c>
      <c r="Z263" t="s">
        <v>58</v>
      </c>
      <c r="AA263" t="s">
        <v>54</v>
      </c>
      <c r="AB263" t="s">
        <v>115</v>
      </c>
      <c r="AC263" t="s">
        <v>85</v>
      </c>
      <c r="AD263" t="s">
        <v>116</v>
      </c>
      <c r="AE263" t="s">
        <v>1586</v>
      </c>
      <c r="AF263" t="s">
        <v>664</v>
      </c>
      <c r="AG263" t="s">
        <v>58</v>
      </c>
      <c r="AH263">
        <v>14840</v>
      </c>
      <c r="AK263">
        <v>1</v>
      </c>
      <c r="AL263" t="s">
        <v>61</v>
      </c>
      <c r="AM263" t="s">
        <v>1542</v>
      </c>
      <c r="AN263" t="s">
        <v>1543</v>
      </c>
    </row>
    <row r="264" spans="1:40" x14ac:dyDescent="0.35">
      <c r="A264" t="s">
        <v>37</v>
      </c>
      <c r="B264" t="s">
        <v>1605</v>
      </c>
      <c r="C264" t="s">
        <v>102</v>
      </c>
      <c r="D264" t="s">
        <v>1537</v>
      </c>
      <c r="E264" t="s">
        <v>1538</v>
      </c>
      <c r="F264" s="1">
        <v>46078.095578703702</v>
      </c>
      <c r="G264" t="s">
        <v>105</v>
      </c>
      <c r="H264" t="s">
        <v>106</v>
      </c>
      <c r="I264" t="s">
        <v>1606</v>
      </c>
      <c r="J264" t="s">
        <v>108</v>
      </c>
      <c r="K264" t="s">
        <v>109</v>
      </c>
      <c r="M264" t="s">
        <v>76</v>
      </c>
      <c r="O264" t="s">
        <v>77</v>
      </c>
      <c r="P264" t="s">
        <v>78</v>
      </c>
      <c r="Q264" t="s">
        <v>50</v>
      </c>
      <c r="R264" t="s">
        <v>111</v>
      </c>
      <c r="S264" t="s">
        <v>51</v>
      </c>
      <c r="T264" t="s">
        <v>1583</v>
      </c>
      <c r="U264" s="1">
        <v>46078.619212962964</v>
      </c>
      <c r="V264" t="s">
        <v>54</v>
      </c>
      <c r="W264" t="s">
        <v>1584</v>
      </c>
      <c r="X264" t="s">
        <v>113</v>
      </c>
      <c r="Y264" t="s">
        <v>1607</v>
      </c>
      <c r="Z264" t="s">
        <v>58</v>
      </c>
      <c r="AA264" t="s">
        <v>54</v>
      </c>
      <c r="AB264" t="s">
        <v>115</v>
      </c>
      <c r="AC264" t="s">
        <v>85</v>
      </c>
      <c r="AD264" t="s">
        <v>116</v>
      </c>
      <c r="AE264" t="s">
        <v>1586</v>
      </c>
      <c r="AF264" t="s">
        <v>664</v>
      </c>
      <c r="AG264" t="s">
        <v>58</v>
      </c>
      <c r="AH264">
        <v>14840</v>
      </c>
      <c r="AK264">
        <v>1</v>
      </c>
      <c r="AL264" t="s">
        <v>61</v>
      </c>
      <c r="AM264" t="s">
        <v>1542</v>
      </c>
      <c r="AN264" t="s">
        <v>1543</v>
      </c>
    </row>
    <row r="265" spans="1:40" x14ac:dyDescent="0.35">
      <c r="A265" t="s">
        <v>37</v>
      </c>
      <c r="B265" t="s">
        <v>1608</v>
      </c>
      <c r="C265" t="s">
        <v>102</v>
      </c>
      <c r="D265" t="s">
        <v>1537</v>
      </c>
      <c r="E265" t="s">
        <v>1538</v>
      </c>
      <c r="F265" s="1">
        <v>46078.095127314817</v>
      </c>
      <c r="G265" t="s">
        <v>105</v>
      </c>
      <c r="H265" t="s">
        <v>106</v>
      </c>
      <c r="I265" t="s">
        <v>1609</v>
      </c>
      <c r="J265" t="s">
        <v>108</v>
      </c>
      <c r="K265" t="s">
        <v>109</v>
      </c>
      <c r="M265" t="s">
        <v>76</v>
      </c>
      <c r="O265" t="s">
        <v>77</v>
      </c>
      <c r="P265" t="s">
        <v>78</v>
      </c>
      <c r="Q265" t="s">
        <v>50</v>
      </c>
      <c r="R265" t="s">
        <v>111</v>
      </c>
      <c r="S265" t="s">
        <v>51</v>
      </c>
      <c r="T265" t="s">
        <v>1583</v>
      </c>
      <c r="U265" s="1">
        <v>46078.617974537039</v>
      </c>
      <c r="V265" t="s">
        <v>54</v>
      </c>
      <c r="W265" t="s">
        <v>1584</v>
      </c>
      <c r="X265" t="s">
        <v>113</v>
      </c>
      <c r="Y265" t="s">
        <v>1610</v>
      </c>
      <c r="Z265" t="s">
        <v>58</v>
      </c>
      <c r="AA265" t="s">
        <v>54</v>
      </c>
      <c r="AB265" t="s">
        <v>115</v>
      </c>
      <c r="AC265" t="s">
        <v>85</v>
      </c>
      <c r="AD265" t="s">
        <v>116</v>
      </c>
      <c r="AE265" t="s">
        <v>1586</v>
      </c>
      <c r="AF265" t="s">
        <v>664</v>
      </c>
      <c r="AG265" t="s">
        <v>58</v>
      </c>
      <c r="AH265">
        <v>14840</v>
      </c>
      <c r="AK265">
        <v>1</v>
      </c>
      <c r="AL265" t="s">
        <v>61</v>
      </c>
      <c r="AM265" t="s">
        <v>1542</v>
      </c>
      <c r="AN265" t="s">
        <v>1543</v>
      </c>
    </row>
    <row r="266" spans="1:40" x14ac:dyDescent="0.35">
      <c r="A266" t="s">
        <v>37</v>
      </c>
      <c r="B266" t="s">
        <v>1611</v>
      </c>
      <c r="C266" t="s">
        <v>39</v>
      </c>
      <c r="D266" t="s">
        <v>40</v>
      </c>
      <c r="E266" t="s">
        <v>41</v>
      </c>
      <c r="F266" s="1">
        <v>46078.089131944442</v>
      </c>
      <c r="G266" t="s">
        <v>42</v>
      </c>
      <c r="H266" t="s">
        <v>43</v>
      </c>
      <c r="I266" t="s">
        <v>1612</v>
      </c>
      <c r="J266" t="s">
        <v>45</v>
      </c>
      <c r="K266" t="s">
        <v>46</v>
      </c>
      <c r="M266" t="s">
        <v>47</v>
      </c>
      <c r="O266" t="s">
        <v>48</v>
      </c>
      <c r="P266" t="s">
        <v>49</v>
      </c>
      <c r="Q266" t="s">
        <v>50</v>
      </c>
      <c r="R266" t="s">
        <v>51</v>
      </c>
      <c r="S266" t="s">
        <v>52</v>
      </c>
      <c r="T266" t="s">
        <v>53</v>
      </c>
      <c r="U266" s="1">
        <v>46078.090925925928</v>
      </c>
      <c r="V266" t="s">
        <v>54</v>
      </c>
      <c r="W266" t="s">
        <v>55</v>
      </c>
      <c r="X266" t="s">
        <v>56</v>
      </c>
      <c r="Y266" t="s">
        <v>65</v>
      </c>
      <c r="Z266" t="s">
        <v>58</v>
      </c>
      <c r="AA266" t="s">
        <v>54</v>
      </c>
      <c r="AB266" t="s">
        <v>59</v>
      </c>
      <c r="AC266" t="s">
        <v>60</v>
      </c>
      <c r="AD266" t="s">
        <v>51</v>
      </c>
      <c r="AE266" t="s">
        <v>52</v>
      </c>
      <c r="AF266" t="s">
        <v>53</v>
      </c>
      <c r="AG266" t="s">
        <v>58</v>
      </c>
      <c r="AK266">
        <v>0</v>
      </c>
      <c r="AL266" t="s">
        <v>61</v>
      </c>
      <c r="AM266" t="s">
        <v>59</v>
      </c>
      <c r="AN266" t="s">
        <v>62</v>
      </c>
    </row>
    <row r="267" spans="1:40" x14ac:dyDescent="0.35">
      <c r="A267" t="s">
        <v>37</v>
      </c>
      <c r="B267" t="s">
        <v>1613</v>
      </c>
      <c r="C267" t="s">
        <v>102</v>
      </c>
      <c r="D267" t="s">
        <v>1537</v>
      </c>
      <c r="E267" t="s">
        <v>1538</v>
      </c>
      <c r="F267" s="1">
        <v>46078.082442129627</v>
      </c>
      <c r="G267" t="s">
        <v>105</v>
      </c>
      <c r="H267" t="s">
        <v>106</v>
      </c>
      <c r="I267" t="s">
        <v>1614</v>
      </c>
      <c r="J267" t="s">
        <v>108</v>
      </c>
      <c r="K267" t="s">
        <v>571</v>
      </c>
      <c r="M267" t="s">
        <v>76</v>
      </c>
      <c r="O267" t="s">
        <v>77</v>
      </c>
      <c r="P267" t="s">
        <v>78</v>
      </c>
      <c r="Q267" t="s">
        <v>50</v>
      </c>
      <c r="R267" t="s">
        <v>111</v>
      </c>
      <c r="S267" t="s">
        <v>51</v>
      </c>
      <c r="T267" t="s">
        <v>112</v>
      </c>
      <c r="U267" s="1">
        <v>46078.177800925929</v>
      </c>
      <c r="V267" t="s">
        <v>54</v>
      </c>
      <c r="W267" t="s">
        <v>55</v>
      </c>
      <c r="X267" t="s">
        <v>113</v>
      </c>
      <c r="Y267" t="s">
        <v>1615</v>
      </c>
      <c r="Z267" t="s">
        <v>58</v>
      </c>
      <c r="AA267" t="s">
        <v>54</v>
      </c>
      <c r="AB267" t="s">
        <v>115</v>
      </c>
      <c r="AC267" t="s">
        <v>85</v>
      </c>
      <c r="AD267" t="s">
        <v>116</v>
      </c>
      <c r="AE267" t="s">
        <v>1541</v>
      </c>
      <c r="AF267" t="s">
        <v>144</v>
      </c>
      <c r="AG267" t="s">
        <v>58</v>
      </c>
      <c r="AH267">
        <v>14840</v>
      </c>
      <c r="AK267">
        <v>1</v>
      </c>
      <c r="AL267" t="s">
        <v>61</v>
      </c>
      <c r="AM267" t="s">
        <v>1542</v>
      </c>
      <c r="AN267" t="s">
        <v>1543</v>
      </c>
    </row>
    <row r="268" spans="1:40" x14ac:dyDescent="0.35">
      <c r="A268" t="s">
        <v>37</v>
      </c>
      <c r="B268" t="s">
        <v>1616</v>
      </c>
      <c r="C268" t="s">
        <v>39</v>
      </c>
      <c r="D268" t="s">
        <v>40</v>
      </c>
      <c r="E268" t="s">
        <v>41</v>
      </c>
      <c r="F268" s="1">
        <v>46078.047500000001</v>
      </c>
      <c r="G268" t="s">
        <v>42</v>
      </c>
      <c r="H268" t="s">
        <v>43</v>
      </c>
      <c r="I268" t="s">
        <v>1617</v>
      </c>
      <c r="J268" t="s">
        <v>45</v>
      </c>
      <c r="K268" t="s">
        <v>46</v>
      </c>
      <c r="M268" t="s">
        <v>47</v>
      </c>
      <c r="O268" t="s">
        <v>48</v>
      </c>
      <c r="P268" t="s">
        <v>49</v>
      </c>
      <c r="Q268" t="s">
        <v>50</v>
      </c>
      <c r="R268" t="s">
        <v>51</v>
      </c>
      <c r="S268" t="s">
        <v>52</v>
      </c>
      <c r="T268" t="s">
        <v>53</v>
      </c>
      <c r="U268" s="1">
        <v>46078.049398148149</v>
      </c>
      <c r="V268" t="s">
        <v>54</v>
      </c>
      <c r="W268" t="s">
        <v>55</v>
      </c>
      <c r="X268" t="s">
        <v>56</v>
      </c>
      <c r="Y268" t="s">
        <v>65</v>
      </c>
      <c r="Z268" t="s">
        <v>58</v>
      </c>
      <c r="AA268" t="s">
        <v>54</v>
      </c>
      <c r="AB268" t="s">
        <v>59</v>
      </c>
      <c r="AC268" t="s">
        <v>60</v>
      </c>
      <c r="AD268" t="s">
        <v>51</v>
      </c>
      <c r="AE268" t="s">
        <v>52</v>
      </c>
      <c r="AF268" t="s">
        <v>53</v>
      </c>
      <c r="AG268" t="s">
        <v>58</v>
      </c>
      <c r="AK268">
        <v>0</v>
      </c>
      <c r="AL268" t="s">
        <v>61</v>
      </c>
      <c r="AM268" t="s">
        <v>59</v>
      </c>
      <c r="AN268" t="s">
        <v>62</v>
      </c>
    </row>
    <row r="269" spans="1:40" x14ac:dyDescent="0.35">
      <c r="A269" t="s">
        <v>37</v>
      </c>
      <c r="B269" t="s">
        <v>1618</v>
      </c>
      <c r="C269" t="s">
        <v>39</v>
      </c>
      <c r="D269" t="s">
        <v>40</v>
      </c>
      <c r="E269" t="s">
        <v>41</v>
      </c>
      <c r="F269" s="1">
        <v>46078.036608796298</v>
      </c>
      <c r="G269" t="s">
        <v>42</v>
      </c>
      <c r="H269" t="s">
        <v>43</v>
      </c>
      <c r="I269" t="s">
        <v>1619</v>
      </c>
      <c r="J269" t="s">
        <v>45</v>
      </c>
      <c r="K269" t="s">
        <v>46</v>
      </c>
      <c r="M269" t="s">
        <v>47</v>
      </c>
      <c r="O269" t="s">
        <v>48</v>
      </c>
      <c r="P269" t="s">
        <v>49</v>
      </c>
      <c r="Q269" t="s">
        <v>50</v>
      </c>
      <c r="R269" t="s">
        <v>51</v>
      </c>
      <c r="S269" t="s">
        <v>52</v>
      </c>
      <c r="T269" t="s">
        <v>53</v>
      </c>
      <c r="U269" s="1">
        <v>46078.038078703707</v>
      </c>
      <c r="V269" t="s">
        <v>54</v>
      </c>
      <c r="W269" t="s">
        <v>55</v>
      </c>
      <c r="X269" t="s">
        <v>56</v>
      </c>
      <c r="Y269" t="s">
        <v>57</v>
      </c>
      <c r="Z269" t="s">
        <v>58</v>
      </c>
      <c r="AA269" t="s">
        <v>54</v>
      </c>
      <c r="AB269" t="s">
        <v>59</v>
      </c>
      <c r="AC269" t="s">
        <v>60</v>
      </c>
      <c r="AD269" t="s">
        <v>51</v>
      </c>
      <c r="AE269" t="s">
        <v>52</v>
      </c>
      <c r="AF269" t="s">
        <v>53</v>
      </c>
      <c r="AG269" t="s">
        <v>58</v>
      </c>
      <c r="AK269">
        <v>0</v>
      </c>
      <c r="AL269" t="s">
        <v>61</v>
      </c>
      <c r="AM269" t="s">
        <v>59</v>
      </c>
      <c r="AN269" t="s">
        <v>62</v>
      </c>
    </row>
    <row r="270" spans="1:40" x14ac:dyDescent="0.35">
      <c r="A270" t="s">
        <v>37</v>
      </c>
      <c r="B270" t="s">
        <v>1620</v>
      </c>
      <c r="C270" t="s">
        <v>39</v>
      </c>
      <c r="D270" t="s">
        <v>40</v>
      </c>
      <c r="E270" t="s">
        <v>41</v>
      </c>
      <c r="F270" s="1">
        <v>46078.036481481482</v>
      </c>
      <c r="G270" t="s">
        <v>42</v>
      </c>
      <c r="H270" t="s">
        <v>43</v>
      </c>
      <c r="I270" t="s">
        <v>1621</v>
      </c>
      <c r="J270" t="s">
        <v>45</v>
      </c>
      <c r="K270" t="s">
        <v>46</v>
      </c>
      <c r="M270" t="s">
        <v>47</v>
      </c>
      <c r="O270" t="s">
        <v>48</v>
      </c>
      <c r="P270" t="s">
        <v>49</v>
      </c>
      <c r="Q270" t="s">
        <v>50</v>
      </c>
      <c r="R270" t="s">
        <v>51</v>
      </c>
      <c r="S270" t="s">
        <v>52</v>
      </c>
      <c r="T270" t="s">
        <v>53</v>
      </c>
      <c r="U270" s="1">
        <v>46078.037974537037</v>
      </c>
      <c r="V270" t="s">
        <v>54</v>
      </c>
      <c r="W270" t="s">
        <v>55</v>
      </c>
      <c r="X270" t="s">
        <v>56</v>
      </c>
      <c r="Y270" t="s">
        <v>57</v>
      </c>
      <c r="Z270" t="s">
        <v>58</v>
      </c>
      <c r="AA270" t="s">
        <v>54</v>
      </c>
      <c r="AB270" t="s">
        <v>59</v>
      </c>
      <c r="AC270" t="s">
        <v>60</v>
      </c>
      <c r="AD270" t="s">
        <v>51</v>
      </c>
      <c r="AE270" t="s">
        <v>52</v>
      </c>
      <c r="AF270" t="s">
        <v>53</v>
      </c>
      <c r="AG270" t="s">
        <v>58</v>
      </c>
      <c r="AK270">
        <v>0</v>
      </c>
      <c r="AL270" t="s">
        <v>61</v>
      </c>
      <c r="AM270" t="s">
        <v>59</v>
      </c>
      <c r="AN270" t="s">
        <v>62</v>
      </c>
    </row>
    <row r="271" spans="1:40" x14ac:dyDescent="0.35">
      <c r="A271" t="s">
        <v>37</v>
      </c>
      <c r="B271" t="s">
        <v>1622</v>
      </c>
      <c r="C271" t="s">
        <v>39</v>
      </c>
      <c r="D271" t="s">
        <v>1623</v>
      </c>
      <c r="E271" t="s">
        <v>1624</v>
      </c>
      <c r="F271" s="1">
        <v>46078.029537037037</v>
      </c>
      <c r="G271" t="s">
        <v>355</v>
      </c>
      <c r="H271" t="s">
        <v>356</v>
      </c>
      <c r="I271" t="s">
        <v>1625</v>
      </c>
      <c r="J271" t="s">
        <v>1626</v>
      </c>
      <c r="K271" t="s">
        <v>1627</v>
      </c>
      <c r="M271" t="s">
        <v>131</v>
      </c>
      <c r="O271" t="s">
        <v>77</v>
      </c>
      <c r="P271" t="s">
        <v>78</v>
      </c>
      <c r="Q271" t="s">
        <v>50</v>
      </c>
      <c r="R271" t="s">
        <v>79</v>
      </c>
      <c r="S271" t="s">
        <v>952</v>
      </c>
      <c r="T271" t="s">
        <v>1628</v>
      </c>
      <c r="U271" s="1">
        <v>46078.806967592594</v>
      </c>
      <c r="V271" t="s">
        <v>54</v>
      </c>
      <c r="W271" t="s">
        <v>55</v>
      </c>
      <c r="X271" t="s">
        <v>134</v>
      </c>
      <c r="Y271" t="s">
        <v>1629</v>
      </c>
      <c r="Z271" t="s">
        <v>58</v>
      </c>
      <c r="AA271" t="s">
        <v>54</v>
      </c>
      <c r="AB271" t="s">
        <v>1503</v>
      </c>
      <c r="AC271" t="s">
        <v>85</v>
      </c>
      <c r="AD271" t="s">
        <v>79</v>
      </c>
      <c r="AE271" t="s">
        <v>952</v>
      </c>
      <c r="AF271" t="s">
        <v>1630</v>
      </c>
      <c r="AG271" t="s">
        <v>58</v>
      </c>
      <c r="AH271" t="s">
        <v>1631</v>
      </c>
      <c r="AK271">
        <v>1</v>
      </c>
      <c r="AL271" t="s">
        <v>61</v>
      </c>
      <c r="AM271" t="s">
        <v>1632</v>
      </c>
      <c r="AN271" t="s">
        <v>1633</v>
      </c>
    </row>
    <row r="272" spans="1:40" x14ac:dyDescent="0.35">
      <c r="A272" t="s">
        <v>37</v>
      </c>
      <c r="B272" t="s">
        <v>1634</v>
      </c>
      <c r="C272" t="s">
        <v>39</v>
      </c>
      <c r="D272" t="s">
        <v>1623</v>
      </c>
      <c r="E272" t="s">
        <v>1624</v>
      </c>
      <c r="F272" s="1">
        <v>46078.029513888891</v>
      </c>
      <c r="G272" t="s">
        <v>355</v>
      </c>
      <c r="H272" t="s">
        <v>356</v>
      </c>
      <c r="I272" t="s">
        <v>1625</v>
      </c>
      <c r="J272" t="s">
        <v>1626</v>
      </c>
      <c r="K272" t="s">
        <v>1627</v>
      </c>
      <c r="M272" t="s">
        <v>131</v>
      </c>
      <c r="O272" t="s">
        <v>77</v>
      </c>
      <c r="P272" t="s">
        <v>78</v>
      </c>
      <c r="Q272" t="s">
        <v>50</v>
      </c>
      <c r="R272" t="s">
        <v>79</v>
      </c>
      <c r="S272" t="s">
        <v>952</v>
      </c>
      <c r="T272" t="s">
        <v>1628</v>
      </c>
      <c r="U272" s="1">
        <v>46078.806238425925</v>
      </c>
      <c r="V272" t="s">
        <v>54</v>
      </c>
      <c r="W272" t="s">
        <v>55</v>
      </c>
      <c r="X272" t="s">
        <v>134</v>
      </c>
      <c r="Y272" t="s">
        <v>1635</v>
      </c>
      <c r="Z272" t="s">
        <v>58</v>
      </c>
      <c r="AA272" t="s">
        <v>54</v>
      </c>
      <c r="AB272" t="s">
        <v>1503</v>
      </c>
      <c r="AC272" t="s">
        <v>85</v>
      </c>
      <c r="AD272" t="s">
        <v>79</v>
      </c>
      <c r="AE272" t="s">
        <v>952</v>
      </c>
      <c r="AF272" t="s">
        <v>1630</v>
      </c>
      <c r="AG272" t="s">
        <v>58</v>
      </c>
      <c r="AH272" t="s">
        <v>1631</v>
      </c>
      <c r="AK272">
        <v>1</v>
      </c>
      <c r="AL272" t="s">
        <v>61</v>
      </c>
      <c r="AM272" t="s">
        <v>1632</v>
      </c>
      <c r="AN272" t="s">
        <v>1633</v>
      </c>
    </row>
    <row r="273" spans="1:40" x14ac:dyDescent="0.35">
      <c r="A273" t="s">
        <v>37</v>
      </c>
      <c r="B273" t="s">
        <v>1636</v>
      </c>
      <c r="C273" t="s">
        <v>39</v>
      </c>
      <c r="D273" t="s">
        <v>1623</v>
      </c>
      <c r="E273" t="s">
        <v>1624</v>
      </c>
      <c r="F273" s="1">
        <v>46078.029502314814</v>
      </c>
      <c r="G273" t="s">
        <v>355</v>
      </c>
      <c r="H273" t="s">
        <v>356</v>
      </c>
      <c r="I273" t="s">
        <v>1625</v>
      </c>
      <c r="J273" t="s">
        <v>1626</v>
      </c>
      <c r="K273" t="s">
        <v>1627</v>
      </c>
      <c r="M273" t="s">
        <v>131</v>
      </c>
      <c r="O273" t="s">
        <v>77</v>
      </c>
      <c r="P273" t="s">
        <v>78</v>
      </c>
      <c r="Q273" t="s">
        <v>50</v>
      </c>
      <c r="R273" t="s">
        <v>79</v>
      </c>
      <c r="S273" t="s">
        <v>952</v>
      </c>
      <c r="T273" t="s">
        <v>1628</v>
      </c>
      <c r="U273" s="1">
        <v>46078.805567129632</v>
      </c>
      <c r="V273" t="s">
        <v>54</v>
      </c>
      <c r="W273" t="s">
        <v>55</v>
      </c>
      <c r="X273" t="s">
        <v>134</v>
      </c>
      <c r="Y273" t="s">
        <v>1637</v>
      </c>
      <c r="Z273" t="s">
        <v>58</v>
      </c>
      <c r="AA273" t="s">
        <v>54</v>
      </c>
      <c r="AB273" t="s">
        <v>1503</v>
      </c>
      <c r="AC273" t="s">
        <v>85</v>
      </c>
      <c r="AD273" t="s">
        <v>79</v>
      </c>
      <c r="AE273" t="s">
        <v>952</v>
      </c>
      <c r="AF273" t="s">
        <v>1630</v>
      </c>
      <c r="AG273" t="s">
        <v>58</v>
      </c>
      <c r="AH273" t="s">
        <v>1631</v>
      </c>
      <c r="AK273">
        <v>1</v>
      </c>
      <c r="AL273" t="s">
        <v>61</v>
      </c>
      <c r="AM273" t="s">
        <v>1632</v>
      </c>
      <c r="AN273" t="s">
        <v>1633</v>
      </c>
    </row>
    <row r="274" spans="1:40" x14ac:dyDescent="0.35">
      <c r="A274" t="s">
        <v>37</v>
      </c>
      <c r="B274" t="s">
        <v>1638</v>
      </c>
      <c r="C274" t="s">
        <v>39</v>
      </c>
      <c r="D274" t="s">
        <v>1623</v>
      </c>
      <c r="E274" t="s">
        <v>1624</v>
      </c>
      <c r="F274" s="1">
        <v>46078.029479166667</v>
      </c>
      <c r="G274" t="s">
        <v>355</v>
      </c>
      <c r="H274" t="s">
        <v>356</v>
      </c>
      <c r="I274" t="s">
        <v>1639</v>
      </c>
      <c r="J274" t="s">
        <v>1626</v>
      </c>
      <c r="K274" t="s">
        <v>1627</v>
      </c>
      <c r="M274" t="s">
        <v>131</v>
      </c>
      <c r="O274" t="s">
        <v>77</v>
      </c>
      <c r="P274" t="s">
        <v>78</v>
      </c>
      <c r="Q274" t="s">
        <v>50</v>
      </c>
      <c r="R274" t="s">
        <v>79</v>
      </c>
      <c r="S274" t="s">
        <v>952</v>
      </c>
      <c r="T274" t="s">
        <v>1628</v>
      </c>
      <c r="U274" s="1">
        <v>46078.804432870369</v>
      </c>
      <c r="V274" t="s">
        <v>54</v>
      </c>
      <c r="W274" t="s">
        <v>55</v>
      </c>
      <c r="X274" t="s">
        <v>134</v>
      </c>
      <c r="Y274" t="s">
        <v>1640</v>
      </c>
      <c r="Z274" t="s">
        <v>58</v>
      </c>
      <c r="AA274" t="s">
        <v>54</v>
      </c>
      <c r="AB274" t="s">
        <v>1503</v>
      </c>
      <c r="AC274" t="s">
        <v>85</v>
      </c>
      <c r="AD274" t="s">
        <v>79</v>
      </c>
      <c r="AE274" t="s">
        <v>952</v>
      </c>
      <c r="AF274" t="s">
        <v>1630</v>
      </c>
      <c r="AG274" t="s">
        <v>58</v>
      </c>
      <c r="AH274" t="s">
        <v>1631</v>
      </c>
      <c r="AK274">
        <v>1</v>
      </c>
      <c r="AL274" t="s">
        <v>61</v>
      </c>
      <c r="AM274" t="s">
        <v>1632</v>
      </c>
      <c r="AN274" t="s">
        <v>1633</v>
      </c>
    </row>
    <row r="275" spans="1:40" x14ac:dyDescent="0.35">
      <c r="A275" t="s">
        <v>37</v>
      </c>
      <c r="B275" t="s">
        <v>1641</v>
      </c>
      <c r="C275" t="s">
        <v>39</v>
      </c>
      <c r="D275" t="s">
        <v>1623</v>
      </c>
      <c r="E275" t="s">
        <v>1624</v>
      </c>
      <c r="F275" s="1">
        <v>46078.029432870368</v>
      </c>
      <c r="G275" t="s">
        <v>355</v>
      </c>
      <c r="H275" t="s">
        <v>356</v>
      </c>
      <c r="I275" t="s">
        <v>1639</v>
      </c>
      <c r="J275" t="s">
        <v>1626</v>
      </c>
      <c r="K275" t="s">
        <v>1627</v>
      </c>
      <c r="M275" t="s">
        <v>131</v>
      </c>
      <c r="O275" t="s">
        <v>77</v>
      </c>
      <c r="P275" t="s">
        <v>78</v>
      </c>
      <c r="Q275" t="s">
        <v>50</v>
      </c>
      <c r="R275" t="s">
        <v>79</v>
      </c>
      <c r="S275" t="s">
        <v>952</v>
      </c>
      <c r="T275" t="s">
        <v>1628</v>
      </c>
      <c r="U275" s="1">
        <v>46078.80395833333</v>
      </c>
      <c r="V275" t="s">
        <v>54</v>
      </c>
      <c r="W275" t="s">
        <v>55</v>
      </c>
      <c r="X275" t="s">
        <v>134</v>
      </c>
      <c r="Y275" t="s">
        <v>1642</v>
      </c>
      <c r="Z275" t="s">
        <v>58</v>
      </c>
      <c r="AA275" t="s">
        <v>54</v>
      </c>
      <c r="AB275" t="s">
        <v>1503</v>
      </c>
      <c r="AC275" t="s">
        <v>85</v>
      </c>
      <c r="AD275" t="s">
        <v>79</v>
      </c>
      <c r="AE275" t="s">
        <v>952</v>
      </c>
      <c r="AF275" t="s">
        <v>1630</v>
      </c>
      <c r="AG275" t="s">
        <v>58</v>
      </c>
      <c r="AH275" t="s">
        <v>1631</v>
      </c>
      <c r="AK275">
        <v>1</v>
      </c>
      <c r="AL275" t="s">
        <v>61</v>
      </c>
      <c r="AM275" t="s">
        <v>1632</v>
      </c>
      <c r="AN275" t="s">
        <v>1633</v>
      </c>
    </row>
    <row r="276" spans="1:40" x14ac:dyDescent="0.35">
      <c r="A276" t="s">
        <v>37</v>
      </c>
      <c r="B276" t="s">
        <v>1643</v>
      </c>
      <c r="C276" t="s">
        <v>39</v>
      </c>
      <c r="D276" t="s">
        <v>1623</v>
      </c>
      <c r="E276" t="s">
        <v>1624</v>
      </c>
      <c r="F276" s="1">
        <v>46078.029456018521</v>
      </c>
      <c r="G276" t="s">
        <v>355</v>
      </c>
      <c r="H276" t="s">
        <v>356</v>
      </c>
      <c r="I276" t="s">
        <v>1639</v>
      </c>
      <c r="J276" t="s">
        <v>1626</v>
      </c>
      <c r="K276" t="s">
        <v>1627</v>
      </c>
      <c r="M276" t="s">
        <v>131</v>
      </c>
      <c r="O276" t="s">
        <v>77</v>
      </c>
      <c r="P276" t="s">
        <v>78</v>
      </c>
      <c r="Q276" t="s">
        <v>50</v>
      </c>
      <c r="R276" t="s">
        <v>79</v>
      </c>
      <c r="S276" t="s">
        <v>952</v>
      </c>
      <c r="T276" t="s">
        <v>1628</v>
      </c>
      <c r="U276" s="1">
        <v>46078.803101851852</v>
      </c>
      <c r="V276" t="s">
        <v>54</v>
      </c>
      <c r="W276" t="s">
        <v>55</v>
      </c>
      <c r="X276" t="s">
        <v>134</v>
      </c>
      <c r="Y276" t="s">
        <v>1644</v>
      </c>
      <c r="Z276" t="s">
        <v>58</v>
      </c>
      <c r="AA276" t="s">
        <v>54</v>
      </c>
      <c r="AB276" t="s">
        <v>1503</v>
      </c>
      <c r="AC276" t="s">
        <v>85</v>
      </c>
      <c r="AD276" t="s">
        <v>79</v>
      </c>
      <c r="AE276" t="s">
        <v>952</v>
      </c>
      <c r="AF276" t="s">
        <v>1630</v>
      </c>
      <c r="AG276" t="s">
        <v>58</v>
      </c>
      <c r="AH276" t="s">
        <v>1631</v>
      </c>
      <c r="AK276">
        <v>1</v>
      </c>
      <c r="AL276" t="s">
        <v>61</v>
      </c>
      <c r="AM276" t="s">
        <v>1632</v>
      </c>
      <c r="AN276" t="s">
        <v>1633</v>
      </c>
    </row>
    <row r="277" spans="1:40" x14ac:dyDescent="0.35">
      <c r="A277" t="s">
        <v>37</v>
      </c>
      <c r="B277" t="s">
        <v>1645</v>
      </c>
      <c r="C277" t="s">
        <v>39</v>
      </c>
      <c r="D277" t="s">
        <v>1646</v>
      </c>
      <c r="E277" t="s">
        <v>1647</v>
      </c>
      <c r="F277" s="1">
        <v>46078.025578703702</v>
      </c>
      <c r="G277" t="s">
        <v>355</v>
      </c>
      <c r="H277" t="s">
        <v>356</v>
      </c>
      <c r="I277" t="s">
        <v>1648</v>
      </c>
      <c r="J277" t="s">
        <v>1649</v>
      </c>
      <c r="K277" t="s">
        <v>1650</v>
      </c>
      <c r="M277" t="s">
        <v>131</v>
      </c>
      <c r="O277" t="s">
        <v>77</v>
      </c>
      <c r="P277" t="s">
        <v>78</v>
      </c>
      <c r="Q277" t="s">
        <v>50</v>
      </c>
      <c r="R277" t="s">
        <v>79</v>
      </c>
      <c r="S277" t="s">
        <v>1556</v>
      </c>
      <c r="T277" t="s">
        <v>1557</v>
      </c>
      <c r="U277" s="1">
        <v>46078.043738425928</v>
      </c>
      <c r="V277" t="s">
        <v>54</v>
      </c>
      <c r="W277" t="s">
        <v>55</v>
      </c>
      <c r="X277" t="s">
        <v>134</v>
      </c>
      <c r="Y277" t="s">
        <v>1651</v>
      </c>
      <c r="Z277" t="s">
        <v>58</v>
      </c>
      <c r="AA277" t="s">
        <v>54</v>
      </c>
      <c r="AB277" t="s">
        <v>1503</v>
      </c>
      <c r="AC277" t="s">
        <v>85</v>
      </c>
      <c r="AD277" t="s">
        <v>79</v>
      </c>
      <c r="AE277" t="s">
        <v>1556</v>
      </c>
      <c r="AF277" t="s">
        <v>1557</v>
      </c>
      <c r="AG277" t="s">
        <v>58</v>
      </c>
      <c r="AH277" t="s">
        <v>1652</v>
      </c>
      <c r="AK277">
        <v>1</v>
      </c>
      <c r="AL277" t="s">
        <v>61</v>
      </c>
      <c r="AM277" t="s">
        <v>1653</v>
      </c>
      <c r="AN277" t="s">
        <v>1654</v>
      </c>
    </row>
    <row r="278" spans="1:40" x14ac:dyDescent="0.35">
      <c r="A278" t="s">
        <v>37</v>
      </c>
      <c r="B278" t="s">
        <v>1655</v>
      </c>
      <c r="C278" t="s">
        <v>102</v>
      </c>
      <c r="D278" t="s">
        <v>126</v>
      </c>
      <c r="E278" t="s">
        <v>127</v>
      </c>
      <c r="F278" s="1">
        <v>46078.000335648147</v>
      </c>
      <c r="G278" t="s">
        <v>71</v>
      </c>
      <c r="H278" t="s">
        <v>72</v>
      </c>
      <c r="I278" t="s">
        <v>1656</v>
      </c>
      <c r="J278" t="s">
        <v>129</v>
      </c>
      <c r="K278" t="s">
        <v>130</v>
      </c>
      <c r="M278" t="s">
        <v>131</v>
      </c>
      <c r="O278" t="s">
        <v>77</v>
      </c>
      <c r="P278" t="s">
        <v>78</v>
      </c>
      <c r="Q278" t="s">
        <v>50</v>
      </c>
      <c r="R278" t="s">
        <v>132</v>
      </c>
      <c r="S278" t="s">
        <v>133</v>
      </c>
      <c r="T278" t="s">
        <v>133</v>
      </c>
      <c r="U278" s="1">
        <v>46078.389201388891</v>
      </c>
      <c r="V278" t="s">
        <v>54</v>
      </c>
      <c r="W278" t="s">
        <v>55</v>
      </c>
      <c r="X278" t="s">
        <v>134</v>
      </c>
      <c r="Y278" t="s">
        <v>1657</v>
      </c>
      <c r="Z278" t="s">
        <v>58</v>
      </c>
      <c r="AA278" t="s">
        <v>54</v>
      </c>
      <c r="AB278" t="s">
        <v>136</v>
      </c>
      <c r="AC278" t="s">
        <v>85</v>
      </c>
      <c r="AD278" t="s">
        <v>132</v>
      </c>
      <c r="AE278" t="s">
        <v>133</v>
      </c>
      <c r="AF278" t="s">
        <v>133</v>
      </c>
      <c r="AG278" t="s">
        <v>58</v>
      </c>
      <c r="AH278" t="s">
        <v>137</v>
      </c>
      <c r="AK278">
        <v>1</v>
      </c>
      <c r="AL278" t="s">
        <v>61</v>
      </c>
      <c r="AM278" t="s">
        <v>136</v>
      </c>
      <c r="AN278" t="s">
        <v>138</v>
      </c>
    </row>
    <row r="279" spans="1:40" x14ac:dyDescent="0.35">
      <c r="A279" t="s">
        <v>37</v>
      </c>
      <c r="B279" t="s">
        <v>1658</v>
      </c>
      <c r="C279" t="s">
        <v>102</v>
      </c>
      <c r="D279" t="s">
        <v>103</v>
      </c>
      <c r="E279" t="s">
        <v>104</v>
      </c>
      <c r="F279" s="1">
        <v>46077.996550925927</v>
      </c>
      <c r="G279" t="s">
        <v>105</v>
      </c>
      <c r="H279" t="s">
        <v>106</v>
      </c>
      <c r="I279" t="s">
        <v>1659</v>
      </c>
      <c r="J279" t="s">
        <v>108</v>
      </c>
      <c r="K279" t="s">
        <v>571</v>
      </c>
      <c r="M279" t="s">
        <v>76</v>
      </c>
      <c r="O279" t="s">
        <v>77</v>
      </c>
      <c r="P279" t="s">
        <v>78</v>
      </c>
      <c r="Q279" t="s">
        <v>110</v>
      </c>
      <c r="R279" t="s">
        <v>111</v>
      </c>
      <c r="S279" t="s">
        <v>51</v>
      </c>
      <c r="T279" t="s">
        <v>112</v>
      </c>
      <c r="U279" s="1">
        <v>46078.128854166665</v>
      </c>
      <c r="V279" t="s">
        <v>54</v>
      </c>
      <c r="W279" t="s">
        <v>55</v>
      </c>
      <c r="X279" t="s">
        <v>113</v>
      </c>
      <c r="Y279" t="s">
        <v>1660</v>
      </c>
      <c r="Z279" t="s">
        <v>58</v>
      </c>
      <c r="AA279" t="s">
        <v>54</v>
      </c>
      <c r="AB279" t="s">
        <v>115</v>
      </c>
      <c r="AC279" t="s">
        <v>85</v>
      </c>
      <c r="AD279" t="s">
        <v>116</v>
      </c>
      <c r="AE279" t="s">
        <v>1541</v>
      </c>
      <c r="AF279" t="s">
        <v>1569</v>
      </c>
      <c r="AG279" t="s">
        <v>58</v>
      </c>
      <c r="AH279">
        <v>5928</v>
      </c>
      <c r="AK279">
        <v>1</v>
      </c>
      <c r="AL279" t="s">
        <v>61</v>
      </c>
      <c r="AM279" t="s">
        <v>119</v>
      </c>
      <c r="AN279" t="s">
        <v>120</v>
      </c>
    </row>
    <row r="280" spans="1:40" x14ac:dyDescent="0.35">
      <c r="A280" t="s">
        <v>37</v>
      </c>
      <c r="B280" t="s">
        <v>1661</v>
      </c>
      <c r="C280" t="s">
        <v>39</v>
      </c>
      <c r="D280" t="s">
        <v>519</v>
      </c>
      <c r="E280" t="s">
        <v>520</v>
      </c>
      <c r="F280" s="1">
        <v>46077.997094907405</v>
      </c>
      <c r="G280" t="s">
        <v>286</v>
      </c>
      <c r="H280" t="s">
        <v>287</v>
      </c>
      <c r="I280" t="s">
        <v>811</v>
      </c>
      <c r="J280" t="s">
        <v>521</v>
      </c>
      <c r="K280" t="s">
        <v>130</v>
      </c>
      <c r="M280" t="s">
        <v>131</v>
      </c>
      <c r="O280" t="s">
        <v>77</v>
      </c>
      <c r="P280" t="s">
        <v>78</v>
      </c>
      <c r="Q280" t="s">
        <v>50</v>
      </c>
      <c r="R280" t="s">
        <v>132</v>
      </c>
      <c r="S280" t="s">
        <v>133</v>
      </c>
      <c r="T280" t="s">
        <v>133</v>
      </c>
      <c r="U280" s="1">
        <v>46078.478298611109</v>
      </c>
      <c r="V280" t="s">
        <v>54</v>
      </c>
      <c r="W280" t="s">
        <v>55</v>
      </c>
      <c r="X280" t="s">
        <v>82</v>
      </c>
      <c r="Y280" t="s">
        <v>1662</v>
      </c>
      <c r="Z280" t="s">
        <v>58</v>
      </c>
      <c r="AA280" t="s">
        <v>54</v>
      </c>
      <c r="AB280" t="s">
        <v>523</v>
      </c>
      <c r="AC280" t="s">
        <v>85</v>
      </c>
      <c r="AD280" t="s">
        <v>132</v>
      </c>
      <c r="AE280" t="s">
        <v>133</v>
      </c>
      <c r="AF280" t="s">
        <v>133</v>
      </c>
      <c r="AG280" t="s">
        <v>58</v>
      </c>
      <c r="AH280" t="s">
        <v>524</v>
      </c>
      <c r="AK280">
        <v>1</v>
      </c>
      <c r="AL280" t="s">
        <v>61</v>
      </c>
      <c r="AM280" t="s">
        <v>523</v>
      </c>
      <c r="AN280" t="s">
        <v>525</v>
      </c>
    </row>
    <row r="281" spans="1:40" x14ac:dyDescent="0.35">
      <c r="A281" t="s">
        <v>37</v>
      </c>
      <c r="B281" t="s">
        <v>1663</v>
      </c>
      <c r="C281" t="s">
        <v>39</v>
      </c>
      <c r="D281" t="s">
        <v>168</v>
      </c>
      <c r="E281" t="s">
        <v>169</v>
      </c>
      <c r="F281" s="1">
        <v>46077.987071759257</v>
      </c>
      <c r="G281" t="s">
        <v>170</v>
      </c>
      <c r="H281" t="s">
        <v>92</v>
      </c>
      <c r="I281" t="s">
        <v>171</v>
      </c>
      <c r="J281" t="s">
        <v>1518</v>
      </c>
      <c r="K281" t="s">
        <v>75</v>
      </c>
      <c r="M281" t="s">
        <v>76</v>
      </c>
      <c r="O281" t="s">
        <v>77</v>
      </c>
      <c r="P281" t="s">
        <v>78</v>
      </c>
      <c r="Q281" t="s">
        <v>50</v>
      </c>
      <c r="R281" t="s">
        <v>79</v>
      </c>
      <c r="S281" t="s">
        <v>172</v>
      </c>
      <c r="T281" t="s">
        <v>173</v>
      </c>
      <c r="U281" s="1">
        <v>46077.987280092595</v>
      </c>
      <c r="V281" t="s">
        <v>54</v>
      </c>
      <c r="W281" t="s">
        <v>55</v>
      </c>
      <c r="X281" t="s">
        <v>82</v>
      </c>
      <c r="Y281" t="s">
        <v>1664</v>
      </c>
      <c r="Z281" t="s">
        <v>58</v>
      </c>
      <c r="AA281" t="s">
        <v>54</v>
      </c>
      <c r="AB281" t="s">
        <v>1503</v>
      </c>
      <c r="AC281" t="s">
        <v>85</v>
      </c>
      <c r="AD281" t="s">
        <v>79</v>
      </c>
      <c r="AE281" t="s">
        <v>172</v>
      </c>
      <c r="AF281" t="s">
        <v>173</v>
      </c>
      <c r="AG281" t="s">
        <v>58</v>
      </c>
      <c r="AH281" t="s">
        <v>175</v>
      </c>
      <c r="AK281">
        <v>0</v>
      </c>
      <c r="AL281" t="s">
        <v>61</v>
      </c>
      <c r="AM281" t="s">
        <v>176</v>
      </c>
      <c r="AN281" t="s">
        <v>177</v>
      </c>
    </row>
    <row r="282" spans="1:40" x14ac:dyDescent="0.35">
      <c r="A282" t="s">
        <v>37</v>
      </c>
      <c r="B282" t="s">
        <v>1665</v>
      </c>
      <c r="C282" t="s">
        <v>39</v>
      </c>
      <c r="D282" t="s">
        <v>519</v>
      </c>
      <c r="E282" t="s">
        <v>520</v>
      </c>
      <c r="F282" s="1">
        <v>46077.98364583333</v>
      </c>
      <c r="G282" t="s">
        <v>286</v>
      </c>
      <c r="H282" t="s">
        <v>287</v>
      </c>
      <c r="I282" t="s">
        <v>163</v>
      </c>
      <c r="J282" t="s">
        <v>521</v>
      </c>
      <c r="K282" t="s">
        <v>130</v>
      </c>
      <c r="M282" t="s">
        <v>150</v>
      </c>
      <c r="O282" t="s">
        <v>77</v>
      </c>
      <c r="P282" t="s">
        <v>78</v>
      </c>
      <c r="Q282" t="s">
        <v>50</v>
      </c>
      <c r="R282" t="s">
        <v>132</v>
      </c>
      <c r="S282" t="s">
        <v>133</v>
      </c>
      <c r="T282" t="s">
        <v>133</v>
      </c>
      <c r="U282" s="1">
        <v>46078.389699074076</v>
      </c>
      <c r="V282" t="s">
        <v>54</v>
      </c>
      <c r="W282" t="s">
        <v>55</v>
      </c>
      <c r="X282" t="s">
        <v>82</v>
      </c>
      <c r="Y282" t="s">
        <v>1666</v>
      </c>
      <c r="Z282" t="s">
        <v>58</v>
      </c>
      <c r="AA282" t="s">
        <v>54</v>
      </c>
      <c r="AB282" t="s">
        <v>523</v>
      </c>
      <c r="AC282" t="s">
        <v>85</v>
      </c>
      <c r="AD282" t="s">
        <v>132</v>
      </c>
      <c r="AE282" t="s">
        <v>133</v>
      </c>
      <c r="AF282" t="s">
        <v>133</v>
      </c>
      <c r="AG282" t="s">
        <v>58</v>
      </c>
      <c r="AH282" t="s">
        <v>524</v>
      </c>
      <c r="AK282">
        <v>1</v>
      </c>
      <c r="AL282" t="s">
        <v>61</v>
      </c>
      <c r="AM282" t="s">
        <v>523</v>
      </c>
      <c r="AN282" t="s">
        <v>525</v>
      </c>
    </row>
    <row r="283" spans="1:40" x14ac:dyDescent="0.35">
      <c r="A283" t="s">
        <v>37</v>
      </c>
      <c r="B283" t="s">
        <v>1667</v>
      </c>
      <c r="C283" t="s">
        <v>102</v>
      </c>
      <c r="D283" t="s">
        <v>1668</v>
      </c>
      <c r="E283" t="s">
        <v>1669</v>
      </c>
      <c r="F283" s="1">
        <v>46077.970277777778</v>
      </c>
      <c r="G283" t="s">
        <v>286</v>
      </c>
      <c r="H283" t="s">
        <v>287</v>
      </c>
      <c r="I283" t="s">
        <v>1670</v>
      </c>
      <c r="J283" t="s">
        <v>1671</v>
      </c>
      <c r="K283" t="s">
        <v>130</v>
      </c>
      <c r="M283" t="s">
        <v>131</v>
      </c>
      <c r="O283" t="s">
        <v>77</v>
      </c>
      <c r="P283" t="s">
        <v>78</v>
      </c>
      <c r="Q283" t="s">
        <v>50</v>
      </c>
      <c r="R283" t="s">
        <v>51</v>
      </c>
      <c r="S283" t="s">
        <v>195</v>
      </c>
      <c r="T283" t="s">
        <v>680</v>
      </c>
      <c r="U283" s="1">
        <v>46078.390208333331</v>
      </c>
      <c r="V283" t="s">
        <v>54</v>
      </c>
      <c r="W283" t="s">
        <v>55</v>
      </c>
      <c r="X283" t="s">
        <v>134</v>
      </c>
      <c r="Y283" t="s">
        <v>1672</v>
      </c>
      <c r="Z283" t="s">
        <v>58</v>
      </c>
      <c r="AA283" t="s">
        <v>54</v>
      </c>
      <c r="AB283" t="s">
        <v>1673</v>
      </c>
      <c r="AC283" t="s">
        <v>85</v>
      </c>
      <c r="AD283" t="s">
        <v>51</v>
      </c>
      <c r="AE283" t="s">
        <v>195</v>
      </c>
      <c r="AF283" t="s">
        <v>680</v>
      </c>
      <c r="AG283" t="s">
        <v>58</v>
      </c>
      <c r="AH283" t="s">
        <v>1674</v>
      </c>
      <c r="AK283">
        <v>1</v>
      </c>
      <c r="AL283" t="s">
        <v>61</v>
      </c>
      <c r="AM283" t="s">
        <v>1673</v>
      </c>
      <c r="AN283" t="s">
        <v>1675</v>
      </c>
    </row>
    <row r="284" spans="1:40" x14ac:dyDescent="0.35">
      <c r="A284" t="s">
        <v>37</v>
      </c>
      <c r="B284" t="s">
        <v>1676</v>
      </c>
      <c r="C284" t="s">
        <v>39</v>
      </c>
      <c r="D284" t="s">
        <v>40</v>
      </c>
      <c r="E284" t="s">
        <v>41</v>
      </c>
      <c r="F284" s="1">
        <v>46077.96539351852</v>
      </c>
      <c r="G284" t="s">
        <v>42</v>
      </c>
      <c r="H284" t="s">
        <v>43</v>
      </c>
      <c r="I284" t="s">
        <v>1677</v>
      </c>
      <c r="J284" t="s">
        <v>45</v>
      </c>
      <c r="K284" t="s">
        <v>46</v>
      </c>
      <c r="M284" t="s">
        <v>47</v>
      </c>
      <c r="O284" t="s">
        <v>48</v>
      </c>
      <c r="P284" t="s">
        <v>49</v>
      </c>
      <c r="Q284" t="s">
        <v>50</v>
      </c>
      <c r="R284" t="s">
        <v>51</v>
      </c>
      <c r="S284" t="s">
        <v>52</v>
      </c>
      <c r="T284" t="s">
        <v>53</v>
      </c>
      <c r="U284" s="1">
        <v>46077.967870370368</v>
      </c>
      <c r="V284" t="s">
        <v>54</v>
      </c>
      <c r="W284" t="s">
        <v>55</v>
      </c>
      <c r="X284" t="s">
        <v>56</v>
      </c>
      <c r="Y284" t="s">
        <v>65</v>
      </c>
      <c r="Z284" t="s">
        <v>58</v>
      </c>
      <c r="AA284" t="s">
        <v>54</v>
      </c>
      <c r="AB284" t="s">
        <v>59</v>
      </c>
      <c r="AC284" t="s">
        <v>60</v>
      </c>
      <c r="AD284" t="s">
        <v>51</v>
      </c>
      <c r="AE284" t="s">
        <v>52</v>
      </c>
      <c r="AF284" t="s">
        <v>53</v>
      </c>
      <c r="AG284" t="s">
        <v>58</v>
      </c>
      <c r="AK284">
        <v>0</v>
      </c>
      <c r="AL284" t="s">
        <v>61</v>
      </c>
      <c r="AM284" t="s">
        <v>59</v>
      </c>
      <c r="AN284" t="s">
        <v>62</v>
      </c>
    </row>
    <row r="285" spans="1:40" x14ac:dyDescent="0.35">
      <c r="A285" t="s">
        <v>37</v>
      </c>
      <c r="B285" t="s">
        <v>1678</v>
      </c>
      <c r="C285" t="s">
        <v>102</v>
      </c>
      <c r="D285" t="s">
        <v>103</v>
      </c>
      <c r="E285" t="s">
        <v>104</v>
      </c>
      <c r="F285" s="1">
        <v>46077.962210648147</v>
      </c>
      <c r="G285" t="s">
        <v>105</v>
      </c>
      <c r="H285" t="s">
        <v>106</v>
      </c>
      <c r="I285" t="s">
        <v>1679</v>
      </c>
      <c r="J285" t="s">
        <v>108</v>
      </c>
      <c r="K285" t="s">
        <v>571</v>
      </c>
      <c r="M285" t="s">
        <v>76</v>
      </c>
      <c r="O285" t="s">
        <v>77</v>
      </c>
      <c r="P285" t="s">
        <v>78</v>
      </c>
      <c r="Q285" t="s">
        <v>110</v>
      </c>
      <c r="R285" t="s">
        <v>111</v>
      </c>
      <c r="S285" t="s">
        <v>51</v>
      </c>
      <c r="T285" t="s">
        <v>112</v>
      </c>
      <c r="U285" s="1">
        <v>46078.403321759259</v>
      </c>
      <c r="V285" t="s">
        <v>54</v>
      </c>
      <c r="W285" t="s">
        <v>55</v>
      </c>
      <c r="X285" t="s">
        <v>113</v>
      </c>
      <c r="Y285" t="s">
        <v>1680</v>
      </c>
      <c r="Z285" t="s">
        <v>58</v>
      </c>
      <c r="AA285" t="s">
        <v>54</v>
      </c>
      <c r="AB285" t="s">
        <v>115</v>
      </c>
      <c r="AC285" t="s">
        <v>85</v>
      </c>
      <c r="AD285" t="s">
        <v>116</v>
      </c>
      <c r="AE285" t="s">
        <v>574</v>
      </c>
      <c r="AF285" t="s">
        <v>144</v>
      </c>
      <c r="AG285" t="s">
        <v>58</v>
      </c>
      <c r="AH285">
        <v>5928</v>
      </c>
      <c r="AK285">
        <v>1</v>
      </c>
      <c r="AL285" t="s">
        <v>61</v>
      </c>
      <c r="AM285" t="s">
        <v>119</v>
      </c>
      <c r="AN285" t="s">
        <v>120</v>
      </c>
    </row>
    <row r="286" spans="1:40" x14ac:dyDescent="0.35">
      <c r="A286" t="s">
        <v>37</v>
      </c>
      <c r="B286" t="s">
        <v>1681</v>
      </c>
      <c r="C286" t="s">
        <v>39</v>
      </c>
      <c r="D286" t="s">
        <v>40</v>
      </c>
      <c r="E286" t="s">
        <v>41</v>
      </c>
      <c r="F286" s="1">
        <v>46077.954259259262</v>
      </c>
      <c r="G286" t="s">
        <v>42</v>
      </c>
      <c r="H286" t="s">
        <v>43</v>
      </c>
      <c r="I286" t="s">
        <v>1682</v>
      </c>
      <c r="J286" t="s">
        <v>45</v>
      </c>
      <c r="K286" t="s">
        <v>46</v>
      </c>
      <c r="M286" t="s">
        <v>47</v>
      </c>
      <c r="O286" t="s">
        <v>48</v>
      </c>
      <c r="P286" t="s">
        <v>49</v>
      </c>
      <c r="Q286" t="s">
        <v>50</v>
      </c>
      <c r="R286" t="s">
        <v>51</v>
      </c>
      <c r="S286" t="s">
        <v>52</v>
      </c>
      <c r="T286" t="s">
        <v>53</v>
      </c>
      <c r="U286" s="1">
        <v>46077.954988425925</v>
      </c>
      <c r="V286" t="s">
        <v>54</v>
      </c>
      <c r="W286" t="s">
        <v>55</v>
      </c>
      <c r="X286" t="s">
        <v>56</v>
      </c>
      <c r="Y286" t="s">
        <v>57</v>
      </c>
      <c r="Z286" t="s">
        <v>58</v>
      </c>
      <c r="AA286" t="s">
        <v>54</v>
      </c>
      <c r="AB286" t="s">
        <v>59</v>
      </c>
      <c r="AC286" t="s">
        <v>60</v>
      </c>
      <c r="AD286" t="s">
        <v>51</v>
      </c>
      <c r="AE286" t="s">
        <v>52</v>
      </c>
      <c r="AF286" t="s">
        <v>53</v>
      </c>
      <c r="AG286" t="s">
        <v>58</v>
      </c>
      <c r="AK286">
        <v>0</v>
      </c>
      <c r="AL286" t="s">
        <v>61</v>
      </c>
      <c r="AM286" t="s">
        <v>59</v>
      </c>
      <c r="AN286" t="s">
        <v>62</v>
      </c>
    </row>
    <row r="287" spans="1:40" x14ac:dyDescent="0.35">
      <c r="A287" t="s">
        <v>37</v>
      </c>
      <c r="B287" t="s">
        <v>1683</v>
      </c>
      <c r="C287" t="s">
        <v>39</v>
      </c>
      <c r="D287" t="s">
        <v>40</v>
      </c>
      <c r="E287" t="s">
        <v>41</v>
      </c>
      <c r="F287" s="1">
        <v>46077.954143518517</v>
      </c>
      <c r="G287" t="s">
        <v>42</v>
      </c>
      <c r="H287" t="s">
        <v>43</v>
      </c>
      <c r="I287" t="s">
        <v>1684</v>
      </c>
      <c r="J287" t="s">
        <v>45</v>
      </c>
      <c r="K287" t="s">
        <v>46</v>
      </c>
      <c r="M287" t="s">
        <v>47</v>
      </c>
      <c r="O287" t="s">
        <v>48</v>
      </c>
      <c r="P287" t="s">
        <v>49</v>
      </c>
      <c r="Q287" t="s">
        <v>50</v>
      </c>
      <c r="R287" t="s">
        <v>51</v>
      </c>
      <c r="S287" t="s">
        <v>52</v>
      </c>
      <c r="T287" t="s">
        <v>53</v>
      </c>
      <c r="U287" s="1">
        <v>46077.955185185187</v>
      </c>
      <c r="V287" t="s">
        <v>54</v>
      </c>
      <c r="W287" t="s">
        <v>55</v>
      </c>
      <c r="X287" t="s">
        <v>56</v>
      </c>
      <c r="Y287" t="s">
        <v>57</v>
      </c>
      <c r="Z287" t="s">
        <v>58</v>
      </c>
      <c r="AA287" t="s">
        <v>54</v>
      </c>
      <c r="AB287" t="s">
        <v>59</v>
      </c>
      <c r="AC287" t="s">
        <v>60</v>
      </c>
      <c r="AD287" t="s">
        <v>51</v>
      </c>
      <c r="AE287" t="s">
        <v>52</v>
      </c>
      <c r="AF287" t="s">
        <v>53</v>
      </c>
      <c r="AG287" t="s">
        <v>58</v>
      </c>
      <c r="AK287">
        <v>0</v>
      </c>
      <c r="AL287" t="s">
        <v>61</v>
      </c>
      <c r="AM287" t="s">
        <v>59</v>
      </c>
      <c r="AN287" t="s">
        <v>62</v>
      </c>
    </row>
    <row r="288" spans="1:40" x14ac:dyDescent="0.35">
      <c r="A288" t="s">
        <v>37</v>
      </c>
      <c r="B288" t="s">
        <v>1685</v>
      </c>
      <c r="C288" t="s">
        <v>39</v>
      </c>
      <c r="D288" t="s">
        <v>40</v>
      </c>
      <c r="E288" t="s">
        <v>41</v>
      </c>
      <c r="F288" s="1">
        <v>46077.954004629632</v>
      </c>
      <c r="G288" t="s">
        <v>42</v>
      </c>
      <c r="H288" t="s">
        <v>43</v>
      </c>
      <c r="I288" t="s">
        <v>1686</v>
      </c>
      <c r="J288" t="s">
        <v>45</v>
      </c>
      <c r="K288" t="s">
        <v>46</v>
      </c>
      <c r="M288" t="s">
        <v>47</v>
      </c>
      <c r="O288" t="s">
        <v>48</v>
      </c>
      <c r="P288" t="s">
        <v>49</v>
      </c>
      <c r="Q288" t="s">
        <v>50</v>
      </c>
      <c r="R288" t="s">
        <v>51</v>
      </c>
      <c r="S288" t="s">
        <v>52</v>
      </c>
      <c r="T288" t="s">
        <v>53</v>
      </c>
      <c r="U288" s="1">
        <v>46077.954872685186</v>
      </c>
      <c r="V288" t="s">
        <v>54</v>
      </c>
      <c r="W288" t="s">
        <v>55</v>
      </c>
      <c r="X288" t="s">
        <v>56</v>
      </c>
      <c r="Y288" t="s">
        <v>57</v>
      </c>
      <c r="Z288" t="s">
        <v>58</v>
      </c>
      <c r="AA288" t="s">
        <v>54</v>
      </c>
      <c r="AB288" t="s">
        <v>59</v>
      </c>
      <c r="AC288" t="s">
        <v>60</v>
      </c>
      <c r="AD288" t="s">
        <v>51</v>
      </c>
      <c r="AE288" t="s">
        <v>52</v>
      </c>
      <c r="AF288" t="s">
        <v>53</v>
      </c>
      <c r="AG288" t="s">
        <v>58</v>
      </c>
      <c r="AK288">
        <v>0</v>
      </c>
      <c r="AL288" t="s">
        <v>61</v>
      </c>
      <c r="AM288" t="s">
        <v>59</v>
      </c>
      <c r="AN288" t="s">
        <v>62</v>
      </c>
    </row>
    <row r="289" spans="1:40" x14ac:dyDescent="0.35">
      <c r="A289" t="s">
        <v>37</v>
      </c>
      <c r="B289" t="s">
        <v>1687</v>
      </c>
      <c r="C289" t="s">
        <v>39</v>
      </c>
      <c r="D289" t="s">
        <v>40</v>
      </c>
      <c r="E289" t="s">
        <v>41</v>
      </c>
      <c r="F289" s="1">
        <v>46077.95385416667</v>
      </c>
      <c r="G289" t="s">
        <v>42</v>
      </c>
      <c r="H289" t="s">
        <v>43</v>
      </c>
      <c r="I289" t="s">
        <v>1688</v>
      </c>
      <c r="J289" t="s">
        <v>45</v>
      </c>
      <c r="K289" t="s">
        <v>46</v>
      </c>
      <c r="M289" t="s">
        <v>47</v>
      </c>
      <c r="O289" t="s">
        <v>48</v>
      </c>
      <c r="P289" t="s">
        <v>49</v>
      </c>
      <c r="Q289" t="s">
        <v>50</v>
      </c>
      <c r="R289" t="s">
        <v>51</v>
      </c>
      <c r="S289" t="s">
        <v>52</v>
      </c>
      <c r="T289" t="s">
        <v>53</v>
      </c>
      <c r="U289" s="1">
        <v>46077.954733796294</v>
      </c>
      <c r="V289" t="s">
        <v>54</v>
      </c>
      <c r="W289" t="s">
        <v>55</v>
      </c>
      <c r="X289" t="s">
        <v>56</v>
      </c>
      <c r="Y289" t="s">
        <v>57</v>
      </c>
      <c r="Z289" t="s">
        <v>58</v>
      </c>
      <c r="AA289" t="s">
        <v>54</v>
      </c>
      <c r="AB289" t="s">
        <v>59</v>
      </c>
      <c r="AC289" t="s">
        <v>60</v>
      </c>
      <c r="AD289" t="s">
        <v>51</v>
      </c>
      <c r="AE289" t="s">
        <v>52</v>
      </c>
      <c r="AF289" t="s">
        <v>53</v>
      </c>
      <c r="AG289" t="s">
        <v>58</v>
      </c>
      <c r="AK289">
        <v>0</v>
      </c>
      <c r="AL289" t="s">
        <v>61</v>
      </c>
      <c r="AM289" t="s">
        <v>59</v>
      </c>
      <c r="AN289" t="s">
        <v>62</v>
      </c>
    </row>
    <row r="290" spans="1:40" x14ac:dyDescent="0.35">
      <c r="A290" t="s">
        <v>37</v>
      </c>
      <c r="B290" t="s">
        <v>1689</v>
      </c>
      <c r="C290" t="s">
        <v>39</v>
      </c>
      <c r="D290" t="s">
        <v>1690</v>
      </c>
      <c r="E290" t="s">
        <v>1691</v>
      </c>
      <c r="F290" s="1">
        <v>46077.946747685186</v>
      </c>
      <c r="G290" t="s">
        <v>273</v>
      </c>
      <c r="H290" t="s">
        <v>233</v>
      </c>
      <c r="I290" t="s">
        <v>205</v>
      </c>
      <c r="J290" t="s">
        <v>1692</v>
      </c>
      <c r="K290" t="s">
        <v>207</v>
      </c>
      <c r="M290" t="s">
        <v>131</v>
      </c>
      <c r="O290" t="s">
        <v>77</v>
      </c>
      <c r="P290" t="s">
        <v>78</v>
      </c>
      <c r="Q290" t="s">
        <v>50</v>
      </c>
      <c r="R290" t="s">
        <v>208</v>
      </c>
      <c r="S290" t="s">
        <v>209</v>
      </c>
      <c r="T290" t="s">
        <v>210</v>
      </c>
      <c r="U290" s="1">
        <v>46077.986828703702</v>
      </c>
      <c r="V290" t="s">
        <v>54</v>
      </c>
      <c r="W290" t="s">
        <v>55</v>
      </c>
      <c r="X290" t="s">
        <v>211</v>
      </c>
      <c r="Y290" t="s">
        <v>1693</v>
      </c>
      <c r="Z290" t="s">
        <v>58</v>
      </c>
      <c r="AA290" t="s">
        <v>54</v>
      </c>
      <c r="AB290" t="s">
        <v>213</v>
      </c>
      <c r="AC290" t="s">
        <v>85</v>
      </c>
      <c r="AD290" t="s">
        <v>214</v>
      </c>
      <c r="AE290" t="s">
        <v>215</v>
      </c>
      <c r="AF290" t="s">
        <v>216</v>
      </c>
      <c r="AG290" t="s">
        <v>58</v>
      </c>
      <c r="AH290" t="s">
        <v>1694</v>
      </c>
      <c r="AK290">
        <v>1</v>
      </c>
      <c r="AL290" t="s">
        <v>61</v>
      </c>
      <c r="AM290" t="s">
        <v>1695</v>
      </c>
      <c r="AN290" t="s">
        <v>1696</v>
      </c>
    </row>
    <row r="291" spans="1:40" x14ac:dyDescent="0.35">
      <c r="A291" t="s">
        <v>37</v>
      </c>
      <c r="B291" t="s">
        <v>1697</v>
      </c>
      <c r="C291" t="s">
        <v>102</v>
      </c>
      <c r="D291" t="s">
        <v>1698</v>
      </c>
      <c r="E291" t="s">
        <v>584</v>
      </c>
      <c r="F291" s="1">
        <v>46078.945763888885</v>
      </c>
      <c r="G291" t="s">
        <v>105</v>
      </c>
      <c r="H291" t="s">
        <v>106</v>
      </c>
      <c r="I291" t="s">
        <v>1699</v>
      </c>
      <c r="J291" t="s">
        <v>108</v>
      </c>
      <c r="K291" t="s">
        <v>109</v>
      </c>
      <c r="M291" t="s">
        <v>76</v>
      </c>
      <c r="O291" t="s">
        <v>77</v>
      </c>
      <c r="P291" t="s">
        <v>78</v>
      </c>
      <c r="Q291" t="s">
        <v>50</v>
      </c>
      <c r="R291" t="s">
        <v>111</v>
      </c>
      <c r="S291" t="s">
        <v>51</v>
      </c>
      <c r="T291" t="s">
        <v>112</v>
      </c>
      <c r="U291" s="1">
        <v>46078.97515046296</v>
      </c>
      <c r="V291" t="s">
        <v>54</v>
      </c>
      <c r="W291" t="s">
        <v>55</v>
      </c>
      <c r="X291" t="s">
        <v>134</v>
      </c>
      <c r="Y291" t="s">
        <v>1700</v>
      </c>
      <c r="Z291" t="s">
        <v>58</v>
      </c>
      <c r="AA291" t="s">
        <v>54</v>
      </c>
      <c r="AB291" t="s">
        <v>1701</v>
      </c>
      <c r="AC291" t="s">
        <v>85</v>
      </c>
      <c r="AD291" t="s">
        <v>116</v>
      </c>
      <c r="AE291" t="s">
        <v>117</v>
      </c>
      <c r="AF291" t="s">
        <v>118</v>
      </c>
      <c r="AG291" t="s">
        <v>58</v>
      </c>
      <c r="AK291">
        <v>1</v>
      </c>
      <c r="AL291" t="s">
        <v>61</v>
      </c>
      <c r="AM291" t="s">
        <v>1701</v>
      </c>
      <c r="AN291" t="s">
        <v>1702</v>
      </c>
    </row>
    <row r="292" spans="1:40" x14ac:dyDescent="0.35">
      <c r="A292" t="s">
        <v>37</v>
      </c>
      <c r="B292" t="s">
        <v>1703</v>
      </c>
      <c r="C292" t="s">
        <v>102</v>
      </c>
      <c r="D292" t="s">
        <v>1698</v>
      </c>
      <c r="E292" t="s">
        <v>584</v>
      </c>
      <c r="F292" s="1">
        <v>46078.84747685185</v>
      </c>
      <c r="G292" t="s">
        <v>105</v>
      </c>
      <c r="H292" t="s">
        <v>106</v>
      </c>
      <c r="I292" t="s">
        <v>1704</v>
      </c>
      <c r="J292" t="s">
        <v>108</v>
      </c>
      <c r="K292" t="s">
        <v>571</v>
      </c>
      <c r="M292" t="s">
        <v>76</v>
      </c>
      <c r="O292" t="s">
        <v>77</v>
      </c>
      <c r="P292" t="s">
        <v>78</v>
      </c>
      <c r="Q292" t="s">
        <v>50</v>
      </c>
      <c r="R292" t="s">
        <v>111</v>
      </c>
      <c r="S292" t="s">
        <v>51</v>
      </c>
      <c r="T292" t="s">
        <v>112</v>
      </c>
      <c r="U292" s="1">
        <v>46078.910787037035</v>
      </c>
      <c r="V292" t="s">
        <v>54</v>
      </c>
      <c r="W292" t="s">
        <v>55</v>
      </c>
      <c r="X292" t="s">
        <v>134</v>
      </c>
      <c r="Y292" t="s">
        <v>1705</v>
      </c>
      <c r="Z292" t="s">
        <v>58</v>
      </c>
      <c r="AA292" t="s">
        <v>54</v>
      </c>
      <c r="AB292" t="s">
        <v>1701</v>
      </c>
      <c r="AC292" t="s">
        <v>85</v>
      </c>
      <c r="AD292" t="s">
        <v>116</v>
      </c>
      <c r="AE292" t="s">
        <v>574</v>
      </c>
      <c r="AF292" t="s">
        <v>1706</v>
      </c>
      <c r="AG292" t="s">
        <v>58</v>
      </c>
      <c r="AK292">
        <v>1</v>
      </c>
      <c r="AL292" t="s">
        <v>61</v>
      </c>
      <c r="AM292" t="s">
        <v>1701</v>
      </c>
      <c r="AN292" t="s">
        <v>1702</v>
      </c>
    </row>
    <row r="293" spans="1:40" x14ac:dyDescent="0.35">
      <c r="A293" t="s">
        <v>37</v>
      </c>
      <c r="B293" t="s">
        <v>1707</v>
      </c>
      <c r="C293" t="s">
        <v>102</v>
      </c>
      <c r="D293" t="s">
        <v>1698</v>
      </c>
      <c r="E293" t="s">
        <v>584</v>
      </c>
      <c r="F293" s="1">
        <v>46078.827141203707</v>
      </c>
      <c r="G293" t="s">
        <v>105</v>
      </c>
      <c r="H293" t="s">
        <v>106</v>
      </c>
      <c r="I293" t="s">
        <v>1708</v>
      </c>
      <c r="J293" t="s">
        <v>108</v>
      </c>
      <c r="K293" t="s">
        <v>109</v>
      </c>
      <c r="M293" t="s">
        <v>76</v>
      </c>
      <c r="O293" t="s">
        <v>77</v>
      </c>
      <c r="P293" t="s">
        <v>78</v>
      </c>
      <c r="Q293" t="s">
        <v>50</v>
      </c>
      <c r="R293" t="s">
        <v>111</v>
      </c>
      <c r="S293" t="s">
        <v>51</v>
      </c>
      <c r="T293" t="s">
        <v>112</v>
      </c>
      <c r="U293" s="1">
        <v>46078.879236111112</v>
      </c>
      <c r="V293" t="s">
        <v>54</v>
      </c>
      <c r="W293" t="s">
        <v>55</v>
      </c>
      <c r="X293" t="s">
        <v>134</v>
      </c>
      <c r="Y293" t="s">
        <v>1709</v>
      </c>
      <c r="Z293" t="s">
        <v>58</v>
      </c>
      <c r="AA293" t="s">
        <v>54</v>
      </c>
      <c r="AB293" t="s">
        <v>1701</v>
      </c>
      <c r="AC293" t="s">
        <v>85</v>
      </c>
      <c r="AD293" t="s">
        <v>116</v>
      </c>
      <c r="AE293" t="s">
        <v>117</v>
      </c>
      <c r="AF293" t="s">
        <v>118</v>
      </c>
      <c r="AG293" t="s">
        <v>58</v>
      </c>
      <c r="AK293">
        <v>1</v>
      </c>
      <c r="AL293" t="s">
        <v>61</v>
      </c>
      <c r="AM293" t="s">
        <v>1701</v>
      </c>
      <c r="AN293" t="s">
        <v>1702</v>
      </c>
    </row>
    <row r="294" spans="1:40" x14ac:dyDescent="0.35">
      <c r="A294" t="s">
        <v>37</v>
      </c>
      <c r="B294" t="s">
        <v>1710</v>
      </c>
      <c r="C294" t="s">
        <v>656</v>
      </c>
      <c r="D294" t="s">
        <v>1711</v>
      </c>
      <c r="E294" t="s">
        <v>1712</v>
      </c>
      <c r="F294" s="1">
        <v>46078.768009259256</v>
      </c>
      <c r="G294" t="s">
        <v>1713</v>
      </c>
      <c r="H294" t="s">
        <v>356</v>
      </c>
      <c r="I294" t="s">
        <v>1714</v>
      </c>
      <c r="J294" t="s">
        <v>206</v>
      </c>
      <c r="K294" t="s">
        <v>207</v>
      </c>
      <c r="M294" t="s">
        <v>131</v>
      </c>
      <c r="O294" t="s">
        <v>237</v>
      </c>
      <c r="P294" t="s">
        <v>238</v>
      </c>
      <c r="Q294" t="s">
        <v>50</v>
      </c>
      <c r="R294" t="s">
        <v>305</v>
      </c>
      <c r="S294" t="s">
        <v>306</v>
      </c>
      <c r="T294" t="s">
        <v>1715</v>
      </c>
      <c r="U294" s="1">
        <v>46078.770416666666</v>
      </c>
      <c r="V294" t="s">
        <v>54</v>
      </c>
      <c r="W294" t="s">
        <v>55</v>
      </c>
      <c r="X294" t="s">
        <v>134</v>
      </c>
      <c r="Y294" t="s">
        <v>1716</v>
      </c>
      <c r="Z294" t="s">
        <v>58</v>
      </c>
      <c r="AA294" t="s">
        <v>54</v>
      </c>
      <c r="AB294" t="s">
        <v>1717</v>
      </c>
      <c r="AC294" t="s">
        <v>242</v>
      </c>
      <c r="AD294" t="s">
        <v>1321</v>
      </c>
      <c r="AE294" t="s">
        <v>1718</v>
      </c>
      <c r="AF294" t="s">
        <v>1719</v>
      </c>
      <c r="AG294" t="s">
        <v>58</v>
      </c>
      <c r="AK294">
        <v>1</v>
      </c>
      <c r="AL294" t="s">
        <v>61</v>
      </c>
      <c r="AM294" t="s">
        <v>1717</v>
      </c>
      <c r="AN294" t="s">
        <v>1720</v>
      </c>
    </row>
    <row r="295" spans="1:40" x14ac:dyDescent="0.35">
      <c r="A295" t="s">
        <v>37</v>
      </c>
      <c r="B295" t="s">
        <v>1721</v>
      </c>
      <c r="C295" t="s">
        <v>102</v>
      </c>
      <c r="D295" t="s">
        <v>1698</v>
      </c>
      <c r="E295" t="s">
        <v>584</v>
      </c>
      <c r="F295" s="1">
        <v>46078.765740740739</v>
      </c>
      <c r="G295" t="s">
        <v>105</v>
      </c>
      <c r="H295" t="s">
        <v>106</v>
      </c>
      <c r="I295" t="s">
        <v>1722</v>
      </c>
      <c r="J295" t="s">
        <v>108</v>
      </c>
      <c r="K295" t="s">
        <v>109</v>
      </c>
      <c r="M295" t="s">
        <v>76</v>
      </c>
      <c r="O295" t="s">
        <v>77</v>
      </c>
      <c r="P295" t="s">
        <v>78</v>
      </c>
      <c r="Q295" t="s">
        <v>50</v>
      </c>
      <c r="R295" t="s">
        <v>111</v>
      </c>
      <c r="S295" t="s">
        <v>51</v>
      </c>
      <c r="T295" t="s">
        <v>112</v>
      </c>
      <c r="U295" s="1">
        <v>46078.96974537037</v>
      </c>
      <c r="V295" t="s">
        <v>54</v>
      </c>
      <c r="W295" t="s">
        <v>55</v>
      </c>
      <c r="X295" t="s">
        <v>134</v>
      </c>
      <c r="Y295" t="s">
        <v>1723</v>
      </c>
      <c r="Z295" t="s">
        <v>58</v>
      </c>
      <c r="AA295" t="s">
        <v>54</v>
      </c>
      <c r="AB295" t="s">
        <v>1701</v>
      </c>
      <c r="AC295" t="s">
        <v>85</v>
      </c>
      <c r="AD295" t="s">
        <v>116</v>
      </c>
      <c r="AE295" t="s">
        <v>117</v>
      </c>
      <c r="AF295" t="s">
        <v>1724</v>
      </c>
      <c r="AG295" t="s">
        <v>58</v>
      </c>
      <c r="AK295">
        <v>1</v>
      </c>
      <c r="AL295" t="s">
        <v>61</v>
      </c>
      <c r="AM295" t="s">
        <v>1701</v>
      </c>
      <c r="AN295" t="s">
        <v>1702</v>
      </c>
    </row>
    <row r="296" spans="1:40" x14ac:dyDescent="0.35">
      <c r="A296" t="s">
        <v>37</v>
      </c>
      <c r="B296" t="s">
        <v>1725</v>
      </c>
      <c r="C296" t="s">
        <v>102</v>
      </c>
      <c r="D296" t="s">
        <v>1698</v>
      </c>
      <c r="E296" t="s">
        <v>584</v>
      </c>
      <c r="F296" s="1">
        <v>46078.747581018521</v>
      </c>
      <c r="G296" t="s">
        <v>105</v>
      </c>
      <c r="H296" t="s">
        <v>106</v>
      </c>
      <c r="I296" t="s">
        <v>1726</v>
      </c>
      <c r="J296" t="s">
        <v>108</v>
      </c>
      <c r="K296" t="s">
        <v>109</v>
      </c>
      <c r="M296" t="s">
        <v>76</v>
      </c>
      <c r="O296" t="s">
        <v>77</v>
      </c>
      <c r="P296" t="s">
        <v>78</v>
      </c>
      <c r="Q296" t="s">
        <v>50</v>
      </c>
      <c r="R296" t="s">
        <v>111</v>
      </c>
      <c r="S296" t="s">
        <v>51</v>
      </c>
      <c r="T296" t="s">
        <v>112</v>
      </c>
      <c r="U296" s="1">
        <v>46078.812002314815</v>
      </c>
      <c r="V296" t="s">
        <v>54</v>
      </c>
      <c r="W296" t="s">
        <v>55</v>
      </c>
      <c r="X296" t="s">
        <v>134</v>
      </c>
      <c r="Y296" t="s">
        <v>1727</v>
      </c>
      <c r="Z296" t="s">
        <v>58</v>
      </c>
      <c r="AA296" t="s">
        <v>54</v>
      </c>
      <c r="AB296" t="s">
        <v>1701</v>
      </c>
      <c r="AC296" t="s">
        <v>85</v>
      </c>
      <c r="AD296" t="s">
        <v>116</v>
      </c>
      <c r="AE296" t="s">
        <v>117</v>
      </c>
      <c r="AF296" t="s">
        <v>1706</v>
      </c>
      <c r="AG296" t="s">
        <v>58</v>
      </c>
      <c r="AK296">
        <v>1</v>
      </c>
      <c r="AL296" t="s">
        <v>61</v>
      </c>
      <c r="AM296" t="s">
        <v>1701</v>
      </c>
      <c r="AN296" t="s">
        <v>1702</v>
      </c>
    </row>
    <row r="297" spans="1:40" x14ac:dyDescent="0.35">
      <c r="A297" t="s">
        <v>37</v>
      </c>
      <c r="B297" t="s">
        <v>1728</v>
      </c>
      <c r="C297" t="s">
        <v>102</v>
      </c>
      <c r="D297" t="s">
        <v>1698</v>
      </c>
      <c r="E297" t="s">
        <v>584</v>
      </c>
      <c r="F297" s="1">
        <v>46078.747581018521</v>
      </c>
      <c r="G297" t="s">
        <v>105</v>
      </c>
      <c r="H297" t="s">
        <v>106</v>
      </c>
      <c r="I297" t="s">
        <v>1729</v>
      </c>
      <c r="J297" t="s">
        <v>108</v>
      </c>
      <c r="K297" t="s">
        <v>109</v>
      </c>
      <c r="M297" t="s">
        <v>76</v>
      </c>
      <c r="O297" t="s">
        <v>77</v>
      </c>
      <c r="P297" t="s">
        <v>78</v>
      </c>
      <c r="Q297" t="s">
        <v>50</v>
      </c>
      <c r="R297" t="s">
        <v>111</v>
      </c>
      <c r="S297" t="s">
        <v>51</v>
      </c>
      <c r="T297" t="s">
        <v>112</v>
      </c>
      <c r="U297" s="1">
        <v>46078.873217592591</v>
      </c>
      <c r="V297" t="s">
        <v>54</v>
      </c>
      <c r="W297" t="s">
        <v>55</v>
      </c>
      <c r="X297" t="s">
        <v>134</v>
      </c>
      <c r="Y297" t="s">
        <v>1730</v>
      </c>
      <c r="Z297" t="s">
        <v>58</v>
      </c>
      <c r="AA297" t="s">
        <v>54</v>
      </c>
      <c r="AB297" t="s">
        <v>1701</v>
      </c>
      <c r="AC297" t="s">
        <v>85</v>
      </c>
      <c r="AD297" t="s">
        <v>116</v>
      </c>
      <c r="AE297" t="s">
        <v>117</v>
      </c>
      <c r="AF297" t="s">
        <v>1706</v>
      </c>
      <c r="AG297" t="s">
        <v>58</v>
      </c>
      <c r="AK297">
        <v>1</v>
      </c>
      <c r="AL297" t="s">
        <v>61</v>
      </c>
      <c r="AM297" t="s">
        <v>1701</v>
      </c>
      <c r="AN297" t="s">
        <v>1702</v>
      </c>
    </row>
    <row r="298" spans="1:40" x14ac:dyDescent="0.35">
      <c r="A298" t="s">
        <v>37</v>
      </c>
      <c r="B298" t="s">
        <v>1731</v>
      </c>
      <c r="C298" t="s">
        <v>102</v>
      </c>
      <c r="D298" t="s">
        <v>1698</v>
      </c>
      <c r="E298" t="s">
        <v>584</v>
      </c>
      <c r="F298" s="1">
        <v>46078.736388888887</v>
      </c>
      <c r="G298" t="s">
        <v>105</v>
      </c>
      <c r="H298" t="s">
        <v>106</v>
      </c>
      <c r="I298" t="s">
        <v>1732</v>
      </c>
      <c r="J298" t="s">
        <v>108</v>
      </c>
      <c r="K298" t="s">
        <v>109</v>
      </c>
      <c r="M298" t="s">
        <v>76</v>
      </c>
      <c r="O298" t="s">
        <v>77</v>
      </c>
      <c r="P298" t="s">
        <v>78</v>
      </c>
      <c r="Q298" t="s">
        <v>50</v>
      </c>
      <c r="R298" t="s">
        <v>111</v>
      </c>
      <c r="S298" t="s">
        <v>51</v>
      </c>
      <c r="T298" t="s">
        <v>112</v>
      </c>
      <c r="U298" s="1">
        <v>46078.810648148145</v>
      </c>
      <c r="V298" t="s">
        <v>54</v>
      </c>
      <c r="W298" t="s">
        <v>55</v>
      </c>
      <c r="X298" t="s">
        <v>134</v>
      </c>
      <c r="Y298" t="s">
        <v>1733</v>
      </c>
      <c r="Z298" t="s">
        <v>58</v>
      </c>
      <c r="AA298" t="s">
        <v>54</v>
      </c>
      <c r="AB298" t="s">
        <v>1701</v>
      </c>
      <c r="AC298" t="s">
        <v>85</v>
      </c>
      <c r="AD298" t="s">
        <v>116</v>
      </c>
      <c r="AE298" t="s">
        <v>117</v>
      </c>
      <c r="AF298" t="s">
        <v>1706</v>
      </c>
      <c r="AG298" t="s">
        <v>58</v>
      </c>
      <c r="AK298">
        <v>1</v>
      </c>
      <c r="AL298" t="s">
        <v>61</v>
      </c>
      <c r="AM298" t="s">
        <v>1701</v>
      </c>
      <c r="AN298" t="s">
        <v>1702</v>
      </c>
    </row>
    <row r="299" spans="1:40" x14ac:dyDescent="0.35">
      <c r="A299" t="s">
        <v>37</v>
      </c>
      <c r="B299" t="s">
        <v>1734</v>
      </c>
      <c r="C299" t="s">
        <v>102</v>
      </c>
      <c r="D299" t="s">
        <v>1698</v>
      </c>
      <c r="E299" t="s">
        <v>584</v>
      </c>
      <c r="F299" s="1">
        <v>46078.729131944441</v>
      </c>
      <c r="G299" t="s">
        <v>105</v>
      </c>
      <c r="H299" t="s">
        <v>106</v>
      </c>
      <c r="I299" t="s">
        <v>1735</v>
      </c>
      <c r="J299" t="s">
        <v>108</v>
      </c>
      <c r="K299" t="s">
        <v>109</v>
      </c>
      <c r="M299" t="s">
        <v>76</v>
      </c>
      <c r="O299" t="s">
        <v>77</v>
      </c>
      <c r="P299" t="s">
        <v>78</v>
      </c>
      <c r="Q299" t="s">
        <v>50</v>
      </c>
      <c r="R299" t="s">
        <v>111</v>
      </c>
      <c r="S299" t="s">
        <v>51</v>
      </c>
      <c r="T299" t="s">
        <v>112</v>
      </c>
      <c r="U299" s="1">
        <v>46078.871898148151</v>
      </c>
      <c r="V299" t="s">
        <v>54</v>
      </c>
      <c r="W299" t="s">
        <v>55</v>
      </c>
      <c r="X299" t="s">
        <v>134</v>
      </c>
      <c r="Y299" t="s">
        <v>1736</v>
      </c>
      <c r="Z299" t="s">
        <v>58</v>
      </c>
      <c r="AA299" t="s">
        <v>54</v>
      </c>
      <c r="AB299" t="s">
        <v>1701</v>
      </c>
      <c r="AC299" t="s">
        <v>85</v>
      </c>
      <c r="AD299" t="s">
        <v>116</v>
      </c>
      <c r="AE299" t="s">
        <v>117</v>
      </c>
      <c r="AF299" t="s">
        <v>1706</v>
      </c>
      <c r="AG299" t="s">
        <v>58</v>
      </c>
      <c r="AK299">
        <v>1</v>
      </c>
      <c r="AL299" t="s">
        <v>61</v>
      </c>
      <c r="AM299" t="s">
        <v>1701</v>
      </c>
      <c r="AN299" t="s">
        <v>1702</v>
      </c>
    </row>
    <row r="300" spans="1:40" x14ac:dyDescent="0.35">
      <c r="A300" t="s">
        <v>37</v>
      </c>
      <c r="B300" t="s">
        <v>1737</v>
      </c>
      <c r="C300" t="s">
        <v>102</v>
      </c>
      <c r="D300" t="s">
        <v>1698</v>
      </c>
      <c r="E300" t="s">
        <v>584</v>
      </c>
      <c r="F300" s="1">
        <v>46078.697141203702</v>
      </c>
      <c r="G300" t="s">
        <v>105</v>
      </c>
      <c r="H300" t="s">
        <v>106</v>
      </c>
      <c r="I300" t="s">
        <v>1738</v>
      </c>
      <c r="J300" t="s">
        <v>108</v>
      </c>
      <c r="K300" t="s">
        <v>341</v>
      </c>
      <c r="M300" t="s">
        <v>76</v>
      </c>
      <c r="O300" t="s">
        <v>77</v>
      </c>
      <c r="P300" t="s">
        <v>78</v>
      </c>
      <c r="Q300" t="s">
        <v>50</v>
      </c>
      <c r="R300" t="s">
        <v>111</v>
      </c>
      <c r="S300" t="s">
        <v>51</v>
      </c>
      <c r="T300" t="s">
        <v>112</v>
      </c>
      <c r="U300" s="1">
        <v>46078.808055555557</v>
      </c>
      <c r="V300" t="s">
        <v>54</v>
      </c>
      <c r="X300" t="s">
        <v>134</v>
      </c>
      <c r="Y300" t="s">
        <v>1739</v>
      </c>
      <c r="Z300" t="s">
        <v>58</v>
      </c>
      <c r="AA300" t="s">
        <v>54</v>
      </c>
      <c r="AB300" t="s">
        <v>1701</v>
      </c>
      <c r="AC300" t="s">
        <v>85</v>
      </c>
      <c r="AD300" t="s">
        <v>116</v>
      </c>
      <c r="AE300" t="s">
        <v>117</v>
      </c>
      <c r="AF300" t="s">
        <v>1740</v>
      </c>
      <c r="AG300" t="s">
        <v>58</v>
      </c>
      <c r="AK300">
        <v>1</v>
      </c>
      <c r="AL300" t="s">
        <v>61</v>
      </c>
      <c r="AM300" t="s">
        <v>1701</v>
      </c>
      <c r="AN300" t="s">
        <v>1702</v>
      </c>
    </row>
    <row r="301" spans="1:40" x14ac:dyDescent="0.35">
      <c r="A301" t="s">
        <v>37</v>
      </c>
      <c r="B301" t="s">
        <v>1741</v>
      </c>
      <c r="C301" t="s">
        <v>102</v>
      </c>
      <c r="D301" t="s">
        <v>1698</v>
      </c>
      <c r="E301" t="s">
        <v>584</v>
      </c>
      <c r="F301" s="1">
        <v>46078.690150462964</v>
      </c>
      <c r="G301" t="s">
        <v>105</v>
      </c>
      <c r="H301" t="s">
        <v>106</v>
      </c>
      <c r="I301" t="s">
        <v>1742</v>
      </c>
      <c r="J301" t="s">
        <v>108</v>
      </c>
      <c r="K301" t="s">
        <v>109</v>
      </c>
      <c r="M301" t="s">
        <v>76</v>
      </c>
      <c r="O301" t="s">
        <v>77</v>
      </c>
      <c r="P301" t="s">
        <v>78</v>
      </c>
      <c r="Q301" t="s">
        <v>50</v>
      </c>
      <c r="R301" t="s">
        <v>111</v>
      </c>
      <c r="S301" t="s">
        <v>51</v>
      </c>
      <c r="T301" t="s">
        <v>112</v>
      </c>
      <c r="U301" s="1">
        <v>46078.808900462966</v>
      </c>
      <c r="V301" t="s">
        <v>54</v>
      </c>
      <c r="W301" t="s">
        <v>55</v>
      </c>
      <c r="X301" t="s">
        <v>134</v>
      </c>
      <c r="Y301" t="s">
        <v>1743</v>
      </c>
      <c r="Z301" t="s">
        <v>58</v>
      </c>
      <c r="AA301" t="s">
        <v>54</v>
      </c>
      <c r="AB301" t="s">
        <v>1701</v>
      </c>
      <c r="AC301" t="s">
        <v>85</v>
      </c>
      <c r="AD301" t="s">
        <v>116</v>
      </c>
      <c r="AE301" t="s">
        <v>117</v>
      </c>
      <c r="AF301" t="s">
        <v>1706</v>
      </c>
      <c r="AG301" t="s">
        <v>58</v>
      </c>
      <c r="AK301">
        <v>1</v>
      </c>
      <c r="AL301" t="s">
        <v>61</v>
      </c>
      <c r="AM301" t="s">
        <v>1701</v>
      </c>
      <c r="AN301" t="s">
        <v>1702</v>
      </c>
    </row>
    <row r="302" spans="1:40" x14ac:dyDescent="0.35">
      <c r="A302" t="s">
        <v>37</v>
      </c>
      <c r="B302" t="s">
        <v>1744</v>
      </c>
      <c r="C302" t="s">
        <v>102</v>
      </c>
      <c r="D302" t="s">
        <v>1698</v>
      </c>
      <c r="E302" t="s">
        <v>584</v>
      </c>
      <c r="F302" s="1">
        <v>46078.689363425925</v>
      </c>
      <c r="G302" t="s">
        <v>105</v>
      </c>
      <c r="H302" t="s">
        <v>106</v>
      </c>
      <c r="I302" t="s">
        <v>1745</v>
      </c>
      <c r="J302" t="s">
        <v>108</v>
      </c>
      <c r="K302" t="s">
        <v>109</v>
      </c>
      <c r="M302" t="s">
        <v>76</v>
      </c>
      <c r="O302" t="s">
        <v>77</v>
      </c>
      <c r="P302" t="s">
        <v>78</v>
      </c>
      <c r="Q302" t="s">
        <v>50</v>
      </c>
      <c r="R302" t="s">
        <v>111</v>
      </c>
      <c r="S302" t="s">
        <v>51</v>
      </c>
      <c r="T302" t="s">
        <v>112</v>
      </c>
      <c r="U302" s="1">
        <v>46078.756423611114</v>
      </c>
      <c r="V302" t="s">
        <v>54</v>
      </c>
      <c r="W302" t="s">
        <v>55</v>
      </c>
      <c r="X302" t="s">
        <v>134</v>
      </c>
      <c r="Y302" t="s">
        <v>1746</v>
      </c>
      <c r="Z302" t="s">
        <v>58</v>
      </c>
      <c r="AA302" t="s">
        <v>54</v>
      </c>
      <c r="AB302" t="s">
        <v>1701</v>
      </c>
      <c r="AC302" t="s">
        <v>85</v>
      </c>
      <c r="AD302" t="s">
        <v>116</v>
      </c>
      <c r="AE302" t="s">
        <v>117</v>
      </c>
      <c r="AF302" t="s">
        <v>1706</v>
      </c>
      <c r="AG302" t="s">
        <v>58</v>
      </c>
      <c r="AK302">
        <v>1</v>
      </c>
      <c r="AL302" t="s">
        <v>61</v>
      </c>
      <c r="AM302" t="s">
        <v>1701</v>
      </c>
      <c r="AN302" t="s">
        <v>1702</v>
      </c>
    </row>
    <row r="303" spans="1:40" x14ac:dyDescent="0.35">
      <c r="A303" t="s">
        <v>37</v>
      </c>
      <c r="B303" t="s">
        <v>1747</v>
      </c>
      <c r="C303" t="s">
        <v>102</v>
      </c>
      <c r="D303" t="s">
        <v>1698</v>
      </c>
      <c r="E303" t="s">
        <v>584</v>
      </c>
      <c r="F303" s="1">
        <v>46078.676053240742</v>
      </c>
      <c r="G303" t="s">
        <v>105</v>
      </c>
      <c r="H303" t="s">
        <v>106</v>
      </c>
      <c r="I303" t="s">
        <v>1748</v>
      </c>
      <c r="J303" t="s">
        <v>108</v>
      </c>
      <c r="K303" t="s">
        <v>341</v>
      </c>
      <c r="M303" t="s">
        <v>76</v>
      </c>
      <c r="O303" t="s">
        <v>77</v>
      </c>
      <c r="P303" t="s">
        <v>78</v>
      </c>
      <c r="Q303" t="s">
        <v>50</v>
      </c>
      <c r="R303" t="s">
        <v>111</v>
      </c>
      <c r="S303" t="s">
        <v>51</v>
      </c>
      <c r="T303" t="s">
        <v>112</v>
      </c>
      <c r="U303" s="1">
        <v>46078.808530092596</v>
      </c>
      <c r="V303" t="s">
        <v>54</v>
      </c>
      <c r="X303" t="s">
        <v>134</v>
      </c>
      <c r="Y303" t="s">
        <v>1749</v>
      </c>
      <c r="Z303" t="s">
        <v>58</v>
      </c>
      <c r="AA303" t="s">
        <v>54</v>
      </c>
      <c r="AB303" t="s">
        <v>1701</v>
      </c>
      <c r="AC303" t="s">
        <v>85</v>
      </c>
      <c r="AD303" t="s">
        <v>116</v>
      </c>
      <c r="AE303" t="s">
        <v>117</v>
      </c>
      <c r="AF303" t="s">
        <v>1740</v>
      </c>
      <c r="AG303" t="s">
        <v>58</v>
      </c>
      <c r="AK303">
        <v>1</v>
      </c>
      <c r="AL303" t="s">
        <v>61</v>
      </c>
      <c r="AM303" t="s">
        <v>1701</v>
      </c>
      <c r="AN303" t="s">
        <v>1702</v>
      </c>
    </row>
    <row r="304" spans="1:40" x14ac:dyDescent="0.35">
      <c r="A304" t="s">
        <v>37</v>
      </c>
      <c r="B304" t="s">
        <v>1750</v>
      </c>
      <c r="C304" t="s">
        <v>39</v>
      </c>
      <c r="D304" t="s">
        <v>1751</v>
      </c>
      <c r="E304" t="s">
        <v>1316</v>
      </c>
      <c r="F304" s="1">
        <v>46078.60434027778</v>
      </c>
      <c r="G304" t="s">
        <v>1752</v>
      </c>
      <c r="H304" t="s">
        <v>447</v>
      </c>
      <c r="I304" t="s">
        <v>1753</v>
      </c>
      <c r="J304" t="s">
        <v>1754</v>
      </c>
      <c r="K304" t="s">
        <v>1755</v>
      </c>
      <c r="M304" t="s">
        <v>131</v>
      </c>
      <c r="O304" t="s">
        <v>77</v>
      </c>
      <c r="P304" t="s">
        <v>78</v>
      </c>
      <c r="Q304" t="s">
        <v>50</v>
      </c>
      <c r="R304" t="s">
        <v>51</v>
      </c>
      <c r="S304" t="s">
        <v>52</v>
      </c>
      <c r="T304" t="s">
        <v>773</v>
      </c>
      <c r="U304" s="1">
        <v>46078.609976851854</v>
      </c>
      <c r="V304" t="s">
        <v>54</v>
      </c>
      <c r="W304" t="s">
        <v>55</v>
      </c>
      <c r="X304" t="s">
        <v>134</v>
      </c>
      <c r="Y304" t="s">
        <v>1756</v>
      </c>
      <c r="Z304" t="s">
        <v>58</v>
      </c>
      <c r="AA304" t="s">
        <v>54</v>
      </c>
      <c r="AB304" t="s">
        <v>1757</v>
      </c>
      <c r="AC304" t="s">
        <v>85</v>
      </c>
      <c r="AD304" t="s">
        <v>52</v>
      </c>
      <c r="AE304" t="s">
        <v>243</v>
      </c>
      <c r="AF304" t="s">
        <v>244</v>
      </c>
      <c r="AG304" t="s">
        <v>58</v>
      </c>
      <c r="AK304">
        <v>1</v>
      </c>
      <c r="AL304" t="s">
        <v>61</v>
      </c>
      <c r="AM304" t="s">
        <v>1757</v>
      </c>
      <c r="AN304" t="s">
        <v>1758</v>
      </c>
    </row>
    <row r="305" spans="1:40" x14ac:dyDescent="0.35">
      <c r="A305" t="s">
        <v>37</v>
      </c>
      <c r="B305" t="s">
        <v>1759</v>
      </c>
      <c r="C305" t="s">
        <v>39</v>
      </c>
      <c r="D305" t="s">
        <v>1751</v>
      </c>
      <c r="E305" t="s">
        <v>1316</v>
      </c>
      <c r="F305" s="1">
        <v>46078.596597222226</v>
      </c>
      <c r="G305" t="s">
        <v>1752</v>
      </c>
      <c r="H305" t="s">
        <v>447</v>
      </c>
      <c r="I305" t="s">
        <v>1760</v>
      </c>
      <c r="J305" t="s">
        <v>1754</v>
      </c>
      <c r="K305" t="s">
        <v>1755</v>
      </c>
      <c r="M305" t="s">
        <v>131</v>
      </c>
      <c r="O305" t="s">
        <v>77</v>
      </c>
      <c r="P305" t="s">
        <v>78</v>
      </c>
      <c r="Q305" t="s">
        <v>50</v>
      </c>
      <c r="R305" t="s">
        <v>51</v>
      </c>
      <c r="S305" t="s">
        <v>52</v>
      </c>
      <c r="T305" t="s">
        <v>773</v>
      </c>
      <c r="U305" s="1">
        <v>46078.610659722224</v>
      </c>
      <c r="V305" t="s">
        <v>54</v>
      </c>
      <c r="W305" t="s">
        <v>55</v>
      </c>
      <c r="X305" t="s">
        <v>134</v>
      </c>
      <c r="Y305" t="s">
        <v>1756</v>
      </c>
      <c r="Z305" t="s">
        <v>58</v>
      </c>
      <c r="AA305" t="s">
        <v>54</v>
      </c>
      <c r="AB305" t="s">
        <v>1757</v>
      </c>
      <c r="AC305" t="s">
        <v>85</v>
      </c>
      <c r="AD305" t="s">
        <v>52</v>
      </c>
      <c r="AE305" t="s">
        <v>243</v>
      </c>
      <c r="AF305" t="s">
        <v>244</v>
      </c>
      <c r="AG305" t="s">
        <v>58</v>
      </c>
      <c r="AK305">
        <v>1</v>
      </c>
      <c r="AL305" t="s">
        <v>61</v>
      </c>
      <c r="AM305" t="s">
        <v>1757</v>
      </c>
      <c r="AN305" t="s">
        <v>1758</v>
      </c>
    </row>
    <row r="306" spans="1:40" x14ac:dyDescent="0.35">
      <c r="A306" t="s">
        <v>37</v>
      </c>
      <c r="B306" t="s">
        <v>1761</v>
      </c>
      <c r="C306" t="s">
        <v>102</v>
      </c>
      <c r="D306" t="s">
        <v>1698</v>
      </c>
      <c r="E306" t="s">
        <v>584</v>
      </c>
      <c r="F306" s="1">
        <v>46078.596597222226</v>
      </c>
      <c r="G306" t="s">
        <v>105</v>
      </c>
      <c r="H306" t="s">
        <v>106</v>
      </c>
      <c r="I306" t="s">
        <v>340</v>
      </c>
      <c r="J306" t="s">
        <v>108</v>
      </c>
      <c r="K306" t="s">
        <v>109</v>
      </c>
      <c r="M306" t="s">
        <v>76</v>
      </c>
      <c r="O306" t="s">
        <v>77</v>
      </c>
      <c r="P306" t="s">
        <v>78</v>
      </c>
      <c r="Q306" t="s">
        <v>50</v>
      </c>
      <c r="R306" t="s">
        <v>111</v>
      </c>
      <c r="S306" t="s">
        <v>51</v>
      </c>
      <c r="T306" t="s">
        <v>112</v>
      </c>
      <c r="U306" s="1">
        <v>46078.70113425926</v>
      </c>
      <c r="V306" t="s">
        <v>54</v>
      </c>
      <c r="W306" t="s">
        <v>55</v>
      </c>
      <c r="X306" t="s">
        <v>134</v>
      </c>
      <c r="Y306" t="s">
        <v>1762</v>
      </c>
      <c r="Z306" t="s">
        <v>58</v>
      </c>
      <c r="AA306" t="s">
        <v>54</v>
      </c>
      <c r="AB306" t="s">
        <v>1701</v>
      </c>
      <c r="AC306" t="s">
        <v>85</v>
      </c>
      <c r="AD306" t="s">
        <v>116</v>
      </c>
      <c r="AE306" t="s">
        <v>117</v>
      </c>
      <c r="AF306" t="s">
        <v>343</v>
      </c>
      <c r="AG306" t="s">
        <v>58</v>
      </c>
      <c r="AK306">
        <v>1</v>
      </c>
      <c r="AL306" t="s">
        <v>61</v>
      </c>
      <c r="AM306" t="s">
        <v>1701</v>
      </c>
      <c r="AN306" t="s">
        <v>1702</v>
      </c>
    </row>
    <row r="307" spans="1:40" x14ac:dyDescent="0.35">
      <c r="A307" t="s">
        <v>37</v>
      </c>
      <c r="B307" t="s">
        <v>1763</v>
      </c>
      <c r="C307" t="s">
        <v>39</v>
      </c>
      <c r="D307" t="s">
        <v>1751</v>
      </c>
      <c r="E307" t="s">
        <v>1316</v>
      </c>
      <c r="F307" s="1">
        <v>46078.59516203704</v>
      </c>
      <c r="G307" t="s">
        <v>1752</v>
      </c>
      <c r="H307" t="s">
        <v>447</v>
      </c>
      <c r="I307" t="s">
        <v>1764</v>
      </c>
      <c r="J307" t="s">
        <v>1754</v>
      </c>
      <c r="K307" t="s">
        <v>1755</v>
      </c>
      <c r="M307" t="s">
        <v>131</v>
      </c>
      <c r="O307" t="s">
        <v>77</v>
      </c>
      <c r="P307" t="s">
        <v>78</v>
      </c>
      <c r="Q307" t="s">
        <v>50</v>
      </c>
      <c r="R307" t="s">
        <v>51</v>
      </c>
      <c r="S307" t="s">
        <v>52</v>
      </c>
      <c r="T307" t="s">
        <v>773</v>
      </c>
      <c r="U307" s="1">
        <v>46078.611597222225</v>
      </c>
      <c r="V307" t="s">
        <v>54</v>
      </c>
      <c r="W307" t="s">
        <v>55</v>
      </c>
      <c r="X307" t="s">
        <v>134</v>
      </c>
      <c r="Y307" t="s">
        <v>1756</v>
      </c>
      <c r="Z307" t="s">
        <v>58</v>
      </c>
      <c r="AA307" t="s">
        <v>54</v>
      </c>
      <c r="AB307" t="s">
        <v>1757</v>
      </c>
      <c r="AC307" t="s">
        <v>85</v>
      </c>
      <c r="AD307" t="s">
        <v>52</v>
      </c>
      <c r="AE307" t="s">
        <v>243</v>
      </c>
      <c r="AF307" t="s">
        <v>244</v>
      </c>
      <c r="AG307" t="s">
        <v>58</v>
      </c>
      <c r="AK307">
        <v>1</v>
      </c>
      <c r="AL307" t="s">
        <v>61</v>
      </c>
      <c r="AM307" t="s">
        <v>1757</v>
      </c>
      <c r="AN307" t="s">
        <v>1758</v>
      </c>
    </row>
    <row r="308" spans="1:40" x14ac:dyDescent="0.35">
      <c r="A308" t="s">
        <v>37</v>
      </c>
      <c r="B308" t="s">
        <v>1765</v>
      </c>
      <c r="C308" t="s">
        <v>39</v>
      </c>
      <c r="D308" t="s">
        <v>1751</v>
      </c>
      <c r="E308" t="s">
        <v>1316</v>
      </c>
      <c r="F308" s="1">
        <v>46078.594270833331</v>
      </c>
      <c r="G308" t="s">
        <v>1752</v>
      </c>
      <c r="H308" t="s">
        <v>447</v>
      </c>
      <c r="I308" t="s">
        <v>1766</v>
      </c>
      <c r="J308" t="s">
        <v>1754</v>
      </c>
      <c r="K308" t="s">
        <v>1755</v>
      </c>
      <c r="M308" t="s">
        <v>131</v>
      </c>
      <c r="O308" t="s">
        <v>77</v>
      </c>
      <c r="P308" t="s">
        <v>78</v>
      </c>
      <c r="Q308" t="s">
        <v>50</v>
      </c>
      <c r="R308" t="s">
        <v>51</v>
      </c>
      <c r="S308" t="s">
        <v>52</v>
      </c>
      <c r="T308" t="s">
        <v>773</v>
      </c>
      <c r="U308" s="1">
        <v>46078.614155092589</v>
      </c>
      <c r="V308" t="s">
        <v>54</v>
      </c>
      <c r="W308" t="s">
        <v>55</v>
      </c>
      <c r="X308" t="s">
        <v>134</v>
      </c>
      <c r="Y308" t="s">
        <v>1756</v>
      </c>
      <c r="Z308" t="s">
        <v>58</v>
      </c>
      <c r="AA308" t="s">
        <v>54</v>
      </c>
      <c r="AB308" t="s">
        <v>1757</v>
      </c>
      <c r="AC308" t="s">
        <v>85</v>
      </c>
      <c r="AD308" t="s">
        <v>52</v>
      </c>
      <c r="AE308" t="s">
        <v>243</v>
      </c>
      <c r="AF308" t="s">
        <v>244</v>
      </c>
      <c r="AG308" t="s">
        <v>58</v>
      </c>
      <c r="AK308">
        <v>1</v>
      </c>
      <c r="AL308" t="s">
        <v>61</v>
      </c>
      <c r="AM308" t="s">
        <v>1757</v>
      </c>
      <c r="AN308" t="s">
        <v>1758</v>
      </c>
    </row>
    <row r="309" spans="1:40" x14ac:dyDescent="0.35">
      <c r="A309" t="s">
        <v>37</v>
      </c>
      <c r="B309" t="s">
        <v>1767</v>
      </c>
      <c r="C309" t="s">
        <v>39</v>
      </c>
      <c r="D309" t="s">
        <v>414</v>
      </c>
      <c r="E309" t="s">
        <v>415</v>
      </c>
      <c r="F309" s="1">
        <v>46078.589699074073</v>
      </c>
      <c r="G309" t="s">
        <v>355</v>
      </c>
      <c r="H309" t="s">
        <v>356</v>
      </c>
      <c r="I309" t="s">
        <v>1768</v>
      </c>
      <c r="J309" t="s">
        <v>358</v>
      </c>
      <c r="K309" t="s">
        <v>359</v>
      </c>
      <c r="M309" t="s">
        <v>131</v>
      </c>
      <c r="O309" t="s">
        <v>77</v>
      </c>
      <c r="P309" t="s">
        <v>78</v>
      </c>
      <c r="Q309" t="s">
        <v>50</v>
      </c>
      <c r="R309" t="s">
        <v>51</v>
      </c>
      <c r="S309" t="s">
        <v>52</v>
      </c>
      <c r="T309" t="s">
        <v>53</v>
      </c>
      <c r="U309" s="1">
        <v>46078.603310185186</v>
      </c>
      <c r="V309" t="s">
        <v>54</v>
      </c>
      <c r="W309" t="s">
        <v>55</v>
      </c>
      <c r="X309" t="s">
        <v>113</v>
      </c>
      <c r="Y309" t="s">
        <v>1769</v>
      </c>
      <c r="Z309" t="s">
        <v>58</v>
      </c>
      <c r="AA309" t="s">
        <v>54</v>
      </c>
      <c r="AB309" t="s">
        <v>361</v>
      </c>
      <c r="AC309" t="s">
        <v>85</v>
      </c>
      <c r="AD309" t="s">
        <v>52</v>
      </c>
      <c r="AE309" t="s">
        <v>999</v>
      </c>
      <c r="AF309" t="s">
        <v>1770</v>
      </c>
      <c r="AG309" t="s">
        <v>58</v>
      </c>
      <c r="AH309" t="s">
        <v>418</v>
      </c>
      <c r="AK309">
        <v>0</v>
      </c>
      <c r="AL309" t="s">
        <v>61</v>
      </c>
      <c r="AM309" t="s">
        <v>419</v>
      </c>
      <c r="AN309" t="s">
        <v>420</v>
      </c>
    </row>
    <row r="310" spans="1:40" x14ac:dyDescent="0.35">
      <c r="A310" t="s">
        <v>37</v>
      </c>
      <c r="B310" t="s">
        <v>1771</v>
      </c>
      <c r="C310" t="s">
        <v>39</v>
      </c>
      <c r="D310" t="s">
        <v>1772</v>
      </c>
      <c r="E310" t="s">
        <v>1773</v>
      </c>
      <c r="F310" s="1">
        <v>46078.584675925929</v>
      </c>
      <c r="G310" t="s">
        <v>355</v>
      </c>
      <c r="H310" t="s">
        <v>356</v>
      </c>
      <c r="I310" t="s">
        <v>1774</v>
      </c>
      <c r="J310" t="s">
        <v>358</v>
      </c>
      <c r="K310" t="s">
        <v>359</v>
      </c>
      <c r="M310" t="s">
        <v>131</v>
      </c>
      <c r="O310" t="s">
        <v>77</v>
      </c>
      <c r="P310" t="s">
        <v>78</v>
      </c>
      <c r="Q310" t="s">
        <v>50</v>
      </c>
      <c r="R310" t="s">
        <v>51</v>
      </c>
      <c r="S310" t="s">
        <v>52</v>
      </c>
      <c r="T310" t="s">
        <v>53</v>
      </c>
      <c r="U310" s="1">
        <v>46078.588576388887</v>
      </c>
      <c r="V310" t="s">
        <v>54</v>
      </c>
      <c r="W310" t="s">
        <v>55</v>
      </c>
      <c r="X310" t="s">
        <v>113</v>
      </c>
      <c r="Y310" t="s">
        <v>1775</v>
      </c>
      <c r="Z310" t="s">
        <v>58</v>
      </c>
      <c r="AA310" t="s">
        <v>54</v>
      </c>
      <c r="AB310" t="s">
        <v>361</v>
      </c>
      <c r="AC310" t="s">
        <v>85</v>
      </c>
      <c r="AD310" t="s">
        <v>52</v>
      </c>
      <c r="AE310" t="s">
        <v>999</v>
      </c>
      <c r="AF310" t="s">
        <v>1770</v>
      </c>
      <c r="AG310" t="s">
        <v>58</v>
      </c>
      <c r="AH310" t="s">
        <v>1776</v>
      </c>
      <c r="AK310">
        <v>0</v>
      </c>
      <c r="AL310" t="s">
        <v>61</v>
      </c>
      <c r="AM310" t="s">
        <v>1777</v>
      </c>
      <c r="AN310" t="s">
        <v>1778</v>
      </c>
    </row>
    <row r="311" spans="1:40" x14ac:dyDescent="0.35">
      <c r="A311" t="s">
        <v>37</v>
      </c>
      <c r="B311" t="s">
        <v>1779</v>
      </c>
      <c r="C311" t="s">
        <v>102</v>
      </c>
      <c r="D311" t="s">
        <v>1698</v>
      </c>
      <c r="E311" t="s">
        <v>584</v>
      </c>
      <c r="F311" s="1">
        <v>46078.581736111111</v>
      </c>
      <c r="G311" t="s">
        <v>105</v>
      </c>
      <c r="H311" t="s">
        <v>106</v>
      </c>
      <c r="I311" t="s">
        <v>340</v>
      </c>
      <c r="J311" t="s">
        <v>108</v>
      </c>
      <c r="K311" t="s">
        <v>341</v>
      </c>
      <c r="M311" t="s">
        <v>76</v>
      </c>
      <c r="O311" t="s">
        <v>77</v>
      </c>
      <c r="P311" t="s">
        <v>78</v>
      </c>
      <c r="Q311" t="s">
        <v>50</v>
      </c>
      <c r="R311" t="s">
        <v>111</v>
      </c>
      <c r="S311" t="s">
        <v>51</v>
      </c>
      <c r="T311" t="s">
        <v>112</v>
      </c>
      <c r="U311" s="1">
        <v>46078.692407407405</v>
      </c>
      <c r="V311" t="s">
        <v>54</v>
      </c>
      <c r="X311" t="s">
        <v>134</v>
      </c>
      <c r="Y311" t="s">
        <v>342</v>
      </c>
      <c r="Z311" t="s">
        <v>58</v>
      </c>
      <c r="AA311" t="s">
        <v>54</v>
      </c>
      <c r="AB311" t="s">
        <v>1701</v>
      </c>
      <c r="AC311" t="s">
        <v>85</v>
      </c>
      <c r="AD311" t="s">
        <v>116</v>
      </c>
      <c r="AE311" t="s">
        <v>117</v>
      </c>
      <c r="AF311" t="s">
        <v>1740</v>
      </c>
      <c r="AG311" t="s">
        <v>58</v>
      </c>
      <c r="AK311">
        <v>1</v>
      </c>
      <c r="AL311" t="s">
        <v>61</v>
      </c>
      <c r="AM311" t="s">
        <v>1701</v>
      </c>
      <c r="AN311" t="s">
        <v>1702</v>
      </c>
    </row>
    <row r="312" spans="1:40" x14ac:dyDescent="0.35">
      <c r="A312" t="s">
        <v>37</v>
      </c>
      <c r="B312" t="s">
        <v>1780</v>
      </c>
      <c r="C312" t="s">
        <v>39</v>
      </c>
      <c r="D312" t="s">
        <v>353</v>
      </c>
      <c r="E312" t="s">
        <v>354</v>
      </c>
      <c r="F312" s="1">
        <v>46078.579351851855</v>
      </c>
      <c r="G312" t="s">
        <v>355</v>
      </c>
      <c r="H312" t="s">
        <v>356</v>
      </c>
      <c r="I312" t="s">
        <v>1781</v>
      </c>
      <c r="J312" t="s">
        <v>358</v>
      </c>
      <c r="K312" t="s">
        <v>359</v>
      </c>
      <c r="M312" t="s">
        <v>131</v>
      </c>
      <c r="O312" t="s">
        <v>77</v>
      </c>
      <c r="P312" t="s">
        <v>78</v>
      </c>
      <c r="Q312" t="s">
        <v>50</v>
      </c>
      <c r="R312" t="s">
        <v>51</v>
      </c>
      <c r="S312" t="s">
        <v>52</v>
      </c>
      <c r="T312" t="s">
        <v>53</v>
      </c>
      <c r="U312" s="1">
        <v>46078.588391203702</v>
      </c>
      <c r="V312" t="s">
        <v>54</v>
      </c>
      <c r="W312" t="s">
        <v>55</v>
      </c>
      <c r="X312" t="s">
        <v>113</v>
      </c>
      <c r="Y312" t="s">
        <v>1782</v>
      </c>
      <c r="Z312" t="s">
        <v>58</v>
      </c>
      <c r="AA312" t="s">
        <v>54</v>
      </c>
      <c r="AB312" t="s">
        <v>361</v>
      </c>
      <c r="AC312" t="s">
        <v>85</v>
      </c>
      <c r="AD312" t="s">
        <v>52</v>
      </c>
      <c r="AE312" t="s">
        <v>999</v>
      </c>
      <c r="AF312" t="s">
        <v>1770</v>
      </c>
      <c r="AG312" t="s">
        <v>58</v>
      </c>
      <c r="AH312" t="s">
        <v>364</v>
      </c>
      <c r="AK312">
        <v>0</v>
      </c>
      <c r="AL312" t="s">
        <v>61</v>
      </c>
      <c r="AM312" t="s">
        <v>365</v>
      </c>
      <c r="AN312" t="s">
        <v>366</v>
      </c>
    </row>
    <row r="313" spans="1:40" x14ac:dyDescent="0.35">
      <c r="A313" t="s">
        <v>37</v>
      </c>
      <c r="B313" t="s">
        <v>1783</v>
      </c>
      <c r="C313" t="s">
        <v>39</v>
      </c>
      <c r="D313" t="s">
        <v>353</v>
      </c>
      <c r="E313" t="s">
        <v>354</v>
      </c>
      <c r="F313" s="1">
        <v>46078.575682870367</v>
      </c>
      <c r="G313" t="s">
        <v>355</v>
      </c>
      <c r="H313" t="s">
        <v>356</v>
      </c>
      <c r="I313" t="s">
        <v>1784</v>
      </c>
      <c r="J313" t="s">
        <v>358</v>
      </c>
      <c r="K313" t="s">
        <v>359</v>
      </c>
      <c r="M313" t="s">
        <v>131</v>
      </c>
      <c r="O313" t="s">
        <v>77</v>
      </c>
      <c r="P313" t="s">
        <v>78</v>
      </c>
      <c r="Q313" t="s">
        <v>50</v>
      </c>
      <c r="R313" t="s">
        <v>51</v>
      </c>
      <c r="S313" t="s">
        <v>52</v>
      </c>
      <c r="T313" t="s">
        <v>53</v>
      </c>
      <c r="U313" s="1">
        <v>46078.588217592594</v>
      </c>
      <c r="V313" t="s">
        <v>54</v>
      </c>
      <c r="W313" t="s">
        <v>55</v>
      </c>
      <c r="X313" t="s">
        <v>113</v>
      </c>
      <c r="Y313" t="s">
        <v>1785</v>
      </c>
      <c r="Z313" t="s">
        <v>58</v>
      </c>
      <c r="AA313" t="s">
        <v>54</v>
      </c>
      <c r="AB313" t="s">
        <v>361</v>
      </c>
      <c r="AC313" t="s">
        <v>85</v>
      </c>
      <c r="AD313" t="s">
        <v>52</v>
      </c>
      <c r="AE313" t="s">
        <v>999</v>
      </c>
      <c r="AF313" t="s">
        <v>1770</v>
      </c>
      <c r="AG313" t="s">
        <v>58</v>
      </c>
      <c r="AH313" t="s">
        <v>364</v>
      </c>
      <c r="AK313">
        <v>0</v>
      </c>
      <c r="AL313" t="s">
        <v>61</v>
      </c>
      <c r="AM313" t="s">
        <v>365</v>
      </c>
      <c r="AN313" t="s">
        <v>366</v>
      </c>
    </row>
    <row r="314" spans="1:40" x14ac:dyDescent="0.35">
      <c r="A314" t="s">
        <v>37</v>
      </c>
      <c r="B314" t="s">
        <v>1786</v>
      </c>
      <c r="C314" t="s">
        <v>102</v>
      </c>
      <c r="D314" t="s">
        <v>1698</v>
      </c>
      <c r="E314" t="s">
        <v>584</v>
      </c>
      <c r="F314" s="1">
        <v>46078.570509259262</v>
      </c>
      <c r="G314" t="s">
        <v>105</v>
      </c>
      <c r="H314" t="s">
        <v>106</v>
      </c>
      <c r="I314" t="s">
        <v>1579</v>
      </c>
      <c r="J314" t="s">
        <v>108</v>
      </c>
      <c r="K314" t="s">
        <v>341</v>
      </c>
      <c r="M314" t="s">
        <v>76</v>
      </c>
      <c r="O314" t="s">
        <v>77</v>
      </c>
      <c r="P314" t="s">
        <v>78</v>
      </c>
      <c r="Q314" t="s">
        <v>50</v>
      </c>
      <c r="R314" t="s">
        <v>111</v>
      </c>
      <c r="S314" t="s">
        <v>51</v>
      </c>
      <c r="T314" t="s">
        <v>112</v>
      </c>
      <c r="U314" s="1">
        <v>46078.690289351849</v>
      </c>
      <c r="V314" t="s">
        <v>54</v>
      </c>
      <c r="X314" t="s">
        <v>134</v>
      </c>
      <c r="Y314" t="s">
        <v>1787</v>
      </c>
      <c r="Z314" t="s">
        <v>58</v>
      </c>
      <c r="AA314" t="s">
        <v>54</v>
      </c>
      <c r="AB314" t="s">
        <v>1701</v>
      </c>
      <c r="AC314" t="s">
        <v>85</v>
      </c>
      <c r="AD314" t="s">
        <v>116</v>
      </c>
      <c r="AE314" t="s">
        <v>574</v>
      </c>
      <c r="AF314" t="s">
        <v>1740</v>
      </c>
      <c r="AG314" t="s">
        <v>58</v>
      </c>
      <c r="AK314">
        <v>1</v>
      </c>
      <c r="AL314" t="s">
        <v>61</v>
      </c>
      <c r="AM314" t="s">
        <v>1701</v>
      </c>
      <c r="AN314" t="s">
        <v>1702</v>
      </c>
    </row>
    <row r="315" spans="1:40" x14ac:dyDescent="0.35">
      <c r="A315" t="s">
        <v>37</v>
      </c>
      <c r="B315" t="s">
        <v>1788</v>
      </c>
      <c r="C315" t="s">
        <v>39</v>
      </c>
      <c r="D315" t="s">
        <v>353</v>
      </c>
      <c r="E315" t="s">
        <v>354</v>
      </c>
      <c r="F315" s="1">
        <v>46078.570138888892</v>
      </c>
      <c r="G315" t="s">
        <v>355</v>
      </c>
      <c r="H315" t="s">
        <v>356</v>
      </c>
      <c r="I315" t="s">
        <v>1789</v>
      </c>
      <c r="J315" t="s">
        <v>358</v>
      </c>
      <c r="K315" t="s">
        <v>359</v>
      </c>
      <c r="M315" t="s">
        <v>131</v>
      </c>
      <c r="O315" t="s">
        <v>77</v>
      </c>
      <c r="P315" t="s">
        <v>78</v>
      </c>
      <c r="Q315" t="s">
        <v>50</v>
      </c>
      <c r="R315" t="s">
        <v>51</v>
      </c>
      <c r="S315" t="s">
        <v>52</v>
      </c>
      <c r="T315" t="s">
        <v>53</v>
      </c>
      <c r="U315" s="1">
        <v>46078.588020833333</v>
      </c>
      <c r="V315" t="s">
        <v>54</v>
      </c>
      <c r="W315" t="s">
        <v>55</v>
      </c>
      <c r="X315" t="s">
        <v>113</v>
      </c>
      <c r="Y315" t="s">
        <v>1790</v>
      </c>
      <c r="Z315" t="s">
        <v>58</v>
      </c>
      <c r="AA315" t="s">
        <v>54</v>
      </c>
      <c r="AB315" t="s">
        <v>361</v>
      </c>
      <c r="AC315" t="s">
        <v>85</v>
      </c>
      <c r="AD315" t="s">
        <v>52</v>
      </c>
      <c r="AE315" t="s">
        <v>999</v>
      </c>
      <c r="AF315" t="s">
        <v>1770</v>
      </c>
      <c r="AG315" t="s">
        <v>58</v>
      </c>
      <c r="AH315" t="s">
        <v>364</v>
      </c>
      <c r="AK315">
        <v>0</v>
      </c>
      <c r="AL315" t="s">
        <v>61</v>
      </c>
      <c r="AM315" t="s">
        <v>365</v>
      </c>
      <c r="AN315" t="s">
        <v>366</v>
      </c>
    </row>
    <row r="316" spans="1:40" x14ac:dyDescent="0.35">
      <c r="A316" t="s">
        <v>37</v>
      </c>
      <c r="B316" t="s">
        <v>1791</v>
      </c>
      <c r="C316" t="s">
        <v>39</v>
      </c>
      <c r="D316" t="s">
        <v>1792</v>
      </c>
      <c r="E316" t="s">
        <v>1793</v>
      </c>
      <c r="F316" s="1">
        <v>46078.568530092591</v>
      </c>
      <c r="G316" t="s">
        <v>355</v>
      </c>
      <c r="H316" t="s">
        <v>356</v>
      </c>
      <c r="I316" t="s">
        <v>1794</v>
      </c>
      <c r="J316" t="s">
        <v>358</v>
      </c>
      <c r="K316" t="s">
        <v>359</v>
      </c>
      <c r="M316" t="s">
        <v>131</v>
      </c>
      <c r="O316" t="s">
        <v>77</v>
      </c>
      <c r="P316" t="s">
        <v>78</v>
      </c>
      <c r="Q316" t="s">
        <v>50</v>
      </c>
      <c r="R316" t="s">
        <v>51</v>
      </c>
      <c r="S316" t="s">
        <v>52</v>
      </c>
      <c r="T316" t="s">
        <v>53</v>
      </c>
      <c r="U316" s="1">
        <v>46078.587812500002</v>
      </c>
      <c r="V316" t="s">
        <v>54</v>
      </c>
      <c r="W316" t="s">
        <v>55</v>
      </c>
      <c r="X316" t="s">
        <v>113</v>
      </c>
      <c r="Y316" t="s">
        <v>1795</v>
      </c>
      <c r="Z316" t="s">
        <v>58</v>
      </c>
      <c r="AA316" t="s">
        <v>54</v>
      </c>
      <c r="AB316" t="s">
        <v>361</v>
      </c>
      <c r="AC316" t="s">
        <v>85</v>
      </c>
      <c r="AD316" t="s">
        <v>52</v>
      </c>
      <c r="AE316" t="s">
        <v>999</v>
      </c>
      <c r="AF316" t="s">
        <v>1770</v>
      </c>
      <c r="AG316" t="s">
        <v>58</v>
      </c>
      <c r="AH316" t="s">
        <v>1796</v>
      </c>
      <c r="AK316">
        <v>0</v>
      </c>
      <c r="AL316" t="s">
        <v>61</v>
      </c>
      <c r="AM316" t="s">
        <v>1797</v>
      </c>
      <c r="AN316" t="s">
        <v>1798</v>
      </c>
    </row>
    <row r="317" spans="1:40" x14ac:dyDescent="0.35">
      <c r="A317" t="s">
        <v>37</v>
      </c>
      <c r="B317" t="s">
        <v>1799</v>
      </c>
      <c r="C317" t="s">
        <v>39</v>
      </c>
      <c r="D317" t="s">
        <v>353</v>
      </c>
      <c r="E317" t="s">
        <v>354</v>
      </c>
      <c r="F317" s="1">
        <v>46078.56726851852</v>
      </c>
      <c r="G317" t="s">
        <v>355</v>
      </c>
      <c r="H317" t="s">
        <v>356</v>
      </c>
      <c r="I317" t="s">
        <v>1800</v>
      </c>
      <c r="J317" t="s">
        <v>358</v>
      </c>
      <c r="K317" t="s">
        <v>359</v>
      </c>
      <c r="M317" t="s">
        <v>131</v>
      </c>
      <c r="O317" t="s">
        <v>77</v>
      </c>
      <c r="P317" t="s">
        <v>78</v>
      </c>
      <c r="Q317" t="s">
        <v>50</v>
      </c>
      <c r="R317" t="s">
        <v>51</v>
      </c>
      <c r="S317" t="s">
        <v>52</v>
      </c>
      <c r="T317" t="s">
        <v>53</v>
      </c>
      <c r="U317" s="1">
        <v>46078.587638888886</v>
      </c>
      <c r="V317" t="s">
        <v>54</v>
      </c>
      <c r="W317" t="s">
        <v>55</v>
      </c>
      <c r="X317" t="s">
        <v>113</v>
      </c>
      <c r="Y317" t="s">
        <v>1801</v>
      </c>
      <c r="Z317" t="s">
        <v>58</v>
      </c>
      <c r="AA317" t="s">
        <v>54</v>
      </c>
      <c r="AB317" t="s">
        <v>361</v>
      </c>
      <c r="AC317" t="s">
        <v>85</v>
      </c>
      <c r="AD317" t="s">
        <v>52</v>
      </c>
      <c r="AE317" t="s">
        <v>999</v>
      </c>
      <c r="AF317" t="s">
        <v>1770</v>
      </c>
      <c r="AG317" t="s">
        <v>58</v>
      </c>
      <c r="AH317" t="s">
        <v>364</v>
      </c>
      <c r="AK317">
        <v>0</v>
      </c>
      <c r="AL317" t="s">
        <v>61</v>
      </c>
      <c r="AM317" t="s">
        <v>365</v>
      </c>
      <c r="AN317" t="s">
        <v>366</v>
      </c>
    </row>
    <row r="318" spans="1:40" x14ac:dyDescent="0.35">
      <c r="A318" t="s">
        <v>37</v>
      </c>
      <c r="B318" t="s">
        <v>1802</v>
      </c>
      <c r="C318" t="s">
        <v>39</v>
      </c>
      <c r="D318" t="s">
        <v>353</v>
      </c>
      <c r="E318" t="s">
        <v>354</v>
      </c>
      <c r="F318" s="1">
        <v>46078.564918981479</v>
      </c>
      <c r="G318" t="s">
        <v>355</v>
      </c>
      <c r="H318" t="s">
        <v>356</v>
      </c>
      <c r="I318" t="s">
        <v>1803</v>
      </c>
      <c r="J318" t="s">
        <v>358</v>
      </c>
      <c r="K318" t="s">
        <v>359</v>
      </c>
      <c r="M318" t="s">
        <v>131</v>
      </c>
      <c r="O318" t="s">
        <v>77</v>
      </c>
      <c r="P318" t="s">
        <v>78</v>
      </c>
      <c r="Q318" t="s">
        <v>50</v>
      </c>
      <c r="R318" t="s">
        <v>51</v>
      </c>
      <c r="S318" t="s">
        <v>52</v>
      </c>
      <c r="T318" t="s">
        <v>53</v>
      </c>
      <c r="U318" s="1">
        <v>46078.587418981479</v>
      </c>
      <c r="V318" t="s">
        <v>54</v>
      </c>
      <c r="W318" t="s">
        <v>55</v>
      </c>
      <c r="X318" t="s">
        <v>113</v>
      </c>
      <c r="Y318" t="s">
        <v>1804</v>
      </c>
      <c r="Z318" t="s">
        <v>58</v>
      </c>
      <c r="AA318" t="s">
        <v>54</v>
      </c>
      <c r="AB318" t="s">
        <v>361</v>
      </c>
      <c r="AC318" t="s">
        <v>85</v>
      </c>
      <c r="AD318" t="s">
        <v>52</v>
      </c>
      <c r="AE318" t="s">
        <v>999</v>
      </c>
      <c r="AF318" t="s">
        <v>1770</v>
      </c>
      <c r="AG318" t="s">
        <v>58</v>
      </c>
      <c r="AH318" t="s">
        <v>364</v>
      </c>
      <c r="AK318">
        <v>0</v>
      </c>
      <c r="AL318" t="s">
        <v>61</v>
      </c>
      <c r="AM318" t="s">
        <v>365</v>
      </c>
      <c r="AN318" t="s">
        <v>366</v>
      </c>
    </row>
    <row r="319" spans="1:40" x14ac:dyDescent="0.35">
      <c r="A319" t="s">
        <v>37</v>
      </c>
      <c r="B319" t="s">
        <v>1805</v>
      </c>
      <c r="C319" t="s">
        <v>39</v>
      </c>
      <c r="D319" t="s">
        <v>414</v>
      </c>
      <c r="E319" t="s">
        <v>415</v>
      </c>
      <c r="F319" s="1">
        <v>46078.563321759262</v>
      </c>
      <c r="G319" t="s">
        <v>355</v>
      </c>
      <c r="H319" t="s">
        <v>356</v>
      </c>
      <c r="I319" t="s">
        <v>1806</v>
      </c>
      <c r="J319" t="s">
        <v>358</v>
      </c>
      <c r="K319" t="s">
        <v>359</v>
      </c>
      <c r="M319" t="s">
        <v>131</v>
      </c>
      <c r="O319" t="s">
        <v>77</v>
      </c>
      <c r="P319" t="s">
        <v>78</v>
      </c>
      <c r="Q319" t="s">
        <v>50</v>
      </c>
      <c r="R319" t="s">
        <v>51</v>
      </c>
      <c r="S319" t="s">
        <v>52</v>
      </c>
      <c r="T319" t="s">
        <v>53</v>
      </c>
      <c r="U319" s="1">
        <v>46078.586956018517</v>
      </c>
      <c r="V319" t="s">
        <v>54</v>
      </c>
      <c r="W319" t="s">
        <v>55</v>
      </c>
      <c r="X319" t="s">
        <v>113</v>
      </c>
      <c r="Y319" t="s">
        <v>1807</v>
      </c>
      <c r="Z319" t="s">
        <v>58</v>
      </c>
      <c r="AA319" t="s">
        <v>54</v>
      </c>
      <c r="AB319" t="s">
        <v>361</v>
      </c>
      <c r="AC319" t="s">
        <v>85</v>
      </c>
      <c r="AD319" t="s">
        <v>52</v>
      </c>
      <c r="AE319" t="s">
        <v>999</v>
      </c>
      <c r="AF319" t="s">
        <v>1770</v>
      </c>
      <c r="AG319" t="s">
        <v>58</v>
      </c>
      <c r="AH319" t="s">
        <v>418</v>
      </c>
      <c r="AK319">
        <v>0</v>
      </c>
      <c r="AL319" t="s">
        <v>61</v>
      </c>
      <c r="AM319" t="s">
        <v>419</v>
      </c>
      <c r="AN319" t="s">
        <v>420</v>
      </c>
    </row>
    <row r="320" spans="1:40" x14ac:dyDescent="0.35">
      <c r="A320" t="s">
        <v>37</v>
      </c>
      <c r="B320" t="s">
        <v>1808</v>
      </c>
      <c r="C320" t="s">
        <v>39</v>
      </c>
      <c r="D320" t="s">
        <v>1751</v>
      </c>
      <c r="E320" t="s">
        <v>1316</v>
      </c>
      <c r="F320" s="1">
        <v>46078.539143518516</v>
      </c>
      <c r="G320" t="s">
        <v>1752</v>
      </c>
      <c r="H320" t="s">
        <v>447</v>
      </c>
      <c r="I320" t="s">
        <v>1809</v>
      </c>
      <c r="J320" t="s">
        <v>1754</v>
      </c>
      <c r="K320" t="s">
        <v>1755</v>
      </c>
      <c r="M320" t="s">
        <v>131</v>
      </c>
      <c r="O320" t="s">
        <v>77</v>
      </c>
      <c r="P320" t="s">
        <v>78</v>
      </c>
      <c r="Q320" t="s">
        <v>50</v>
      </c>
      <c r="R320" t="s">
        <v>51</v>
      </c>
      <c r="S320" t="s">
        <v>52</v>
      </c>
      <c r="T320" t="s">
        <v>773</v>
      </c>
      <c r="U320" s="1">
        <v>46078.615833333337</v>
      </c>
      <c r="V320" t="s">
        <v>54</v>
      </c>
      <c r="W320" t="s">
        <v>55</v>
      </c>
      <c r="X320" t="s">
        <v>134</v>
      </c>
      <c r="Y320" t="s">
        <v>1810</v>
      </c>
      <c r="Z320" t="s">
        <v>58</v>
      </c>
      <c r="AA320" t="s">
        <v>54</v>
      </c>
      <c r="AB320" t="s">
        <v>1757</v>
      </c>
      <c r="AC320" t="s">
        <v>85</v>
      </c>
      <c r="AD320" t="s">
        <v>52</v>
      </c>
      <c r="AE320" t="s">
        <v>243</v>
      </c>
      <c r="AF320" t="s">
        <v>244</v>
      </c>
      <c r="AG320" t="s">
        <v>58</v>
      </c>
      <c r="AK320">
        <v>1</v>
      </c>
      <c r="AL320" t="s">
        <v>61</v>
      </c>
      <c r="AM320" t="s">
        <v>1757</v>
      </c>
      <c r="AN320" t="s">
        <v>1758</v>
      </c>
    </row>
    <row r="321" spans="1:40" x14ac:dyDescent="0.35">
      <c r="A321" t="s">
        <v>37</v>
      </c>
      <c r="B321" t="s">
        <v>1811</v>
      </c>
      <c r="C321" t="s">
        <v>102</v>
      </c>
      <c r="D321" t="s">
        <v>1698</v>
      </c>
      <c r="E321" t="s">
        <v>584</v>
      </c>
      <c r="F321" s="1">
        <v>46078.538402777776</v>
      </c>
      <c r="G321" t="s">
        <v>105</v>
      </c>
      <c r="H321" t="s">
        <v>106</v>
      </c>
      <c r="I321" t="s">
        <v>1812</v>
      </c>
      <c r="J321" t="s">
        <v>108</v>
      </c>
      <c r="K321" t="s">
        <v>571</v>
      </c>
      <c r="M321" t="s">
        <v>76</v>
      </c>
      <c r="O321" t="s">
        <v>77</v>
      </c>
      <c r="P321" t="s">
        <v>78</v>
      </c>
      <c r="Q321" t="s">
        <v>50</v>
      </c>
      <c r="R321" t="s">
        <v>111</v>
      </c>
      <c r="S321" t="s">
        <v>51</v>
      </c>
      <c r="T321" t="s">
        <v>112</v>
      </c>
      <c r="U321" s="1">
        <v>46078.624016203707</v>
      </c>
      <c r="V321" t="s">
        <v>54</v>
      </c>
      <c r="W321" t="s">
        <v>55</v>
      </c>
      <c r="X321" t="s">
        <v>134</v>
      </c>
      <c r="Y321" t="s">
        <v>1813</v>
      </c>
      <c r="Z321" t="s">
        <v>58</v>
      </c>
      <c r="AA321" t="s">
        <v>54</v>
      </c>
      <c r="AB321" t="s">
        <v>1701</v>
      </c>
      <c r="AC321" t="s">
        <v>85</v>
      </c>
      <c r="AD321" t="s">
        <v>116</v>
      </c>
      <c r="AE321" t="s">
        <v>574</v>
      </c>
      <c r="AF321" t="s">
        <v>1706</v>
      </c>
      <c r="AG321" t="s">
        <v>58</v>
      </c>
      <c r="AK321">
        <v>1</v>
      </c>
      <c r="AL321" t="s">
        <v>61</v>
      </c>
      <c r="AM321" t="s">
        <v>1701</v>
      </c>
      <c r="AN321" t="s">
        <v>1702</v>
      </c>
    </row>
    <row r="322" spans="1:40" x14ac:dyDescent="0.35">
      <c r="A322" t="s">
        <v>37</v>
      </c>
      <c r="B322" t="s">
        <v>1814</v>
      </c>
      <c r="C322" t="s">
        <v>102</v>
      </c>
      <c r="D322" t="s">
        <v>1698</v>
      </c>
      <c r="E322" t="s">
        <v>584</v>
      </c>
      <c r="F322" s="1">
        <v>46078.513067129628</v>
      </c>
      <c r="G322" t="s">
        <v>105</v>
      </c>
      <c r="H322" t="s">
        <v>106</v>
      </c>
      <c r="I322" t="s">
        <v>1815</v>
      </c>
      <c r="J322" t="s">
        <v>108</v>
      </c>
      <c r="K322" t="s">
        <v>571</v>
      </c>
      <c r="M322" t="s">
        <v>76</v>
      </c>
      <c r="O322" t="s">
        <v>77</v>
      </c>
      <c r="P322" t="s">
        <v>78</v>
      </c>
      <c r="Q322" t="s">
        <v>50</v>
      </c>
      <c r="R322" t="s">
        <v>111</v>
      </c>
      <c r="S322" t="s">
        <v>51</v>
      </c>
      <c r="T322" t="s">
        <v>112</v>
      </c>
      <c r="U322" s="1">
        <v>46078.696909722225</v>
      </c>
      <c r="V322" t="s">
        <v>54</v>
      </c>
      <c r="W322" t="s">
        <v>55</v>
      </c>
      <c r="X322" t="s">
        <v>134</v>
      </c>
      <c r="Y322" t="s">
        <v>1816</v>
      </c>
      <c r="Z322" t="s">
        <v>58</v>
      </c>
      <c r="AA322" t="s">
        <v>54</v>
      </c>
      <c r="AB322" t="s">
        <v>1701</v>
      </c>
      <c r="AC322" t="s">
        <v>85</v>
      </c>
      <c r="AD322" t="s">
        <v>116</v>
      </c>
      <c r="AE322" t="s">
        <v>574</v>
      </c>
      <c r="AF322" t="s">
        <v>144</v>
      </c>
      <c r="AG322" t="s">
        <v>58</v>
      </c>
      <c r="AK322">
        <v>1</v>
      </c>
      <c r="AL322" t="s">
        <v>61</v>
      </c>
      <c r="AM322" t="s">
        <v>1701</v>
      </c>
      <c r="AN322" t="s">
        <v>1702</v>
      </c>
    </row>
    <row r="323" spans="1:40" x14ac:dyDescent="0.35">
      <c r="A323" t="s">
        <v>37</v>
      </c>
      <c r="B323" t="s">
        <v>1817</v>
      </c>
      <c r="C323" t="s">
        <v>102</v>
      </c>
      <c r="D323" t="s">
        <v>1698</v>
      </c>
      <c r="E323" t="s">
        <v>584</v>
      </c>
      <c r="F323" s="1">
        <v>46078.508136574077</v>
      </c>
      <c r="G323" t="s">
        <v>105</v>
      </c>
      <c r="H323" t="s">
        <v>106</v>
      </c>
      <c r="I323" t="s">
        <v>1818</v>
      </c>
      <c r="J323" t="s">
        <v>108</v>
      </c>
      <c r="K323" t="s">
        <v>109</v>
      </c>
      <c r="M323" t="s">
        <v>76</v>
      </c>
      <c r="O323" t="s">
        <v>77</v>
      </c>
      <c r="P323" t="s">
        <v>78</v>
      </c>
      <c r="Q323" t="s">
        <v>50</v>
      </c>
      <c r="R323" t="s">
        <v>111</v>
      </c>
      <c r="S323" t="s">
        <v>51</v>
      </c>
      <c r="T323" t="s">
        <v>112</v>
      </c>
      <c r="U323" s="1">
        <v>46078.615115740744</v>
      </c>
      <c r="V323" t="s">
        <v>54</v>
      </c>
      <c r="W323" t="s">
        <v>55</v>
      </c>
      <c r="X323" t="s">
        <v>134</v>
      </c>
      <c r="Y323" t="s">
        <v>1819</v>
      </c>
      <c r="Z323" t="s">
        <v>58</v>
      </c>
      <c r="AA323" t="s">
        <v>54</v>
      </c>
      <c r="AB323" t="s">
        <v>1701</v>
      </c>
      <c r="AC323" t="s">
        <v>85</v>
      </c>
      <c r="AD323" t="s">
        <v>116</v>
      </c>
      <c r="AE323" t="s">
        <v>117</v>
      </c>
      <c r="AF323" t="s">
        <v>118</v>
      </c>
      <c r="AG323" t="s">
        <v>58</v>
      </c>
      <c r="AK323">
        <v>1</v>
      </c>
      <c r="AL323" t="s">
        <v>61</v>
      </c>
      <c r="AM323" t="s">
        <v>1701</v>
      </c>
      <c r="AN323" t="s">
        <v>1702</v>
      </c>
    </row>
    <row r="324" spans="1:40" x14ac:dyDescent="0.35">
      <c r="A324" t="s">
        <v>37</v>
      </c>
      <c r="B324" t="s">
        <v>1820</v>
      </c>
      <c r="C324" t="s">
        <v>39</v>
      </c>
      <c r="D324" t="s">
        <v>469</v>
      </c>
      <c r="E324" t="s">
        <v>1821</v>
      </c>
      <c r="F324" s="1">
        <v>46078.502974537034</v>
      </c>
      <c r="G324" t="s">
        <v>355</v>
      </c>
      <c r="H324" t="s">
        <v>356</v>
      </c>
      <c r="I324" t="s">
        <v>1822</v>
      </c>
      <c r="J324" t="s">
        <v>1823</v>
      </c>
      <c r="K324" t="s">
        <v>1824</v>
      </c>
      <c r="M324" t="s">
        <v>131</v>
      </c>
      <c r="O324" t="s">
        <v>77</v>
      </c>
      <c r="P324" t="s">
        <v>78</v>
      </c>
      <c r="Q324" t="s">
        <v>50</v>
      </c>
      <c r="R324" t="s">
        <v>51</v>
      </c>
      <c r="S324" t="s">
        <v>52</v>
      </c>
      <c r="T324" t="s">
        <v>997</v>
      </c>
      <c r="U324" s="1">
        <v>46078.550833333335</v>
      </c>
      <c r="V324" t="s">
        <v>54</v>
      </c>
      <c r="W324" t="s">
        <v>55</v>
      </c>
      <c r="X324" t="s">
        <v>113</v>
      </c>
      <c r="Y324" t="s">
        <v>1825</v>
      </c>
      <c r="Z324" t="s">
        <v>58</v>
      </c>
      <c r="AA324" t="s">
        <v>54</v>
      </c>
      <c r="AB324" t="s">
        <v>1826</v>
      </c>
      <c r="AC324" t="s">
        <v>85</v>
      </c>
      <c r="AD324" t="s">
        <v>52</v>
      </c>
      <c r="AE324" t="s">
        <v>999</v>
      </c>
      <c r="AF324" t="s">
        <v>1000</v>
      </c>
      <c r="AG324" t="s">
        <v>58</v>
      </c>
      <c r="AH324" t="s">
        <v>1827</v>
      </c>
      <c r="AK324">
        <v>0</v>
      </c>
      <c r="AL324" t="s">
        <v>61</v>
      </c>
      <c r="AM324" t="s">
        <v>1828</v>
      </c>
      <c r="AN324" t="s">
        <v>1829</v>
      </c>
    </row>
    <row r="325" spans="1:40" x14ac:dyDescent="0.35">
      <c r="A325" t="s">
        <v>37</v>
      </c>
      <c r="B325" t="s">
        <v>1830</v>
      </c>
      <c r="C325" t="s">
        <v>39</v>
      </c>
      <c r="D325" t="s">
        <v>1831</v>
      </c>
      <c r="E325" t="s">
        <v>713</v>
      </c>
      <c r="F325" s="1">
        <v>46078.484340277777</v>
      </c>
      <c r="G325" t="s">
        <v>913</v>
      </c>
      <c r="H325" t="s">
        <v>72</v>
      </c>
      <c r="I325" t="s">
        <v>1832</v>
      </c>
      <c r="J325" t="s">
        <v>1833</v>
      </c>
      <c r="K325" t="s">
        <v>1834</v>
      </c>
      <c r="M325" t="s">
        <v>76</v>
      </c>
      <c r="O325" t="s">
        <v>77</v>
      </c>
      <c r="P325" t="s">
        <v>78</v>
      </c>
      <c r="Q325" t="s">
        <v>818</v>
      </c>
      <c r="R325" t="s">
        <v>51</v>
      </c>
      <c r="S325" t="s">
        <v>52</v>
      </c>
      <c r="T325" t="s">
        <v>240</v>
      </c>
      <c r="U325" s="1">
        <v>46078.943043981482</v>
      </c>
      <c r="V325" t="s">
        <v>54</v>
      </c>
      <c r="W325" t="s">
        <v>55</v>
      </c>
      <c r="X325" t="s">
        <v>134</v>
      </c>
      <c r="Y325" t="s">
        <v>1835</v>
      </c>
      <c r="Z325" t="s">
        <v>58</v>
      </c>
      <c r="AA325" t="s">
        <v>54</v>
      </c>
      <c r="AB325" t="s">
        <v>1836</v>
      </c>
      <c r="AC325" t="s">
        <v>85</v>
      </c>
      <c r="AD325" t="s">
        <v>52</v>
      </c>
      <c r="AE325" t="s">
        <v>243</v>
      </c>
      <c r="AF325" t="s">
        <v>1470</v>
      </c>
      <c r="AG325" t="s">
        <v>58</v>
      </c>
      <c r="AH325" t="s">
        <v>1837</v>
      </c>
      <c r="AK325">
        <v>0</v>
      </c>
      <c r="AL325" t="s">
        <v>61</v>
      </c>
      <c r="AM325" t="s">
        <v>1838</v>
      </c>
      <c r="AN325" t="s">
        <v>1839</v>
      </c>
    </row>
    <row r="326" spans="1:40" x14ac:dyDescent="0.35">
      <c r="A326" t="s">
        <v>37</v>
      </c>
      <c r="B326" t="s">
        <v>1840</v>
      </c>
      <c r="C326" t="s">
        <v>102</v>
      </c>
      <c r="D326" t="s">
        <v>1698</v>
      </c>
      <c r="E326" t="s">
        <v>584</v>
      </c>
      <c r="F326" s="1">
        <v>46078.482210648152</v>
      </c>
      <c r="G326" t="s">
        <v>105</v>
      </c>
      <c r="H326" t="s">
        <v>106</v>
      </c>
      <c r="I326" t="s">
        <v>1841</v>
      </c>
      <c r="J326" t="s">
        <v>108</v>
      </c>
      <c r="K326" t="s">
        <v>109</v>
      </c>
      <c r="M326" t="s">
        <v>150</v>
      </c>
      <c r="O326" t="s">
        <v>77</v>
      </c>
      <c r="P326" t="s">
        <v>78</v>
      </c>
      <c r="Q326" t="s">
        <v>50</v>
      </c>
      <c r="R326" t="s">
        <v>111</v>
      </c>
      <c r="S326" t="s">
        <v>51</v>
      </c>
      <c r="T326" t="s">
        <v>112</v>
      </c>
      <c r="U326" s="1">
        <v>46078.617465277777</v>
      </c>
      <c r="V326" t="s">
        <v>54</v>
      </c>
      <c r="W326" t="s">
        <v>55</v>
      </c>
      <c r="X326" t="s">
        <v>134</v>
      </c>
      <c r="Y326" t="s">
        <v>1842</v>
      </c>
      <c r="Z326" t="s">
        <v>58</v>
      </c>
      <c r="AA326" t="s">
        <v>54</v>
      </c>
      <c r="AB326" t="s">
        <v>1701</v>
      </c>
      <c r="AC326" t="s">
        <v>85</v>
      </c>
      <c r="AD326" t="s">
        <v>116</v>
      </c>
      <c r="AE326" t="s">
        <v>117</v>
      </c>
      <c r="AF326" t="s">
        <v>1843</v>
      </c>
      <c r="AG326" t="s">
        <v>58</v>
      </c>
      <c r="AK326">
        <v>1</v>
      </c>
      <c r="AL326" t="s">
        <v>61</v>
      </c>
      <c r="AM326" t="s">
        <v>1701</v>
      </c>
      <c r="AN326" t="s">
        <v>1702</v>
      </c>
    </row>
    <row r="327" spans="1:40" x14ac:dyDescent="0.35">
      <c r="A327" t="s">
        <v>37</v>
      </c>
      <c r="B327" t="s">
        <v>1844</v>
      </c>
      <c r="C327" t="s">
        <v>102</v>
      </c>
      <c r="D327" t="s">
        <v>1698</v>
      </c>
      <c r="E327" t="s">
        <v>584</v>
      </c>
      <c r="F327" s="1">
        <v>46078.474490740744</v>
      </c>
      <c r="G327" t="s">
        <v>105</v>
      </c>
      <c r="H327" t="s">
        <v>106</v>
      </c>
      <c r="I327" t="s">
        <v>1845</v>
      </c>
      <c r="J327" t="s">
        <v>108</v>
      </c>
      <c r="K327" t="s">
        <v>571</v>
      </c>
      <c r="M327" t="s">
        <v>76</v>
      </c>
      <c r="O327" t="s">
        <v>77</v>
      </c>
      <c r="P327" t="s">
        <v>78</v>
      </c>
      <c r="Q327" t="s">
        <v>50</v>
      </c>
      <c r="R327" t="s">
        <v>111</v>
      </c>
      <c r="S327" t="s">
        <v>51</v>
      </c>
      <c r="T327" t="s">
        <v>112</v>
      </c>
      <c r="U327" s="1">
        <v>46078.622743055559</v>
      </c>
      <c r="V327" t="s">
        <v>54</v>
      </c>
      <c r="W327" t="s">
        <v>55</v>
      </c>
      <c r="X327" t="s">
        <v>134</v>
      </c>
      <c r="Y327" t="s">
        <v>1846</v>
      </c>
      <c r="Z327" t="s">
        <v>58</v>
      </c>
      <c r="AA327" t="s">
        <v>54</v>
      </c>
      <c r="AB327" t="s">
        <v>1701</v>
      </c>
      <c r="AC327" t="s">
        <v>85</v>
      </c>
      <c r="AD327" t="s">
        <v>116</v>
      </c>
      <c r="AE327" t="s">
        <v>574</v>
      </c>
      <c r="AF327" t="s">
        <v>575</v>
      </c>
      <c r="AG327" t="s">
        <v>58</v>
      </c>
      <c r="AK327">
        <v>1</v>
      </c>
      <c r="AL327" t="s">
        <v>61</v>
      </c>
      <c r="AM327" t="s">
        <v>1701</v>
      </c>
      <c r="AN327" t="s">
        <v>1702</v>
      </c>
    </row>
    <row r="328" spans="1:40" x14ac:dyDescent="0.35">
      <c r="A328" t="s">
        <v>37</v>
      </c>
      <c r="B328" t="s">
        <v>1847</v>
      </c>
      <c r="C328" t="s">
        <v>102</v>
      </c>
      <c r="D328" t="s">
        <v>1698</v>
      </c>
      <c r="E328" t="s">
        <v>584</v>
      </c>
      <c r="F328" s="1">
        <v>46078.465902777774</v>
      </c>
      <c r="G328" t="s">
        <v>105</v>
      </c>
      <c r="H328" t="s">
        <v>106</v>
      </c>
      <c r="I328" t="s">
        <v>1848</v>
      </c>
      <c r="J328" t="s">
        <v>108</v>
      </c>
      <c r="K328" t="s">
        <v>109</v>
      </c>
      <c r="M328" t="s">
        <v>76</v>
      </c>
      <c r="O328" t="s">
        <v>77</v>
      </c>
      <c r="P328" t="s">
        <v>78</v>
      </c>
      <c r="Q328" t="s">
        <v>50</v>
      </c>
      <c r="R328" t="s">
        <v>111</v>
      </c>
      <c r="S328" t="s">
        <v>51</v>
      </c>
      <c r="T328" t="s">
        <v>112</v>
      </c>
      <c r="U328" s="1">
        <v>46078.611516203702</v>
      </c>
      <c r="V328" t="s">
        <v>54</v>
      </c>
      <c r="W328" t="s">
        <v>55</v>
      </c>
      <c r="X328" t="s">
        <v>134</v>
      </c>
      <c r="Y328" t="s">
        <v>1849</v>
      </c>
      <c r="Z328" t="s">
        <v>58</v>
      </c>
      <c r="AA328" t="s">
        <v>54</v>
      </c>
      <c r="AB328" t="s">
        <v>1701</v>
      </c>
      <c r="AC328" t="s">
        <v>85</v>
      </c>
      <c r="AD328" t="s">
        <v>116</v>
      </c>
      <c r="AE328" t="s">
        <v>117</v>
      </c>
      <c r="AF328" t="s">
        <v>1706</v>
      </c>
      <c r="AG328" t="s">
        <v>58</v>
      </c>
      <c r="AK328">
        <v>1</v>
      </c>
      <c r="AL328" t="s">
        <v>61</v>
      </c>
      <c r="AM328" t="s">
        <v>1701</v>
      </c>
      <c r="AN328" t="s">
        <v>1702</v>
      </c>
    </row>
    <row r="329" spans="1:40" x14ac:dyDescent="0.35">
      <c r="A329" t="s">
        <v>37</v>
      </c>
      <c r="B329" t="s">
        <v>1850</v>
      </c>
      <c r="C329" t="s">
        <v>102</v>
      </c>
      <c r="D329" t="s">
        <v>1698</v>
      </c>
      <c r="E329" t="s">
        <v>584</v>
      </c>
      <c r="F329" s="1">
        <v>46078.457442129627</v>
      </c>
      <c r="G329" t="s">
        <v>105</v>
      </c>
      <c r="H329" t="s">
        <v>106</v>
      </c>
      <c r="I329" t="s">
        <v>1851</v>
      </c>
      <c r="J329" t="s">
        <v>108</v>
      </c>
      <c r="K329" t="s">
        <v>341</v>
      </c>
      <c r="M329" t="s">
        <v>76</v>
      </c>
      <c r="O329" t="s">
        <v>77</v>
      </c>
      <c r="P329" t="s">
        <v>78</v>
      </c>
      <c r="Q329" t="s">
        <v>50</v>
      </c>
      <c r="R329" t="s">
        <v>111</v>
      </c>
      <c r="S329" t="s">
        <v>51</v>
      </c>
      <c r="T329" t="s">
        <v>112</v>
      </c>
      <c r="U329" s="1">
        <v>46078.757337962961</v>
      </c>
      <c r="V329" t="s">
        <v>54</v>
      </c>
      <c r="X329" t="s">
        <v>134</v>
      </c>
      <c r="Y329" t="s">
        <v>1852</v>
      </c>
      <c r="Z329" t="s">
        <v>58</v>
      </c>
      <c r="AA329" t="s">
        <v>54</v>
      </c>
      <c r="AB329" t="s">
        <v>1701</v>
      </c>
      <c r="AC329" t="s">
        <v>85</v>
      </c>
      <c r="AD329" t="s">
        <v>116</v>
      </c>
      <c r="AE329" t="s">
        <v>117</v>
      </c>
      <c r="AF329" t="s">
        <v>1740</v>
      </c>
      <c r="AG329" t="s">
        <v>58</v>
      </c>
      <c r="AK329">
        <v>1</v>
      </c>
      <c r="AL329" t="s">
        <v>61</v>
      </c>
      <c r="AM329" t="s">
        <v>1701</v>
      </c>
      <c r="AN329" t="s">
        <v>1702</v>
      </c>
    </row>
    <row r="330" spans="1:40" x14ac:dyDescent="0.35">
      <c r="A330" t="s">
        <v>37</v>
      </c>
      <c r="B330" t="s">
        <v>1853</v>
      </c>
      <c r="C330" t="s">
        <v>39</v>
      </c>
      <c r="D330" t="s">
        <v>1854</v>
      </c>
      <c r="E330" t="s">
        <v>1855</v>
      </c>
      <c r="F330" s="1">
        <v>46078.454768518517</v>
      </c>
      <c r="G330" t="s">
        <v>355</v>
      </c>
      <c r="H330" t="s">
        <v>356</v>
      </c>
      <c r="I330" t="s">
        <v>1856</v>
      </c>
      <c r="J330" t="s">
        <v>1823</v>
      </c>
      <c r="K330" t="s">
        <v>1824</v>
      </c>
      <c r="M330" t="s">
        <v>131</v>
      </c>
      <c r="O330" t="s">
        <v>77</v>
      </c>
      <c r="P330" t="s">
        <v>78</v>
      </c>
      <c r="Q330" t="s">
        <v>50</v>
      </c>
      <c r="R330" t="s">
        <v>51</v>
      </c>
      <c r="S330" t="s">
        <v>52</v>
      </c>
      <c r="T330" t="s">
        <v>997</v>
      </c>
      <c r="U330" s="1">
        <v>46078.55096064815</v>
      </c>
      <c r="V330" t="s">
        <v>54</v>
      </c>
      <c r="W330" t="s">
        <v>55</v>
      </c>
      <c r="X330" t="s">
        <v>113</v>
      </c>
      <c r="Y330" t="s">
        <v>1857</v>
      </c>
      <c r="Z330" t="s">
        <v>58</v>
      </c>
      <c r="AA330" t="s">
        <v>54</v>
      </c>
      <c r="AB330" t="s">
        <v>1826</v>
      </c>
      <c r="AC330" t="s">
        <v>85</v>
      </c>
      <c r="AD330" t="s">
        <v>52</v>
      </c>
      <c r="AE330" t="s">
        <v>999</v>
      </c>
      <c r="AF330" t="s">
        <v>1000</v>
      </c>
      <c r="AG330" t="s">
        <v>58</v>
      </c>
      <c r="AH330" t="s">
        <v>1858</v>
      </c>
      <c r="AK330">
        <v>0</v>
      </c>
      <c r="AL330" t="s">
        <v>61</v>
      </c>
      <c r="AM330" t="s">
        <v>1859</v>
      </c>
      <c r="AN330" t="s">
        <v>1860</v>
      </c>
    </row>
    <row r="331" spans="1:40" x14ac:dyDescent="0.35">
      <c r="A331" t="s">
        <v>37</v>
      </c>
      <c r="B331" t="s">
        <v>1861</v>
      </c>
      <c r="C331" t="s">
        <v>39</v>
      </c>
      <c r="D331" t="s">
        <v>1862</v>
      </c>
      <c r="E331" t="s">
        <v>1863</v>
      </c>
      <c r="F331" s="1">
        <v>46078.42396990741</v>
      </c>
      <c r="G331" t="s">
        <v>286</v>
      </c>
      <c r="H331" t="s">
        <v>287</v>
      </c>
      <c r="I331" t="s">
        <v>1864</v>
      </c>
      <c r="J331" t="s">
        <v>1865</v>
      </c>
      <c r="K331" t="s">
        <v>1824</v>
      </c>
      <c r="M331" t="s">
        <v>131</v>
      </c>
      <c r="O331" t="s">
        <v>77</v>
      </c>
      <c r="P331" t="s">
        <v>78</v>
      </c>
      <c r="Q331" t="s">
        <v>50</v>
      </c>
      <c r="R331" t="s">
        <v>51</v>
      </c>
      <c r="S331" t="s">
        <v>52</v>
      </c>
      <c r="T331" t="s">
        <v>240</v>
      </c>
      <c r="U331" s="1">
        <v>46078.425497685188</v>
      </c>
      <c r="V331" t="s">
        <v>54</v>
      </c>
      <c r="W331" t="s">
        <v>55</v>
      </c>
      <c r="X331" t="s">
        <v>113</v>
      </c>
      <c r="Y331" t="s">
        <v>1866</v>
      </c>
      <c r="Z331" t="s">
        <v>58</v>
      </c>
      <c r="AA331" t="s">
        <v>54</v>
      </c>
      <c r="AB331" t="s">
        <v>1867</v>
      </c>
      <c r="AC331" t="s">
        <v>85</v>
      </c>
      <c r="AD331" t="s">
        <v>52</v>
      </c>
      <c r="AE331" t="s">
        <v>243</v>
      </c>
      <c r="AF331" t="s">
        <v>1470</v>
      </c>
      <c r="AG331" t="s">
        <v>58</v>
      </c>
      <c r="AH331" t="s">
        <v>1868</v>
      </c>
      <c r="AK331">
        <v>0</v>
      </c>
      <c r="AL331" t="s">
        <v>61</v>
      </c>
      <c r="AM331" t="s">
        <v>1869</v>
      </c>
      <c r="AN331" t="s">
        <v>1870</v>
      </c>
    </row>
    <row r="332" spans="1:40" x14ac:dyDescent="0.35">
      <c r="A332" t="s">
        <v>37</v>
      </c>
      <c r="B332" t="s">
        <v>1871</v>
      </c>
      <c r="C332" t="s">
        <v>102</v>
      </c>
      <c r="D332" t="s">
        <v>1698</v>
      </c>
      <c r="E332" t="s">
        <v>584</v>
      </c>
      <c r="F332" s="1">
        <v>46078.413402777776</v>
      </c>
      <c r="G332" t="s">
        <v>105</v>
      </c>
      <c r="H332" t="s">
        <v>106</v>
      </c>
      <c r="I332" t="s">
        <v>1872</v>
      </c>
      <c r="J332" t="s">
        <v>108</v>
      </c>
      <c r="K332" t="s">
        <v>571</v>
      </c>
      <c r="M332" t="s">
        <v>76</v>
      </c>
      <c r="O332" t="s">
        <v>77</v>
      </c>
      <c r="P332" t="s">
        <v>78</v>
      </c>
      <c r="Q332" t="s">
        <v>50</v>
      </c>
      <c r="R332" t="s">
        <v>111</v>
      </c>
      <c r="S332" t="s">
        <v>51</v>
      </c>
      <c r="T332" t="s">
        <v>112</v>
      </c>
      <c r="U332" s="1">
        <v>46078.623240740744</v>
      </c>
      <c r="V332" t="s">
        <v>54</v>
      </c>
      <c r="W332" t="s">
        <v>55</v>
      </c>
      <c r="X332" t="s">
        <v>134</v>
      </c>
      <c r="Y332" t="s">
        <v>1873</v>
      </c>
      <c r="Z332" t="s">
        <v>58</v>
      </c>
      <c r="AA332" t="s">
        <v>54</v>
      </c>
      <c r="AB332" t="s">
        <v>1701</v>
      </c>
      <c r="AC332" t="s">
        <v>85</v>
      </c>
      <c r="AD332" t="s">
        <v>116</v>
      </c>
      <c r="AE332" t="s">
        <v>574</v>
      </c>
      <c r="AF332" t="s">
        <v>1874</v>
      </c>
      <c r="AG332" t="s">
        <v>58</v>
      </c>
      <c r="AK332">
        <v>1</v>
      </c>
      <c r="AL332" t="s">
        <v>61</v>
      </c>
      <c r="AM332" t="s">
        <v>1701</v>
      </c>
      <c r="AN332" t="s">
        <v>1702</v>
      </c>
    </row>
    <row r="333" spans="1:40" x14ac:dyDescent="0.35">
      <c r="A333" t="s">
        <v>37</v>
      </c>
      <c r="B333" t="s">
        <v>1875</v>
      </c>
      <c r="C333" t="s">
        <v>102</v>
      </c>
      <c r="D333" t="s">
        <v>1698</v>
      </c>
      <c r="E333" t="s">
        <v>584</v>
      </c>
      <c r="F333" s="1">
        <v>46078.409895833334</v>
      </c>
      <c r="G333" t="s">
        <v>105</v>
      </c>
      <c r="H333" t="s">
        <v>106</v>
      </c>
      <c r="I333" t="s">
        <v>1848</v>
      </c>
      <c r="J333" t="s">
        <v>108</v>
      </c>
      <c r="K333" t="s">
        <v>341</v>
      </c>
      <c r="M333" t="s">
        <v>76</v>
      </c>
      <c r="O333" t="s">
        <v>77</v>
      </c>
      <c r="P333" t="s">
        <v>78</v>
      </c>
      <c r="Q333" t="s">
        <v>50</v>
      </c>
      <c r="R333" t="s">
        <v>111</v>
      </c>
      <c r="S333" t="s">
        <v>51</v>
      </c>
      <c r="T333" t="s">
        <v>112</v>
      </c>
      <c r="U333" s="1">
        <v>46078.456678240742</v>
      </c>
      <c r="V333" t="s">
        <v>54</v>
      </c>
      <c r="X333" t="s">
        <v>134</v>
      </c>
      <c r="Y333" t="s">
        <v>1876</v>
      </c>
      <c r="Z333" t="s">
        <v>58</v>
      </c>
      <c r="AA333" t="s">
        <v>54</v>
      </c>
      <c r="AB333" t="s">
        <v>1701</v>
      </c>
      <c r="AC333" t="s">
        <v>85</v>
      </c>
      <c r="AD333" t="s">
        <v>116</v>
      </c>
      <c r="AE333" t="s">
        <v>117</v>
      </c>
      <c r="AF333" t="s">
        <v>1740</v>
      </c>
      <c r="AG333" t="s">
        <v>58</v>
      </c>
      <c r="AK333">
        <v>1</v>
      </c>
      <c r="AL333" t="s">
        <v>61</v>
      </c>
      <c r="AM333" t="s">
        <v>1701</v>
      </c>
      <c r="AN333" t="s">
        <v>1702</v>
      </c>
    </row>
    <row r="334" spans="1:40" x14ac:dyDescent="0.35">
      <c r="A334" t="s">
        <v>37</v>
      </c>
      <c r="B334" t="s">
        <v>1877</v>
      </c>
      <c r="C334" t="s">
        <v>102</v>
      </c>
      <c r="D334" t="s">
        <v>1698</v>
      </c>
      <c r="E334" t="s">
        <v>584</v>
      </c>
      <c r="F334" s="1">
        <v>46078.397951388892</v>
      </c>
      <c r="G334" t="s">
        <v>105</v>
      </c>
      <c r="H334" t="s">
        <v>106</v>
      </c>
      <c r="I334" t="s">
        <v>1878</v>
      </c>
      <c r="J334" t="s">
        <v>108</v>
      </c>
      <c r="K334" t="s">
        <v>109</v>
      </c>
      <c r="M334" t="s">
        <v>76</v>
      </c>
      <c r="O334" t="s">
        <v>77</v>
      </c>
      <c r="P334" t="s">
        <v>78</v>
      </c>
      <c r="Q334" t="s">
        <v>50</v>
      </c>
      <c r="R334" t="s">
        <v>111</v>
      </c>
      <c r="S334" t="s">
        <v>51</v>
      </c>
      <c r="T334" t="s">
        <v>112</v>
      </c>
      <c r="U334" s="1">
        <v>46078.458773148152</v>
      </c>
      <c r="V334" t="s">
        <v>54</v>
      </c>
      <c r="W334" t="s">
        <v>55</v>
      </c>
      <c r="X334" t="s">
        <v>134</v>
      </c>
      <c r="Y334" t="s">
        <v>1879</v>
      </c>
      <c r="Z334" t="s">
        <v>58</v>
      </c>
      <c r="AA334" t="s">
        <v>54</v>
      </c>
      <c r="AB334" t="s">
        <v>1701</v>
      </c>
      <c r="AC334" t="s">
        <v>85</v>
      </c>
      <c r="AD334" t="s">
        <v>116</v>
      </c>
      <c r="AE334" t="s">
        <v>117</v>
      </c>
      <c r="AF334" t="s">
        <v>1874</v>
      </c>
      <c r="AG334" t="s">
        <v>58</v>
      </c>
      <c r="AK334">
        <v>1</v>
      </c>
      <c r="AL334" t="s">
        <v>61</v>
      </c>
      <c r="AM334" t="s">
        <v>1701</v>
      </c>
      <c r="AN334" t="s">
        <v>1702</v>
      </c>
    </row>
    <row r="335" spans="1:40" x14ac:dyDescent="0.35">
      <c r="A335" t="s">
        <v>37</v>
      </c>
      <c r="B335" t="s">
        <v>1880</v>
      </c>
      <c r="C335" t="s">
        <v>102</v>
      </c>
      <c r="D335" t="s">
        <v>1698</v>
      </c>
      <c r="E335" t="s">
        <v>584</v>
      </c>
      <c r="F335" s="1">
        <v>46078.344942129632</v>
      </c>
      <c r="G335" t="s">
        <v>105</v>
      </c>
      <c r="H335" t="s">
        <v>106</v>
      </c>
      <c r="I335" t="s">
        <v>1745</v>
      </c>
      <c r="J335" t="s">
        <v>108</v>
      </c>
      <c r="K335" t="s">
        <v>341</v>
      </c>
      <c r="M335" t="s">
        <v>76</v>
      </c>
      <c r="O335" t="s">
        <v>77</v>
      </c>
      <c r="P335" t="s">
        <v>78</v>
      </c>
      <c r="Q335" t="s">
        <v>50</v>
      </c>
      <c r="R335" t="s">
        <v>111</v>
      </c>
      <c r="S335" t="s">
        <v>51</v>
      </c>
      <c r="T335" t="s">
        <v>112</v>
      </c>
      <c r="U335" s="1">
        <v>46078.625891203701</v>
      </c>
      <c r="V335" t="s">
        <v>54</v>
      </c>
      <c r="X335" t="s">
        <v>134</v>
      </c>
      <c r="Y335" t="s">
        <v>1881</v>
      </c>
      <c r="Z335" t="s">
        <v>58</v>
      </c>
      <c r="AA335" t="s">
        <v>54</v>
      </c>
      <c r="AB335" t="s">
        <v>1701</v>
      </c>
      <c r="AC335" t="s">
        <v>85</v>
      </c>
      <c r="AD335" t="s">
        <v>116</v>
      </c>
      <c r="AE335" t="s">
        <v>117</v>
      </c>
      <c r="AF335" t="s">
        <v>1740</v>
      </c>
      <c r="AG335" t="s">
        <v>58</v>
      </c>
      <c r="AK335">
        <v>1</v>
      </c>
      <c r="AL335" t="s">
        <v>61</v>
      </c>
      <c r="AM335" t="s">
        <v>1701</v>
      </c>
      <c r="AN335" t="s">
        <v>1702</v>
      </c>
    </row>
    <row r="336" spans="1:40" x14ac:dyDescent="0.35">
      <c r="A336" t="s">
        <v>37</v>
      </c>
      <c r="B336" t="s">
        <v>1882</v>
      </c>
      <c r="C336" t="s">
        <v>102</v>
      </c>
      <c r="D336" t="s">
        <v>1698</v>
      </c>
      <c r="E336" t="s">
        <v>584</v>
      </c>
      <c r="F336" s="1">
        <v>46078.333645833336</v>
      </c>
      <c r="G336" t="s">
        <v>105</v>
      </c>
      <c r="H336" t="s">
        <v>106</v>
      </c>
      <c r="I336" t="s">
        <v>1375</v>
      </c>
      <c r="J336" t="s">
        <v>108</v>
      </c>
      <c r="K336" t="s">
        <v>571</v>
      </c>
      <c r="M336" t="s">
        <v>76</v>
      </c>
      <c r="O336" t="s">
        <v>77</v>
      </c>
      <c r="P336" t="s">
        <v>78</v>
      </c>
      <c r="Q336" t="s">
        <v>50</v>
      </c>
      <c r="R336" t="s">
        <v>111</v>
      </c>
      <c r="S336" t="s">
        <v>51</v>
      </c>
      <c r="T336" t="s">
        <v>112</v>
      </c>
      <c r="U336" s="1">
        <v>46078.402337962965</v>
      </c>
      <c r="V336" t="s">
        <v>54</v>
      </c>
      <c r="W336" t="s">
        <v>55</v>
      </c>
      <c r="X336" t="s">
        <v>134</v>
      </c>
      <c r="Y336" t="s">
        <v>1883</v>
      </c>
      <c r="Z336" t="s">
        <v>58</v>
      </c>
      <c r="AA336" t="s">
        <v>54</v>
      </c>
      <c r="AB336" t="s">
        <v>1701</v>
      </c>
      <c r="AC336" t="s">
        <v>85</v>
      </c>
      <c r="AD336" t="s">
        <v>116</v>
      </c>
      <c r="AE336" t="s">
        <v>574</v>
      </c>
      <c r="AF336" t="s">
        <v>1706</v>
      </c>
      <c r="AG336" t="s">
        <v>58</v>
      </c>
      <c r="AK336">
        <v>1</v>
      </c>
      <c r="AL336" t="s">
        <v>61</v>
      </c>
      <c r="AM336" t="s">
        <v>1701</v>
      </c>
      <c r="AN336" t="s">
        <v>1702</v>
      </c>
    </row>
    <row r="337" spans="1:40" x14ac:dyDescent="0.35">
      <c r="A337" t="s">
        <v>37</v>
      </c>
      <c r="B337" t="s">
        <v>1884</v>
      </c>
      <c r="C337" t="s">
        <v>39</v>
      </c>
      <c r="D337" t="s">
        <v>1885</v>
      </c>
      <c r="E337" t="s">
        <v>1886</v>
      </c>
      <c r="F337" s="1">
        <v>46078.328009259261</v>
      </c>
      <c r="G337" t="s">
        <v>355</v>
      </c>
      <c r="H337" t="s">
        <v>356</v>
      </c>
      <c r="I337" t="s">
        <v>1887</v>
      </c>
      <c r="J337" t="s">
        <v>1186</v>
      </c>
      <c r="K337" t="s">
        <v>1187</v>
      </c>
      <c r="M337" t="s">
        <v>76</v>
      </c>
      <c r="O337" t="s">
        <v>77</v>
      </c>
      <c r="P337" t="s">
        <v>78</v>
      </c>
      <c r="Q337" t="s">
        <v>50</v>
      </c>
      <c r="R337" t="s">
        <v>51</v>
      </c>
      <c r="S337" t="s">
        <v>240</v>
      </c>
      <c r="T337" t="s">
        <v>1888</v>
      </c>
      <c r="U337" s="1">
        <v>46078.448634259257</v>
      </c>
      <c r="V337" t="s">
        <v>54</v>
      </c>
      <c r="W337" t="s">
        <v>55</v>
      </c>
      <c r="X337" t="s">
        <v>113</v>
      </c>
      <c r="Y337" t="s">
        <v>1889</v>
      </c>
      <c r="Z337" t="s">
        <v>58</v>
      </c>
      <c r="AA337" t="s">
        <v>54</v>
      </c>
      <c r="AB337" t="s">
        <v>1890</v>
      </c>
      <c r="AC337" t="s">
        <v>85</v>
      </c>
      <c r="AD337" t="s">
        <v>1189</v>
      </c>
      <c r="AE337" t="s">
        <v>1190</v>
      </c>
      <c r="AF337" t="s">
        <v>1891</v>
      </c>
      <c r="AG337" t="s">
        <v>58</v>
      </c>
      <c r="AH337" t="s">
        <v>1892</v>
      </c>
      <c r="AK337">
        <v>2</v>
      </c>
      <c r="AL337" t="s">
        <v>61</v>
      </c>
      <c r="AM337" t="s">
        <v>1890</v>
      </c>
      <c r="AN337" t="s">
        <v>1893</v>
      </c>
    </row>
    <row r="338" spans="1:40" x14ac:dyDescent="0.35">
      <c r="A338" t="s">
        <v>37</v>
      </c>
      <c r="B338" t="s">
        <v>1894</v>
      </c>
      <c r="C338" t="s">
        <v>102</v>
      </c>
      <c r="D338" t="s">
        <v>1698</v>
      </c>
      <c r="E338" t="s">
        <v>584</v>
      </c>
      <c r="F338" s="1">
        <v>46078.319618055553</v>
      </c>
      <c r="G338" t="s">
        <v>105</v>
      </c>
      <c r="H338" t="s">
        <v>106</v>
      </c>
      <c r="I338" t="s">
        <v>340</v>
      </c>
      <c r="J338" t="s">
        <v>108</v>
      </c>
      <c r="K338" t="s">
        <v>109</v>
      </c>
      <c r="M338" t="s">
        <v>76</v>
      </c>
      <c r="O338" t="s">
        <v>77</v>
      </c>
      <c r="P338" t="s">
        <v>78</v>
      </c>
      <c r="Q338" t="s">
        <v>50</v>
      </c>
      <c r="R338" t="s">
        <v>111</v>
      </c>
      <c r="S338" t="s">
        <v>51</v>
      </c>
      <c r="T338" t="s">
        <v>112</v>
      </c>
      <c r="U338" s="1">
        <v>46078.810960648145</v>
      </c>
      <c r="V338" t="s">
        <v>54</v>
      </c>
      <c r="W338" t="s">
        <v>1584</v>
      </c>
      <c r="X338" t="s">
        <v>134</v>
      </c>
      <c r="Y338" t="s">
        <v>1895</v>
      </c>
      <c r="Z338" t="s">
        <v>58</v>
      </c>
      <c r="AA338" t="s">
        <v>54</v>
      </c>
      <c r="AB338" t="s">
        <v>1701</v>
      </c>
      <c r="AC338" t="s">
        <v>85</v>
      </c>
      <c r="AD338" t="s">
        <v>116</v>
      </c>
      <c r="AE338" t="s">
        <v>117</v>
      </c>
      <c r="AF338" t="s">
        <v>1896</v>
      </c>
      <c r="AG338" t="s">
        <v>58</v>
      </c>
      <c r="AK338">
        <v>1</v>
      </c>
      <c r="AL338" t="s">
        <v>61</v>
      </c>
      <c r="AM338" t="s">
        <v>1701</v>
      </c>
      <c r="AN338" t="s">
        <v>1702</v>
      </c>
    </row>
    <row r="339" spans="1:40" x14ac:dyDescent="0.35">
      <c r="A339" t="s">
        <v>37</v>
      </c>
      <c r="B339" t="s">
        <v>1897</v>
      </c>
      <c r="C339" t="s">
        <v>102</v>
      </c>
      <c r="D339" t="s">
        <v>1698</v>
      </c>
      <c r="E339" t="s">
        <v>584</v>
      </c>
      <c r="F339" s="1">
        <v>46078.301435185182</v>
      </c>
      <c r="G339" t="s">
        <v>105</v>
      </c>
      <c r="H339" t="s">
        <v>106</v>
      </c>
      <c r="I339" t="s">
        <v>1898</v>
      </c>
      <c r="J339" t="s">
        <v>108</v>
      </c>
      <c r="K339" t="s">
        <v>109</v>
      </c>
      <c r="M339" t="s">
        <v>76</v>
      </c>
      <c r="O339" t="s">
        <v>77</v>
      </c>
      <c r="P339" t="s">
        <v>78</v>
      </c>
      <c r="Q339" t="s">
        <v>50</v>
      </c>
      <c r="R339" t="s">
        <v>111</v>
      </c>
      <c r="S339" t="s">
        <v>51</v>
      </c>
      <c r="T339" t="s">
        <v>112</v>
      </c>
      <c r="U339" s="1">
        <v>46078.397858796299</v>
      </c>
      <c r="V339" t="s">
        <v>54</v>
      </c>
      <c r="W339" t="s">
        <v>55</v>
      </c>
      <c r="X339" t="s">
        <v>134</v>
      </c>
      <c r="Y339" t="s">
        <v>1899</v>
      </c>
      <c r="Z339" t="s">
        <v>58</v>
      </c>
      <c r="AA339" t="s">
        <v>54</v>
      </c>
      <c r="AB339" t="s">
        <v>1701</v>
      </c>
      <c r="AC339" t="s">
        <v>85</v>
      </c>
      <c r="AD339" t="s">
        <v>116</v>
      </c>
      <c r="AE339" t="s">
        <v>117</v>
      </c>
      <c r="AF339" t="s">
        <v>1900</v>
      </c>
      <c r="AG339" t="s">
        <v>58</v>
      </c>
      <c r="AK339">
        <v>1</v>
      </c>
      <c r="AL339" t="s">
        <v>61</v>
      </c>
      <c r="AM339" t="s">
        <v>1701</v>
      </c>
      <c r="AN339" t="s">
        <v>1702</v>
      </c>
    </row>
    <row r="340" spans="1:40" x14ac:dyDescent="0.35">
      <c r="A340" t="s">
        <v>37</v>
      </c>
      <c r="B340" t="s">
        <v>1901</v>
      </c>
      <c r="C340" t="s">
        <v>102</v>
      </c>
      <c r="D340" t="s">
        <v>1698</v>
      </c>
      <c r="E340" t="s">
        <v>584</v>
      </c>
      <c r="F340" s="1">
        <v>46078.29928240741</v>
      </c>
      <c r="G340" t="s">
        <v>105</v>
      </c>
      <c r="H340" t="s">
        <v>106</v>
      </c>
      <c r="I340" t="s">
        <v>1902</v>
      </c>
      <c r="J340" t="s">
        <v>108</v>
      </c>
      <c r="K340" t="s">
        <v>109</v>
      </c>
      <c r="M340" t="s">
        <v>76</v>
      </c>
      <c r="O340" t="s">
        <v>77</v>
      </c>
      <c r="P340" t="s">
        <v>78</v>
      </c>
      <c r="Q340" t="s">
        <v>50</v>
      </c>
      <c r="R340" t="s">
        <v>111</v>
      </c>
      <c r="S340" t="s">
        <v>51</v>
      </c>
      <c r="T340" t="s">
        <v>112</v>
      </c>
      <c r="U340" s="1">
        <v>46078.39947916667</v>
      </c>
      <c r="V340" t="s">
        <v>54</v>
      </c>
      <c r="W340" t="s">
        <v>55</v>
      </c>
      <c r="X340" t="s">
        <v>134</v>
      </c>
      <c r="Y340" t="s">
        <v>1903</v>
      </c>
      <c r="Z340" t="s">
        <v>58</v>
      </c>
      <c r="AA340" t="s">
        <v>54</v>
      </c>
      <c r="AB340" t="s">
        <v>1701</v>
      </c>
      <c r="AC340" t="s">
        <v>85</v>
      </c>
      <c r="AD340" t="s">
        <v>116</v>
      </c>
      <c r="AE340" t="s">
        <v>117</v>
      </c>
      <c r="AF340" t="s">
        <v>1706</v>
      </c>
      <c r="AG340" t="s">
        <v>58</v>
      </c>
      <c r="AK340">
        <v>1</v>
      </c>
      <c r="AL340" t="s">
        <v>61</v>
      </c>
      <c r="AM340" t="s">
        <v>1701</v>
      </c>
      <c r="AN340" t="s">
        <v>1702</v>
      </c>
    </row>
    <row r="341" spans="1:40" x14ac:dyDescent="0.35">
      <c r="A341" t="s">
        <v>37</v>
      </c>
      <c r="B341" t="s">
        <v>1904</v>
      </c>
      <c r="C341" t="s">
        <v>102</v>
      </c>
      <c r="D341" t="s">
        <v>1698</v>
      </c>
      <c r="E341" t="s">
        <v>584</v>
      </c>
      <c r="F341" s="1">
        <v>46078.282557870371</v>
      </c>
      <c r="G341" t="s">
        <v>105</v>
      </c>
      <c r="H341" t="s">
        <v>106</v>
      </c>
      <c r="I341" t="s">
        <v>1905</v>
      </c>
      <c r="J341" t="s">
        <v>108</v>
      </c>
      <c r="K341" t="s">
        <v>341</v>
      </c>
      <c r="M341" t="s">
        <v>76</v>
      </c>
      <c r="O341" t="s">
        <v>77</v>
      </c>
      <c r="P341" t="s">
        <v>78</v>
      </c>
      <c r="Q341" t="s">
        <v>50</v>
      </c>
      <c r="R341" t="s">
        <v>111</v>
      </c>
      <c r="S341" t="s">
        <v>51</v>
      </c>
      <c r="T341" t="s">
        <v>112</v>
      </c>
      <c r="U341" s="1">
        <v>46078.625243055554</v>
      </c>
      <c r="V341" t="s">
        <v>54</v>
      </c>
      <c r="X341" t="s">
        <v>134</v>
      </c>
      <c r="Y341" t="s">
        <v>1906</v>
      </c>
      <c r="Z341" t="s">
        <v>58</v>
      </c>
      <c r="AA341" t="s">
        <v>54</v>
      </c>
      <c r="AB341" t="s">
        <v>1701</v>
      </c>
      <c r="AC341" t="s">
        <v>85</v>
      </c>
      <c r="AD341" t="s">
        <v>116</v>
      </c>
      <c r="AE341" t="s">
        <v>117</v>
      </c>
      <c r="AF341" t="s">
        <v>1740</v>
      </c>
      <c r="AG341" t="s">
        <v>58</v>
      </c>
      <c r="AK341">
        <v>1</v>
      </c>
      <c r="AL341" t="s">
        <v>61</v>
      </c>
      <c r="AM341" t="s">
        <v>1701</v>
      </c>
      <c r="AN341" t="s">
        <v>1702</v>
      </c>
    </row>
    <row r="342" spans="1:40" x14ac:dyDescent="0.35">
      <c r="A342" t="s">
        <v>37</v>
      </c>
      <c r="B342" t="s">
        <v>1907</v>
      </c>
      <c r="C342" t="s">
        <v>102</v>
      </c>
      <c r="D342" t="s">
        <v>1698</v>
      </c>
      <c r="E342" t="s">
        <v>584</v>
      </c>
      <c r="F342" s="1">
        <v>46078.256689814814</v>
      </c>
      <c r="G342" t="s">
        <v>105</v>
      </c>
      <c r="H342" t="s">
        <v>106</v>
      </c>
      <c r="I342" t="s">
        <v>1908</v>
      </c>
      <c r="J342" t="s">
        <v>108</v>
      </c>
      <c r="K342" t="s">
        <v>109</v>
      </c>
      <c r="M342" t="s">
        <v>76</v>
      </c>
      <c r="O342" t="s">
        <v>77</v>
      </c>
      <c r="P342" t="s">
        <v>78</v>
      </c>
      <c r="Q342" t="s">
        <v>50</v>
      </c>
      <c r="R342" t="s">
        <v>111</v>
      </c>
      <c r="S342" t="s">
        <v>51</v>
      </c>
      <c r="T342" t="s">
        <v>112</v>
      </c>
      <c r="U342" s="1">
        <v>46078.398831018516</v>
      </c>
      <c r="V342" t="s">
        <v>54</v>
      </c>
      <c r="W342" t="s">
        <v>55</v>
      </c>
      <c r="X342" t="s">
        <v>134</v>
      </c>
      <c r="Y342" t="s">
        <v>1909</v>
      </c>
      <c r="Z342" t="s">
        <v>58</v>
      </c>
      <c r="AA342" t="s">
        <v>54</v>
      </c>
      <c r="AB342" t="s">
        <v>1701</v>
      </c>
      <c r="AC342" t="s">
        <v>85</v>
      </c>
      <c r="AD342" t="s">
        <v>116</v>
      </c>
      <c r="AE342" t="s">
        <v>117</v>
      </c>
      <c r="AF342" t="s">
        <v>1724</v>
      </c>
      <c r="AG342" t="s">
        <v>58</v>
      </c>
      <c r="AK342">
        <v>1</v>
      </c>
      <c r="AL342" t="s">
        <v>61</v>
      </c>
      <c r="AM342" t="s">
        <v>1701</v>
      </c>
      <c r="AN342" t="s">
        <v>1702</v>
      </c>
    </row>
    <row r="343" spans="1:40" x14ac:dyDescent="0.35">
      <c r="A343" t="s">
        <v>37</v>
      </c>
      <c r="B343" t="s">
        <v>1910</v>
      </c>
      <c r="C343" t="s">
        <v>102</v>
      </c>
      <c r="D343" t="s">
        <v>1698</v>
      </c>
      <c r="E343" t="s">
        <v>584</v>
      </c>
      <c r="F343" s="1">
        <v>46078.251354166663</v>
      </c>
      <c r="G343" t="s">
        <v>105</v>
      </c>
      <c r="H343" t="s">
        <v>106</v>
      </c>
      <c r="I343" t="s">
        <v>340</v>
      </c>
      <c r="J343" t="s">
        <v>108</v>
      </c>
      <c r="K343" t="s">
        <v>109</v>
      </c>
      <c r="M343" t="s">
        <v>150</v>
      </c>
      <c r="O343" t="s">
        <v>77</v>
      </c>
      <c r="P343" t="s">
        <v>78</v>
      </c>
      <c r="Q343" t="s">
        <v>50</v>
      </c>
      <c r="R343" t="s">
        <v>111</v>
      </c>
      <c r="S343" t="s">
        <v>51</v>
      </c>
      <c r="T343" t="s">
        <v>112</v>
      </c>
      <c r="U343" s="1">
        <v>46078.811307870368</v>
      </c>
      <c r="V343" t="s">
        <v>54</v>
      </c>
      <c r="W343" t="s">
        <v>1584</v>
      </c>
      <c r="X343" t="s">
        <v>134</v>
      </c>
      <c r="Y343" t="s">
        <v>1911</v>
      </c>
      <c r="Z343" t="s">
        <v>58</v>
      </c>
      <c r="AA343" t="s">
        <v>54</v>
      </c>
      <c r="AB343" t="s">
        <v>1701</v>
      </c>
      <c r="AC343" t="s">
        <v>85</v>
      </c>
      <c r="AD343" t="s">
        <v>116</v>
      </c>
      <c r="AE343" t="s">
        <v>117</v>
      </c>
      <c r="AF343" t="s">
        <v>161</v>
      </c>
      <c r="AG343" t="s">
        <v>58</v>
      </c>
      <c r="AK343">
        <v>1</v>
      </c>
      <c r="AL343" t="s">
        <v>61</v>
      </c>
      <c r="AM343" t="s">
        <v>1701</v>
      </c>
      <c r="AN343" t="s">
        <v>1702</v>
      </c>
    </row>
    <row r="344" spans="1:40" x14ac:dyDescent="0.35">
      <c r="A344" t="s">
        <v>37</v>
      </c>
      <c r="B344" t="s">
        <v>1912</v>
      </c>
      <c r="C344" t="s">
        <v>102</v>
      </c>
      <c r="D344" t="s">
        <v>1698</v>
      </c>
      <c r="E344" t="s">
        <v>584</v>
      </c>
      <c r="F344" s="1">
        <v>46078.247812499998</v>
      </c>
      <c r="G344" t="s">
        <v>105</v>
      </c>
      <c r="H344" t="s">
        <v>106</v>
      </c>
      <c r="I344" t="s">
        <v>1913</v>
      </c>
      <c r="J344" t="s">
        <v>108</v>
      </c>
      <c r="K344" t="s">
        <v>341</v>
      </c>
      <c r="M344" t="s">
        <v>76</v>
      </c>
      <c r="O344" t="s">
        <v>77</v>
      </c>
      <c r="P344" t="s">
        <v>78</v>
      </c>
      <c r="Q344" t="s">
        <v>50</v>
      </c>
      <c r="R344" t="s">
        <v>111</v>
      </c>
      <c r="S344" t="s">
        <v>51</v>
      </c>
      <c r="T344" t="s">
        <v>112</v>
      </c>
      <c r="U344" s="1">
        <v>46078.756956018522</v>
      </c>
      <c r="V344" t="s">
        <v>54</v>
      </c>
      <c r="X344" t="s">
        <v>134</v>
      </c>
      <c r="Y344" t="s">
        <v>1914</v>
      </c>
      <c r="Z344" t="s">
        <v>58</v>
      </c>
      <c r="AA344" t="s">
        <v>54</v>
      </c>
      <c r="AB344" t="s">
        <v>1701</v>
      </c>
      <c r="AC344" t="s">
        <v>85</v>
      </c>
      <c r="AD344" t="s">
        <v>116</v>
      </c>
      <c r="AE344" t="s">
        <v>117</v>
      </c>
      <c r="AF344" t="s">
        <v>1740</v>
      </c>
      <c r="AG344" t="s">
        <v>58</v>
      </c>
      <c r="AK344">
        <v>1</v>
      </c>
      <c r="AL344" t="s">
        <v>61</v>
      </c>
      <c r="AM344" t="s">
        <v>1701</v>
      </c>
      <c r="AN344" t="s">
        <v>1702</v>
      </c>
    </row>
    <row r="345" spans="1:40" x14ac:dyDescent="0.35">
      <c r="A345" t="s">
        <v>37</v>
      </c>
      <c r="B345" t="s">
        <v>1915</v>
      </c>
      <c r="C345" t="s">
        <v>102</v>
      </c>
      <c r="D345" t="s">
        <v>1698</v>
      </c>
      <c r="E345" t="s">
        <v>584</v>
      </c>
      <c r="F345" s="1">
        <v>46078.230266203704</v>
      </c>
      <c r="G345" t="s">
        <v>105</v>
      </c>
      <c r="H345" t="s">
        <v>106</v>
      </c>
      <c r="I345" t="s">
        <v>1722</v>
      </c>
      <c r="J345" t="s">
        <v>108</v>
      </c>
      <c r="K345" t="s">
        <v>109</v>
      </c>
      <c r="M345" t="s">
        <v>76</v>
      </c>
      <c r="O345" t="s">
        <v>77</v>
      </c>
      <c r="P345" t="s">
        <v>78</v>
      </c>
      <c r="Q345" t="s">
        <v>50</v>
      </c>
      <c r="R345" t="s">
        <v>111</v>
      </c>
      <c r="S345" t="s">
        <v>51</v>
      </c>
      <c r="T345" t="s">
        <v>112</v>
      </c>
      <c r="U345" s="1">
        <v>46078.399872685186</v>
      </c>
      <c r="V345" t="s">
        <v>54</v>
      </c>
      <c r="W345" t="s">
        <v>55</v>
      </c>
      <c r="X345" t="s">
        <v>134</v>
      </c>
      <c r="Y345" t="s">
        <v>1916</v>
      </c>
      <c r="Z345" t="s">
        <v>58</v>
      </c>
      <c r="AA345" t="s">
        <v>54</v>
      </c>
      <c r="AB345" t="s">
        <v>1701</v>
      </c>
      <c r="AC345" t="s">
        <v>85</v>
      </c>
      <c r="AD345" t="s">
        <v>116</v>
      </c>
      <c r="AE345" t="s">
        <v>117</v>
      </c>
      <c r="AF345" t="s">
        <v>118</v>
      </c>
      <c r="AG345" t="s">
        <v>58</v>
      </c>
      <c r="AK345">
        <v>1</v>
      </c>
      <c r="AL345" t="s">
        <v>61</v>
      </c>
      <c r="AM345" t="s">
        <v>1701</v>
      </c>
      <c r="AN345" t="s">
        <v>1702</v>
      </c>
    </row>
    <row r="346" spans="1:40" x14ac:dyDescent="0.35">
      <c r="A346" t="s">
        <v>37</v>
      </c>
      <c r="B346" t="s">
        <v>1917</v>
      </c>
      <c r="C346" t="s">
        <v>102</v>
      </c>
      <c r="D346" t="s">
        <v>1698</v>
      </c>
      <c r="E346" t="s">
        <v>584</v>
      </c>
      <c r="F346" s="1">
        <v>46078.230266203704</v>
      </c>
      <c r="G346" t="s">
        <v>105</v>
      </c>
      <c r="H346" t="s">
        <v>106</v>
      </c>
      <c r="I346" t="s">
        <v>1918</v>
      </c>
      <c r="J346" t="s">
        <v>108</v>
      </c>
      <c r="K346" t="s">
        <v>109</v>
      </c>
      <c r="M346" t="s">
        <v>76</v>
      </c>
      <c r="O346" t="s">
        <v>77</v>
      </c>
      <c r="P346" t="s">
        <v>78</v>
      </c>
      <c r="Q346" t="s">
        <v>50</v>
      </c>
      <c r="R346" t="s">
        <v>111</v>
      </c>
      <c r="S346" t="s">
        <v>51</v>
      </c>
      <c r="T346" t="s">
        <v>112</v>
      </c>
      <c r="U346" s="1">
        <v>46078.400254629632</v>
      </c>
      <c r="V346" t="s">
        <v>54</v>
      </c>
      <c r="W346" t="s">
        <v>55</v>
      </c>
      <c r="X346" t="s">
        <v>134</v>
      </c>
      <c r="Y346" t="s">
        <v>1919</v>
      </c>
      <c r="Z346" t="s">
        <v>58</v>
      </c>
      <c r="AA346" t="s">
        <v>54</v>
      </c>
      <c r="AB346" t="s">
        <v>1701</v>
      </c>
      <c r="AC346" t="s">
        <v>85</v>
      </c>
      <c r="AD346" t="s">
        <v>116</v>
      </c>
      <c r="AE346" t="s">
        <v>117</v>
      </c>
      <c r="AF346" t="s">
        <v>118</v>
      </c>
      <c r="AG346" t="s">
        <v>58</v>
      </c>
      <c r="AK346">
        <v>1</v>
      </c>
      <c r="AL346" t="s">
        <v>61</v>
      </c>
      <c r="AM346" t="s">
        <v>1701</v>
      </c>
      <c r="AN346" t="s">
        <v>1702</v>
      </c>
    </row>
    <row r="347" spans="1:40" x14ac:dyDescent="0.35">
      <c r="A347" t="s">
        <v>37</v>
      </c>
      <c r="B347" t="s">
        <v>1920</v>
      </c>
      <c r="C347" t="s">
        <v>102</v>
      </c>
      <c r="D347" t="s">
        <v>1698</v>
      </c>
      <c r="E347" t="s">
        <v>584</v>
      </c>
      <c r="F347" s="1">
        <v>46078.230266203704</v>
      </c>
      <c r="G347" t="s">
        <v>105</v>
      </c>
      <c r="H347" t="s">
        <v>106</v>
      </c>
      <c r="I347" t="s">
        <v>1735</v>
      </c>
      <c r="J347" t="s">
        <v>108</v>
      </c>
      <c r="K347" t="s">
        <v>109</v>
      </c>
      <c r="M347" t="s">
        <v>76</v>
      </c>
      <c r="O347" t="s">
        <v>77</v>
      </c>
      <c r="P347" t="s">
        <v>78</v>
      </c>
      <c r="Q347" t="s">
        <v>50</v>
      </c>
      <c r="R347" t="s">
        <v>111</v>
      </c>
      <c r="S347" t="s">
        <v>51</v>
      </c>
      <c r="T347" t="s">
        <v>112</v>
      </c>
      <c r="U347" s="1">
        <v>46078.398344907408</v>
      </c>
      <c r="V347" t="s">
        <v>54</v>
      </c>
      <c r="W347" t="s">
        <v>55</v>
      </c>
      <c r="X347" t="s">
        <v>134</v>
      </c>
      <c r="Y347" t="s">
        <v>1921</v>
      </c>
      <c r="Z347" t="s">
        <v>58</v>
      </c>
      <c r="AA347" t="s">
        <v>54</v>
      </c>
      <c r="AB347" t="s">
        <v>1701</v>
      </c>
      <c r="AC347" t="s">
        <v>85</v>
      </c>
      <c r="AD347" t="s">
        <v>116</v>
      </c>
      <c r="AE347" t="s">
        <v>117</v>
      </c>
      <c r="AF347" t="s">
        <v>1706</v>
      </c>
      <c r="AG347" t="s">
        <v>58</v>
      </c>
      <c r="AK347">
        <v>1</v>
      </c>
      <c r="AL347" t="s">
        <v>61</v>
      </c>
      <c r="AM347" t="s">
        <v>1701</v>
      </c>
      <c r="AN347" t="s">
        <v>1702</v>
      </c>
    </row>
    <row r="348" spans="1:40" x14ac:dyDescent="0.35">
      <c r="A348" t="s">
        <v>37</v>
      </c>
      <c r="B348" t="s">
        <v>1922</v>
      </c>
      <c r="C348" t="s">
        <v>102</v>
      </c>
      <c r="D348" t="s">
        <v>1698</v>
      </c>
      <c r="E348" t="s">
        <v>584</v>
      </c>
      <c r="F348" s="1">
        <v>46078.191967592589</v>
      </c>
      <c r="G348" t="s">
        <v>105</v>
      </c>
      <c r="H348" t="s">
        <v>106</v>
      </c>
      <c r="I348" t="s">
        <v>1812</v>
      </c>
      <c r="J348" t="s">
        <v>108</v>
      </c>
      <c r="K348" t="s">
        <v>571</v>
      </c>
      <c r="M348" t="s">
        <v>76</v>
      </c>
      <c r="O348" t="s">
        <v>77</v>
      </c>
      <c r="P348" t="s">
        <v>78</v>
      </c>
      <c r="Q348" t="s">
        <v>50</v>
      </c>
      <c r="R348" t="s">
        <v>111</v>
      </c>
      <c r="S348" t="s">
        <v>51</v>
      </c>
      <c r="T348" t="s">
        <v>112</v>
      </c>
      <c r="U348" s="1">
        <v>46078.402800925927</v>
      </c>
      <c r="V348" t="s">
        <v>54</v>
      </c>
      <c r="W348" t="s">
        <v>55</v>
      </c>
      <c r="X348" t="s">
        <v>134</v>
      </c>
      <c r="Y348" t="s">
        <v>1923</v>
      </c>
      <c r="Z348" t="s">
        <v>58</v>
      </c>
      <c r="AA348" t="s">
        <v>54</v>
      </c>
      <c r="AB348" t="s">
        <v>1701</v>
      </c>
      <c r="AC348" t="s">
        <v>85</v>
      </c>
      <c r="AD348" t="s">
        <v>116</v>
      </c>
      <c r="AE348" t="s">
        <v>574</v>
      </c>
      <c r="AF348" t="s">
        <v>144</v>
      </c>
      <c r="AG348" t="s">
        <v>58</v>
      </c>
      <c r="AK348">
        <v>1</v>
      </c>
      <c r="AL348" t="s">
        <v>61</v>
      </c>
      <c r="AM348" t="s">
        <v>1701</v>
      </c>
      <c r="AN348" t="s">
        <v>1702</v>
      </c>
    </row>
    <row r="349" spans="1:40" x14ac:dyDescent="0.35">
      <c r="A349" t="s">
        <v>37</v>
      </c>
      <c r="B349" t="s">
        <v>1924</v>
      </c>
      <c r="C349" t="s">
        <v>656</v>
      </c>
      <c r="D349" t="s">
        <v>1711</v>
      </c>
      <c r="E349" t="s">
        <v>1712</v>
      </c>
      <c r="F349" s="1">
        <v>46078.110486111109</v>
      </c>
      <c r="G349" t="s">
        <v>1713</v>
      </c>
      <c r="H349" t="s">
        <v>356</v>
      </c>
      <c r="I349" t="s">
        <v>1925</v>
      </c>
      <c r="J349" t="s">
        <v>1926</v>
      </c>
      <c r="K349" t="s">
        <v>1927</v>
      </c>
      <c r="M349" t="s">
        <v>76</v>
      </c>
      <c r="O349" t="s">
        <v>237</v>
      </c>
      <c r="P349" t="s">
        <v>238</v>
      </c>
      <c r="Q349" t="s">
        <v>50</v>
      </c>
      <c r="R349" t="s">
        <v>305</v>
      </c>
      <c r="S349" t="s">
        <v>306</v>
      </c>
      <c r="T349" t="s">
        <v>1715</v>
      </c>
      <c r="U349" s="1">
        <v>46078.550405092596</v>
      </c>
      <c r="V349" t="s">
        <v>54</v>
      </c>
      <c r="W349" t="s">
        <v>55</v>
      </c>
      <c r="X349" t="s">
        <v>134</v>
      </c>
      <c r="Y349" t="s">
        <v>1928</v>
      </c>
      <c r="Z349" t="s">
        <v>58</v>
      </c>
      <c r="AA349" t="s">
        <v>54</v>
      </c>
      <c r="AB349" t="s">
        <v>1717</v>
      </c>
      <c r="AC349" t="s">
        <v>242</v>
      </c>
      <c r="AD349" t="s">
        <v>1189</v>
      </c>
      <c r="AE349" t="s">
        <v>1190</v>
      </c>
      <c r="AF349" t="s">
        <v>1929</v>
      </c>
      <c r="AG349" t="s">
        <v>58</v>
      </c>
      <c r="AK349">
        <v>1</v>
      </c>
      <c r="AL349" t="s">
        <v>61</v>
      </c>
      <c r="AM349" t="s">
        <v>1717</v>
      </c>
      <c r="AN349" t="s">
        <v>1720</v>
      </c>
    </row>
    <row r="350" spans="1:40" x14ac:dyDescent="0.35">
      <c r="A350" t="s">
        <v>37</v>
      </c>
      <c r="B350" t="s">
        <v>1930</v>
      </c>
      <c r="C350" t="s">
        <v>102</v>
      </c>
      <c r="D350" t="s">
        <v>1698</v>
      </c>
      <c r="E350" t="s">
        <v>584</v>
      </c>
      <c r="F350" s="1">
        <v>46077.982604166667</v>
      </c>
      <c r="G350" t="s">
        <v>105</v>
      </c>
      <c r="H350" t="s">
        <v>106</v>
      </c>
      <c r="I350" t="s">
        <v>1931</v>
      </c>
      <c r="J350" t="s">
        <v>108</v>
      </c>
      <c r="K350" t="s">
        <v>341</v>
      </c>
      <c r="M350" t="s">
        <v>76</v>
      </c>
      <c r="O350" t="s">
        <v>77</v>
      </c>
      <c r="P350" t="s">
        <v>78</v>
      </c>
      <c r="Q350" t="s">
        <v>50</v>
      </c>
      <c r="R350" t="s">
        <v>111</v>
      </c>
      <c r="S350" t="s">
        <v>51</v>
      </c>
      <c r="T350" t="s">
        <v>112</v>
      </c>
      <c r="U350" s="1">
        <v>46078.421342592592</v>
      </c>
      <c r="V350" t="s">
        <v>54</v>
      </c>
      <c r="X350" t="s">
        <v>134</v>
      </c>
      <c r="Y350" t="s">
        <v>1932</v>
      </c>
      <c r="Z350" t="s">
        <v>58</v>
      </c>
      <c r="AA350" t="s">
        <v>54</v>
      </c>
      <c r="AB350" t="s">
        <v>1701</v>
      </c>
      <c r="AC350" t="s">
        <v>85</v>
      </c>
      <c r="AD350" t="s">
        <v>116</v>
      </c>
      <c r="AE350" t="s">
        <v>117</v>
      </c>
      <c r="AF350" t="s">
        <v>1740</v>
      </c>
      <c r="AG350" t="s">
        <v>58</v>
      </c>
      <c r="AK350">
        <v>1</v>
      </c>
      <c r="AL350" t="s">
        <v>61</v>
      </c>
      <c r="AM350" t="s">
        <v>1701</v>
      </c>
      <c r="AN350" t="s">
        <v>1702</v>
      </c>
    </row>
    <row r="351" spans="1:40" x14ac:dyDescent="0.35">
      <c r="A351" t="s">
        <v>37</v>
      </c>
      <c r="B351" t="s">
        <v>1933</v>
      </c>
      <c r="C351" t="s">
        <v>102</v>
      </c>
      <c r="D351" t="s">
        <v>1698</v>
      </c>
      <c r="E351" t="s">
        <v>584</v>
      </c>
      <c r="F351" s="1">
        <v>46077.981087962966</v>
      </c>
      <c r="G351" t="s">
        <v>105</v>
      </c>
      <c r="H351" t="s">
        <v>106</v>
      </c>
      <c r="I351" t="s">
        <v>1934</v>
      </c>
      <c r="J351" t="s">
        <v>108</v>
      </c>
      <c r="K351" t="s">
        <v>109</v>
      </c>
      <c r="M351" t="s">
        <v>150</v>
      </c>
      <c r="O351" t="s">
        <v>77</v>
      </c>
      <c r="P351" t="s">
        <v>78</v>
      </c>
      <c r="Q351" t="s">
        <v>50</v>
      </c>
      <c r="R351" t="s">
        <v>111</v>
      </c>
      <c r="S351" t="s">
        <v>51</v>
      </c>
      <c r="T351" t="s">
        <v>112</v>
      </c>
      <c r="U351" s="1">
        <v>46077.995069444441</v>
      </c>
      <c r="V351" t="s">
        <v>54</v>
      </c>
      <c r="W351" t="s">
        <v>55</v>
      </c>
      <c r="X351" t="s">
        <v>134</v>
      </c>
      <c r="Y351" t="s">
        <v>1935</v>
      </c>
      <c r="Z351" t="s">
        <v>58</v>
      </c>
      <c r="AA351" t="s">
        <v>54</v>
      </c>
      <c r="AB351" t="s">
        <v>1701</v>
      </c>
      <c r="AC351" t="s">
        <v>85</v>
      </c>
      <c r="AD351" t="s">
        <v>116</v>
      </c>
      <c r="AE351" t="s">
        <v>117</v>
      </c>
      <c r="AF351" t="s">
        <v>161</v>
      </c>
      <c r="AG351" t="s">
        <v>58</v>
      </c>
      <c r="AK351">
        <v>1</v>
      </c>
      <c r="AL351" t="s">
        <v>61</v>
      </c>
      <c r="AM351" t="s">
        <v>1701</v>
      </c>
      <c r="AN351" t="s">
        <v>1702</v>
      </c>
    </row>
    <row r="352" spans="1:40" x14ac:dyDescent="0.35">
      <c r="A352" t="s">
        <v>37</v>
      </c>
      <c r="B352" t="s">
        <v>1936</v>
      </c>
      <c r="C352" t="s">
        <v>102</v>
      </c>
      <c r="D352" t="s">
        <v>1698</v>
      </c>
      <c r="E352" t="s">
        <v>584</v>
      </c>
      <c r="F352" s="1">
        <v>46077.937256944446</v>
      </c>
      <c r="G352" t="s">
        <v>105</v>
      </c>
      <c r="H352" t="s">
        <v>106</v>
      </c>
      <c r="I352" t="s">
        <v>1937</v>
      </c>
      <c r="J352" t="s">
        <v>108</v>
      </c>
      <c r="K352" t="s">
        <v>571</v>
      </c>
      <c r="M352" t="s">
        <v>76</v>
      </c>
      <c r="O352" t="s">
        <v>77</v>
      </c>
      <c r="P352" t="s">
        <v>78</v>
      </c>
      <c r="Q352" t="s">
        <v>50</v>
      </c>
      <c r="R352" t="s">
        <v>111</v>
      </c>
      <c r="S352" t="s">
        <v>51</v>
      </c>
      <c r="T352" t="s">
        <v>112</v>
      </c>
      <c r="U352" s="1">
        <v>46077.995439814818</v>
      </c>
      <c r="V352" t="s">
        <v>54</v>
      </c>
      <c r="W352" t="s">
        <v>55</v>
      </c>
      <c r="X352" t="s">
        <v>134</v>
      </c>
      <c r="Y352" t="s">
        <v>1816</v>
      </c>
      <c r="Z352" t="s">
        <v>58</v>
      </c>
      <c r="AA352" t="s">
        <v>54</v>
      </c>
      <c r="AB352" t="s">
        <v>1701</v>
      </c>
      <c r="AC352" t="s">
        <v>85</v>
      </c>
      <c r="AD352" t="s">
        <v>116</v>
      </c>
      <c r="AE352" t="s">
        <v>574</v>
      </c>
      <c r="AF352" t="s">
        <v>144</v>
      </c>
      <c r="AG352" t="s">
        <v>58</v>
      </c>
      <c r="AK352">
        <v>1</v>
      </c>
      <c r="AL352" t="s">
        <v>61</v>
      </c>
      <c r="AM352" t="s">
        <v>1701</v>
      </c>
      <c r="AN352" t="s">
        <v>1702</v>
      </c>
    </row>
    <row r="353" spans="1:40" x14ac:dyDescent="0.35">
      <c r="A353" t="s">
        <v>37</v>
      </c>
      <c r="B353" t="s">
        <v>1938</v>
      </c>
      <c r="C353" t="s">
        <v>102</v>
      </c>
      <c r="D353" t="s">
        <v>1698</v>
      </c>
      <c r="E353" t="s">
        <v>584</v>
      </c>
      <c r="F353" s="1">
        <v>46077.924629629626</v>
      </c>
      <c r="G353" t="s">
        <v>105</v>
      </c>
      <c r="H353" t="s">
        <v>106</v>
      </c>
      <c r="I353" t="s">
        <v>1934</v>
      </c>
      <c r="J353" t="s">
        <v>108</v>
      </c>
      <c r="K353" t="s">
        <v>109</v>
      </c>
      <c r="M353" t="s">
        <v>76</v>
      </c>
      <c r="O353" t="s">
        <v>77</v>
      </c>
      <c r="P353" t="s">
        <v>78</v>
      </c>
      <c r="Q353" t="s">
        <v>50</v>
      </c>
      <c r="R353" t="s">
        <v>111</v>
      </c>
      <c r="S353" t="s">
        <v>51</v>
      </c>
      <c r="T353" t="s">
        <v>112</v>
      </c>
      <c r="U353" s="1">
        <v>46077.994583333333</v>
      </c>
      <c r="V353" t="s">
        <v>54</v>
      </c>
      <c r="W353" t="s">
        <v>55</v>
      </c>
      <c r="X353" t="s">
        <v>134</v>
      </c>
      <c r="Y353" t="s">
        <v>1939</v>
      </c>
      <c r="Z353" t="s">
        <v>58</v>
      </c>
      <c r="AA353" t="s">
        <v>54</v>
      </c>
      <c r="AB353" t="s">
        <v>1701</v>
      </c>
      <c r="AC353" t="s">
        <v>85</v>
      </c>
      <c r="AD353" t="s">
        <v>116</v>
      </c>
      <c r="AE353" t="s">
        <v>117</v>
      </c>
      <c r="AF353" t="s">
        <v>1896</v>
      </c>
      <c r="AG353" t="s">
        <v>58</v>
      </c>
      <c r="AK353">
        <v>1</v>
      </c>
      <c r="AL353" t="s">
        <v>61</v>
      </c>
      <c r="AM353" t="s">
        <v>1701</v>
      </c>
      <c r="AN353" t="s">
        <v>1702</v>
      </c>
    </row>
    <row r="354" spans="1:40" x14ac:dyDescent="0.35">
      <c r="A354" t="s">
        <v>37</v>
      </c>
      <c r="B354" t="s">
        <v>1940</v>
      </c>
      <c r="C354" t="s">
        <v>102</v>
      </c>
      <c r="D354" t="s">
        <v>1698</v>
      </c>
      <c r="E354" t="s">
        <v>584</v>
      </c>
      <c r="F354" s="1">
        <v>46077.8750462963</v>
      </c>
      <c r="G354" t="s">
        <v>105</v>
      </c>
      <c r="H354" t="s">
        <v>106</v>
      </c>
      <c r="I354" t="s">
        <v>1941</v>
      </c>
      <c r="J354" t="s">
        <v>108</v>
      </c>
      <c r="K354" t="s">
        <v>109</v>
      </c>
      <c r="M354" t="s">
        <v>76</v>
      </c>
      <c r="O354" t="s">
        <v>77</v>
      </c>
      <c r="P354" t="s">
        <v>78</v>
      </c>
      <c r="Q354" t="s">
        <v>50</v>
      </c>
      <c r="R354" t="s">
        <v>111</v>
      </c>
      <c r="S354" t="s">
        <v>51</v>
      </c>
      <c r="T354" t="s">
        <v>112</v>
      </c>
      <c r="U354" s="1">
        <v>46077.905370370368</v>
      </c>
      <c r="V354" t="s">
        <v>54</v>
      </c>
      <c r="W354" t="s">
        <v>55</v>
      </c>
      <c r="X354" t="s">
        <v>134</v>
      </c>
      <c r="Y354" t="s">
        <v>1942</v>
      </c>
      <c r="Z354" t="s">
        <v>58</v>
      </c>
      <c r="AA354" t="s">
        <v>54</v>
      </c>
      <c r="AB354" t="s">
        <v>1701</v>
      </c>
      <c r="AC354" t="s">
        <v>85</v>
      </c>
      <c r="AD354" t="s">
        <v>116</v>
      </c>
      <c r="AE354" t="s">
        <v>117</v>
      </c>
      <c r="AF354" t="s">
        <v>1706</v>
      </c>
      <c r="AG354" t="s">
        <v>58</v>
      </c>
      <c r="AK354">
        <v>1</v>
      </c>
      <c r="AL354" t="s">
        <v>61</v>
      </c>
      <c r="AM354" t="s">
        <v>1701</v>
      </c>
      <c r="AN354" t="s">
        <v>1702</v>
      </c>
    </row>
    <row r="355" spans="1:40" x14ac:dyDescent="0.35">
      <c r="A355" t="s">
        <v>37</v>
      </c>
      <c r="B355" t="s">
        <v>1943</v>
      </c>
      <c r="C355" t="s">
        <v>102</v>
      </c>
      <c r="D355" t="s">
        <v>1698</v>
      </c>
      <c r="E355" t="s">
        <v>584</v>
      </c>
      <c r="F355" s="1">
        <v>46077.829780092594</v>
      </c>
      <c r="G355" t="s">
        <v>105</v>
      </c>
      <c r="H355" t="s">
        <v>106</v>
      </c>
      <c r="I355" t="s">
        <v>1944</v>
      </c>
      <c r="J355" t="s">
        <v>108</v>
      </c>
      <c r="K355" t="s">
        <v>571</v>
      </c>
      <c r="M355" t="s">
        <v>76</v>
      </c>
      <c r="O355" t="s">
        <v>77</v>
      </c>
      <c r="P355" t="s">
        <v>78</v>
      </c>
      <c r="Q355" t="s">
        <v>50</v>
      </c>
      <c r="R355" t="s">
        <v>111</v>
      </c>
      <c r="S355" t="s">
        <v>51</v>
      </c>
      <c r="T355" t="s">
        <v>112</v>
      </c>
      <c r="U355" s="1">
        <v>46077.869039351855</v>
      </c>
      <c r="V355" t="s">
        <v>54</v>
      </c>
      <c r="W355" t="s">
        <v>55</v>
      </c>
      <c r="X355" t="s">
        <v>134</v>
      </c>
      <c r="Y355" t="s">
        <v>1816</v>
      </c>
      <c r="Z355" t="s">
        <v>58</v>
      </c>
      <c r="AA355" t="s">
        <v>54</v>
      </c>
      <c r="AB355" t="s">
        <v>1701</v>
      </c>
      <c r="AC355" t="s">
        <v>85</v>
      </c>
      <c r="AD355" t="s">
        <v>116</v>
      </c>
      <c r="AE355" t="s">
        <v>574</v>
      </c>
      <c r="AF355" t="s">
        <v>161</v>
      </c>
      <c r="AG355" t="s">
        <v>58</v>
      </c>
      <c r="AK355">
        <v>1</v>
      </c>
      <c r="AL355" t="s">
        <v>61</v>
      </c>
      <c r="AM355" t="s">
        <v>1701</v>
      </c>
      <c r="AN355" t="s">
        <v>1702</v>
      </c>
    </row>
    <row r="356" spans="1:40" x14ac:dyDescent="0.35">
      <c r="A356" t="s">
        <v>37</v>
      </c>
      <c r="B356" t="s">
        <v>1945</v>
      </c>
      <c r="C356" t="s">
        <v>102</v>
      </c>
      <c r="D356" t="s">
        <v>1698</v>
      </c>
      <c r="E356" t="s">
        <v>584</v>
      </c>
      <c r="F356" s="1">
        <v>46077.828287037039</v>
      </c>
      <c r="G356" t="s">
        <v>105</v>
      </c>
      <c r="H356" t="s">
        <v>106</v>
      </c>
      <c r="I356" t="s">
        <v>1946</v>
      </c>
      <c r="J356" t="s">
        <v>108</v>
      </c>
      <c r="K356" t="s">
        <v>109</v>
      </c>
      <c r="M356" t="s">
        <v>76</v>
      </c>
      <c r="O356" t="s">
        <v>77</v>
      </c>
      <c r="P356" t="s">
        <v>78</v>
      </c>
      <c r="Q356" t="s">
        <v>50</v>
      </c>
      <c r="R356" t="s">
        <v>111</v>
      </c>
      <c r="S356" t="s">
        <v>51</v>
      </c>
      <c r="T356" t="s">
        <v>112</v>
      </c>
      <c r="U356" s="1">
        <v>46077.871458333335</v>
      </c>
      <c r="V356" t="s">
        <v>54</v>
      </c>
      <c r="W356" t="s">
        <v>55</v>
      </c>
      <c r="X356" t="s">
        <v>134</v>
      </c>
      <c r="Y356" t="s">
        <v>1947</v>
      </c>
      <c r="Z356" t="s">
        <v>58</v>
      </c>
      <c r="AA356" t="s">
        <v>54</v>
      </c>
      <c r="AB356" t="s">
        <v>1701</v>
      </c>
      <c r="AC356" t="s">
        <v>85</v>
      </c>
      <c r="AD356" t="s">
        <v>116</v>
      </c>
      <c r="AE356" t="s">
        <v>117</v>
      </c>
      <c r="AF356" t="s">
        <v>335</v>
      </c>
      <c r="AG356" t="s">
        <v>58</v>
      </c>
      <c r="AK356">
        <v>1</v>
      </c>
      <c r="AL356" t="s">
        <v>61</v>
      </c>
      <c r="AM356" t="s">
        <v>1701</v>
      </c>
      <c r="AN356" t="s">
        <v>1702</v>
      </c>
    </row>
    <row r="357" spans="1:40" x14ac:dyDescent="0.35">
      <c r="A357" t="s">
        <v>37</v>
      </c>
      <c r="B357" t="s">
        <v>1948</v>
      </c>
      <c r="C357" t="s">
        <v>102</v>
      </c>
      <c r="D357" t="s">
        <v>1698</v>
      </c>
      <c r="E357" t="s">
        <v>584</v>
      </c>
      <c r="F357" s="1">
        <v>46077.810150462959</v>
      </c>
      <c r="G357" t="s">
        <v>105</v>
      </c>
      <c r="H357" t="s">
        <v>106</v>
      </c>
      <c r="I357" t="s">
        <v>1949</v>
      </c>
      <c r="J357" t="s">
        <v>108</v>
      </c>
      <c r="K357" t="s">
        <v>571</v>
      </c>
      <c r="M357" t="s">
        <v>76</v>
      </c>
      <c r="O357" t="s">
        <v>77</v>
      </c>
      <c r="P357" t="s">
        <v>78</v>
      </c>
      <c r="Q357" t="s">
        <v>50</v>
      </c>
      <c r="R357" t="s">
        <v>111</v>
      </c>
      <c r="S357" t="s">
        <v>51</v>
      </c>
      <c r="T357" t="s">
        <v>112</v>
      </c>
      <c r="U357" s="1">
        <v>46077.868506944447</v>
      </c>
      <c r="V357" t="s">
        <v>54</v>
      </c>
      <c r="W357" t="s">
        <v>55</v>
      </c>
      <c r="X357" t="s">
        <v>134</v>
      </c>
      <c r="Y357" t="s">
        <v>1816</v>
      </c>
      <c r="Z357" t="s">
        <v>58</v>
      </c>
      <c r="AA357" t="s">
        <v>54</v>
      </c>
      <c r="AB357" t="s">
        <v>1701</v>
      </c>
      <c r="AC357" t="s">
        <v>85</v>
      </c>
      <c r="AD357" t="s">
        <v>116</v>
      </c>
      <c r="AE357" t="s">
        <v>574</v>
      </c>
      <c r="AF357" t="s">
        <v>161</v>
      </c>
      <c r="AG357" t="s">
        <v>58</v>
      </c>
      <c r="AK357">
        <v>1</v>
      </c>
      <c r="AL357" t="s">
        <v>61</v>
      </c>
      <c r="AM357" t="s">
        <v>1701</v>
      </c>
      <c r="AN357" t="s">
        <v>1702</v>
      </c>
    </row>
    <row r="358" spans="1:40" x14ac:dyDescent="0.35">
      <c r="A358" t="s">
        <v>37</v>
      </c>
      <c r="B358" t="s">
        <v>1950</v>
      </c>
      <c r="C358" t="s">
        <v>102</v>
      </c>
      <c r="D358" t="s">
        <v>1698</v>
      </c>
      <c r="E358" t="s">
        <v>584</v>
      </c>
      <c r="F358" s="1">
        <v>46077.797476851854</v>
      </c>
      <c r="G358" t="s">
        <v>105</v>
      </c>
      <c r="H358" t="s">
        <v>106</v>
      </c>
      <c r="I358" t="s">
        <v>1951</v>
      </c>
      <c r="J358" t="s">
        <v>108</v>
      </c>
      <c r="K358" t="s">
        <v>109</v>
      </c>
      <c r="M358" t="s">
        <v>76</v>
      </c>
      <c r="O358" t="s">
        <v>77</v>
      </c>
      <c r="P358" t="s">
        <v>78</v>
      </c>
      <c r="Q358" t="s">
        <v>50</v>
      </c>
      <c r="R358" t="s">
        <v>111</v>
      </c>
      <c r="S358" t="s">
        <v>51</v>
      </c>
      <c r="T358" t="s">
        <v>112</v>
      </c>
      <c r="U358" s="1">
        <v>46077.821331018517</v>
      </c>
      <c r="V358" t="s">
        <v>54</v>
      </c>
      <c r="W358" t="s">
        <v>55</v>
      </c>
      <c r="X358" t="s">
        <v>134</v>
      </c>
      <c r="Y358" t="s">
        <v>1952</v>
      </c>
      <c r="Z358" t="s">
        <v>58</v>
      </c>
      <c r="AA358" t="s">
        <v>54</v>
      </c>
      <c r="AB358" t="s">
        <v>1701</v>
      </c>
      <c r="AC358" t="s">
        <v>85</v>
      </c>
      <c r="AD358" t="s">
        <v>116</v>
      </c>
      <c r="AE358" t="s">
        <v>117</v>
      </c>
      <c r="AF358" t="s">
        <v>1706</v>
      </c>
      <c r="AG358" t="s">
        <v>58</v>
      </c>
      <c r="AK358">
        <v>1</v>
      </c>
      <c r="AL358" t="s">
        <v>61</v>
      </c>
      <c r="AM358" t="s">
        <v>1701</v>
      </c>
      <c r="AN358" t="s">
        <v>1702</v>
      </c>
    </row>
    <row r="359" spans="1:40" x14ac:dyDescent="0.35">
      <c r="A359" t="s">
        <v>37</v>
      </c>
      <c r="B359" t="s">
        <v>1953</v>
      </c>
      <c r="C359" t="s">
        <v>102</v>
      </c>
      <c r="D359" t="s">
        <v>1698</v>
      </c>
      <c r="E359" t="s">
        <v>584</v>
      </c>
      <c r="F359" s="1">
        <v>46077.793217592596</v>
      </c>
      <c r="G359" t="s">
        <v>105</v>
      </c>
      <c r="H359" t="s">
        <v>106</v>
      </c>
      <c r="I359" t="s">
        <v>1954</v>
      </c>
      <c r="J359" t="s">
        <v>108</v>
      </c>
      <c r="K359" t="s">
        <v>109</v>
      </c>
      <c r="M359" t="s">
        <v>150</v>
      </c>
      <c r="O359" t="s">
        <v>77</v>
      </c>
      <c r="P359" t="s">
        <v>78</v>
      </c>
      <c r="Q359" t="s">
        <v>50</v>
      </c>
      <c r="R359" t="s">
        <v>111</v>
      </c>
      <c r="S359" t="s">
        <v>51</v>
      </c>
      <c r="T359" t="s">
        <v>112</v>
      </c>
      <c r="U359" s="1">
        <v>46077.992118055554</v>
      </c>
      <c r="V359" t="s">
        <v>54</v>
      </c>
      <c r="W359" t="s">
        <v>55</v>
      </c>
      <c r="X359" t="s">
        <v>134</v>
      </c>
      <c r="Y359" t="s">
        <v>1955</v>
      </c>
      <c r="Z359" t="s">
        <v>58</v>
      </c>
      <c r="AA359" t="s">
        <v>54</v>
      </c>
      <c r="AB359" t="s">
        <v>1701</v>
      </c>
      <c r="AC359" t="s">
        <v>85</v>
      </c>
      <c r="AD359" t="s">
        <v>116</v>
      </c>
      <c r="AE359" t="s">
        <v>117</v>
      </c>
      <c r="AF359" t="s">
        <v>161</v>
      </c>
      <c r="AG359" t="s">
        <v>58</v>
      </c>
      <c r="AK359">
        <v>1</v>
      </c>
      <c r="AL359" t="s">
        <v>61</v>
      </c>
      <c r="AM359" t="s">
        <v>1701</v>
      </c>
      <c r="AN359" t="s">
        <v>1702</v>
      </c>
    </row>
    <row r="360" spans="1:40" x14ac:dyDescent="0.35">
      <c r="A360" t="s">
        <v>37</v>
      </c>
      <c r="B360" t="s">
        <v>1956</v>
      </c>
      <c r="C360" t="s">
        <v>102</v>
      </c>
      <c r="D360" t="s">
        <v>1698</v>
      </c>
      <c r="E360" t="s">
        <v>584</v>
      </c>
      <c r="F360" s="1">
        <v>46077.785497685189</v>
      </c>
      <c r="G360" t="s">
        <v>105</v>
      </c>
      <c r="H360" t="s">
        <v>106</v>
      </c>
      <c r="I360" t="s">
        <v>1957</v>
      </c>
      <c r="J360" t="s">
        <v>108</v>
      </c>
      <c r="K360" t="s">
        <v>109</v>
      </c>
      <c r="M360" t="s">
        <v>76</v>
      </c>
      <c r="O360" t="s">
        <v>77</v>
      </c>
      <c r="P360" t="s">
        <v>78</v>
      </c>
      <c r="Q360" t="s">
        <v>50</v>
      </c>
      <c r="R360" t="s">
        <v>111</v>
      </c>
      <c r="S360" t="s">
        <v>51</v>
      </c>
      <c r="T360" t="s">
        <v>112</v>
      </c>
      <c r="U360" s="1">
        <v>46077.871180555558</v>
      </c>
      <c r="V360" t="s">
        <v>54</v>
      </c>
      <c r="W360" t="s">
        <v>55</v>
      </c>
      <c r="X360" t="s">
        <v>134</v>
      </c>
      <c r="Y360" t="s">
        <v>1958</v>
      </c>
      <c r="Z360" t="s">
        <v>58</v>
      </c>
      <c r="AA360" t="s">
        <v>54</v>
      </c>
      <c r="AB360" t="s">
        <v>1701</v>
      </c>
      <c r="AC360" t="s">
        <v>85</v>
      </c>
      <c r="AD360" t="s">
        <v>116</v>
      </c>
      <c r="AE360" t="s">
        <v>117</v>
      </c>
      <c r="AF360" t="s">
        <v>118</v>
      </c>
      <c r="AG360" t="s">
        <v>58</v>
      </c>
      <c r="AK360">
        <v>1</v>
      </c>
      <c r="AL360" t="s">
        <v>61</v>
      </c>
      <c r="AM360" t="s">
        <v>1701</v>
      </c>
      <c r="AN360" t="s">
        <v>1702</v>
      </c>
    </row>
    <row r="361" spans="1:40" x14ac:dyDescent="0.35">
      <c r="A361" t="s">
        <v>37</v>
      </c>
      <c r="B361" t="s">
        <v>1959</v>
      </c>
      <c r="C361" t="s">
        <v>102</v>
      </c>
      <c r="D361" t="s">
        <v>1698</v>
      </c>
      <c r="E361" t="s">
        <v>584</v>
      </c>
      <c r="F361" s="1">
        <v>46077.758252314816</v>
      </c>
      <c r="G361" t="s">
        <v>105</v>
      </c>
      <c r="H361" t="s">
        <v>106</v>
      </c>
      <c r="I361" t="s">
        <v>1960</v>
      </c>
      <c r="J361" t="s">
        <v>108</v>
      </c>
      <c r="K361" t="s">
        <v>109</v>
      </c>
      <c r="M361" t="s">
        <v>76</v>
      </c>
      <c r="O361" t="s">
        <v>77</v>
      </c>
      <c r="P361" t="s">
        <v>78</v>
      </c>
      <c r="Q361" t="s">
        <v>50</v>
      </c>
      <c r="R361" t="s">
        <v>111</v>
      </c>
      <c r="S361" t="s">
        <v>51</v>
      </c>
      <c r="T361" t="s">
        <v>112</v>
      </c>
      <c r="U361" s="1">
        <v>46077.872013888889</v>
      </c>
      <c r="V361" t="s">
        <v>54</v>
      </c>
      <c r="W361" t="s">
        <v>55</v>
      </c>
      <c r="X361" t="s">
        <v>134</v>
      </c>
      <c r="Y361" t="s">
        <v>1961</v>
      </c>
      <c r="Z361" t="s">
        <v>58</v>
      </c>
      <c r="AA361" t="s">
        <v>54</v>
      </c>
      <c r="AB361" t="s">
        <v>1701</v>
      </c>
      <c r="AC361" t="s">
        <v>85</v>
      </c>
      <c r="AD361" t="s">
        <v>116</v>
      </c>
      <c r="AE361" t="s">
        <v>117</v>
      </c>
      <c r="AF361" t="s">
        <v>1706</v>
      </c>
      <c r="AG361" t="s">
        <v>58</v>
      </c>
      <c r="AK361">
        <v>1</v>
      </c>
      <c r="AL361" t="s">
        <v>61</v>
      </c>
      <c r="AM361" t="s">
        <v>1701</v>
      </c>
      <c r="AN361" t="s">
        <v>1702</v>
      </c>
    </row>
    <row r="362" spans="1:40" x14ac:dyDescent="0.35">
      <c r="A362" t="s">
        <v>37</v>
      </c>
      <c r="B362" t="s">
        <v>1962</v>
      </c>
      <c r="C362" t="s">
        <v>39</v>
      </c>
      <c r="D362" t="s">
        <v>1963</v>
      </c>
      <c r="E362" t="s">
        <v>1151</v>
      </c>
      <c r="F362" s="1">
        <v>46077.938807870371</v>
      </c>
      <c r="G362" t="s">
        <v>355</v>
      </c>
      <c r="H362" t="s">
        <v>356</v>
      </c>
      <c r="I362" t="s">
        <v>205</v>
      </c>
      <c r="J362" t="s">
        <v>1692</v>
      </c>
      <c r="K362" t="s">
        <v>207</v>
      </c>
      <c r="M362" t="s">
        <v>131</v>
      </c>
      <c r="O362" t="s">
        <v>77</v>
      </c>
      <c r="P362" t="s">
        <v>78</v>
      </c>
      <c r="Q362" t="s">
        <v>50</v>
      </c>
      <c r="R362" t="s">
        <v>305</v>
      </c>
      <c r="S362" t="s">
        <v>306</v>
      </c>
      <c r="T362" t="s">
        <v>307</v>
      </c>
      <c r="U362" s="1">
        <v>46077.99015046296</v>
      </c>
      <c r="V362" t="s">
        <v>54</v>
      </c>
      <c r="W362" t="s">
        <v>55</v>
      </c>
      <c r="X362" t="s">
        <v>211</v>
      </c>
      <c r="Y362" t="s">
        <v>1964</v>
      </c>
      <c r="Z362" t="s">
        <v>58</v>
      </c>
      <c r="AA362" t="s">
        <v>54</v>
      </c>
      <c r="AB362" t="s">
        <v>213</v>
      </c>
      <c r="AC362" t="s">
        <v>85</v>
      </c>
      <c r="AD362" t="s">
        <v>214</v>
      </c>
      <c r="AE362" t="s">
        <v>215</v>
      </c>
      <c r="AF362" t="s">
        <v>161</v>
      </c>
      <c r="AG362" t="s">
        <v>58</v>
      </c>
      <c r="AH362" t="s">
        <v>1965</v>
      </c>
      <c r="AK362">
        <v>1</v>
      </c>
      <c r="AL362" t="s">
        <v>61</v>
      </c>
      <c r="AM362" t="s">
        <v>1966</v>
      </c>
      <c r="AN362" t="s">
        <v>1967</v>
      </c>
    </row>
    <row r="363" spans="1:40" x14ac:dyDescent="0.35">
      <c r="A363" t="s">
        <v>37</v>
      </c>
      <c r="B363" t="s">
        <v>1968</v>
      </c>
      <c r="C363" t="s">
        <v>39</v>
      </c>
      <c r="D363" t="s">
        <v>444</v>
      </c>
      <c r="E363" t="s">
        <v>392</v>
      </c>
      <c r="F363" s="1">
        <v>46077.938217592593</v>
      </c>
      <c r="G363" t="s">
        <v>540</v>
      </c>
      <c r="H363" t="s">
        <v>447</v>
      </c>
      <c r="I363" t="s">
        <v>1969</v>
      </c>
      <c r="J363" t="s">
        <v>74</v>
      </c>
      <c r="K363" t="s">
        <v>75</v>
      </c>
      <c r="M363" t="s">
        <v>76</v>
      </c>
      <c r="O363" t="s">
        <v>77</v>
      </c>
      <c r="P363" t="s">
        <v>78</v>
      </c>
      <c r="Q363" t="s">
        <v>50</v>
      </c>
      <c r="R363" t="s">
        <v>79</v>
      </c>
      <c r="S363" t="s">
        <v>1970</v>
      </c>
      <c r="T363" t="s">
        <v>1971</v>
      </c>
      <c r="U363" s="1">
        <v>46077.943854166668</v>
      </c>
      <c r="V363" t="s">
        <v>54</v>
      </c>
      <c r="W363" t="s">
        <v>55</v>
      </c>
      <c r="X363" t="s">
        <v>82</v>
      </c>
      <c r="Y363" t="s">
        <v>1972</v>
      </c>
      <c r="Z363" t="s">
        <v>58</v>
      </c>
      <c r="AA363" t="s">
        <v>54</v>
      </c>
      <c r="AB363" t="s">
        <v>84</v>
      </c>
      <c r="AC363" t="s">
        <v>85</v>
      </c>
      <c r="AD363" t="s">
        <v>79</v>
      </c>
      <c r="AE363" t="s">
        <v>1970</v>
      </c>
      <c r="AF363" t="s">
        <v>1971</v>
      </c>
      <c r="AG363" t="s">
        <v>58</v>
      </c>
      <c r="AH363">
        <v>14364</v>
      </c>
      <c r="AK363">
        <v>0</v>
      </c>
      <c r="AL363" t="s">
        <v>61</v>
      </c>
      <c r="AM363" t="s">
        <v>1973</v>
      </c>
      <c r="AN363" t="s">
        <v>1974</v>
      </c>
    </row>
    <row r="364" spans="1:40" x14ac:dyDescent="0.35">
      <c r="A364" t="s">
        <v>37</v>
      </c>
      <c r="B364" t="s">
        <v>1975</v>
      </c>
      <c r="C364" t="s">
        <v>39</v>
      </c>
      <c r="D364" t="s">
        <v>739</v>
      </c>
      <c r="E364" t="s">
        <v>1976</v>
      </c>
      <c r="F364" s="1">
        <v>46077.937349537038</v>
      </c>
      <c r="G364" t="s">
        <v>722</v>
      </c>
      <c r="H364" t="s">
        <v>356</v>
      </c>
      <c r="I364" t="s">
        <v>1977</v>
      </c>
      <c r="J364" t="s">
        <v>74</v>
      </c>
      <c r="K364" t="s">
        <v>75</v>
      </c>
      <c r="M364" t="s">
        <v>76</v>
      </c>
      <c r="O364" t="s">
        <v>77</v>
      </c>
      <c r="P364" t="s">
        <v>78</v>
      </c>
      <c r="Q364" t="s">
        <v>50</v>
      </c>
      <c r="R364" t="s">
        <v>79</v>
      </c>
      <c r="S364" t="s">
        <v>1078</v>
      </c>
      <c r="T364" t="s">
        <v>1078</v>
      </c>
      <c r="U364" s="1">
        <v>46077.943391203706</v>
      </c>
      <c r="V364" t="s">
        <v>54</v>
      </c>
      <c r="W364" t="s">
        <v>55</v>
      </c>
      <c r="X364" t="s">
        <v>82</v>
      </c>
      <c r="Y364" t="s">
        <v>1978</v>
      </c>
      <c r="Z364" t="s">
        <v>58</v>
      </c>
      <c r="AA364" t="s">
        <v>54</v>
      </c>
      <c r="AB364" t="s">
        <v>84</v>
      </c>
      <c r="AC364" t="s">
        <v>85</v>
      </c>
      <c r="AD364" t="s">
        <v>79</v>
      </c>
      <c r="AE364" t="s">
        <v>1078</v>
      </c>
      <c r="AF364" t="s">
        <v>1078</v>
      </c>
      <c r="AG364" t="s">
        <v>58</v>
      </c>
      <c r="AH364">
        <v>11843</v>
      </c>
      <c r="AK364">
        <v>0</v>
      </c>
      <c r="AL364" t="s">
        <v>61</v>
      </c>
      <c r="AM364" t="s">
        <v>1979</v>
      </c>
      <c r="AN364" t="s">
        <v>1980</v>
      </c>
    </row>
    <row r="365" spans="1:40" x14ac:dyDescent="0.35">
      <c r="A365" t="s">
        <v>37</v>
      </c>
      <c r="B365" t="s">
        <v>1981</v>
      </c>
      <c r="C365" t="s">
        <v>102</v>
      </c>
      <c r="D365" t="s">
        <v>1982</v>
      </c>
      <c r="E365" t="s">
        <v>431</v>
      </c>
      <c r="F365" s="1">
        <v>46077.936412037037</v>
      </c>
      <c r="G365" t="s">
        <v>597</v>
      </c>
      <c r="H365" t="s">
        <v>287</v>
      </c>
      <c r="I365" t="s">
        <v>1983</v>
      </c>
      <c r="J365" t="s">
        <v>74</v>
      </c>
      <c r="K365" t="s">
        <v>75</v>
      </c>
      <c r="M365" t="s">
        <v>76</v>
      </c>
      <c r="O365" t="s">
        <v>237</v>
      </c>
      <c r="P365" t="s">
        <v>238</v>
      </c>
      <c r="Q365" t="s">
        <v>50</v>
      </c>
      <c r="R365" t="s">
        <v>79</v>
      </c>
      <c r="S365" t="s">
        <v>781</v>
      </c>
      <c r="T365" t="s">
        <v>1984</v>
      </c>
      <c r="U365" s="1">
        <v>46077.942962962959</v>
      </c>
      <c r="V365" t="s">
        <v>54</v>
      </c>
      <c r="W365" t="s">
        <v>55</v>
      </c>
      <c r="X365" t="s">
        <v>82</v>
      </c>
      <c r="Y365" t="e">
        <f>- cleared credential manager - cleared browser from password  - gpupdate /force  - issue has been resolved</f>
        <v>#NAME?</v>
      </c>
      <c r="Z365" t="s">
        <v>58</v>
      </c>
      <c r="AA365" t="s">
        <v>54</v>
      </c>
      <c r="AB365" t="s">
        <v>84</v>
      </c>
      <c r="AC365" t="s">
        <v>242</v>
      </c>
      <c r="AD365" t="s">
        <v>79</v>
      </c>
      <c r="AE365" t="s">
        <v>784</v>
      </c>
      <c r="AF365" t="s">
        <v>1985</v>
      </c>
      <c r="AG365" t="s">
        <v>58</v>
      </c>
      <c r="AH365" t="s">
        <v>1986</v>
      </c>
      <c r="AK365">
        <v>0</v>
      </c>
      <c r="AL365" t="s">
        <v>61</v>
      </c>
      <c r="AM365" t="s">
        <v>1987</v>
      </c>
      <c r="AN365" t="s">
        <v>1988</v>
      </c>
    </row>
    <row r="366" spans="1:40" x14ac:dyDescent="0.35">
      <c r="A366" t="s">
        <v>37</v>
      </c>
      <c r="B366" t="s">
        <v>1989</v>
      </c>
      <c r="C366" t="s">
        <v>102</v>
      </c>
      <c r="D366" t="s">
        <v>303</v>
      </c>
      <c r="E366" t="s">
        <v>1990</v>
      </c>
      <c r="F366" s="1">
        <v>46077.928749999999</v>
      </c>
      <c r="G366" t="s">
        <v>170</v>
      </c>
      <c r="H366" t="s">
        <v>92</v>
      </c>
      <c r="I366" t="s">
        <v>1991</v>
      </c>
      <c r="J366" t="s">
        <v>1992</v>
      </c>
      <c r="K366" t="s">
        <v>588</v>
      </c>
      <c r="M366" t="s">
        <v>76</v>
      </c>
      <c r="O366" t="s">
        <v>237</v>
      </c>
      <c r="P366" t="s">
        <v>238</v>
      </c>
      <c r="Q366" t="s">
        <v>50</v>
      </c>
      <c r="R366" t="s">
        <v>1993</v>
      </c>
      <c r="S366" t="s">
        <v>1994</v>
      </c>
      <c r="T366" t="s">
        <v>1995</v>
      </c>
      <c r="U366" s="1">
        <v>46078.383321759262</v>
      </c>
      <c r="V366" t="s">
        <v>54</v>
      </c>
      <c r="W366" t="s">
        <v>55</v>
      </c>
      <c r="X366" t="s">
        <v>134</v>
      </c>
      <c r="Y366" t="s">
        <v>1996</v>
      </c>
      <c r="Z366" t="s">
        <v>58</v>
      </c>
      <c r="AA366" t="s">
        <v>54</v>
      </c>
      <c r="AB366" t="s">
        <v>176</v>
      </c>
      <c r="AC366" t="s">
        <v>242</v>
      </c>
      <c r="AD366" t="s">
        <v>51</v>
      </c>
      <c r="AE366" t="s">
        <v>195</v>
      </c>
      <c r="AF366" t="s">
        <v>195</v>
      </c>
      <c r="AG366" t="s">
        <v>58</v>
      </c>
      <c r="AH366">
        <v>13293</v>
      </c>
      <c r="AK366">
        <v>1</v>
      </c>
      <c r="AL366" t="s">
        <v>61</v>
      </c>
      <c r="AM366" t="s">
        <v>1997</v>
      </c>
      <c r="AN366" t="s">
        <v>1998</v>
      </c>
    </row>
    <row r="367" spans="1:40" x14ac:dyDescent="0.35">
      <c r="A367" t="s">
        <v>37</v>
      </c>
      <c r="B367" t="s">
        <v>1999</v>
      </c>
      <c r="C367" t="s">
        <v>102</v>
      </c>
      <c r="D367" t="s">
        <v>126</v>
      </c>
      <c r="E367" t="s">
        <v>127</v>
      </c>
      <c r="F367" s="1">
        <v>46077.903946759259</v>
      </c>
      <c r="G367" t="s">
        <v>71</v>
      </c>
      <c r="H367" t="s">
        <v>72</v>
      </c>
      <c r="I367" t="s">
        <v>2000</v>
      </c>
      <c r="J367" t="s">
        <v>129</v>
      </c>
      <c r="K367" t="s">
        <v>565</v>
      </c>
      <c r="M367" t="s">
        <v>76</v>
      </c>
      <c r="O367" t="s">
        <v>77</v>
      </c>
      <c r="P367" t="s">
        <v>78</v>
      </c>
      <c r="Q367" t="s">
        <v>50</v>
      </c>
      <c r="R367" t="s">
        <v>51</v>
      </c>
      <c r="S367" t="s">
        <v>52</v>
      </c>
      <c r="T367" t="s">
        <v>195</v>
      </c>
      <c r="U367" s="1">
        <v>46078.425636574073</v>
      </c>
      <c r="V367" t="s">
        <v>54</v>
      </c>
      <c r="W367" t="s">
        <v>55</v>
      </c>
      <c r="X367" t="s">
        <v>134</v>
      </c>
      <c r="Y367" t="s">
        <v>2001</v>
      </c>
      <c r="Z367" t="s">
        <v>58</v>
      </c>
      <c r="AA367" t="s">
        <v>54</v>
      </c>
      <c r="AB367" t="s">
        <v>136</v>
      </c>
      <c r="AC367" t="s">
        <v>85</v>
      </c>
      <c r="AD367" t="s">
        <v>51</v>
      </c>
      <c r="AE367" t="s">
        <v>52</v>
      </c>
      <c r="AF367" t="s">
        <v>195</v>
      </c>
      <c r="AG367" t="s">
        <v>58</v>
      </c>
      <c r="AH367" t="s">
        <v>137</v>
      </c>
      <c r="AK367">
        <v>1</v>
      </c>
      <c r="AL367" t="s">
        <v>61</v>
      </c>
      <c r="AM367" t="s">
        <v>136</v>
      </c>
      <c r="AN367" t="s">
        <v>138</v>
      </c>
    </row>
    <row r="368" spans="1:40" x14ac:dyDescent="0.35">
      <c r="A368" t="s">
        <v>37</v>
      </c>
      <c r="B368" t="s">
        <v>2002</v>
      </c>
      <c r="C368" t="s">
        <v>39</v>
      </c>
      <c r="D368" t="s">
        <v>469</v>
      </c>
      <c r="E368" t="s">
        <v>2003</v>
      </c>
      <c r="F368" s="1">
        <v>46077.901886574073</v>
      </c>
      <c r="G368" t="s">
        <v>432</v>
      </c>
      <c r="H368" t="s">
        <v>433</v>
      </c>
      <c r="I368" t="s">
        <v>2004</v>
      </c>
      <c r="J368" t="s">
        <v>404</v>
      </c>
      <c r="K368" t="s">
        <v>405</v>
      </c>
      <c r="M368" t="s">
        <v>76</v>
      </c>
      <c r="O368" t="s">
        <v>237</v>
      </c>
      <c r="P368" t="s">
        <v>238</v>
      </c>
      <c r="Q368" t="s">
        <v>50</v>
      </c>
      <c r="R368" t="s">
        <v>51</v>
      </c>
      <c r="S368" t="s">
        <v>52</v>
      </c>
      <c r="T368" t="s">
        <v>240</v>
      </c>
      <c r="U368" s="1">
        <v>46078.405034722222</v>
      </c>
      <c r="V368" t="s">
        <v>54</v>
      </c>
      <c r="W368" t="s">
        <v>55</v>
      </c>
      <c r="X368" t="s">
        <v>134</v>
      </c>
      <c r="Y368" t="s">
        <v>2005</v>
      </c>
      <c r="Z368" t="s">
        <v>58</v>
      </c>
      <c r="AA368" t="s">
        <v>54</v>
      </c>
      <c r="AB368" t="s">
        <v>84</v>
      </c>
      <c r="AC368" t="s">
        <v>242</v>
      </c>
      <c r="AD368" t="s">
        <v>52</v>
      </c>
      <c r="AE368" t="s">
        <v>438</v>
      </c>
      <c r="AF368" t="s">
        <v>439</v>
      </c>
      <c r="AG368" t="s">
        <v>58</v>
      </c>
      <c r="AH368">
        <v>1266</v>
      </c>
      <c r="AK368">
        <v>1</v>
      </c>
      <c r="AL368" t="s">
        <v>61</v>
      </c>
      <c r="AM368" t="s">
        <v>2006</v>
      </c>
      <c r="AN368" t="s">
        <v>2007</v>
      </c>
    </row>
    <row r="369" spans="1:40" x14ac:dyDescent="0.35">
      <c r="A369" t="s">
        <v>37</v>
      </c>
      <c r="B369" t="s">
        <v>2008</v>
      </c>
      <c r="C369" t="s">
        <v>102</v>
      </c>
      <c r="D369" t="s">
        <v>146</v>
      </c>
      <c r="E369" t="s">
        <v>147</v>
      </c>
      <c r="F369" s="1">
        <v>46077.895324074074</v>
      </c>
      <c r="G369" t="s">
        <v>71</v>
      </c>
      <c r="H369" t="s">
        <v>72</v>
      </c>
      <c r="I369" t="s">
        <v>2009</v>
      </c>
      <c r="J369" t="s">
        <v>149</v>
      </c>
      <c r="K369" t="s">
        <v>130</v>
      </c>
      <c r="M369" t="s">
        <v>131</v>
      </c>
      <c r="O369" t="s">
        <v>77</v>
      </c>
      <c r="P369" t="s">
        <v>78</v>
      </c>
      <c r="Q369" t="s">
        <v>50</v>
      </c>
      <c r="R369" t="s">
        <v>132</v>
      </c>
      <c r="S369" t="s">
        <v>133</v>
      </c>
      <c r="T369" t="s">
        <v>133</v>
      </c>
      <c r="U369" s="1">
        <v>46078.425000000003</v>
      </c>
      <c r="V369" t="s">
        <v>54</v>
      </c>
      <c r="W369" t="s">
        <v>55</v>
      </c>
      <c r="X369" t="s">
        <v>82</v>
      </c>
      <c r="Y369" t="s">
        <v>2010</v>
      </c>
      <c r="Z369" t="s">
        <v>58</v>
      </c>
      <c r="AA369" t="s">
        <v>54</v>
      </c>
      <c r="AB369" t="s">
        <v>152</v>
      </c>
      <c r="AC369" t="s">
        <v>85</v>
      </c>
      <c r="AD369" t="s">
        <v>132</v>
      </c>
      <c r="AE369" t="s">
        <v>133</v>
      </c>
      <c r="AF369" t="s">
        <v>133</v>
      </c>
      <c r="AG369" t="s">
        <v>58</v>
      </c>
      <c r="AH369" t="s">
        <v>153</v>
      </c>
      <c r="AK369">
        <v>1</v>
      </c>
      <c r="AL369" t="s">
        <v>61</v>
      </c>
      <c r="AM369" t="s">
        <v>152</v>
      </c>
      <c r="AN369" t="s">
        <v>154</v>
      </c>
    </row>
    <row r="370" spans="1:40" x14ac:dyDescent="0.35">
      <c r="A370" t="s">
        <v>37</v>
      </c>
      <c r="B370" t="s">
        <v>2011</v>
      </c>
      <c r="C370" t="s">
        <v>39</v>
      </c>
      <c r="D370" t="s">
        <v>40</v>
      </c>
      <c r="E370" t="s">
        <v>41</v>
      </c>
      <c r="F370" s="1">
        <v>46077.878379629627</v>
      </c>
      <c r="G370" t="s">
        <v>42</v>
      </c>
      <c r="H370" t="s">
        <v>43</v>
      </c>
      <c r="I370" t="s">
        <v>2012</v>
      </c>
      <c r="J370" t="s">
        <v>45</v>
      </c>
      <c r="K370" t="s">
        <v>46</v>
      </c>
      <c r="M370" t="s">
        <v>47</v>
      </c>
      <c r="O370" t="s">
        <v>48</v>
      </c>
      <c r="P370" t="s">
        <v>49</v>
      </c>
      <c r="Q370" t="s">
        <v>50</v>
      </c>
      <c r="R370" t="s">
        <v>51</v>
      </c>
      <c r="S370" t="s">
        <v>52</v>
      </c>
      <c r="T370" t="s">
        <v>53</v>
      </c>
      <c r="U370" s="1">
        <v>46077.879444444443</v>
      </c>
      <c r="V370" t="s">
        <v>54</v>
      </c>
      <c r="W370" t="s">
        <v>55</v>
      </c>
      <c r="X370" t="s">
        <v>56</v>
      </c>
      <c r="Y370" t="s">
        <v>57</v>
      </c>
      <c r="Z370" t="s">
        <v>58</v>
      </c>
      <c r="AA370" t="s">
        <v>54</v>
      </c>
      <c r="AB370" t="s">
        <v>59</v>
      </c>
      <c r="AC370" t="s">
        <v>60</v>
      </c>
      <c r="AD370" t="s">
        <v>51</v>
      </c>
      <c r="AE370" t="s">
        <v>52</v>
      </c>
      <c r="AF370" t="s">
        <v>53</v>
      </c>
      <c r="AG370" t="s">
        <v>58</v>
      </c>
      <c r="AK370">
        <v>0</v>
      </c>
      <c r="AL370" t="s">
        <v>61</v>
      </c>
      <c r="AM370" t="s">
        <v>59</v>
      </c>
      <c r="AN370" t="s">
        <v>62</v>
      </c>
    </row>
    <row r="371" spans="1:40" x14ac:dyDescent="0.35">
      <c r="A371" t="s">
        <v>37</v>
      </c>
      <c r="B371" t="s">
        <v>2013</v>
      </c>
      <c r="C371" t="s">
        <v>39</v>
      </c>
      <c r="D371" t="s">
        <v>469</v>
      </c>
      <c r="E371" t="s">
        <v>2014</v>
      </c>
      <c r="F371" s="1">
        <v>46077.861828703702</v>
      </c>
      <c r="G371" t="s">
        <v>2015</v>
      </c>
      <c r="H371" t="s">
        <v>447</v>
      </c>
      <c r="I371" t="s">
        <v>815</v>
      </c>
      <c r="J371" t="s">
        <v>816</v>
      </c>
      <c r="K371" t="s">
        <v>817</v>
      </c>
      <c r="M371" t="s">
        <v>76</v>
      </c>
      <c r="O371" t="s">
        <v>77</v>
      </c>
      <c r="P371" t="s">
        <v>78</v>
      </c>
      <c r="Q371" t="s">
        <v>456</v>
      </c>
      <c r="R371" t="s">
        <v>51</v>
      </c>
      <c r="S371" t="s">
        <v>819</v>
      </c>
      <c r="T371" t="s">
        <v>817</v>
      </c>
      <c r="U371" s="1">
        <v>46078.625914351855</v>
      </c>
      <c r="V371" t="s">
        <v>54</v>
      </c>
      <c r="W371" t="s">
        <v>55</v>
      </c>
      <c r="X371" t="s">
        <v>134</v>
      </c>
      <c r="Y371" t="s">
        <v>820</v>
      </c>
      <c r="Z371" t="s">
        <v>58</v>
      </c>
      <c r="AA371" t="s">
        <v>54</v>
      </c>
      <c r="AB371" t="s">
        <v>84</v>
      </c>
      <c r="AC371" t="s">
        <v>85</v>
      </c>
      <c r="AD371" t="s">
        <v>51</v>
      </c>
      <c r="AE371" t="s">
        <v>819</v>
      </c>
      <c r="AF371" t="s">
        <v>817</v>
      </c>
      <c r="AG371" t="s">
        <v>58</v>
      </c>
      <c r="AH371">
        <v>543</v>
      </c>
      <c r="AK371">
        <v>1</v>
      </c>
      <c r="AL371" t="s">
        <v>61</v>
      </c>
      <c r="AM371" t="s">
        <v>2016</v>
      </c>
      <c r="AN371" t="s">
        <v>2017</v>
      </c>
    </row>
    <row r="372" spans="1:40" x14ac:dyDescent="0.35">
      <c r="A372" t="s">
        <v>37</v>
      </c>
      <c r="B372" t="s">
        <v>2018</v>
      </c>
      <c r="C372" t="s">
        <v>39</v>
      </c>
      <c r="D372" t="s">
        <v>469</v>
      </c>
      <c r="E372" t="s">
        <v>2014</v>
      </c>
      <c r="F372" s="1">
        <v>46077.858622685184</v>
      </c>
      <c r="G372" t="s">
        <v>2015</v>
      </c>
      <c r="H372" t="s">
        <v>447</v>
      </c>
      <c r="I372" t="s">
        <v>815</v>
      </c>
      <c r="J372" t="s">
        <v>816</v>
      </c>
      <c r="K372" t="s">
        <v>817</v>
      </c>
      <c r="M372" t="s">
        <v>76</v>
      </c>
      <c r="O372" t="s">
        <v>77</v>
      </c>
      <c r="P372" t="s">
        <v>78</v>
      </c>
      <c r="Q372" t="s">
        <v>456</v>
      </c>
      <c r="R372" t="s">
        <v>51</v>
      </c>
      <c r="S372" t="s">
        <v>819</v>
      </c>
      <c r="T372" t="s">
        <v>817</v>
      </c>
      <c r="U372" s="1">
        <v>46078.625625000001</v>
      </c>
      <c r="V372" t="s">
        <v>54</v>
      </c>
      <c r="W372" t="s">
        <v>55</v>
      </c>
      <c r="X372" t="s">
        <v>134</v>
      </c>
      <c r="Y372" t="s">
        <v>820</v>
      </c>
      <c r="Z372" t="s">
        <v>58</v>
      </c>
      <c r="AA372" t="s">
        <v>54</v>
      </c>
      <c r="AB372" t="s">
        <v>84</v>
      </c>
      <c r="AC372" t="s">
        <v>85</v>
      </c>
      <c r="AD372" t="s">
        <v>51</v>
      </c>
      <c r="AE372" t="s">
        <v>819</v>
      </c>
      <c r="AF372" t="s">
        <v>817</v>
      </c>
      <c r="AG372" t="s">
        <v>58</v>
      </c>
      <c r="AH372">
        <v>543</v>
      </c>
      <c r="AK372">
        <v>1</v>
      </c>
      <c r="AL372" t="s">
        <v>61</v>
      </c>
      <c r="AM372" t="s">
        <v>2016</v>
      </c>
      <c r="AN372" t="s">
        <v>2017</v>
      </c>
    </row>
    <row r="373" spans="1:40" x14ac:dyDescent="0.35">
      <c r="A373" t="s">
        <v>37</v>
      </c>
      <c r="B373" t="s">
        <v>2019</v>
      </c>
      <c r="C373" t="s">
        <v>39</v>
      </c>
      <c r="D373" t="s">
        <v>933</v>
      </c>
      <c r="E373" t="s">
        <v>2020</v>
      </c>
      <c r="F373" s="1">
        <v>46077.827430555553</v>
      </c>
      <c r="G373" t="s">
        <v>402</v>
      </c>
      <c r="H373" t="s">
        <v>72</v>
      </c>
      <c r="I373" t="s">
        <v>205</v>
      </c>
      <c r="J373" t="s">
        <v>206</v>
      </c>
      <c r="K373" t="s">
        <v>207</v>
      </c>
      <c r="M373" t="s">
        <v>131</v>
      </c>
      <c r="O373" t="s">
        <v>77</v>
      </c>
      <c r="P373" t="s">
        <v>78</v>
      </c>
      <c r="Q373" t="s">
        <v>50</v>
      </c>
      <c r="R373" t="s">
        <v>208</v>
      </c>
      <c r="S373" t="s">
        <v>209</v>
      </c>
      <c r="T373" t="s">
        <v>210</v>
      </c>
      <c r="U373" s="1">
        <v>46077.846354166664</v>
      </c>
      <c r="V373" t="s">
        <v>54</v>
      </c>
      <c r="W373" t="s">
        <v>55</v>
      </c>
      <c r="X373" t="s">
        <v>211</v>
      </c>
      <c r="Y373" t="s">
        <v>212</v>
      </c>
      <c r="Z373" t="s">
        <v>58</v>
      </c>
      <c r="AA373" t="s">
        <v>54</v>
      </c>
      <c r="AB373" t="s">
        <v>213</v>
      </c>
      <c r="AC373" t="s">
        <v>85</v>
      </c>
      <c r="AD373" t="s">
        <v>214</v>
      </c>
      <c r="AE373" t="s">
        <v>215</v>
      </c>
      <c r="AF373" t="s">
        <v>216</v>
      </c>
      <c r="AG373" t="s">
        <v>58</v>
      </c>
      <c r="AH373">
        <v>15551</v>
      </c>
      <c r="AK373">
        <v>1</v>
      </c>
      <c r="AL373" t="s">
        <v>61</v>
      </c>
      <c r="AM373" t="s">
        <v>2021</v>
      </c>
      <c r="AN373" t="s">
        <v>2022</v>
      </c>
    </row>
    <row r="374" spans="1:40" x14ac:dyDescent="0.35">
      <c r="A374" t="s">
        <v>37</v>
      </c>
      <c r="B374" t="s">
        <v>2023</v>
      </c>
      <c r="C374" t="s">
        <v>39</v>
      </c>
      <c r="D374" t="s">
        <v>2024</v>
      </c>
      <c r="E374" t="s">
        <v>2025</v>
      </c>
      <c r="F374" s="1">
        <v>46077.825219907405</v>
      </c>
      <c r="G374" t="s">
        <v>487</v>
      </c>
      <c r="H374" t="s">
        <v>447</v>
      </c>
      <c r="I374" t="s">
        <v>772</v>
      </c>
      <c r="J374" t="s">
        <v>455</v>
      </c>
      <c r="K374" t="s">
        <v>436</v>
      </c>
      <c r="M374" t="s">
        <v>76</v>
      </c>
      <c r="O374" t="s">
        <v>77</v>
      </c>
      <c r="P374" t="s">
        <v>78</v>
      </c>
      <c r="Q374" t="s">
        <v>50</v>
      </c>
      <c r="R374" t="s">
        <v>51</v>
      </c>
      <c r="S374" t="s">
        <v>52</v>
      </c>
      <c r="T374" t="s">
        <v>773</v>
      </c>
      <c r="U374" s="1">
        <v>46078.374409722222</v>
      </c>
      <c r="V374" t="s">
        <v>54</v>
      </c>
      <c r="W374" t="s">
        <v>55</v>
      </c>
      <c r="X374" t="s">
        <v>211</v>
      </c>
      <c r="Y374" t="s">
        <v>2026</v>
      </c>
      <c r="Z374" t="s">
        <v>58</v>
      </c>
      <c r="AA374" t="s">
        <v>54</v>
      </c>
      <c r="AB374" t="s">
        <v>213</v>
      </c>
      <c r="AC374" t="s">
        <v>85</v>
      </c>
      <c r="AD374" t="s">
        <v>52</v>
      </c>
      <c r="AE374" t="s">
        <v>438</v>
      </c>
      <c r="AF374" t="s">
        <v>775</v>
      </c>
      <c r="AG374" t="s">
        <v>58</v>
      </c>
      <c r="AH374">
        <v>15820</v>
      </c>
      <c r="AK374">
        <v>1</v>
      </c>
      <c r="AL374" t="s">
        <v>61</v>
      </c>
      <c r="AM374" t="s">
        <v>2027</v>
      </c>
      <c r="AN374" t="s">
        <v>2028</v>
      </c>
    </row>
    <row r="375" spans="1:40" x14ac:dyDescent="0.35">
      <c r="A375" t="s">
        <v>37</v>
      </c>
      <c r="B375" t="s">
        <v>2029</v>
      </c>
      <c r="C375" t="s">
        <v>39</v>
      </c>
      <c r="D375" t="s">
        <v>127</v>
      </c>
      <c r="E375" t="s">
        <v>2030</v>
      </c>
      <c r="F375" s="1">
        <v>46077.820335648146</v>
      </c>
      <c r="G375" t="s">
        <v>2031</v>
      </c>
      <c r="H375" t="s">
        <v>106</v>
      </c>
      <c r="I375" t="s">
        <v>205</v>
      </c>
      <c r="J375" t="s">
        <v>206</v>
      </c>
      <c r="K375" t="s">
        <v>207</v>
      </c>
      <c r="M375" t="s">
        <v>131</v>
      </c>
      <c r="O375" t="s">
        <v>77</v>
      </c>
      <c r="P375" t="s">
        <v>78</v>
      </c>
      <c r="Q375" t="s">
        <v>818</v>
      </c>
      <c r="R375" t="s">
        <v>208</v>
      </c>
      <c r="S375" t="s">
        <v>209</v>
      </c>
      <c r="T375" t="s">
        <v>210</v>
      </c>
      <c r="U375" s="1">
        <v>46077.846145833333</v>
      </c>
      <c r="V375" t="s">
        <v>54</v>
      </c>
      <c r="W375" t="s">
        <v>55</v>
      </c>
      <c r="X375" t="s">
        <v>211</v>
      </c>
      <c r="Y375" t="s">
        <v>212</v>
      </c>
      <c r="Z375" t="s">
        <v>58</v>
      </c>
      <c r="AA375" t="s">
        <v>54</v>
      </c>
      <c r="AB375" t="s">
        <v>213</v>
      </c>
      <c r="AC375" t="s">
        <v>85</v>
      </c>
      <c r="AD375" t="s">
        <v>214</v>
      </c>
      <c r="AE375" t="s">
        <v>215</v>
      </c>
      <c r="AF375" t="s">
        <v>216</v>
      </c>
      <c r="AG375" t="s">
        <v>58</v>
      </c>
      <c r="AH375">
        <v>5728</v>
      </c>
      <c r="AK375">
        <v>1</v>
      </c>
      <c r="AL375" t="s">
        <v>61</v>
      </c>
      <c r="AM375" t="s">
        <v>2032</v>
      </c>
      <c r="AN375" t="s">
        <v>2033</v>
      </c>
    </row>
    <row r="376" spans="1:40" x14ac:dyDescent="0.35">
      <c r="A376" t="s">
        <v>37</v>
      </c>
      <c r="B376" t="s">
        <v>2034</v>
      </c>
      <c r="C376" t="s">
        <v>39</v>
      </c>
      <c r="D376" t="s">
        <v>640</v>
      </c>
      <c r="E376" t="s">
        <v>230</v>
      </c>
      <c r="F376" s="1">
        <v>46077.819664351853</v>
      </c>
      <c r="G376" t="s">
        <v>261</v>
      </c>
      <c r="H376" t="s">
        <v>72</v>
      </c>
      <c r="I376" t="s">
        <v>205</v>
      </c>
      <c r="J376" t="s">
        <v>206</v>
      </c>
      <c r="K376" t="s">
        <v>207</v>
      </c>
      <c r="M376" t="s">
        <v>131</v>
      </c>
      <c r="O376" t="s">
        <v>77</v>
      </c>
      <c r="P376" t="s">
        <v>78</v>
      </c>
      <c r="Q376" t="s">
        <v>50</v>
      </c>
      <c r="R376" t="s">
        <v>208</v>
      </c>
      <c r="S376" t="s">
        <v>209</v>
      </c>
      <c r="T376" t="s">
        <v>210</v>
      </c>
      <c r="U376" s="1">
        <v>46077.845960648148</v>
      </c>
      <c r="V376" t="s">
        <v>54</v>
      </c>
      <c r="W376" t="s">
        <v>55</v>
      </c>
      <c r="X376" t="s">
        <v>211</v>
      </c>
      <c r="Y376" t="s">
        <v>212</v>
      </c>
      <c r="Z376" t="s">
        <v>58</v>
      </c>
      <c r="AA376" t="s">
        <v>54</v>
      </c>
      <c r="AB376" t="s">
        <v>213</v>
      </c>
      <c r="AC376" t="s">
        <v>85</v>
      </c>
      <c r="AD376" t="s">
        <v>214</v>
      </c>
      <c r="AE376" t="s">
        <v>215</v>
      </c>
      <c r="AF376" t="s">
        <v>216</v>
      </c>
      <c r="AG376" t="s">
        <v>58</v>
      </c>
      <c r="AH376">
        <v>15899</v>
      </c>
      <c r="AK376">
        <v>1</v>
      </c>
      <c r="AL376" t="s">
        <v>61</v>
      </c>
      <c r="AM376" t="s">
        <v>646</v>
      </c>
      <c r="AN376" t="s">
        <v>647</v>
      </c>
    </row>
    <row r="377" spans="1:40" x14ac:dyDescent="0.35">
      <c r="A377" t="s">
        <v>37</v>
      </c>
      <c r="B377" t="s">
        <v>2035</v>
      </c>
      <c r="C377" t="s">
        <v>102</v>
      </c>
      <c r="D377" t="s">
        <v>146</v>
      </c>
      <c r="E377" t="s">
        <v>147</v>
      </c>
      <c r="F377" s="1">
        <v>46077.818877314814</v>
      </c>
      <c r="G377" t="s">
        <v>71</v>
      </c>
      <c r="H377" t="s">
        <v>72</v>
      </c>
      <c r="I377" t="s">
        <v>163</v>
      </c>
      <c r="J377" t="s">
        <v>149</v>
      </c>
      <c r="K377" t="s">
        <v>130</v>
      </c>
      <c r="M377" t="s">
        <v>131</v>
      </c>
      <c r="O377" t="s">
        <v>77</v>
      </c>
      <c r="P377" t="s">
        <v>78</v>
      </c>
      <c r="Q377" t="s">
        <v>50</v>
      </c>
      <c r="R377" t="s">
        <v>132</v>
      </c>
      <c r="S377" t="s">
        <v>133</v>
      </c>
      <c r="T377" t="s">
        <v>133</v>
      </c>
      <c r="U377" s="1">
        <v>46078.388090277775</v>
      </c>
      <c r="V377" t="s">
        <v>54</v>
      </c>
      <c r="W377" t="s">
        <v>55</v>
      </c>
      <c r="X377" t="s">
        <v>82</v>
      </c>
      <c r="Y377" t="s">
        <v>2036</v>
      </c>
      <c r="Z377" t="s">
        <v>58</v>
      </c>
      <c r="AA377" t="s">
        <v>54</v>
      </c>
      <c r="AB377" t="s">
        <v>152</v>
      </c>
      <c r="AC377" t="s">
        <v>85</v>
      </c>
      <c r="AD377" t="s">
        <v>132</v>
      </c>
      <c r="AE377" t="s">
        <v>133</v>
      </c>
      <c r="AF377" t="s">
        <v>133</v>
      </c>
      <c r="AG377" t="s">
        <v>58</v>
      </c>
      <c r="AH377" t="s">
        <v>153</v>
      </c>
      <c r="AK377">
        <v>1</v>
      </c>
      <c r="AL377" t="s">
        <v>61</v>
      </c>
      <c r="AM377" t="s">
        <v>152</v>
      </c>
      <c r="AN377" t="s">
        <v>154</v>
      </c>
    </row>
    <row r="378" spans="1:40" x14ac:dyDescent="0.35">
      <c r="A378" t="s">
        <v>37</v>
      </c>
      <c r="B378" t="s">
        <v>2037</v>
      </c>
      <c r="C378" t="s">
        <v>39</v>
      </c>
      <c r="D378" t="s">
        <v>2038</v>
      </c>
      <c r="E378" t="s">
        <v>2039</v>
      </c>
      <c r="F378" s="1">
        <v>46077.817256944443</v>
      </c>
      <c r="G378" t="s">
        <v>540</v>
      </c>
      <c r="H378" t="s">
        <v>447</v>
      </c>
      <c r="I378" t="s">
        <v>205</v>
      </c>
      <c r="J378" t="s">
        <v>206</v>
      </c>
      <c r="K378" t="s">
        <v>207</v>
      </c>
      <c r="M378" t="s">
        <v>131</v>
      </c>
      <c r="O378" t="s">
        <v>77</v>
      </c>
      <c r="P378" t="s">
        <v>78</v>
      </c>
      <c r="Q378" t="s">
        <v>1102</v>
      </c>
      <c r="R378" t="s">
        <v>305</v>
      </c>
      <c r="S378" t="s">
        <v>306</v>
      </c>
      <c r="T378" t="s">
        <v>307</v>
      </c>
      <c r="U378" s="1">
        <v>46078.914270833331</v>
      </c>
      <c r="V378" t="s">
        <v>54</v>
      </c>
      <c r="W378" t="s">
        <v>55</v>
      </c>
      <c r="X378" t="s">
        <v>211</v>
      </c>
      <c r="Y378" t="s">
        <v>2040</v>
      </c>
      <c r="Z378" t="s">
        <v>58</v>
      </c>
      <c r="AA378" t="s">
        <v>54</v>
      </c>
      <c r="AB378" t="s">
        <v>213</v>
      </c>
      <c r="AC378" t="s">
        <v>85</v>
      </c>
      <c r="AD378" t="s">
        <v>214</v>
      </c>
      <c r="AE378" t="s">
        <v>215</v>
      </c>
      <c r="AF378" t="s">
        <v>216</v>
      </c>
      <c r="AG378" t="s">
        <v>58</v>
      </c>
      <c r="AH378">
        <v>1898</v>
      </c>
      <c r="AK378">
        <v>1</v>
      </c>
      <c r="AL378" t="s">
        <v>61</v>
      </c>
      <c r="AM378" t="s">
        <v>2041</v>
      </c>
      <c r="AN378" t="s">
        <v>2042</v>
      </c>
    </row>
    <row r="379" spans="1:40" x14ac:dyDescent="0.35">
      <c r="A379" t="s">
        <v>37</v>
      </c>
      <c r="B379" t="s">
        <v>2043</v>
      </c>
      <c r="C379" t="s">
        <v>39</v>
      </c>
      <c r="D379" t="s">
        <v>2044</v>
      </c>
      <c r="E379" t="s">
        <v>303</v>
      </c>
      <c r="F379" s="1">
        <v>46077.816481481481</v>
      </c>
      <c r="G379" t="s">
        <v>232</v>
      </c>
      <c r="H379" t="s">
        <v>233</v>
      </c>
      <c r="I379" t="s">
        <v>205</v>
      </c>
      <c r="J379" t="s">
        <v>1692</v>
      </c>
      <c r="K379" t="s">
        <v>207</v>
      </c>
      <c r="M379" t="s">
        <v>131</v>
      </c>
      <c r="O379" t="s">
        <v>77</v>
      </c>
      <c r="P379" t="s">
        <v>78</v>
      </c>
      <c r="Q379" t="s">
        <v>50</v>
      </c>
      <c r="R379" t="s">
        <v>305</v>
      </c>
      <c r="S379" t="s">
        <v>306</v>
      </c>
      <c r="T379" t="s">
        <v>307</v>
      </c>
      <c r="U379" s="1">
        <v>46078.974050925928</v>
      </c>
      <c r="V379" t="s">
        <v>54</v>
      </c>
      <c r="W379" t="s">
        <v>55</v>
      </c>
      <c r="X379" t="s">
        <v>211</v>
      </c>
      <c r="Y379" t="s">
        <v>2045</v>
      </c>
      <c r="Z379" t="s">
        <v>58</v>
      </c>
      <c r="AA379" t="s">
        <v>54</v>
      </c>
      <c r="AB379" t="s">
        <v>213</v>
      </c>
      <c r="AC379" t="s">
        <v>85</v>
      </c>
      <c r="AD379" t="s">
        <v>214</v>
      </c>
      <c r="AE379" t="s">
        <v>215</v>
      </c>
      <c r="AF379" t="s">
        <v>161</v>
      </c>
      <c r="AG379" t="s">
        <v>58</v>
      </c>
      <c r="AH379">
        <v>15313</v>
      </c>
      <c r="AK379">
        <v>2</v>
      </c>
      <c r="AL379" t="s">
        <v>61</v>
      </c>
      <c r="AM379" t="s">
        <v>2046</v>
      </c>
      <c r="AN379" t="s">
        <v>2047</v>
      </c>
    </row>
    <row r="380" spans="1:40" x14ac:dyDescent="0.35">
      <c r="A380" t="s">
        <v>37</v>
      </c>
      <c r="B380" t="s">
        <v>2048</v>
      </c>
      <c r="C380" t="s">
        <v>39</v>
      </c>
      <c r="D380" t="s">
        <v>89</v>
      </c>
      <c r="E380" t="s">
        <v>2049</v>
      </c>
      <c r="F380" s="1">
        <v>46077.813657407409</v>
      </c>
      <c r="G380" t="s">
        <v>393</v>
      </c>
      <c r="H380" t="s">
        <v>92</v>
      </c>
      <c r="I380" t="s">
        <v>205</v>
      </c>
      <c r="J380" t="s">
        <v>206</v>
      </c>
      <c r="K380" t="s">
        <v>207</v>
      </c>
      <c r="M380" t="s">
        <v>131</v>
      </c>
      <c r="O380" t="s">
        <v>77</v>
      </c>
      <c r="P380" t="s">
        <v>78</v>
      </c>
      <c r="Q380" t="s">
        <v>50</v>
      </c>
      <c r="R380" t="s">
        <v>208</v>
      </c>
      <c r="S380" t="s">
        <v>209</v>
      </c>
      <c r="T380" t="s">
        <v>210</v>
      </c>
      <c r="U380" s="1">
        <v>46077.845729166664</v>
      </c>
      <c r="V380" t="s">
        <v>54</v>
      </c>
      <c r="W380" t="s">
        <v>55</v>
      </c>
      <c r="X380" t="s">
        <v>211</v>
      </c>
      <c r="Y380" t="s">
        <v>212</v>
      </c>
      <c r="Z380" t="s">
        <v>58</v>
      </c>
      <c r="AA380" t="s">
        <v>54</v>
      </c>
      <c r="AB380" t="s">
        <v>213</v>
      </c>
      <c r="AC380" t="s">
        <v>85</v>
      </c>
      <c r="AD380" t="s">
        <v>214</v>
      </c>
      <c r="AE380" t="s">
        <v>215</v>
      </c>
      <c r="AF380" t="s">
        <v>216</v>
      </c>
      <c r="AG380" t="s">
        <v>58</v>
      </c>
      <c r="AH380">
        <v>15839</v>
      </c>
      <c r="AK380">
        <v>1</v>
      </c>
      <c r="AL380" t="s">
        <v>61</v>
      </c>
      <c r="AM380" t="s">
        <v>2050</v>
      </c>
      <c r="AN380" t="s">
        <v>2051</v>
      </c>
    </row>
    <row r="381" spans="1:40" x14ac:dyDescent="0.35">
      <c r="A381" t="s">
        <v>37</v>
      </c>
      <c r="B381" t="s">
        <v>2052</v>
      </c>
      <c r="C381" t="s">
        <v>39</v>
      </c>
      <c r="D381" t="s">
        <v>320</v>
      </c>
      <c r="E381" t="s">
        <v>1147</v>
      </c>
      <c r="F381" s="1">
        <v>46077.811469907407</v>
      </c>
      <c r="G381" t="s">
        <v>2053</v>
      </c>
      <c r="H381" t="s">
        <v>106</v>
      </c>
      <c r="I381" t="s">
        <v>205</v>
      </c>
      <c r="J381" t="s">
        <v>206</v>
      </c>
      <c r="K381" t="s">
        <v>207</v>
      </c>
      <c r="M381" t="s">
        <v>131</v>
      </c>
      <c r="O381" t="s">
        <v>77</v>
      </c>
      <c r="P381" t="s">
        <v>78</v>
      </c>
      <c r="Q381" t="s">
        <v>2054</v>
      </c>
      <c r="R381" t="s">
        <v>208</v>
      </c>
      <c r="S381" t="s">
        <v>209</v>
      </c>
      <c r="T381" t="s">
        <v>210</v>
      </c>
      <c r="U381" s="1">
        <v>46077.845532407409</v>
      </c>
      <c r="V381" t="s">
        <v>54</v>
      </c>
      <c r="W381" t="s">
        <v>55</v>
      </c>
      <c r="X381" t="s">
        <v>211</v>
      </c>
      <c r="Y381" t="s">
        <v>212</v>
      </c>
      <c r="Z381" t="s">
        <v>58</v>
      </c>
      <c r="AA381" t="s">
        <v>54</v>
      </c>
      <c r="AB381" t="s">
        <v>213</v>
      </c>
      <c r="AC381" t="s">
        <v>85</v>
      </c>
      <c r="AD381" t="s">
        <v>214</v>
      </c>
      <c r="AE381" t="s">
        <v>215</v>
      </c>
      <c r="AF381" t="s">
        <v>216</v>
      </c>
      <c r="AG381" t="s">
        <v>58</v>
      </c>
      <c r="AH381">
        <v>11068</v>
      </c>
      <c r="AK381">
        <v>1</v>
      </c>
      <c r="AL381" t="s">
        <v>61</v>
      </c>
      <c r="AM381" t="s">
        <v>2055</v>
      </c>
      <c r="AN381" t="s">
        <v>2056</v>
      </c>
    </row>
    <row r="382" spans="1:40" x14ac:dyDescent="0.35">
      <c r="A382" t="s">
        <v>37</v>
      </c>
      <c r="B382" t="s">
        <v>2057</v>
      </c>
      <c r="C382" t="s">
        <v>39</v>
      </c>
      <c r="D382" t="s">
        <v>747</v>
      </c>
      <c r="E382" t="s">
        <v>2058</v>
      </c>
      <c r="F382" s="1">
        <v>46077.811030092591</v>
      </c>
      <c r="G382" t="s">
        <v>734</v>
      </c>
      <c r="H382" t="s">
        <v>356</v>
      </c>
      <c r="I382" t="s">
        <v>205</v>
      </c>
      <c r="J382" t="s">
        <v>206</v>
      </c>
      <c r="K382" t="s">
        <v>207</v>
      </c>
      <c r="M382" t="s">
        <v>131</v>
      </c>
      <c r="O382" t="s">
        <v>77</v>
      </c>
      <c r="P382" t="s">
        <v>78</v>
      </c>
      <c r="Q382" t="s">
        <v>406</v>
      </c>
      <c r="R382" t="s">
        <v>208</v>
      </c>
      <c r="S382" t="s">
        <v>209</v>
      </c>
      <c r="T382" t="s">
        <v>210</v>
      </c>
      <c r="U382" s="1">
        <v>46077.845300925925</v>
      </c>
      <c r="V382" t="s">
        <v>54</v>
      </c>
      <c r="W382" t="s">
        <v>55</v>
      </c>
      <c r="X382" t="s">
        <v>211</v>
      </c>
      <c r="Y382" t="s">
        <v>212</v>
      </c>
      <c r="Z382" t="s">
        <v>58</v>
      </c>
      <c r="AA382" t="s">
        <v>54</v>
      </c>
      <c r="AB382" t="s">
        <v>213</v>
      </c>
      <c r="AC382" t="s">
        <v>85</v>
      </c>
      <c r="AD382" t="s">
        <v>214</v>
      </c>
      <c r="AE382" t="s">
        <v>215</v>
      </c>
      <c r="AF382" t="s">
        <v>216</v>
      </c>
      <c r="AG382" t="s">
        <v>58</v>
      </c>
      <c r="AH382">
        <v>5736</v>
      </c>
      <c r="AK382">
        <v>1</v>
      </c>
      <c r="AL382" t="s">
        <v>61</v>
      </c>
      <c r="AM382" t="s">
        <v>2059</v>
      </c>
      <c r="AN382" t="s">
        <v>2060</v>
      </c>
    </row>
    <row r="383" spans="1:40" x14ac:dyDescent="0.35">
      <c r="A383" t="s">
        <v>37</v>
      </c>
      <c r="B383" t="s">
        <v>2061</v>
      </c>
      <c r="C383" t="s">
        <v>39</v>
      </c>
      <c r="D383" t="s">
        <v>1388</v>
      </c>
      <c r="E383" t="s">
        <v>1389</v>
      </c>
      <c r="F383" s="1">
        <v>46077.809895833336</v>
      </c>
      <c r="G383" t="s">
        <v>105</v>
      </c>
      <c r="H383" t="s">
        <v>106</v>
      </c>
      <c r="I383" t="s">
        <v>205</v>
      </c>
      <c r="J383" t="s">
        <v>206</v>
      </c>
      <c r="K383" t="s">
        <v>207</v>
      </c>
      <c r="M383" t="s">
        <v>131</v>
      </c>
      <c r="O383" t="s">
        <v>77</v>
      </c>
      <c r="P383" t="s">
        <v>78</v>
      </c>
      <c r="R383" t="s">
        <v>305</v>
      </c>
      <c r="S383" t="s">
        <v>306</v>
      </c>
      <c r="T383" t="s">
        <v>307</v>
      </c>
      <c r="U383" s="1">
        <v>46077.871145833335</v>
      </c>
      <c r="V383" t="s">
        <v>54</v>
      </c>
      <c r="W383" t="s">
        <v>55</v>
      </c>
      <c r="X383" t="s">
        <v>211</v>
      </c>
      <c r="Y383" t="s">
        <v>2062</v>
      </c>
      <c r="Z383" t="s">
        <v>58</v>
      </c>
      <c r="AA383" t="s">
        <v>54</v>
      </c>
      <c r="AB383" t="s">
        <v>213</v>
      </c>
      <c r="AC383" t="s">
        <v>85</v>
      </c>
      <c r="AD383" t="s">
        <v>214</v>
      </c>
      <c r="AE383" t="s">
        <v>215</v>
      </c>
      <c r="AF383" t="s">
        <v>216</v>
      </c>
      <c r="AG383" t="s">
        <v>58</v>
      </c>
      <c r="AH383" t="s">
        <v>1391</v>
      </c>
      <c r="AK383">
        <v>1</v>
      </c>
      <c r="AL383" t="s">
        <v>61</v>
      </c>
      <c r="AM383" t="s">
        <v>1392</v>
      </c>
      <c r="AN383" t="s">
        <v>1393</v>
      </c>
    </row>
    <row r="384" spans="1:40" x14ac:dyDescent="0.35">
      <c r="A384" t="s">
        <v>37</v>
      </c>
      <c r="B384" t="s">
        <v>2063</v>
      </c>
      <c r="C384" t="s">
        <v>39</v>
      </c>
      <c r="D384" t="s">
        <v>2064</v>
      </c>
      <c r="E384" t="s">
        <v>2065</v>
      </c>
      <c r="F384" s="1">
        <v>46077.808819444443</v>
      </c>
      <c r="G384" t="s">
        <v>355</v>
      </c>
      <c r="H384" t="s">
        <v>356</v>
      </c>
      <c r="I384" t="s">
        <v>205</v>
      </c>
      <c r="J384" t="s">
        <v>206</v>
      </c>
      <c r="K384" t="s">
        <v>207</v>
      </c>
      <c r="M384" t="s">
        <v>131</v>
      </c>
      <c r="O384" t="s">
        <v>77</v>
      </c>
      <c r="P384" t="s">
        <v>78</v>
      </c>
      <c r="Q384" t="s">
        <v>50</v>
      </c>
      <c r="R384" t="s">
        <v>305</v>
      </c>
      <c r="S384" t="s">
        <v>306</v>
      </c>
      <c r="T384" t="s">
        <v>307</v>
      </c>
      <c r="U384" s="1">
        <v>46077.866747685184</v>
      </c>
      <c r="V384" t="s">
        <v>54</v>
      </c>
      <c r="W384" t="s">
        <v>55</v>
      </c>
      <c r="X384" t="s">
        <v>211</v>
      </c>
      <c r="Y384" t="s">
        <v>2066</v>
      </c>
      <c r="Z384" t="s">
        <v>58</v>
      </c>
      <c r="AA384" t="s">
        <v>54</v>
      </c>
      <c r="AB384" t="s">
        <v>213</v>
      </c>
      <c r="AC384" t="s">
        <v>85</v>
      </c>
      <c r="AD384" t="s">
        <v>214</v>
      </c>
      <c r="AE384" t="s">
        <v>215</v>
      </c>
      <c r="AF384" t="s">
        <v>216</v>
      </c>
      <c r="AG384" t="s">
        <v>58</v>
      </c>
      <c r="AH384" t="s">
        <v>2067</v>
      </c>
      <c r="AK384">
        <v>1</v>
      </c>
      <c r="AL384" t="s">
        <v>61</v>
      </c>
      <c r="AM384" t="s">
        <v>2068</v>
      </c>
      <c r="AN384" t="s">
        <v>2069</v>
      </c>
    </row>
    <row r="385" spans="1:40" x14ac:dyDescent="0.35">
      <c r="A385" t="s">
        <v>37</v>
      </c>
      <c r="B385" t="s">
        <v>2070</v>
      </c>
      <c r="C385" t="s">
        <v>39</v>
      </c>
      <c r="D385" t="s">
        <v>2071</v>
      </c>
      <c r="E385" t="s">
        <v>961</v>
      </c>
      <c r="F385" s="1">
        <v>46077.807951388888</v>
      </c>
      <c r="G385" t="s">
        <v>355</v>
      </c>
      <c r="H385" t="s">
        <v>356</v>
      </c>
      <c r="I385" t="s">
        <v>205</v>
      </c>
      <c r="J385" t="s">
        <v>206</v>
      </c>
      <c r="K385" t="s">
        <v>207</v>
      </c>
      <c r="M385" t="s">
        <v>131</v>
      </c>
      <c r="O385" t="s">
        <v>77</v>
      </c>
      <c r="P385" t="s">
        <v>78</v>
      </c>
      <c r="Q385" t="s">
        <v>50</v>
      </c>
      <c r="R385" t="s">
        <v>208</v>
      </c>
      <c r="S385" t="s">
        <v>209</v>
      </c>
      <c r="T385" t="s">
        <v>210</v>
      </c>
      <c r="U385" s="1">
        <v>46077.84511574074</v>
      </c>
      <c r="V385" t="s">
        <v>54</v>
      </c>
      <c r="W385" t="s">
        <v>55</v>
      </c>
      <c r="X385" t="s">
        <v>211</v>
      </c>
      <c r="Y385" t="s">
        <v>212</v>
      </c>
      <c r="Z385" t="s">
        <v>58</v>
      </c>
      <c r="AA385" t="s">
        <v>54</v>
      </c>
      <c r="AB385" t="s">
        <v>213</v>
      </c>
      <c r="AC385" t="s">
        <v>85</v>
      </c>
      <c r="AD385" t="s">
        <v>214</v>
      </c>
      <c r="AE385" t="s">
        <v>215</v>
      </c>
      <c r="AF385" t="s">
        <v>216</v>
      </c>
      <c r="AG385" t="s">
        <v>58</v>
      </c>
      <c r="AH385" t="s">
        <v>2072</v>
      </c>
      <c r="AK385">
        <v>1</v>
      </c>
      <c r="AL385" t="s">
        <v>61</v>
      </c>
      <c r="AM385" t="s">
        <v>2073</v>
      </c>
      <c r="AN385" t="s">
        <v>2074</v>
      </c>
    </row>
    <row r="386" spans="1:40" x14ac:dyDescent="0.35">
      <c r="A386" t="s">
        <v>37</v>
      </c>
      <c r="B386" t="s">
        <v>2075</v>
      </c>
      <c r="C386" t="s">
        <v>39</v>
      </c>
      <c r="D386" t="s">
        <v>2076</v>
      </c>
      <c r="E386" t="s">
        <v>2077</v>
      </c>
      <c r="F386" s="1">
        <v>46077.806574074071</v>
      </c>
      <c r="G386" t="s">
        <v>913</v>
      </c>
      <c r="H386" t="s">
        <v>72</v>
      </c>
      <c r="I386" t="s">
        <v>205</v>
      </c>
      <c r="J386" t="s">
        <v>206</v>
      </c>
      <c r="K386" t="s">
        <v>207</v>
      </c>
      <c r="M386" t="s">
        <v>131</v>
      </c>
      <c r="O386" t="s">
        <v>77</v>
      </c>
      <c r="P386" t="s">
        <v>78</v>
      </c>
      <c r="Q386" t="s">
        <v>541</v>
      </c>
      <c r="R386" t="s">
        <v>208</v>
      </c>
      <c r="S386" t="s">
        <v>209</v>
      </c>
      <c r="T386" t="s">
        <v>210</v>
      </c>
      <c r="U386" s="1">
        <v>46077.844895833332</v>
      </c>
      <c r="V386" t="s">
        <v>54</v>
      </c>
      <c r="W386" t="s">
        <v>55</v>
      </c>
      <c r="X386" t="s">
        <v>211</v>
      </c>
      <c r="Y386" t="s">
        <v>212</v>
      </c>
      <c r="Z386" t="s">
        <v>58</v>
      </c>
      <c r="AA386" t="s">
        <v>54</v>
      </c>
      <c r="AB386" t="s">
        <v>213</v>
      </c>
      <c r="AC386" t="s">
        <v>85</v>
      </c>
      <c r="AD386" t="s">
        <v>214</v>
      </c>
      <c r="AE386" t="s">
        <v>215</v>
      </c>
      <c r="AF386" t="s">
        <v>216</v>
      </c>
      <c r="AG386" t="s">
        <v>58</v>
      </c>
      <c r="AH386">
        <v>5871</v>
      </c>
      <c r="AK386">
        <v>1</v>
      </c>
      <c r="AL386" t="s">
        <v>61</v>
      </c>
      <c r="AM386" t="s">
        <v>2078</v>
      </c>
      <c r="AN386" t="s">
        <v>2079</v>
      </c>
    </row>
    <row r="387" spans="1:40" x14ac:dyDescent="0.35">
      <c r="A387" t="s">
        <v>37</v>
      </c>
      <c r="B387" t="s">
        <v>2080</v>
      </c>
      <c r="C387" t="s">
        <v>39</v>
      </c>
      <c r="D387" t="s">
        <v>2081</v>
      </c>
      <c r="E387" t="s">
        <v>2082</v>
      </c>
      <c r="F387" s="1">
        <v>46077.805578703701</v>
      </c>
      <c r="G387" t="s">
        <v>355</v>
      </c>
      <c r="H387" t="s">
        <v>356</v>
      </c>
      <c r="I387" t="s">
        <v>205</v>
      </c>
      <c r="J387" t="s">
        <v>1692</v>
      </c>
      <c r="K387" t="s">
        <v>207</v>
      </c>
      <c r="M387" t="s">
        <v>131</v>
      </c>
      <c r="O387" t="s">
        <v>77</v>
      </c>
      <c r="P387" t="s">
        <v>78</v>
      </c>
      <c r="Q387" t="s">
        <v>50</v>
      </c>
      <c r="R387" t="s">
        <v>305</v>
      </c>
      <c r="S387" t="s">
        <v>306</v>
      </c>
      <c r="T387" t="s">
        <v>307</v>
      </c>
      <c r="U387" s="1">
        <v>46078.971493055556</v>
      </c>
      <c r="V387" t="s">
        <v>54</v>
      </c>
      <c r="W387" t="s">
        <v>55</v>
      </c>
      <c r="X387" t="s">
        <v>211</v>
      </c>
      <c r="Y387" t="s">
        <v>2045</v>
      </c>
      <c r="Z387" t="s">
        <v>58</v>
      </c>
      <c r="AA387" t="s">
        <v>54</v>
      </c>
      <c r="AB387" t="s">
        <v>213</v>
      </c>
      <c r="AC387" t="s">
        <v>85</v>
      </c>
      <c r="AD387" t="s">
        <v>214</v>
      </c>
      <c r="AE387" t="s">
        <v>215</v>
      </c>
      <c r="AF387" t="s">
        <v>2083</v>
      </c>
      <c r="AG387" t="s">
        <v>58</v>
      </c>
      <c r="AH387" t="s">
        <v>2084</v>
      </c>
      <c r="AK387">
        <v>2</v>
      </c>
      <c r="AL387" t="s">
        <v>61</v>
      </c>
      <c r="AM387" t="s">
        <v>2085</v>
      </c>
      <c r="AN387" t="s">
        <v>2086</v>
      </c>
    </row>
    <row r="388" spans="1:40" x14ac:dyDescent="0.35">
      <c r="A388" t="s">
        <v>37</v>
      </c>
      <c r="B388" t="s">
        <v>2087</v>
      </c>
      <c r="C388" t="s">
        <v>39</v>
      </c>
      <c r="D388" t="s">
        <v>2088</v>
      </c>
      <c r="E388" t="s">
        <v>2089</v>
      </c>
      <c r="F388" s="1">
        <v>46077.804537037038</v>
      </c>
      <c r="G388" t="s">
        <v>355</v>
      </c>
      <c r="H388" t="s">
        <v>356</v>
      </c>
      <c r="I388" t="s">
        <v>205</v>
      </c>
      <c r="J388" t="s">
        <v>206</v>
      </c>
      <c r="K388" t="s">
        <v>207</v>
      </c>
      <c r="M388" t="s">
        <v>131</v>
      </c>
      <c r="O388" t="s">
        <v>77</v>
      </c>
      <c r="P388" t="s">
        <v>78</v>
      </c>
      <c r="Q388" t="s">
        <v>50</v>
      </c>
      <c r="R388" t="s">
        <v>208</v>
      </c>
      <c r="S388" t="s">
        <v>209</v>
      </c>
      <c r="T388" t="s">
        <v>210</v>
      </c>
      <c r="U388" s="1">
        <v>46077.844687500001</v>
      </c>
      <c r="V388" t="s">
        <v>54</v>
      </c>
      <c r="W388" t="s">
        <v>55</v>
      </c>
      <c r="X388" t="s">
        <v>211</v>
      </c>
      <c r="Y388" t="s">
        <v>212</v>
      </c>
      <c r="Z388" t="s">
        <v>58</v>
      </c>
      <c r="AA388" t="s">
        <v>54</v>
      </c>
      <c r="AB388" t="s">
        <v>213</v>
      </c>
      <c r="AC388" t="s">
        <v>85</v>
      </c>
      <c r="AD388" t="s">
        <v>214</v>
      </c>
      <c r="AE388" t="s">
        <v>215</v>
      </c>
      <c r="AF388" t="s">
        <v>216</v>
      </c>
      <c r="AG388" t="s">
        <v>58</v>
      </c>
      <c r="AH388" t="s">
        <v>2090</v>
      </c>
      <c r="AK388">
        <v>1</v>
      </c>
      <c r="AL388" t="s">
        <v>61</v>
      </c>
      <c r="AM388" t="s">
        <v>2091</v>
      </c>
      <c r="AN388" t="s">
        <v>2092</v>
      </c>
    </row>
    <row r="389" spans="1:40" x14ac:dyDescent="0.35">
      <c r="A389" t="s">
        <v>37</v>
      </c>
      <c r="B389" t="s">
        <v>2093</v>
      </c>
      <c r="C389" t="s">
        <v>39</v>
      </c>
      <c r="D389" t="s">
        <v>2094</v>
      </c>
      <c r="E389" t="s">
        <v>2095</v>
      </c>
      <c r="F389" s="1">
        <v>46077.799942129626</v>
      </c>
      <c r="G389" t="s">
        <v>355</v>
      </c>
      <c r="H389" t="s">
        <v>356</v>
      </c>
      <c r="I389" t="s">
        <v>2096</v>
      </c>
      <c r="J389" t="s">
        <v>455</v>
      </c>
      <c r="K389" t="s">
        <v>436</v>
      </c>
      <c r="M389" t="s">
        <v>76</v>
      </c>
      <c r="O389" t="s">
        <v>77</v>
      </c>
      <c r="P389" t="s">
        <v>78</v>
      </c>
      <c r="Q389" t="s">
        <v>50</v>
      </c>
      <c r="R389" t="s">
        <v>51</v>
      </c>
      <c r="S389" t="s">
        <v>52</v>
      </c>
      <c r="T389" t="s">
        <v>240</v>
      </c>
      <c r="U389" s="1">
        <v>46078.35796296296</v>
      </c>
      <c r="V389" t="s">
        <v>54</v>
      </c>
      <c r="W389" t="s">
        <v>55</v>
      </c>
      <c r="X389" t="s">
        <v>134</v>
      </c>
      <c r="Y389" t="s">
        <v>2097</v>
      </c>
      <c r="Z389" t="s">
        <v>58</v>
      </c>
      <c r="AA389" t="s">
        <v>54</v>
      </c>
      <c r="AB389" t="s">
        <v>84</v>
      </c>
      <c r="AC389" t="s">
        <v>85</v>
      </c>
      <c r="AD389" t="s">
        <v>52</v>
      </c>
      <c r="AE389" t="s">
        <v>438</v>
      </c>
      <c r="AF389" t="s">
        <v>775</v>
      </c>
      <c r="AG389" t="s">
        <v>58</v>
      </c>
      <c r="AH389" t="s">
        <v>2098</v>
      </c>
      <c r="AK389">
        <v>1</v>
      </c>
      <c r="AL389" t="s">
        <v>61</v>
      </c>
      <c r="AM389" t="s">
        <v>2099</v>
      </c>
      <c r="AN389" t="s">
        <v>2100</v>
      </c>
    </row>
    <row r="390" spans="1:40" x14ac:dyDescent="0.35">
      <c r="A390" t="s">
        <v>37</v>
      </c>
      <c r="B390" t="s">
        <v>2101</v>
      </c>
      <c r="C390" t="s">
        <v>102</v>
      </c>
      <c r="D390" t="s">
        <v>126</v>
      </c>
      <c r="E390" t="s">
        <v>127</v>
      </c>
      <c r="F390" s="1">
        <v>46077.798043981478</v>
      </c>
      <c r="G390" t="s">
        <v>71</v>
      </c>
      <c r="H390" t="s">
        <v>72</v>
      </c>
      <c r="I390" t="s">
        <v>2102</v>
      </c>
      <c r="J390" t="s">
        <v>129</v>
      </c>
      <c r="K390" t="s">
        <v>565</v>
      </c>
      <c r="M390" t="s">
        <v>76</v>
      </c>
      <c r="O390" t="s">
        <v>77</v>
      </c>
      <c r="P390" t="s">
        <v>78</v>
      </c>
      <c r="Q390" t="s">
        <v>50</v>
      </c>
      <c r="R390" t="s">
        <v>51</v>
      </c>
      <c r="S390" t="s">
        <v>52</v>
      </c>
      <c r="T390" t="s">
        <v>195</v>
      </c>
      <c r="U390" s="1">
        <v>46078.397187499999</v>
      </c>
      <c r="V390" t="s">
        <v>54</v>
      </c>
      <c r="W390" t="s">
        <v>55</v>
      </c>
      <c r="X390" t="s">
        <v>134</v>
      </c>
      <c r="Y390" t="s">
        <v>2103</v>
      </c>
      <c r="Z390" t="s">
        <v>58</v>
      </c>
      <c r="AA390" t="s">
        <v>54</v>
      </c>
      <c r="AB390" t="s">
        <v>136</v>
      </c>
      <c r="AC390" t="s">
        <v>85</v>
      </c>
      <c r="AD390" t="s">
        <v>51</v>
      </c>
      <c r="AE390" t="s">
        <v>52</v>
      </c>
      <c r="AF390" t="s">
        <v>195</v>
      </c>
      <c r="AG390" t="s">
        <v>58</v>
      </c>
      <c r="AH390" t="s">
        <v>137</v>
      </c>
      <c r="AK390">
        <v>1</v>
      </c>
      <c r="AL390" t="s">
        <v>61</v>
      </c>
      <c r="AM390" t="s">
        <v>136</v>
      </c>
      <c r="AN390" t="s">
        <v>138</v>
      </c>
    </row>
    <row r="391" spans="1:40" x14ac:dyDescent="0.35">
      <c r="A391" t="s">
        <v>37</v>
      </c>
      <c r="B391" t="s">
        <v>2104</v>
      </c>
      <c r="C391" t="s">
        <v>39</v>
      </c>
      <c r="D391" t="s">
        <v>2105</v>
      </c>
      <c r="E391" t="s">
        <v>2106</v>
      </c>
      <c r="F391" s="1">
        <v>46077.745972222219</v>
      </c>
      <c r="G391" t="s">
        <v>377</v>
      </c>
      <c r="H391" t="s">
        <v>287</v>
      </c>
      <c r="I391" t="s">
        <v>2107</v>
      </c>
      <c r="J391" t="s">
        <v>2108</v>
      </c>
      <c r="K391" t="s">
        <v>2109</v>
      </c>
      <c r="M391" t="s">
        <v>131</v>
      </c>
      <c r="O391" t="s">
        <v>77</v>
      </c>
      <c r="P391" t="s">
        <v>78</v>
      </c>
      <c r="Q391" t="s">
        <v>50</v>
      </c>
      <c r="R391" t="s">
        <v>51</v>
      </c>
      <c r="S391" t="s">
        <v>52</v>
      </c>
      <c r="T391" t="s">
        <v>240</v>
      </c>
      <c r="U391" s="1">
        <v>46078.347175925926</v>
      </c>
      <c r="V391" t="s">
        <v>54</v>
      </c>
      <c r="W391" t="s">
        <v>55</v>
      </c>
      <c r="X391" t="s">
        <v>134</v>
      </c>
      <c r="Y391" t="s">
        <v>2110</v>
      </c>
      <c r="Z391" t="s">
        <v>58</v>
      </c>
      <c r="AA391" t="s">
        <v>54</v>
      </c>
      <c r="AB391" t="s">
        <v>84</v>
      </c>
      <c r="AC391" t="s">
        <v>85</v>
      </c>
      <c r="AD391" t="s">
        <v>52</v>
      </c>
      <c r="AE391" t="s">
        <v>438</v>
      </c>
      <c r="AF391" t="s">
        <v>2111</v>
      </c>
      <c r="AG391" t="s">
        <v>58</v>
      </c>
      <c r="AH391" t="s">
        <v>2112</v>
      </c>
      <c r="AK391">
        <v>1</v>
      </c>
      <c r="AL391" t="s">
        <v>61</v>
      </c>
      <c r="AM391" t="s">
        <v>2113</v>
      </c>
      <c r="AN391" t="s">
        <v>2114</v>
      </c>
    </row>
    <row r="392" spans="1:40" x14ac:dyDescent="0.35">
      <c r="A392" t="s">
        <v>37</v>
      </c>
      <c r="B392" t="s">
        <v>2115</v>
      </c>
      <c r="C392" t="s">
        <v>102</v>
      </c>
      <c r="D392" t="s">
        <v>747</v>
      </c>
      <c r="E392" t="s">
        <v>747</v>
      </c>
      <c r="F392" s="1">
        <v>46077.741631944446</v>
      </c>
      <c r="G392" t="s">
        <v>71</v>
      </c>
      <c r="H392" t="s">
        <v>72</v>
      </c>
      <c r="I392" t="s">
        <v>2116</v>
      </c>
      <c r="J392" t="s">
        <v>2117</v>
      </c>
      <c r="K392" t="s">
        <v>2118</v>
      </c>
      <c r="M392" t="s">
        <v>131</v>
      </c>
      <c r="O392" t="s">
        <v>237</v>
      </c>
      <c r="P392" t="s">
        <v>238</v>
      </c>
      <c r="Q392" t="s">
        <v>50</v>
      </c>
      <c r="R392" t="s">
        <v>51</v>
      </c>
      <c r="S392" t="s">
        <v>52</v>
      </c>
      <c r="T392" t="s">
        <v>240</v>
      </c>
      <c r="U392" s="1">
        <v>46078.490104166667</v>
      </c>
      <c r="V392" t="s">
        <v>54</v>
      </c>
      <c r="W392" t="s">
        <v>55</v>
      </c>
      <c r="X392" t="s">
        <v>134</v>
      </c>
      <c r="Y392" t="s">
        <v>2119</v>
      </c>
      <c r="Z392" t="s">
        <v>58</v>
      </c>
      <c r="AA392" t="s">
        <v>54</v>
      </c>
      <c r="AB392" t="s">
        <v>84</v>
      </c>
      <c r="AC392" t="s">
        <v>242</v>
      </c>
      <c r="AD392" t="s">
        <v>52</v>
      </c>
      <c r="AE392" t="s">
        <v>243</v>
      </c>
      <c r="AF392" t="s">
        <v>1470</v>
      </c>
      <c r="AG392" t="s">
        <v>58</v>
      </c>
      <c r="AH392">
        <v>15393</v>
      </c>
      <c r="AK392">
        <v>1</v>
      </c>
      <c r="AL392" t="s">
        <v>61</v>
      </c>
      <c r="AM392" t="s">
        <v>2120</v>
      </c>
      <c r="AN392" t="s">
        <v>2121</v>
      </c>
    </row>
    <row r="393" spans="1:40" x14ac:dyDescent="0.35">
      <c r="A393" t="s">
        <v>37</v>
      </c>
      <c r="B393" t="s">
        <v>2122</v>
      </c>
      <c r="C393" t="s">
        <v>102</v>
      </c>
      <c r="D393" t="s">
        <v>2123</v>
      </c>
      <c r="E393" t="s">
        <v>469</v>
      </c>
      <c r="F393" s="1">
        <v>46077.731192129628</v>
      </c>
      <c r="G393" t="s">
        <v>597</v>
      </c>
      <c r="H393" t="s">
        <v>287</v>
      </c>
      <c r="I393" t="s">
        <v>2124</v>
      </c>
      <c r="J393" t="s">
        <v>235</v>
      </c>
      <c r="K393" t="s">
        <v>236</v>
      </c>
      <c r="M393" t="s">
        <v>76</v>
      </c>
      <c r="O393" t="s">
        <v>237</v>
      </c>
      <c r="P393" t="s">
        <v>238</v>
      </c>
      <c r="Q393" t="s">
        <v>50</v>
      </c>
      <c r="R393" t="s">
        <v>51</v>
      </c>
      <c r="S393" t="s">
        <v>52</v>
      </c>
      <c r="T393" t="s">
        <v>240</v>
      </c>
      <c r="U393" s="1">
        <v>46077.743321759262</v>
      </c>
      <c r="V393" t="s">
        <v>54</v>
      </c>
      <c r="W393" t="s">
        <v>55</v>
      </c>
      <c r="X393" t="s">
        <v>211</v>
      </c>
      <c r="Y393" t="s">
        <v>2125</v>
      </c>
      <c r="Z393" t="s">
        <v>58</v>
      </c>
      <c r="AA393" t="s">
        <v>54</v>
      </c>
      <c r="AB393" t="s">
        <v>213</v>
      </c>
      <c r="AC393" t="s">
        <v>242</v>
      </c>
      <c r="AD393" t="s">
        <v>52</v>
      </c>
      <c r="AE393" t="s">
        <v>243</v>
      </c>
      <c r="AF393" t="s">
        <v>244</v>
      </c>
      <c r="AG393" t="s">
        <v>58</v>
      </c>
      <c r="AH393">
        <v>15411</v>
      </c>
      <c r="AK393">
        <v>1</v>
      </c>
      <c r="AL393" t="s">
        <v>61</v>
      </c>
      <c r="AM393" t="s">
        <v>2126</v>
      </c>
      <c r="AN393" t="s">
        <v>2127</v>
      </c>
    </row>
    <row r="394" spans="1:40" x14ac:dyDescent="0.35">
      <c r="A394" t="s">
        <v>37</v>
      </c>
      <c r="B394" t="s">
        <v>2128</v>
      </c>
      <c r="C394" t="s">
        <v>102</v>
      </c>
      <c r="D394" t="s">
        <v>181</v>
      </c>
      <c r="E394" t="s">
        <v>182</v>
      </c>
      <c r="F394" s="1">
        <v>46077.725219907406</v>
      </c>
      <c r="G394" t="s">
        <v>105</v>
      </c>
      <c r="H394" t="s">
        <v>106</v>
      </c>
      <c r="I394" t="s">
        <v>1841</v>
      </c>
      <c r="J394" t="s">
        <v>108</v>
      </c>
      <c r="K394" t="s">
        <v>341</v>
      </c>
      <c r="M394" t="s">
        <v>76</v>
      </c>
      <c r="O394" t="s">
        <v>77</v>
      </c>
      <c r="P394" t="s">
        <v>78</v>
      </c>
      <c r="Q394" t="s">
        <v>50</v>
      </c>
      <c r="R394" t="s">
        <v>111</v>
      </c>
      <c r="S394" t="s">
        <v>51</v>
      </c>
      <c r="T394" t="s">
        <v>112</v>
      </c>
      <c r="U394" s="1">
        <v>46078.624618055554</v>
      </c>
      <c r="V394" t="s">
        <v>54</v>
      </c>
      <c r="X394" t="s">
        <v>113</v>
      </c>
      <c r="Y394" t="s">
        <v>2129</v>
      </c>
      <c r="Z394" t="s">
        <v>58</v>
      </c>
      <c r="AA394" t="s">
        <v>54</v>
      </c>
      <c r="AB394" t="s">
        <v>115</v>
      </c>
      <c r="AC394" t="s">
        <v>85</v>
      </c>
      <c r="AD394" t="s">
        <v>116</v>
      </c>
      <c r="AE394" t="s">
        <v>117</v>
      </c>
      <c r="AF394" t="s">
        <v>343</v>
      </c>
      <c r="AG394" t="s">
        <v>58</v>
      </c>
      <c r="AH394" t="s">
        <v>185</v>
      </c>
      <c r="AK394">
        <v>1</v>
      </c>
      <c r="AL394" t="s">
        <v>61</v>
      </c>
      <c r="AM394" t="s">
        <v>186</v>
      </c>
      <c r="AN394" t="s">
        <v>187</v>
      </c>
    </row>
    <row r="395" spans="1:40" x14ac:dyDescent="0.35">
      <c r="A395" t="s">
        <v>37</v>
      </c>
      <c r="B395" t="s">
        <v>2130</v>
      </c>
      <c r="C395" t="s">
        <v>102</v>
      </c>
      <c r="D395" t="s">
        <v>1668</v>
      </c>
      <c r="E395" t="s">
        <v>1669</v>
      </c>
      <c r="F395" s="1">
        <v>46077.724548611113</v>
      </c>
      <c r="G395" t="s">
        <v>286</v>
      </c>
      <c r="H395" t="s">
        <v>287</v>
      </c>
      <c r="I395" t="s">
        <v>2131</v>
      </c>
      <c r="J395" t="s">
        <v>521</v>
      </c>
      <c r="K395" t="s">
        <v>565</v>
      </c>
      <c r="M395" t="s">
        <v>76</v>
      </c>
      <c r="O395" t="s">
        <v>77</v>
      </c>
      <c r="P395" t="s">
        <v>78</v>
      </c>
      <c r="Q395" t="s">
        <v>50</v>
      </c>
      <c r="R395" t="s">
        <v>51</v>
      </c>
      <c r="S395" t="s">
        <v>52</v>
      </c>
      <c r="T395" t="s">
        <v>195</v>
      </c>
      <c r="U395" s="1">
        <v>46078.385474537034</v>
      </c>
      <c r="V395" t="s">
        <v>54</v>
      </c>
      <c r="W395" t="s">
        <v>55</v>
      </c>
      <c r="X395" t="s">
        <v>134</v>
      </c>
      <c r="Y395" t="s">
        <v>2132</v>
      </c>
      <c r="Z395" t="s">
        <v>58</v>
      </c>
      <c r="AA395" t="s">
        <v>54</v>
      </c>
      <c r="AB395" t="s">
        <v>1673</v>
      </c>
      <c r="AC395" t="s">
        <v>85</v>
      </c>
      <c r="AD395" t="s">
        <v>51</v>
      </c>
      <c r="AE395" t="s">
        <v>52</v>
      </c>
      <c r="AF395" t="s">
        <v>195</v>
      </c>
      <c r="AG395" t="s">
        <v>58</v>
      </c>
      <c r="AH395" t="s">
        <v>1674</v>
      </c>
      <c r="AK395">
        <v>1</v>
      </c>
      <c r="AL395" t="s">
        <v>61</v>
      </c>
      <c r="AM395" t="s">
        <v>1673</v>
      </c>
      <c r="AN395" t="s">
        <v>1675</v>
      </c>
    </row>
    <row r="396" spans="1:40" x14ac:dyDescent="0.35">
      <c r="A396" t="s">
        <v>37</v>
      </c>
      <c r="B396" t="s">
        <v>2133</v>
      </c>
      <c r="C396" t="s">
        <v>102</v>
      </c>
      <c r="D396" t="s">
        <v>2134</v>
      </c>
      <c r="E396" t="s">
        <v>2135</v>
      </c>
      <c r="F396" s="1">
        <v>46077.720208333332</v>
      </c>
      <c r="G396" t="s">
        <v>826</v>
      </c>
      <c r="H396" t="s">
        <v>356</v>
      </c>
      <c r="I396" t="s">
        <v>2136</v>
      </c>
      <c r="J396" t="s">
        <v>2137</v>
      </c>
      <c r="K396" t="s">
        <v>2138</v>
      </c>
      <c r="M396" t="s">
        <v>2139</v>
      </c>
      <c r="O396" t="s">
        <v>237</v>
      </c>
      <c r="P396" t="s">
        <v>238</v>
      </c>
      <c r="Q396" t="s">
        <v>50</v>
      </c>
      <c r="R396" t="s">
        <v>51</v>
      </c>
      <c r="S396" t="s">
        <v>52</v>
      </c>
      <c r="T396" t="s">
        <v>2140</v>
      </c>
      <c r="U396" s="1">
        <v>46077.720416666663</v>
      </c>
      <c r="V396" t="s">
        <v>54</v>
      </c>
      <c r="X396" t="s">
        <v>134</v>
      </c>
      <c r="Y396" t="s">
        <v>2141</v>
      </c>
      <c r="Z396" t="s">
        <v>58</v>
      </c>
      <c r="AA396" t="s">
        <v>54</v>
      </c>
      <c r="AB396" t="s">
        <v>2142</v>
      </c>
      <c r="AC396" t="s">
        <v>242</v>
      </c>
      <c r="AD396" t="s">
        <v>51</v>
      </c>
      <c r="AE396" t="s">
        <v>52</v>
      </c>
      <c r="AF396" t="s">
        <v>2140</v>
      </c>
      <c r="AG396" t="s">
        <v>58</v>
      </c>
      <c r="AH396" t="s">
        <v>2143</v>
      </c>
      <c r="AK396">
        <v>0</v>
      </c>
      <c r="AL396" t="s">
        <v>61</v>
      </c>
      <c r="AM396" t="s">
        <v>2142</v>
      </c>
      <c r="AN396" t="s">
        <v>2144</v>
      </c>
    </row>
    <row r="397" spans="1:40" x14ac:dyDescent="0.35">
      <c r="A397" t="s">
        <v>37</v>
      </c>
      <c r="B397" t="s">
        <v>2145</v>
      </c>
      <c r="C397" t="s">
        <v>102</v>
      </c>
      <c r="D397" t="s">
        <v>2134</v>
      </c>
      <c r="E397" t="s">
        <v>2135</v>
      </c>
      <c r="F397" s="1">
        <v>46077.718344907407</v>
      </c>
      <c r="G397" t="s">
        <v>826</v>
      </c>
      <c r="H397" t="s">
        <v>356</v>
      </c>
      <c r="I397" t="s">
        <v>2146</v>
      </c>
      <c r="J397" t="s">
        <v>2137</v>
      </c>
      <c r="K397" t="s">
        <v>2138</v>
      </c>
      <c r="M397" t="s">
        <v>76</v>
      </c>
      <c r="O397" t="s">
        <v>237</v>
      </c>
      <c r="P397" t="s">
        <v>238</v>
      </c>
      <c r="Q397" t="s">
        <v>50</v>
      </c>
      <c r="R397" t="s">
        <v>51</v>
      </c>
      <c r="S397" t="s">
        <v>52</v>
      </c>
      <c r="T397" t="s">
        <v>2140</v>
      </c>
      <c r="U397" s="1">
        <v>46078.905960648146</v>
      </c>
      <c r="V397" t="s">
        <v>54</v>
      </c>
      <c r="X397" t="s">
        <v>134</v>
      </c>
      <c r="Y397" t="s">
        <v>2147</v>
      </c>
      <c r="Z397" t="s">
        <v>58</v>
      </c>
      <c r="AA397" t="s">
        <v>54</v>
      </c>
      <c r="AB397" t="s">
        <v>2142</v>
      </c>
      <c r="AC397" t="s">
        <v>242</v>
      </c>
      <c r="AD397" t="s">
        <v>51</v>
      </c>
      <c r="AE397" t="s">
        <v>52</v>
      </c>
      <c r="AF397" t="s">
        <v>2140</v>
      </c>
      <c r="AG397" t="s">
        <v>58</v>
      </c>
      <c r="AH397" t="s">
        <v>2143</v>
      </c>
      <c r="AK397">
        <v>0</v>
      </c>
      <c r="AL397" t="s">
        <v>61</v>
      </c>
      <c r="AM397" t="s">
        <v>2142</v>
      </c>
      <c r="AN397" t="s">
        <v>2144</v>
      </c>
    </row>
    <row r="398" spans="1:40" x14ac:dyDescent="0.35">
      <c r="A398" t="s">
        <v>37</v>
      </c>
      <c r="B398" t="s">
        <v>2148</v>
      </c>
      <c r="C398" t="s">
        <v>102</v>
      </c>
      <c r="D398" t="s">
        <v>1668</v>
      </c>
      <c r="E398" t="s">
        <v>1669</v>
      </c>
      <c r="F398" s="1">
        <v>46077.716574074075</v>
      </c>
      <c r="G398" t="s">
        <v>286</v>
      </c>
      <c r="H398" t="s">
        <v>287</v>
      </c>
      <c r="I398" t="s">
        <v>288</v>
      </c>
      <c r="J398" t="s">
        <v>1671</v>
      </c>
      <c r="K398" t="s">
        <v>130</v>
      </c>
      <c r="M398" t="s">
        <v>131</v>
      </c>
      <c r="O398" t="s">
        <v>77</v>
      </c>
      <c r="P398" t="s">
        <v>78</v>
      </c>
      <c r="Q398" t="s">
        <v>50</v>
      </c>
      <c r="R398" t="s">
        <v>51</v>
      </c>
      <c r="S398" t="s">
        <v>195</v>
      </c>
      <c r="T398" t="s">
        <v>680</v>
      </c>
      <c r="U398" s="1">
        <v>46078.341736111113</v>
      </c>
      <c r="V398" t="s">
        <v>54</v>
      </c>
      <c r="W398" t="s">
        <v>55</v>
      </c>
      <c r="X398" t="s">
        <v>134</v>
      </c>
      <c r="Y398" t="s">
        <v>2149</v>
      </c>
      <c r="Z398" t="s">
        <v>58</v>
      </c>
      <c r="AA398" t="s">
        <v>54</v>
      </c>
      <c r="AB398" t="s">
        <v>1673</v>
      </c>
      <c r="AC398" t="s">
        <v>85</v>
      </c>
      <c r="AD398" t="s">
        <v>51</v>
      </c>
      <c r="AE398" t="s">
        <v>195</v>
      </c>
      <c r="AF398" t="s">
        <v>680</v>
      </c>
      <c r="AG398" t="s">
        <v>58</v>
      </c>
      <c r="AH398" t="s">
        <v>1674</v>
      </c>
      <c r="AK398">
        <v>1</v>
      </c>
      <c r="AL398" t="s">
        <v>61</v>
      </c>
      <c r="AM398" t="s">
        <v>1673</v>
      </c>
      <c r="AN398" t="s">
        <v>1675</v>
      </c>
    </row>
    <row r="399" spans="1:40" x14ac:dyDescent="0.35">
      <c r="A399" t="s">
        <v>37</v>
      </c>
      <c r="B399" t="s">
        <v>2150</v>
      </c>
      <c r="C399" t="s">
        <v>39</v>
      </c>
      <c r="D399" t="s">
        <v>651</v>
      </c>
      <c r="E399" t="s">
        <v>2151</v>
      </c>
      <c r="F399" s="1">
        <v>46077.713020833333</v>
      </c>
      <c r="G399" t="s">
        <v>597</v>
      </c>
      <c r="H399" t="s">
        <v>287</v>
      </c>
      <c r="I399" t="s">
        <v>2152</v>
      </c>
      <c r="J399" t="s">
        <v>74</v>
      </c>
      <c r="K399" t="s">
        <v>75</v>
      </c>
      <c r="M399" t="s">
        <v>76</v>
      </c>
      <c r="O399" t="s">
        <v>77</v>
      </c>
      <c r="P399" t="s">
        <v>78</v>
      </c>
      <c r="Q399" t="s">
        <v>2153</v>
      </c>
      <c r="R399" t="s">
        <v>79</v>
      </c>
      <c r="S399" t="s">
        <v>967</v>
      </c>
      <c r="T399" t="s">
        <v>1072</v>
      </c>
      <c r="U399" s="1">
        <v>46077.71638888889</v>
      </c>
      <c r="V399" t="s">
        <v>54</v>
      </c>
      <c r="W399" t="s">
        <v>55</v>
      </c>
      <c r="X399" t="s">
        <v>82</v>
      </c>
      <c r="Y399" t="s">
        <v>2154</v>
      </c>
      <c r="Z399" t="s">
        <v>58</v>
      </c>
      <c r="AA399" t="s">
        <v>54</v>
      </c>
      <c r="AB399" t="s">
        <v>84</v>
      </c>
      <c r="AC399" t="s">
        <v>85</v>
      </c>
      <c r="AD399" t="s">
        <v>79</v>
      </c>
      <c r="AE399" t="s">
        <v>967</v>
      </c>
      <c r="AF399" t="s">
        <v>1072</v>
      </c>
      <c r="AG399" t="s">
        <v>58</v>
      </c>
      <c r="AH399">
        <v>5448</v>
      </c>
      <c r="AK399">
        <v>0</v>
      </c>
      <c r="AL399" t="s">
        <v>61</v>
      </c>
      <c r="AM399" t="s">
        <v>2155</v>
      </c>
      <c r="AN399" t="s">
        <v>2156</v>
      </c>
    </row>
    <row r="400" spans="1:40" x14ac:dyDescent="0.35">
      <c r="A400" t="s">
        <v>37</v>
      </c>
      <c r="B400" t="s">
        <v>2157</v>
      </c>
      <c r="C400" t="s">
        <v>102</v>
      </c>
      <c r="D400" t="s">
        <v>284</v>
      </c>
      <c r="E400" t="s">
        <v>285</v>
      </c>
      <c r="F400" s="1">
        <v>46077.712881944448</v>
      </c>
      <c r="G400" t="s">
        <v>286</v>
      </c>
      <c r="H400" t="s">
        <v>287</v>
      </c>
      <c r="I400" t="s">
        <v>2158</v>
      </c>
      <c r="J400" t="s">
        <v>289</v>
      </c>
      <c r="K400" t="s">
        <v>130</v>
      </c>
      <c r="M400" t="s">
        <v>150</v>
      </c>
      <c r="O400" t="s">
        <v>77</v>
      </c>
      <c r="P400" t="s">
        <v>78</v>
      </c>
      <c r="Q400" t="s">
        <v>50</v>
      </c>
      <c r="R400" t="s">
        <v>132</v>
      </c>
      <c r="S400" t="s">
        <v>133</v>
      </c>
      <c r="T400" t="s">
        <v>133</v>
      </c>
      <c r="U400" s="1">
        <v>46078.386006944442</v>
      </c>
      <c r="V400" t="s">
        <v>54</v>
      </c>
      <c r="W400" t="s">
        <v>55</v>
      </c>
      <c r="X400" t="s">
        <v>134</v>
      </c>
      <c r="Y400" t="s">
        <v>2159</v>
      </c>
      <c r="Z400" t="s">
        <v>58</v>
      </c>
      <c r="AA400" t="s">
        <v>54</v>
      </c>
      <c r="AB400" t="s">
        <v>291</v>
      </c>
      <c r="AC400" t="s">
        <v>85</v>
      </c>
      <c r="AD400" t="s">
        <v>132</v>
      </c>
      <c r="AE400" t="s">
        <v>133</v>
      </c>
      <c r="AF400" t="s">
        <v>133</v>
      </c>
      <c r="AG400" t="s">
        <v>58</v>
      </c>
      <c r="AH400" t="s">
        <v>292</v>
      </c>
      <c r="AK400">
        <v>1</v>
      </c>
      <c r="AL400" t="s">
        <v>61</v>
      </c>
      <c r="AM400" t="s">
        <v>291</v>
      </c>
      <c r="AN400" t="s">
        <v>293</v>
      </c>
    </row>
    <row r="401" spans="1:40" x14ac:dyDescent="0.35">
      <c r="A401" t="s">
        <v>37</v>
      </c>
      <c r="B401" t="s">
        <v>2160</v>
      </c>
      <c r="C401" t="s">
        <v>102</v>
      </c>
      <c r="D401" t="s">
        <v>181</v>
      </c>
      <c r="E401" t="s">
        <v>182</v>
      </c>
      <c r="F401" s="1">
        <v>46077.705671296295</v>
      </c>
      <c r="G401" t="s">
        <v>105</v>
      </c>
      <c r="H401" t="s">
        <v>106</v>
      </c>
      <c r="I401" t="s">
        <v>2161</v>
      </c>
      <c r="J401" t="s">
        <v>108</v>
      </c>
      <c r="K401" t="s">
        <v>571</v>
      </c>
      <c r="M401" t="s">
        <v>76</v>
      </c>
      <c r="O401" t="s">
        <v>77</v>
      </c>
      <c r="P401" t="s">
        <v>78</v>
      </c>
      <c r="Q401" t="s">
        <v>50</v>
      </c>
      <c r="R401" t="s">
        <v>111</v>
      </c>
      <c r="S401" t="s">
        <v>51</v>
      </c>
      <c r="T401" t="s">
        <v>112</v>
      </c>
      <c r="U401" s="1">
        <v>46078.400937500002</v>
      </c>
      <c r="V401" t="s">
        <v>54</v>
      </c>
      <c r="W401" t="s">
        <v>55</v>
      </c>
      <c r="X401" t="s">
        <v>2162</v>
      </c>
      <c r="Y401" t="s">
        <v>2163</v>
      </c>
      <c r="Z401" t="s">
        <v>58</v>
      </c>
      <c r="AA401" t="s">
        <v>54</v>
      </c>
      <c r="AB401" t="s">
        <v>115</v>
      </c>
      <c r="AC401" t="s">
        <v>85</v>
      </c>
      <c r="AD401" t="s">
        <v>116</v>
      </c>
      <c r="AE401" t="s">
        <v>574</v>
      </c>
      <c r="AF401" t="s">
        <v>1377</v>
      </c>
      <c r="AG401" t="s">
        <v>58</v>
      </c>
      <c r="AH401" t="s">
        <v>185</v>
      </c>
      <c r="AK401">
        <v>1</v>
      </c>
      <c r="AL401" t="s">
        <v>61</v>
      </c>
      <c r="AM401" t="s">
        <v>186</v>
      </c>
      <c r="AN401" t="s">
        <v>187</v>
      </c>
    </row>
    <row r="402" spans="1:40" x14ac:dyDescent="0.35">
      <c r="A402" t="s">
        <v>37</v>
      </c>
      <c r="B402" t="s">
        <v>2164</v>
      </c>
      <c r="C402" t="s">
        <v>39</v>
      </c>
      <c r="D402" t="s">
        <v>127</v>
      </c>
      <c r="E402" t="s">
        <v>2165</v>
      </c>
      <c r="F402" s="1">
        <v>46077.704340277778</v>
      </c>
      <c r="G402" t="s">
        <v>913</v>
      </c>
      <c r="H402" t="s">
        <v>72</v>
      </c>
      <c r="I402" t="s">
        <v>2166</v>
      </c>
      <c r="J402" t="s">
        <v>2167</v>
      </c>
      <c r="K402" t="s">
        <v>2168</v>
      </c>
      <c r="M402" t="s">
        <v>131</v>
      </c>
      <c r="O402" t="s">
        <v>77</v>
      </c>
      <c r="P402" t="s">
        <v>78</v>
      </c>
      <c r="Q402" t="s">
        <v>2169</v>
      </c>
      <c r="R402" t="s">
        <v>51</v>
      </c>
      <c r="S402" t="s">
        <v>52</v>
      </c>
      <c r="T402" t="s">
        <v>240</v>
      </c>
      <c r="U402" s="1">
        <v>46078.472222222219</v>
      </c>
      <c r="V402" t="s">
        <v>54</v>
      </c>
      <c r="W402" t="s">
        <v>55</v>
      </c>
      <c r="X402" t="s">
        <v>134</v>
      </c>
      <c r="Y402" t="s">
        <v>2170</v>
      </c>
      <c r="Z402" t="s">
        <v>58</v>
      </c>
      <c r="AA402" t="s">
        <v>54</v>
      </c>
      <c r="AB402" t="s">
        <v>84</v>
      </c>
      <c r="AC402" t="s">
        <v>85</v>
      </c>
      <c r="AD402" t="s">
        <v>52</v>
      </c>
      <c r="AE402" t="s">
        <v>243</v>
      </c>
      <c r="AF402" t="s">
        <v>1470</v>
      </c>
      <c r="AG402" t="s">
        <v>58</v>
      </c>
      <c r="AH402">
        <v>2679</v>
      </c>
      <c r="AK402">
        <v>1</v>
      </c>
      <c r="AL402" t="s">
        <v>410</v>
      </c>
      <c r="AM402" t="s">
        <v>2171</v>
      </c>
      <c r="AN402" t="s">
        <v>2172</v>
      </c>
    </row>
    <row r="403" spans="1:40" x14ac:dyDescent="0.35">
      <c r="A403" t="s">
        <v>37</v>
      </c>
      <c r="B403" t="s">
        <v>2173</v>
      </c>
      <c r="C403" t="s">
        <v>102</v>
      </c>
      <c r="D403" t="s">
        <v>284</v>
      </c>
      <c r="E403" t="s">
        <v>285</v>
      </c>
      <c r="F403" s="1">
        <v>46077.707997685182</v>
      </c>
      <c r="G403" t="s">
        <v>286</v>
      </c>
      <c r="H403" t="s">
        <v>287</v>
      </c>
      <c r="I403" t="s">
        <v>2174</v>
      </c>
      <c r="J403" t="s">
        <v>289</v>
      </c>
      <c r="K403" t="s">
        <v>130</v>
      </c>
      <c r="M403" t="s">
        <v>131</v>
      </c>
      <c r="O403" t="s">
        <v>77</v>
      </c>
      <c r="P403" t="s">
        <v>78</v>
      </c>
      <c r="Q403" t="s">
        <v>50</v>
      </c>
      <c r="R403" t="s">
        <v>132</v>
      </c>
      <c r="S403" t="s">
        <v>133</v>
      </c>
      <c r="T403" t="s">
        <v>133</v>
      </c>
      <c r="U403" s="1">
        <v>46078.332071759258</v>
      </c>
      <c r="V403" t="s">
        <v>54</v>
      </c>
      <c r="W403" t="s">
        <v>55</v>
      </c>
      <c r="X403" t="s">
        <v>134</v>
      </c>
      <c r="Y403" t="s">
        <v>2175</v>
      </c>
      <c r="Z403" t="s">
        <v>58</v>
      </c>
      <c r="AA403" t="s">
        <v>54</v>
      </c>
      <c r="AB403" t="s">
        <v>291</v>
      </c>
      <c r="AC403" t="s">
        <v>85</v>
      </c>
      <c r="AD403" t="s">
        <v>132</v>
      </c>
      <c r="AE403" t="s">
        <v>133</v>
      </c>
      <c r="AF403" t="s">
        <v>133</v>
      </c>
      <c r="AG403" t="s">
        <v>58</v>
      </c>
      <c r="AH403" t="s">
        <v>292</v>
      </c>
      <c r="AK403">
        <v>1</v>
      </c>
      <c r="AL403" t="s">
        <v>61</v>
      </c>
      <c r="AM403" t="s">
        <v>291</v>
      </c>
      <c r="AN403" t="s">
        <v>293</v>
      </c>
    </row>
    <row r="404" spans="1:40" x14ac:dyDescent="0.35">
      <c r="A404" t="s">
        <v>37</v>
      </c>
      <c r="B404" t="s">
        <v>2176</v>
      </c>
      <c r="C404" t="s">
        <v>39</v>
      </c>
      <c r="D404" t="s">
        <v>127</v>
      </c>
      <c r="E404" t="s">
        <v>2165</v>
      </c>
      <c r="F404" s="1">
        <v>46077.703252314815</v>
      </c>
      <c r="G404" t="s">
        <v>913</v>
      </c>
      <c r="H404" t="s">
        <v>72</v>
      </c>
      <c r="I404" t="s">
        <v>2177</v>
      </c>
      <c r="J404" t="s">
        <v>435</v>
      </c>
      <c r="K404" t="s">
        <v>436</v>
      </c>
      <c r="M404" t="s">
        <v>76</v>
      </c>
      <c r="O404" t="s">
        <v>77</v>
      </c>
      <c r="P404" t="s">
        <v>78</v>
      </c>
      <c r="Q404" t="s">
        <v>2169</v>
      </c>
      <c r="R404" t="s">
        <v>51</v>
      </c>
      <c r="S404" t="s">
        <v>52</v>
      </c>
      <c r="T404" t="s">
        <v>773</v>
      </c>
      <c r="U404" s="1">
        <v>46078.362928240742</v>
      </c>
      <c r="V404" t="s">
        <v>54</v>
      </c>
      <c r="W404" t="s">
        <v>55</v>
      </c>
      <c r="X404" t="s">
        <v>134</v>
      </c>
      <c r="Y404" t="s">
        <v>2178</v>
      </c>
      <c r="Z404" t="s">
        <v>58</v>
      </c>
      <c r="AA404" t="s">
        <v>54</v>
      </c>
      <c r="AB404" t="s">
        <v>84</v>
      </c>
      <c r="AC404" t="s">
        <v>85</v>
      </c>
      <c r="AD404" t="s">
        <v>52</v>
      </c>
      <c r="AE404" t="s">
        <v>438</v>
      </c>
      <c r="AF404" t="s">
        <v>2179</v>
      </c>
      <c r="AG404" t="s">
        <v>58</v>
      </c>
      <c r="AH404">
        <v>2679</v>
      </c>
      <c r="AK404">
        <v>1</v>
      </c>
      <c r="AL404" t="s">
        <v>410</v>
      </c>
      <c r="AM404" t="s">
        <v>2171</v>
      </c>
      <c r="AN404" t="s">
        <v>2172</v>
      </c>
    </row>
    <row r="405" spans="1:40" x14ac:dyDescent="0.35">
      <c r="A405" t="s">
        <v>37</v>
      </c>
      <c r="B405" t="s">
        <v>2180</v>
      </c>
      <c r="C405" t="s">
        <v>39</v>
      </c>
      <c r="D405" t="s">
        <v>127</v>
      </c>
      <c r="E405" t="s">
        <v>2165</v>
      </c>
      <c r="F405" s="1">
        <v>46077.697164351855</v>
      </c>
      <c r="G405" t="s">
        <v>913</v>
      </c>
      <c r="H405" t="s">
        <v>72</v>
      </c>
      <c r="I405" t="s">
        <v>2181</v>
      </c>
      <c r="J405" t="s">
        <v>2182</v>
      </c>
      <c r="K405" t="s">
        <v>2183</v>
      </c>
      <c r="M405" t="s">
        <v>131</v>
      </c>
      <c r="O405" t="s">
        <v>77</v>
      </c>
      <c r="P405" t="s">
        <v>78</v>
      </c>
      <c r="Q405" t="s">
        <v>2169</v>
      </c>
      <c r="R405" t="s">
        <v>51</v>
      </c>
      <c r="S405" t="s">
        <v>52</v>
      </c>
      <c r="T405" t="s">
        <v>240</v>
      </c>
      <c r="U405" s="1">
        <v>46078.41028935185</v>
      </c>
      <c r="V405" t="s">
        <v>54</v>
      </c>
      <c r="W405" t="s">
        <v>55</v>
      </c>
      <c r="X405" t="s">
        <v>134</v>
      </c>
      <c r="Y405" t="s">
        <v>2184</v>
      </c>
      <c r="Z405" t="s">
        <v>58</v>
      </c>
      <c r="AA405" t="s">
        <v>54</v>
      </c>
      <c r="AB405" t="s">
        <v>84</v>
      </c>
      <c r="AC405" t="s">
        <v>85</v>
      </c>
      <c r="AD405" t="s">
        <v>52</v>
      </c>
      <c r="AE405" t="s">
        <v>438</v>
      </c>
      <c r="AF405" t="s">
        <v>2179</v>
      </c>
      <c r="AG405" t="s">
        <v>58</v>
      </c>
      <c r="AH405">
        <v>2679</v>
      </c>
      <c r="AK405">
        <v>1</v>
      </c>
      <c r="AL405" t="s">
        <v>410</v>
      </c>
      <c r="AM405" t="s">
        <v>2171</v>
      </c>
      <c r="AN405" t="s">
        <v>2172</v>
      </c>
    </row>
    <row r="406" spans="1:40" x14ac:dyDescent="0.35">
      <c r="A406" t="s">
        <v>37</v>
      </c>
      <c r="B406" t="s">
        <v>2185</v>
      </c>
      <c r="C406" t="s">
        <v>39</v>
      </c>
      <c r="D406" t="s">
        <v>191</v>
      </c>
      <c r="E406" t="s">
        <v>192</v>
      </c>
      <c r="F406" s="1">
        <v>46077.685949074075</v>
      </c>
      <c r="G406" t="s">
        <v>71</v>
      </c>
      <c r="H406" t="s">
        <v>72</v>
      </c>
      <c r="I406" t="s">
        <v>2186</v>
      </c>
      <c r="J406" t="s">
        <v>194</v>
      </c>
      <c r="K406" t="s">
        <v>130</v>
      </c>
      <c r="M406" t="s">
        <v>131</v>
      </c>
      <c r="O406" t="s">
        <v>77</v>
      </c>
      <c r="P406" t="s">
        <v>78</v>
      </c>
      <c r="Q406" t="s">
        <v>50</v>
      </c>
      <c r="R406" t="s">
        <v>51</v>
      </c>
      <c r="S406" t="s">
        <v>52</v>
      </c>
      <c r="T406" t="s">
        <v>195</v>
      </c>
      <c r="U406" s="1">
        <v>46078.424224537041</v>
      </c>
      <c r="V406" t="s">
        <v>54</v>
      </c>
      <c r="W406" t="s">
        <v>55</v>
      </c>
      <c r="X406" t="s">
        <v>134</v>
      </c>
      <c r="Y406" t="s">
        <v>2187</v>
      </c>
      <c r="Z406" t="s">
        <v>58</v>
      </c>
      <c r="AA406" t="s">
        <v>54</v>
      </c>
      <c r="AB406" t="s">
        <v>198</v>
      </c>
      <c r="AC406" t="s">
        <v>85</v>
      </c>
      <c r="AD406" t="s">
        <v>51</v>
      </c>
      <c r="AE406" t="s">
        <v>52</v>
      </c>
      <c r="AF406" t="s">
        <v>195</v>
      </c>
      <c r="AG406" t="s">
        <v>58</v>
      </c>
      <c r="AH406" t="s">
        <v>199</v>
      </c>
      <c r="AK406">
        <v>1</v>
      </c>
      <c r="AL406" t="s">
        <v>61</v>
      </c>
      <c r="AM406" t="s">
        <v>198</v>
      </c>
      <c r="AN406" t="s">
        <v>200</v>
      </c>
    </row>
    <row r="407" spans="1:40" x14ac:dyDescent="0.35">
      <c r="A407" t="s">
        <v>37</v>
      </c>
      <c r="B407" t="s">
        <v>2188</v>
      </c>
      <c r="C407" t="s">
        <v>39</v>
      </c>
      <c r="D407" t="s">
        <v>40</v>
      </c>
      <c r="E407" t="s">
        <v>41</v>
      </c>
      <c r="F407" s="1">
        <v>46077.661377314813</v>
      </c>
      <c r="G407" t="s">
        <v>42</v>
      </c>
      <c r="H407" t="s">
        <v>43</v>
      </c>
      <c r="I407" t="s">
        <v>2189</v>
      </c>
      <c r="J407" t="s">
        <v>45</v>
      </c>
      <c r="K407" t="s">
        <v>46</v>
      </c>
      <c r="M407" t="s">
        <v>47</v>
      </c>
      <c r="O407" t="s">
        <v>48</v>
      </c>
      <c r="P407" t="s">
        <v>49</v>
      </c>
      <c r="Q407" t="s">
        <v>50</v>
      </c>
      <c r="R407" t="s">
        <v>51</v>
      </c>
      <c r="S407" t="s">
        <v>52</v>
      </c>
      <c r="T407" t="s">
        <v>53</v>
      </c>
      <c r="U407" s="1">
        <v>46077.662430555552</v>
      </c>
      <c r="V407" t="s">
        <v>54</v>
      </c>
      <c r="W407" t="s">
        <v>55</v>
      </c>
      <c r="X407" t="s">
        <v>56</v>
      </c>
      <c r="Y407" t="s">
        <v>57</v>
      </c>
      <c r="Z407" t="s">
        <v>58</v>
      </c>
      <c r="AA407" t="s">
        <v>54</v>
      </c>
      <c r="AB407" t="s">
        <v>59</v>
      </c>
      <c r="AC407" t="s">
        <v>60</v>
      </c>
      <c r="AD407" t="s">
        <v>51</v>
      </c>
      <c r="AE407" t="s">
        <v>52</v>
      </c>
      <c r="AF407" t="s">
        <v>53</v>
      </c>
      <c r="AG407" t="s">
        <v>58</v>
      </c>
      <c r="AK407">
        <v>0</v>
      </c>
      <c r="AL407" t="s">
        <v>61</v>
      </c>
      <c r="AM407" t="s">
        <v>59</v>
      </c>
      <c r="AN407" t="s">
        <v>62</v>
      </c>
    </row>
    <row r="408" spans="1:40" x14ac:dyDescent="0.35">
      <c r="A408" t="s">
        <v>37</v>
      </c>
      <c r="B408" t="s">
        <v>2190</v>
      </c>
      <c r="C408" t="s">
        <v>102</v>
      </c>
      <c r="D408" t="s">
        <v>2191</v>
      </c>
      <c r="E408" t="s">
        <v>948</v>
      </c>
      <c r="F408" s="1">
        <v>46077.652858796297</v>
      </c>
      <c r="G408" t="s">
        <v>297</v>
      </c>
      <c r="H408" t="s">
        <v>287</v>
      </c>
      <c r="I408" t="s">
        <v>2192</v>
      </c>
      <c r="J408" t="s">
        <v>235</v>
      </c>
      <c r="K408" t="s">
        <v>236</v>
      </c>
      <c r="M408" t="s">
        <v>76</v>
      </c>
      <c r="O408" t="s">
        <v>237</v>
      </c>
      <c r="P408" t="s">
        <v>238</v>
      </c>
      <c r="Q408" t="s">
        <v>465</v>
      </c>
      <c r="R408" t="s">
        <v>51</v>
      </c>
      <c r="S408" t="s">
        <v>52</v>
      </c>
      <c r="T408" t="s">
        <v>240</v>
      </c>
      <c r="U408" s="1">
        <v>46077.681620370371</v>
      </c>
      <c r="V408" t="s">
        <v>54</v>
      </c>
      <c r="W408" t="s">
        <v>55</v>
      </c>
      <c r="X408" t="s">
        <v>211</v>
      </c>
      <c r="Y408" t="s">
        <v>2193</v>
      </c>
      <c r="Z408" t="s">
        <v>58</v>
      </c>
      <c r="AA408" t="s">
        <v>54</v>
      </c>
      <c r="AB408" t="s">
        <v>213</v>
      </c>
      <c r="AC408" t="s">
        <v>242</v>
      </c>
      <c r="AD408" t="s">
        <v>52</v>
      </c>
      <c r="AE408" t="s">
        <v>243</v>
      </c>
      <c r="AF408" t="s">
        <v>244</v>
      </c>
      <c r="AG408" t="s">
        <v>58</v>
      </c>
      <c r="AH408">
        <v>3277</v>
      </c>
      <c r="AK408">
        <v>1</v>
      </c>
      <c r="AL408" t="s">
        <v>61</v>
      </c>
      <c r="AM408" t="s">
        <v>2194</v>
      </c>
      <c r="AN408" t="s">
        <v>2195</v>
      </c>
    </row>
    <row r="409" spans="1:40" x14ac:dyDescent="0.35">
      <c r="A409" t="s">
        <v>37</v>
      </c>
      <c r="B409" t="s">
        <v>2196</v>
      </c>
      <c r="C409" t="s">
        <v>39</v>
      </c>
      <c r="D409" t="s">
        <v>2197</v>
      </c>
      <c r="E409" t="s">
        <v>2198</v>
      </c>
      <c r="F409" s="1">
        <v>46077.648090277777</v>
      </c>
      <c r="G409" t="s">
        <v>91</v>
      </c>
      <c r="H409" t="s">
        <v>92</v>
      </c>
      <c r="I409" t="s">
        <v>2199</v>
      </c>
      <c r="J409" t="s">
        <v>2200</v>
      </c>
      <c r="K409" t="s">
        <v>2201</v>
      </c>
      <c r="M409" t="s">
        <v>47</v>
      </c>
      <c r="O409" t="s">
        <v>77</v>
      </c>
      <c r="P409" t="s">
        <v>78</v>
      </c>
      <c r="Q409" t="s">
        <v>50</v>
      </c>
      <c r="R409" t="s">
        <v>51</v>
      </c>
      <c r="S409" t="s">
        <v>52</v>
      </c>
      <c r="T409" t="s">
        <v>773</v>
      </c>
      <c r="U409" s="1">
        <v>46077.648310185185</v>
      </c>
      <c r="V409" t="s">
        <v>54</v>
      </c>
      <c r="W409" t="s">
        <v>55</v>
      </c>
      <c r="X409" t="s">
        <v>134</v>
      </c>
      <c r="Y409" t="s">
        <v>2202</v>
      </c>
      <c r="Z409" t="s">
        <v>58</v>
      </c>
      <c r="AA409" t="s">
        <v>54</v>
      </c>
      <c r="AB409" t="s">
        <v>2203</v>
      </c>
      <c r="AC409" t="s">
        <v>85</v>
      </c>
      <c r="AD409" t="s">
        <v>52</v>
      </c>
      <c r="AE409" t="s">
        <v>438</v>
      </c>
      <c r="AF409" t="s">
        <v>2204</v>
      </c>
      <c r="AG409" t="s">
        <v>58</v>
      </c>
      <c r="AH409">
        <v>15265</v>
      </c>
      <c r="AK409">
        <v>0</v>
      </c>
      <c r="AL409" t="s">
        <v>61</v>
      </c>
      <c r="AM409" t="s">
        <v>2205</v>
      </c>
      <c r="AN409" t="s">
        <v>2206</v>
      </c>
    </row>
    <row r="410" spans="1:40" x14ac:dyDescent="0.35">
      <c r="A410" t="s">
        <v>37</v>
      </c>
      <c r="B410" t="s">
        <v>2207</v>
      </c>
      <c r="C410" t="s">
        <v>102</v>
      </c>
      <c r="D410" t="s">
        <v>2191</v>
      </c>
      <c r="E410" t="s">
        <v>948</v>
      </c>
      <c r="F410" s="1">
        <v>46077.64638888889</v>
      </c>
      <c r="G410" t="s">
        <v>297</v>
      </c>
      <c r="H410" t="s">
        <v>287</v>
      </c>
      <c r="I410" t="s">
        <v>2208</v>
      </c>
      <c r="J410" t="s">
        <v>2117</v>
      </c>
      <c r="K410" t="s">
        <v>2109</v>
      </c>
      <c r="M410" t="s">
        <v>131</v>
      </c>
      <c r="O410" t="s">
        <v>237</v>
      </c>
      <c r="P410" t="s">
        <v>238</v>
      </c>
      <c r="Q410" t="s">
        <v>465</v>
      </c>
      <c r="R410" t="s">
        <v>51</v>
      </c>
      <c r="S410" t="s">
        <v>52</v>
      </c>
      <c r="T410" t="s">
        <v>240</v>
      </c>
      <c r="U410" s="1">
        <v>46078.337604166663</v>
      </c>
      <c r="V410" t="s">
        <v>54</v>
      </c>
      <c r="W410" t="s">
        <v>55</v>
      </c>
      <c r="X410" t="s">
        <v>211</v>
      </c>
      <c r="Y410" t="s">
        <v>2119</v>
      </c>
      <c r="Z410" t="s">
        <v>58</v>
      </c>
      <c r="AA410" t="s">
        <v>54</v>
      </c>
      <c r="AB410" t="s">
        <v>213</v>
      </c>
      <c r="AC410" t="s">
        <v>242</v>
      </c>
      <c r="AD410" t="s">
        <v>52</v>
      </c>
      <c r="AE410" t="s">
        <v>243</v>
      </c>
      <c r="AF410" t="s">
        <v>1470</v>
      </c>
      <c r="AG410" t="s">
        <v>58</v>
      </c>
      <c r="AH410">
        <v>3277</v>
      </c>
      <c r="AK410">
        <v>1</v>
      </c>
      <c r="AL410" t="s">
        <v>61</v>
      </c>
      <c r="AM410" t="s">
        <v>2194</v>
      </c>
      <c r="AN410" t="s">
        <v>2195</v>
      </c>
    </row>
    <row r="411" spans="1:40" x14ac:dyDescent="0.35">
      <c r="A411" t="s">
        <v>37</v>
      </c>
      <c r="B411" t="s">
        <v>2209</v>
      </c>
      <c r="C411" t="s">
        <v>39</v>
      </c>
      <c r="D411" t="s">
        <v>40</v>
      </c>
      <c r="E411" t="s">
        <v>41</v>
      </c>
      <c r="F411" s="1">
        <v>46077.633750000001</v>
      </c>
      <c r="G411" t="s">
        <v>42</v>
      </c>
      <c r="H411" t="s">
        <v>43</v>
      </c>
      <c r="I411" t="s">
        <v>2210</v>
      </c>
      <c r="J411" t="s">
        <v>45</v>
      </c>
      <c r="K411" t="s">
        <v>46</v>
      </c>
      <c r="M411" t="s">
        <v>47</v>
      </c>
      <c r="O411" t="s">
        <v>48</v>
      </c>
      <c r="P411" t="s">
        <v>49</v>
      </c>
      <c r="Q411" t="s">
        <v>50</v>
      </c>
      <c r="R411" t="s">
        <v>51</v>
      </c>
      <c r="S411" t="s">
        <v>52</v>
      </c>
      <c r="T411" t="s">
        <v>53</v>
      </c>
      <c r="U411" s="1">
        <v>46077.635081018518</v>
      </c>
      <c r="V411" t="s">
        <v>54</v>
      </c>
      <c r="W411" t="s">
        <v>55</v>
      </c>
      <c r="X411" t="s">
        <v>56</v>
      </c>
      <c r="Y411" t="s">
        <v>65</v>
      </c>
      <c r="Z411" t="s">
        <v>58</v>
      </c>
      <c r="AA411" t="s">
        <v>54</v>
      </c>
      <c r="AB411" t="s">
        <v>59</v>
      </c>
      <c r="AC411" t="s">
        <v>60</v>
      </c>
      <c r="AD411" t="s">
        <v>51</v>
      </c>
      <c r="AE411" t="s">
        <v>52</v>
      </c>
      <c r="AF411" t="s">
        <v>53</v>
      </c>
      <c r="AG411" t="s">
        <v>58</v>
      </c>
      <c r="AK411">
        <v>0</v>
      </c>
      <c r="AL411" t="s">
        <v>61</v>
      </c>
      <c r="AM411" t="s">
        <v>59</v>
      </c>
      <c r="AN411" t="s">
        <v>62</v>
      </c>
    </row>
    <row r="412" spans="1:40" x14ac:dyDescent="0.35">
      <c r="A412" t="s">
        <v>37</v>
      </c>
      <c r="B412" t="s">
        <v>2211</v>
      </c>
      <c r="C412" t="s">
        <v>102</v>
      </c>
      <c r="D412" t="s">
        <v>284</v>
      </c>
      <c r="E412" t="s">
        <v>285</v>
      </c>
      <c r="F412" s="1">
        <v>46077.6328125</v>
      </c>
      <c r="G412" t="s">
        <v>286</v>
      </c>
      <c r="H412" t="s">
        <v>287</v>
      </c>
      <c r="I412" t="s">
        <v>2212</v>
      </c>
      <c r="J412" t="s">
        <v>289</v>
      </c>
      <c r="K412" t="s">
        <v>130</v>
      </c>
      <c r="M412" t="s">
        <v>131</v>
      </c>
      <c r="O412" t="s">
        <v>77</v>
      </c>
      <c r="P412" t="s">
        <v>78</v>
      </c>
      <c r="Q412" t="s">
        <v>50</v>
      </c>
      <c r="R412" t="s">
        <v>132</v>
      </c>
      <c r="S412" t="s">
        <v>133</v>
      </c>
      <c r="T412" t="s">
        <v>133</v>
      </c>
      <c r="U412" s="1">
        <v>46078.334594907406</v>
      </c>
      <c r="V412" t="s">
        <v>54</v>
      </c>
      <c r="W412" t="s">
        <v>55</v>
      </c>
      <c r="X412" t="s">
        <v>134</v>
      </c>
      <c r="Y412" t="s">
        <v>2213</v>
      </c>
      <c r="Z412" t="s">
        <v>58</v>
      </c>
      <c r="AA412" t="s">
        <v>54</v>
      </c>
      <c r="AB412" t="s">
        <v>291</v>
      </c>
      <c r="AC412" t="s">
        <v>85</v>
      </c>
      <c r="AD412" t="s">
        <v>132</v>
      </c>
      <c r="AE412" t="s">
        <v>133</v>
      </c>
      <c r="AF412" t="s">
        <v>133</v>
      </c>
      <c r="AG412" t="s">
        <v>58</v>
      </c>
      <c r="AH412" t="s">
        <v>292</v>
      </c>
      <c r="AK412">
        <v>1</v>
      </c>
      <c r="AL412" t="s">
        <v>61</v>
      </c>
      <c r="AM412" t="s">
        <v>291</v>
      </c>
      <c r="AN412" t="s">
        <v>293</v>
      </c>
    </row>
    <row r="413" spans="1:40" x14ac:dyDescent="0.35">
      <c r="A413" t="s">
        <v>37</v>
      </c>
      <c r="B413" t="s">
        <v>2214</v>
      </c>
      <c r="C413" t="s">
        <v>102</v>
      </c>
      <c r="D413" t="s">
        <v>676</v>
      </c>
      <c r="E413" t="s">
        <v>677</v>
      </c>
      <c r="F413" s="1">
        <v>46077.627337962964</v>
      </c>
      <c r="G413" t="s">
        <v>71</v>
      </c>
      <c r="H413" t="s">
        <v>72</v>
      </c>
      <c r="I413" t="s">
        <v>2215</v>
      </c>
      <c r="J413" t="s">
        <v>521</v>
      </c>
      <c r="K413" t="s">
        <v>130</v>
      </c>
      <c r="M413" t="s">
        <v>131</v>
      </c>
      <c r="O413" t="s">
        <v>77</v>
      </c>
      <c r="P413" t="s">
        <v>78</v>
      </c>
      <c r="Q413" t="s">
        <v>50</v>
      </c>
      <c r="R413" t="s">
        <v>51</v>
      </c>
      <c r="S413" t="s">
        <v>195</v>
      </c>
      <c r="T413" t="s">
        <v>680</v>
      </c>
      <c r="U413" s="1">
        <v>46077.990960648145</v>
      </c>
      <c r="V413" t="s">
        <v>54</v>
      </c>
      <c r="W413" t="s">
        <v>55</v>
      </c>
      <c r="X413" t="s">
        <v>134</v>
      </c>
      <c r="Y413" t="s">
        <v>2216</v>
      </c>
      <c r="Z413" t="s">
        <v>58</v>
      </c>
      <c r="AA413" t="s">
        <v>54</v>
      </c>
      <c r="AB413" t="s">
        <v>682</v>
      </c>
      <c r="AC413" t="s">
        <v>85</v>
      </c>
      <c r="AD413" t="s">
        <v>51</v>
      </c>
      <c r="AE413" t="s">
        <v>195</v>
      </c>
      <c r="AF413" t="s">
        <v>680</v>
      </c>
      <c r="AG413" t="s">
        <v>58</v>
      </c>
      <c r="AH413" t="s">
        <v>683</v>
      </c>
      <c r="AK413">
        <v>1</v>
      </c>
      <c r="AL413" t="s">
        <v>61</v>
      </c>
      <c r="AM413" t="s">
        <v>682</v>
      </c>
      <c r="AN413" t="s">
        <v>684</v>
      </c>
    </row>
    <row r="414" spans="1:40" x14ac:dyDescent="0.35">
      <c r="A414" t="s">
        <v>37</v>
      </c>
      <c r="B414" t="s">
        <v>2217</v>
      </c>
      <c r="C414" t="s">
        <v>39</v>
      </c>
      <c r="D414" t="s">
        <v>2218</v>
      </c>
      <c r="E414" t="s">
        <v>127</v>
      </c>
      <c r="F414" s="1">
        <v>46077.62400462963</v>
      </c>
      <c r="G414" t="s">
        <v>355</v>
      </c>
      <c r="H414" t="s">
        <v>356</v>
      </c>
      <c r="I414" t="s">
        <v>2219</v>
      </c>
      <c r="J414" t="s">
        <v>1823</v>
      </c>
      <c r="K414" t="s">
        <v>1824</v>
      </c>
      <c r="M414" t="s">
        <v>131</v>
      </c>
      <c r="O414" t="s">
        <v>77</v>
      </c>
      <c r="P414" t="s">
        <v>78</v>
      </c>
      <c r="Q414" t="s">
        <v>50</v>
      </c>
      <c r="R414" t="s">
        <v>51</v>
      </c>
      <c r="S414" t="s">
        <v>52</v>
      </c>
      <c r="T414" t="s">
        <v>240</v>
      </c>
      <c r="U414" s="1">
        <v>46078.551087962966</v>
      </c>
      <c r="V414" t="s">
        <v>54</v>
      </c>
      <c r="W414" t="s">
        <v>55</v>
      </c>
      <c r="X414" t="s">
        <v>196</v>
      </c>
      <c r="Y414" t="s">
        <v>2220</v>
      </c>
      <c r="Z414" t="s">
        <v>58</v>
      </c>
      <c r="AA414" t="s">
        <v>54</v>
      </c>
      <c r="AB414" t="s">
        <v>84</v>
      </c>
      <c r="AC414" t="s">
        <v>85</v>
      </c>
      <c r="AD414" t="s">
        <v>52</v>
      </c>
      <c r="AE414" t="s">
        <v>243</v>
      </c>
      <c r="AF414" t="s">
        <v>1470</v>
      </c>
      <c r="AG414" t="s">
        <v>58</v>
      </c>
      <c r="AH414" t="s">
        <v>2221</v>
      </c>
      <c r="AK414">
        <v>1</v>
      </c>
      <c r="AL414" t="s">
        <v>61</v>
      </c>
      <c r="AM414" t="s">
        <v>84</v>
      </c>
      <c r="AN414" t="s">
        <v>2222</v>
      </c>
    </row>
    <row r="415" spans="1:40" x14ac:dyDescent="0.35">
      <c r="A415" t="s">
        <v>37</v>
      </c>
      <c r="B415" t="s">
        <v>2223</v>
      </c>
      <c r="C415" t="s">
        <v>102</v>
      </c>
      <c r="D415" t="s">
        <v>284</v>
      </c>
      <c r="E415" t="s">
        <v>285</v>
      </c>
      <c r="F415" s="1">
        <v>46077.622939814813</v>
      </c>
      <c r="G415" t="s">
        <v>286</v>
      </c>
      <c r="H415" t="s">
        <v>287</v>
      </c>
      <c r="I415" t="s">
        <v>2224</v>
      </c>
      <c r="J415" t="s">
        <v>289</v>
      </c>
      <c r="K415" t="s">
        <v>130</v>
      </c>
      <c r="M415" t="s">
        <v>131</v>
      </c>
      <c r="O415" t="s">
        <v>77</v>
      </c>
      <c r="P415" t="s">
        <v>78</v>
      </c>
      <c r="Q415" t="s">
        <v>50</v>
      </c>
      <c r="R415" t="s">
        <v>132</v>
      </c>
      <c r="S415" t="s">
        <v>133</v>
      </c>
      <c r="T415" t="s">
        <v>133</v>
      </c>
      <c r="U415" s="1">
        <v>46077.793796296297</v>
      </c>
      <c r="V415" t="s">
        <v>54</v>
      </c>
      <c r="W415" t="s">
        <v>55</v>
      </c>
      <c r="X415" t="s">
        <v>134</v>
      </c>
      <c r="Y415" t="s">
        <v>2225</v>
      </c>
      <c r="Z415" t="s">
        <v>58</v>
      </c>
      <c r="AA415" t="s">
        <v>54</v>
      </c>
      <c r="AB415" t="s">
        <v>291</v>
      </c>
      <c r="AC415" t="s">
        <v>85</v>
      </c>
      <c r="AD415" t="s">
        <v>132</v>
      </c>
      <c r="AE415" t="s">
        <v>133</v>
      </c>
      <c r="AF415" t="s">
        <v>133</v>
      </c>
      <c r="AG415" t="s">
        <v>58</v>
      </c>
      <c r="AH415" t="s">
        <v>292</v>
      </c>
      <c r="AK415">
        <v>1</v>
      </c>
      <c r="AL415" t="s">
        <v>61</v>
      </c>
      <c r="AM415" t="s">
        <v>291</v>
      </c>
      <c r="AN415" t="s">
        <v>293</v>
      </c>
    </row>
    <row r="416" spans="1:40" x14ac:dyDescent="0.35">
      <c r="A416" t="s">
        <v>37</v>
      </c>
      <c r="B416" t="s">
        <v>2226</v>
      </c>
      <c r="C416" t="s">
        <v>102</v>
      </c>
      <c r="D416" t="s">
        <v>617</v>
      </c>
      <c r="E416" t="s">
        <v>618</v>
      </c>
      <c r="F416" s="1">
        <v>46077.620486111111</v>
      </c>
      <c r="G416" t="s">
        <v>286</v>
      </c>
      <c r="H416" t="s">
        <v>287</v>
      </c>
      <c r="I416" t="s">
        <v>2227</v>
      </c>
      <c r="J416" t="s">
        <v>620</v>
      </c>
      <c r="K416" t="s">
        <v>565</v>
      </c>
      <c r="M416" t="s">
        <v>76</v>
      </c>
      <c r="O416" t="s">
        <v>77</v>
      </c>
      <c r="P416" t="s">
        <v>78</v>
      </c>
      <c r="Q416" t="s">
        <v>50</v>
      </c>
      <c r="R416" t="s">
        <v>132</v>
      </c>
      <c r="S416" t="s">
        <v>133</v>
      </c>
      <c r="T416" t="s">
        <v>133</v>
      </c>
      <c r="U416" s="1">
        <v>46077.647951388892</v>
      </c>
      <c r="V416" t="s">
        <v>54</v>
      </c>
      <c r="W416" t="s">
        <v>55</v>
      </c>
      <c r="X416" t="s">
        <v>134</v>
      </c>
      <c r="Y416" t="s">
        <v>2228</v>
      </c>
      <c r="Z416" t="s">
        <v>58</v>
      </c>
      <c r="AA416" t="s">
        <v>54</v>
      </c>
      <c r="AB416" t="s">
        <v>622</v>
      </c>
      <c r="AC416" t="s">
        <v>85</v>
      </c>
      <c r="AD416" t="s">
        <v>132</v>
      </c>
      <c r="AE416" t="s">
        <v>133</v>
      </c>
      <c r="AF416" t="s">
        <v>133</v>
      </c>
      <c r="AG416" t="s">
        <v>58</v>
      </c>
      <c r="AH416" t="s">
        <v>623</v>
      </c>
      <c r="AK416">
        <v>1</v>
      </c>
      <c r="AL416" t="s">
        <v>61</v>
      </c>
      <c r="AM416" t="s">
        <v>622</v>
      </c>
      <c r="AN416" t="s">
        <v>624</v>
      </c>
    </row>
    <row r="417" spans="1:40" x14ac:dyDescent="0.35">
      <c r="A417" t="s">
        <v>37</v>
      </c>
      <c r="B417" t="s">
        <v>2229</v>
      </c>
      <c r="C417" t="s">
        <v>102</v>
      </c>
      <c r="D417" t="s">
        <v>2230</v>
      </c>
      <c r="E417" t="s">
        <v>2231</v>
      </c>
      <c r="F417" s="1">
        <v>46077.618807870371</v>
      </c>
      <c r="G417" t="s">
        <v>71</v>
      </c>
      <c r="H417" t="s">
        <v>72</v>
      </c>
      <c r="I417" t="s">
        <v>2232</v>
      </c>
      <c r="J417" t="s">
        <v>557</v>
      </c>
      <c r="K417" t="s">
        <v>75</v>
      </c>
      <c r="M417" t="s">
        <v>76</v>
      </c>
      <c r="O417" t="s">
        <v>237</v>
      </c>
      <c r="P417" t="s">
        <v>238</v>
      </c>
      <c r="Q417" t="s">
        <v>1027</v>
      </c>
      <c r="R417" t="s">
        <v>79</v>
      </c>
      <c r="S417" t="s">
        <v>781</v>
      </c>
      <c r="T417" t="s">
        <v>782</v>
      </c>
      <c r="U417" s="1">
        <v>46077.620949074073</v>
      </c>
      <c r="V417" t="s">
        <v>54</v>
      </c>
      <c r="W417" t="s">
        <v>55</v>
      </c>
      <c r="X417" t="s">
        <v>82</v>
      </c>
      <c r="Y417" t="s">
        <v>2233</v>
      </c>
      <c r="Z417" t="s">
        <v>58</v>
      </c>
      <c r="AA417" t="s">
        <v>54</v>
      </c>
      <c r="AB417" t="s">
        <v>645</v>
      </c>
      <c r="AC417" t="s">
        <v>242</v>
      </c>
      <c r="AD417" t="s">
        <v>79</v>
      </c>
      <c r="AE417" t="s">
        <v>784</v>
      </c>
      <c r="AF417" t="s">
        <v>785</v>
      </c>
      <c r="AG417" t="s">
        <v>58</v>
      </c>
      <c r="AH417">
        <v>5392</v>
      </c>
      <c r="AK417">
        <v>0</v>
      </c>
      <c r="AL417" t="s">
        <v>410</v>
      </c>
      <c r="AM417" t="s">
        <v>2234</v>
      </c>
      <c r="AN417" t="s">
        <v>2235</v>
      </c>
    </row>
    <row r="418" spans="1:40" x14ac:dyDescent="0.35">
      <c r="A418" t="s">
        <v>37</v>
      </c>
      <c r="B418" t="s">
        <v>2236</v>
      </c>
      <c r="C418" t="s">
        <v>39</v>
      </c>
      <c r="D418" t="s">
        <v>127</v>
      </c>
      <c r="E418" t="s">
        <v>2237</v>
      </c>
      <c r="F418" s="1">
        <v>46077.616701388892</v>
      </c>
      <c r="G418" t="s">
        <v>250</v>
      </c>
      <c r="H418" t="s">
        <v>106</v>
      </c>
      <c r="I418" t="s">
        <v>2238</v>
      </c>
      <c r="J418" t="s">
        <v>557</v>
      </c>
      <c r="K418" t="s">
        <v>75</v>
      </c>
      <c r="M418" t="s">
        <v>76</v>
      </c>
      <c r="O418" t="s">
        <v>77</v>
      </c>
      <c r="P418" t="s">
        <v>78</v>
      </c>
      <c r="R418" t="s">
        <v>79</v>
      </c>
      <c r="S418" t="s">
        <v>172</v>
      </c>
      <c r="T418" t="s">
        <v>173</v>
      </c>
      <c r="U418" s="1">
        <v>46077.617430555554</v>
      </c>
      <c r="V418" t="s">
        <v>54</v>
      </c>
      <c r="W418" t="s">
        <v>55</v>
      </c>
      <c r="X418" t="s">
        <v>82</v>
      </c>
      <c r="Y418" t="s">
        <v>2239</v>
      </c>
      <c r="Z418" t="s">
        <v>58</v>
      </c>
      <c r="AA418" t="s">
        <v>54</v>
      </c>
      <c r="AB418" t="s">
        <v>645</v>
      </c>
      <c r="AC418" t="s">
        <v>85</v>
      </c>
      <c r="AD418" t="s">
        <v>79</v>
      </c>
      <c r="AE418" t="s">
        <v>172</v>
      </c>
      <c r="AF418" t="s">
        <v>173</v>
      </c>
      <c r="AG418" t="s">
        <v>58</v>
      </c>
      <c r="AH418" t="s">
        <v>2240</v>
      </c>
      <c r="AK418">
        <v>0</v>
      </c>
      <c r="AL418" t="s">
        <v>61</v>
      </c>
      <c r="AM418" t="s">
        <v>2241</v>
      </c>
      <c r="AN418" t="s">
        <v>2242</v>
      </c>
    </row>
    <row r="419" spans="1:40" x14ac:dyDescent="0.35">
      <c r="A419" t="s">
        <v>37</v>
      </c>
      <c r="B419" t="s">
        <v>2243</v>
      </c>
      <c r="C419" t="s">
        <v>102</v>
      </c>
      <c r="D419" t="s">
        <v>191</v>
      </c>
      <c r="E419" t="s">
        <v>192</v>
      </c>
      <c r="F419" s="1">
        <v>46077.613703703704</v>
      </c>
      <c r="G419" t="s">
        <v>71</v>
      </c>
      <c r="H419" t="s">
        <v>72</v>
      </c>
      <c r="I419" t="s">
        <v>2244</v>
      </c>
      <c r="J419" t="s">
        <v>194</v>
      </c>
      <c r="K419" t="s">
        <v>130</v>
      </c>
      <c r="M419" t="s">
        <v>131</v>
      </c>
      <c r="O419" t="s">
        <v>77</v>
      </c>
      <c r="P419" t="s">
        <v>78</v>
      </c>
      <c r="Q419" t="s">
        <v>50</v>
      </c>
      <c r="R419" t="s">
        <v>51</v>
      </c>
      <c r="S419" t="s">
        <v>52</v>
      </c>
      <c r="T419" t="s">
        <v>195</v>
      </c>
      <c r="U419" s="1">
        <v>46078.330185185187</v>
      </c>
      <c r="V419" t="s">
        <v>54</v>
      </c>
      <c r="W419" t="s">
        <v>55</v>
      </c>
      <c r="X419" t="s">
        <v>134</v>
      </c>
      <c r="Y419" t="s">
        <v>2245</v>
      </c>
      <c r="Z419" t="s">
        <v>58</v>
      </c>
      <c r="AA419" t="s">
        <v>54</v>
      </c>
      <c r="AB419" t="s">
        <v>198</v>
      </c>
      <c r="AC419" t="s">
        <v>85</v>
      </c>
      <c r="AD419" t="s">
        <v>51</v>
      </c>
      <c r="AE419" t="s">
        <v>52</v>
      </c>
      <c r="AF419" t="s">
        <v>195</v>
      </c>
      <c r="AG419" t="s">
        <v>58</v>
      </c>
      <c r="AH419" t="s">
        <v>199</v>
      </c>
      <c r="AK419">
        <v>1</v>
      </c>
      <c r="AL419" t="s">
        <v>61</v>
      </c>
      <c r="AM419" t="s">
        <v>198</v>
      </c>
      <c r="AN419" t="s">
        <v>200</v>
      </c>
    </row>
    <row r="420" spans="1:40" x14ac:dyDescent="0.35">
      <c r="A420" t="s">
        <v>37</v>
      </c>
      <c r="B420" t="s">
        <v>2246</v>
      </c>
      <c r="C420" t="s">
        <v>39</v>
      </c>
      <c r="D420" t="s">
        <v>127</v>
      </c>
      <c r="E420" t="s">
        <v>303</v>
      </c>
      <c r="F420" s="1">
        <v>46077.610486111109</v>
      </c>
      <c r="G420" t="s">
        <v>2053</v>
      </c>
      <c r="H420" t="s">
        <v>106</v>
      </c>
      <c r="I420" t="s">
        <v>2247</v>
      </c>
      <c r="J420" t="s">
        <v>557</v>
      </c>
      <c r="K420" t="s">
        <v>75</v>
      </c>
      <c r="M420" t="s">
        <v>76</v>
      </c>
      <c r="O420" t="s">
        <v>77</v>
      </c>
      <c r="P420" t="s">
        <v>78</v>
      </c>
      <c r="R420" t="s">
        <v>51</v>
      </c>
      <c r="S420" t="s">
        <v>52</v>
      </c>
      <c r="T420" t="s">
        <v>2248</v>
      </c>
      <c r="U420" s="1">
        <v>46077.61277777778</v>
      </c>
      <c r="V420" t="s">
        <v>54</v>
      </c>
      <c r="W420" t="s">
        <v>55</v>
      </c>
      <c r="X420" t="s">
        <v>82</v>
      </c>
      <c r="Y420" t="s">
        <v>2249</v>
      </c>
      <c r="Z420" t="s">
        <v>58</v>
      </c>
      <c r="AA420" t="s">
        <v>54</v>
      </c>
      <c r="AB420" t="s">
        <v>645</v>
      </c>
      <c r="AC420" t="s">
        <v>85</v>
      </c>
      <c r="AD420" t="s">
        <v>51</v>
      </c>
      <c r="AE420" t="s">
        <v>52</v>
      </c>
      <c r="AF420" t="s">
        <v>2248</v>
      </c>
      <c r="AG420" t="s">
        <v>58</v>
      </c>
      <c r="AH420" t="s">
        <v>2250</v>
      </c>
      <c r="AK420">
        <v>0</v>
      </c>
      <c r="AL420" t="s">
        <v>61</v>
      </c>
      <c r="AM420" t="s">
        <v>2251</v>
      </c>
      <c r="AN420" t="s">
        <v>2252</v>
      </c>
    </row>
    <row r="421" spans="1:40" x14ac:dyDescent="0.35">
      <c r="A421" t="s">
        <v>37</v>
      </c>
      <c r="B421" t="s">
        <v>2253</v>
      </c>
      <c r="C421" t="s">
        <v>39</v>
      </c>
      <c r="D421" t="s">
        <v>1352</v>
      </c>
      <c r="E421" t="s">
        <v>2254</v>
      </c>
      <c r="F421" s="1">
        <v>46077.60728009259</v>
      </c>
      <c r="G421" t="s">
        <v>377</v>
      </c>
      <c r="H421" t="s">
        <v>287</v>
      </c>
      <c r="I421" t="s">
        <v>2255</v>
      </c>
      <c r="J421" t="s">
        <v>2256</v>
      </c>
      <c r="K421" t="s">
        <v>2257</v>
      </c>
      <c r="M421" t="s">
        <v>131</v>
      </c>
      <c r="O421" t="s">
        <v>77</v>
      </c>
      <c r="P421" t="s">
        <v>78</v>
      </c>
      <c r="Q421" t="s">
        <v>50</v>
      </c>
      <c r="R421" t="s">
        <v>51</v>
      </c>
      <c r="S421" t="s">
        <v>52</v>
      </c>
      <c r="T421" t="s">
        <v>773</v>
      </c>
      <c r="U421" s="1">
        <v>46078.525613425925</v>
      </c>
      <c r="V421" t="s">
        <v>54</v>
      </c>
      <c r="W421" t="s">
        <v>55</v>
      </c>
      <c r="X421" t="s">
        <v>211</v>
      </c>
      <c r="Y421" t="s">
        <v>2258</v>
      </c>
      <c r="Z421" t="s">
        <v>58</v>
      </c>
      <c r="AA421" t="s">
        <v>54</v>
      </c>
      <c r="AB421" t="s">
        <v>213</v>
      </c>
      <c r="AC421" t="s">
        <v>85</v>
      </c>
      <c r="AD421" t="s">
        <v>52</v>
      </c>
      <c r="AE421" t="s">
        <v>438</v>
      </c>
      <c r="AF421" t="s">
        <v>2204</v>
      </c>
      <c r="AG421" t="s">
        <v>58</v>
      </c>
      <c r="AH421" t="s">
        <v>2259</v>
      </c>
      <c r="AK421">
        <v>1</v>
      </c>
      <c r="AL421" t="s">
        <v>61</v>
      </c>
      <c r="AM421" t="s">
        <v>2260</v>
      </c>
      <c r="AN421" t="s">
        <v>2261</v>
      </c>
    </row>
    <row r="422" spans="1:40" x14ac:dyDescent="0.35">
      <c r="A422" t="s">
        <v>37</v>
      </c>
      <c r="B422" t="s">
        <v>2262</v>
      </c>
      <c r="C422" t="s">
        <v>39</v>
      </c>
      <c r="D422" t="s">
        <v>519</v>
      </c>
      <c r="E422" t="s">
        <v>520</v>
      </c>
      <c r="F422" s="1">
        <v>46077.604930555557</v>
      </c>
      <c r="G422" t="s">
        <v>286</v>
      </c>
      <c r="H422" t="s">
        <v>287</v>
      </c>
      <c r="I422" t="s">
        <v>163</v>
      </c>
      <c r="J422" t="s">
        <v>521</v>
      </c>
      <c r="K422" t="s">
        <v>130</v>
      </c>
      <c r="M422" t="s">
        <v>131</v>
      </c>
      <c r="O422" t="s">
        <v>77</v>
      </c>
      <c r="P422" t="s">
        <v>78</v>
      </c>
      <c r="Q422" t="s">
        <v>50</v>
      </c>
      <c r="R422" t="s">
        <v>132</v>
      </c>
      <c r="S422" t="s">
        <v>133</v>
      </c>
      <c r="T422" t="s">
        <v>133</v>
      </c>
      <c r="U422" s="1">
        <v>46078.387499999997</v>
      </c>
      <c r="V422" t="s">
        <v>54</v>
      </c>
      <c r="W422" t="s">
        <v>55</v>
      </c>
      <c r="X422" t="s">
        <v>82</v>
      </c>
      <c r="Y422" t="s">
        <v>2263</v>
      </c>
      <c r="Z422" t="s">
        <v>58</v>
      </c>
      <c r="AA422" t="s">
        <v>54</v>
      </c>
      <c r="AB422" t="s">
        <v>523</v>
      </c>
      <c r="AC422" t="s">
        <v>85</v>
      </c>
      <c r="AD422" t="s">
        <v>132</v>
      </c>
      <c r="AE422" t="s">
        <v>133</v>
      </c>
      <c r="AF422" t="s">
        <v>133</v>
      </c>
      <c r="AG422" t="s">
        <v>58</v>
      </c>
      <c r="AH422" t="s">
        <v>524</v>
      </c>
      <c r="AK422">
        <v>1</v>
      </c>
      <c r="AL422" t="s">
        <v>61</v>
      </c>
      <c r="AM422" t="s">
        <v>523</v>
      </c>
      <c r="AN422" t="s">
        <v>525</v>
      </c>
    </row>
    <row r="423" spans="1:40" x14ac:dyDescent="0.35">
      <c r="A423" t="s">
        <v>37</v>
      </c>
      <c r="B423" t="s">
        <v>2264</v>
      </c>
      <c r="C423" t="s">
        <v>102</v>
      </c>
      <c r="D423" t="s">
        <v>284</v>
      </c>
      <c r="E423" t="s">
        <v>285</v>
      </c>
      <c r="F423" s="1">
        <v>46077.604074074072</v>
      </c>
      <c r="G423" t="s">
        <v>286</v>
      </c>
      <c r="H423" t="s">
        <v>287</v>
      </c>
      <c r="I423" t="s">
        <v>2265</v>
      </c>
      <c r="J423" t="s">
        <v>289</v>
      </c>
      <c r="K423" t="s">
        <v>130</v>
      </c>
      <c r="M423" t="s">
        <v>131</v>
      </c>
      <c r="O423" t="s">
        <v>77</v>
      </c>
      <c r="P423" t="s">
        <v>78</v>
      </c>
      <c r="Q423" t="s">
        <v>50</v>
      </c>
      <c r="R423" t="s">
        <v>132</v>
      </c>
      <c r="S423" t="s">
        <v>133</v>
      </c>
      <c r="T423" t="s">
        <v>133</v>
      </c>
      <c r="U423" s="1">
        <v>46078.330648148149</v>
      </c>
      <c r="V423" t="s">
        <v>54</v>
      </c>
      <c r="W423" t="s">
        <v>55</v>
      </c>
      <c r="X423" t="s">
        <v>134</v>
      </c>
      <c r="Y423" t="s">
        <v>2266</v>
      </c>
      <c r="Z423" t="s">
        <v>58</v>
      </c>
      <c r="AA423" t="s">
        <v>54</v>
      </c>
      <c r="AB423" t="s">
        <v>291</v>
      </c>
      <c r="AC423" t="s">
        <v>85</v>
      </c>
      <c r="AD423" t="s">
        <v>132</v>
      </c>
      <c r="AE423" t="s">
        <v>133</v>
      </c>
      <c r="AF423" t="s">
        <v>133</v>
      </c>
      <c r="AG423" t="s">
        <v>58</v>
      </c>
      <c r="AH423" t="s">
        <v>292</v>
      </c>
      <c r="AK423">
        <v>1</v>
      </c>
      <c r="AL423" t="s">
        <v>61</v>
      </c>
      <c r="AM423" t="s">
        <v>291</v>
      </c>
      <c r="AN423" t="s">
        <v>293</v>
      </c>
    </row>
    <row r="424" spans="1:40" x14ac:dyDescent="0.35">
      <c r="A424" t="s">
        <v>37</v>
      </c>
      <c r="B424" t="s">
        <v>2267</v>
      </c>
      <c r="C424" t="s">
        <v>39</v>
      </c>
      <c r="D424" t="s">
        <v>2268</v>
      </c>
      <c r="E424" t="s">
        <v>2269</v>
      </c>
      <c r="F424" s="1">
        <v>46077.601168981484</v>
      </c>
      <c r="G424" t="s">
        <v>355</v>
      </c>
      <c r="H424" t="s">
        <v>356</v>
      </c>
      <c r="I424" t="s">
        <v>2270</v>
      </c>
      <c r="J424" t="s">
        <v>1865</v>
      </c>
      <c r="K424" t="s">
        <v>1824</v>
      </c>
      <c r="M424" t="s">
        <v>131</v>
      </c>
      <c r="O424" t="s">
        <v>77</v>
      </c>
      <c r="P424" t="s">
        <v>78</v>
      </c>
      <c r="Q424" t="s">
        <v>50</v>
      </c>
      <c r="R424" t="s">
        <v>51</v>
      </c>
      <c r="S424" t="s">
        <v>52</v>
      </c>
      <c r="T424" t="s">
        <v>997</v>
      </c>
      <c r="U424" s="1">
        <v>46077.602314814816</v>
      </c>
      <c r="V424" t="s">
        <v>54</v>
      </c>
      <c r="W424" t="s">
        <v>55</v>
      </c>
      <c r="X424" t="s">
        <v>113</v>
      </c>
      <c r="Y424" t="s">
        <v>2271</v>
      </c>
      <c r="Z424" t="s">
        <v>58</v>
      </c>
      <c r="AA424" t="s">
        <v>54</v>
      </c>
      <c r="AB424" t="s">
        <v>1867</v>
      </c>
      <c r="AC424" t="s">
        <v>85</v>
      </c>
      <c r="AD424" t="s">
        <v>52</v>
      </c>
      <c r="AE424" t="s">
        <v>999</v>
      </c>
      <c r="AF424" t="s">
        <v>2272</v>
      </c>
      <c r="AG424" t="s">
        <v>58</v>
      </c>
      <c r="AH424">
        <v>15060</v>
      </c>
      <c r="AK424">
        <v>0</v>
      </c>
      <c r="AL424" t="s">
        <v>61</v>
      </c>
      <c r="AM424" t="s">
        <v>2273</v>
      </c>
      <c r="AN424" t="s">
        <v>2274</v>
      </c>
    </row>
    <row r="425" spans="1:40" x14ac:dyDescent="0.35">
      <c r="A425" t="s">
        <v>37</v>
      </c>
      <c r="B425" t="s">
        <v>2275</v>
      </c>
      <c r="C425" t="s">
        <v>102</v>
      </c>
      <c r="D425" t="s">
        <v>617</v>
      </c>
      <c r="E425" t="s">
        <v>618</v>
      </c>
      <c r="F425" s="1">
        <v>46077.6016087963</v>
      </c>
      <c r="G425" t="s">
        <v>286</v>
      </c>
      <c r="H425" t="s">
        <v>287</v>
      </c>
      <c r="I425" t="s">
        <v>2276</v>
      </c>
      <c r="J425" t="s">
        <v>620</v>
      </c>
      <c r="K425" t="s">
        <v>130</v>
      </c>
      <c r="M425" t="s">
        <v>131</v>
      </c>
      <c r="O425" t="s">
        <v>77</v>
      </c>
      <c r="P425" t="s">
        <v>78</v>
      </c>
      <c r="Q425" t="s">
        <v>50</v>
      </c>
      <c r="R425" t="s">
        <v>132</v>
      </c>
      <c r="S425" t="s">
        <v>133</v>
      </c>
      <c r="T425" t="s">
        <v>133</v>
      </c>
      <c r="U425" s="1">
        <v>46077.990474537037</v>
      </c>
      <c r="V425" t="s">
        <v>54</v>
      </c>
      <c r="W425" t="s">
        <v>55</v>
      </c>
      <c r="X425" t="s">
        <v>134</v>
      </c>
      <c r="Y425" t="s">
        <v>2277</v>
      </c>
      <c r="Z425" t="s">
        <v>58</v>
      </c>
      <c r="AA425" t="s">
        <v>54</v>
      </c>
      <c r="AB425" t="s">
        <v>622</v>
      </c>
      <c r="AC425" t="s">
        <v>85</v>
      </c>
      <c r="AD425" t="s">
        <v>132</v>
      </c>
      <c r="AE425" t="s">
        <v>133</v>
      </c>
      <c r="AF425" t="s">
        <v>133</v>
      </c>
      <c r="AG425" t="s">
        <v>58</v>
      </c>
      <c r="AH425" t="s">
        <v>623</v>
      </c>
      <c r="AK425">
        <v>1</v>
      </c>
      <c r="AL425" t="s">
        <v>61</v>
      </c>
      <c r="AM425" t="s">
        <v>622</v>
      </c>
      <c r="AN425" t="s">
        <v>624</v>
      </c>
    </row>
    <row r="426" spans="1:40" x14ac:dyDescent="0.35">
      <c r="A426" t="s">
        <v>37</v>
      </c>
      <c r="B426" t="s">
        <v>2278</v>
      </c>
      <c r="C426" t="s">
        <v>102</v>
      </c>
      <c r="D426" t="s">
        <v>853</v>
      </c>
      <c r="E426" t="s">
        <v>303</v>
      </c>
      <c r="F426" s="1">
        <v>46077.599432870367</v>
      </c>
      <c r="G426" t="s">
        <v>402</v>
      </c>
      <c r="H426" t="s">
        <v>72</v>
      </c>
      <c r="I426" t="s">
        <v>2279</v>
      </c>
      <c r="J426" t="s">
        <v>557</v>
      </c>
      <c r="K426" t="s">
        <v>75</v>
      </c>
      <c r="M426" t="s">
        <v>76</v>
      </c>
      <c r="O426" t="s">
        <v>237</v>
      </c>
      <c r="P426" t="s">
        <v>238</v>
      </c>
      <c r="R426" t="s">
        <v>79</v>
      </c>
      <c r="S426" t="s">
        <v>975</v>
      </c>
      <c r="T426" t="s">
        <v>2280</v>
      </c>
      <c r="U426" s="1">
        <v>46077.606921296298</v>
      </c>
      <c r="V426" t="s">
        <v>54</v>
      </c>
      <c r="W426" t="s">
        <v>55</v>
      </c>
      <c r="X426" t="s">
        <v>82</v>
      </c>
      <c r="Y426" t="s">
        <v>2281</v>
      </c>
      <c r="Z426" t="s">
        <v>58</v>
      </c>
      <c r="AA426" t="s">
        <v>54</v>
      </c>
      <c r="AB426" t="s">
        <v>645</v>
      </c>
      <c r="AC426" t="s">
        <v>242</v>
      </c>
      <c r="AD426" t="s">
        <v>79</v>
      </c>
      <c r="AE426" t="s">
        <v>975</v>
      </c>
      <c r="AF426" t="s">
        <v>2280</v>
      </c>
      <c r="AG426" t="s">
        <v>58</v>
      </c>
      <c r="AH426">
        <v>15414</v>
      </c>
      <c r="AK426">
        <v>0</v>
      </c>
      <c r="AL426" t="s">
        <v>61</v>
      </c>
      <c r="AM426" t="s">
        <v>2282</v>
      </c>
      <c r="AN426" t="s">
        <v>2283</v>
      </c>
    </row>
    <row r="427" spans="1:40" x14ac:dyDescent="0.35">
      <c r="A427" t="s">
        <v>37</v>
      </c>
      <c r="B427" t="s">
        <v>2284</v>
      </c>
      <c r="C427" t="s">
        <v>39</v>
      </c>
      <c r="D427" t="s">
        <v>303</v>
      </c>
      <c r="E427" t="s">
        <v>2285</v>
      </c>
      <c r="F427" s="1">
        <v>46077.596331018518</v>
      </c>
      <c r="G427" t="s">
        <v>540</v>
      </c>
      <c r="H427" t="s">
        <v>447</v>
      </c>
      <c r="I427" t="s">
        <v>2096</v>
      </c>
      <c r="J427" t="s">
        <v>455</v>
      </c>
      <c r="K427" t="s">
        <v>436</v>
      </c>
      <c r="M427" t="s">
        <v>76</v>
      </c>
      <c r="O427" t="s">
        <v>77</v>
      </c>
      <c r="P427" t="s">
        <v>78</v>
      </c>
      <c r="Q427" t="s">
        <v>50</v>
      </c>
      <c r="R427" t="s">
        <v>51</v>
      </c>
      <c r="S427" t="s">
        <v>52</v>
      </c>
      <c r="T427" t="s">
        <v>240</v>
      </c>
      <c r="U427" s="1">
        <v>46077.611319444448</v>
      </c>
      <c r="V427" t="s">
        <v>54</v>
      </c>
      <c r="W427" t="s">
        <v>55</v>
      </c>
      <c r="X427" t="s">
        <v>82</v>
      </c>
      <c r="Y427" t="s">
        <v>2286</v>
      </c>
      <c r="Z427" t="s">
        <v>58</v>
      </c>
      <c r="AA427" t="s">
        <v>54</v>
      </c>
      <c r="AB427" t="s">
        <v>84</v>
      </c>
      <c r="AC427" t="s">
        <v>85</v>
      </c>
      <c r="AD427" t="s">
        <v>52</v>
      </c>
      <c r="AE427" t="s">
        <v>438</v>
      </c>
      <c r="AF427" t="s">
        <v>775</v>
      </c>
      <c r="AG427" t="s">
        <v>58</v>
      </c>
      <c r="AH427">
        <v>14464</v>
      </c>
      <c r="AK427">
        <v>1</v>
      </c>
      <c r="AL427" t="s">
        <v>61</v>
      </c>
      <c r="AM427" t="s">
        <v>2287</v>
      </c>
      <c r="AN427" t="s">
        <v>2288</v>
      </c>
    </row>
    <row r="428" spans="1:40" x14ac:dyDescent="0.35">
      <c r="A428" t="s">
        <v>37</v>
      </c>
      <c r="B428" t="s">
        <v>2289</v>
      </c>
      <c r="C428" t="s">
        <v>102</v>
      </c>
      <c r="D428" t="s">
        <v>1085</v>
      </c>
      <c r="E428" t="s">
        <v>1086</v>
      </c>
      <c r="F428" s="1">
        <v>46077.596006944441</v>
      </c>
      <c r="G428" t="s">
        <v>232</v>
      </c>
      <c r="H428" t="s">
        <v>233</v>
      </c>
      <c r="I428" t="s">
        <v>2290</v>
      </c>
      <c r="J428" t="s">
        <v>557</v>
      </c>
      <c r="K428" t="s">
        <v>75</v>
      </c>
      <c r="M428" t="s">
        <v>76</v>
      </c>
      <c r="O428" t="s">
        <v>237</v>
      </c>
      <c r="P428" t="s">
        <v>238</v>
      </c>
      <c r="R428" t="s">
        <v>79</v>
      </c>
      <c r="S428" t="s">
        <v>172</v>
      </c>
      <c r="T428" t="s">
        <v>173</v>
      </c>
      <c r="U428" s="1">
        <v>46077.604432870372</v>
      </c>
      <c r="V428" t="s">
        <v>54</v>
      </c>
      <c r="W428" t="s">
        <v>55</v>
      </c>
      <c r="X428" t="s">
        <v>82</v>
      </c>
      <c r="Y428" t="s">
        <v>560</v>
      </c>
      <c r="Z428" t="s">
        <v>58</v>
      </c>
      <c r="AA428" t="s">
        <v>54</v>
      </c>
      <c r="AB428" t="s">
        <v>645</v>
      </c>
      <c r="AC428" t="s">
        <v>242</v>
      </c>
      <c r="AD428" t="s">
        <v>79</v>
      </c>
      <c r="AE428" t="s">
        <v>172</v>
      </c>
      <c r="AF428" t="s">
        <v>173</v>
      </c>
      <c r="AG428" t="s">
        <v>58</v>
      </c>
      <c r="AH428">
        <v>9062</v>
      </c>
      <c r="AK428">
        <v>0</v>
      </c>
      <c r="AL428" t="s">
        <v>61</v>
      </c>
      <c r="AM428" t="s">
        <v>1090</v>
      </c>
      <c r="AN428" t="s">
        <v>1091</v>
      </c>
    </row>
    <row r="429" spans="1:40" x14ac:dyDescent="0.35">
      <c r="A429" t="s">
        <v>37</v>
      </c>
      <c r="B429" t="s">
        <v>2291</v>
      </c>
      <c r="C429" t="s">
        <v>39</v>
      </c>
      <c r="D429" t="s">
        <v>2292</v>
      </c>
      <c r="E429" t="s">
        <v>2293</v>
      </c>
      <c r="F429" s="1">
        <v>46077.595034722224</v>
      </c>
      <c r="G429" t="s">
        <v>71</v>
      </c>
      <c r="H429" t="s">
        <v>72</v>
      </c>
      <c r="I429" t="s">
        <v>2294</v>
      </c>
      <c r="J429" t="s">
        <v>557</v>
      </c>
      <c r="K429" t="s">
        <v>75</v>
      </c>
      <c r="M429" t="s">
        <v>76</v>
      </c>
      <c r="O429" t="s">
        <v>77</v>
      </c>
      <c r="P429" t="s">
        <v>78</v>
      </c>
      <c r="Q429" t="s">
        <v>2295</v>
      </c>
      <c r="R429" t="s">
        <v>79</v>
      </c>
      <c r="S429" t="s">
        <v>172</v>
      </c>
      <c r="T429" t="s">
        <v>173</v>
      </c>
      <c r="U429" s="1">
        <v>46077.60365740741</v>
      </c>
      <c r="V429" t="s">
        <v>54</v>
      </c>
      <c r="W429" t="s">
        <v>55</v>
      </c>
      <c r="X429" t="s">
        <v>82</v>
      </c>
      <c r="Y429" t="s">
        <v>2296</v>
      </c>
      <c r="Z429" t="s">
        <v>58</v>
      </c>
      <c r="AA429" t="s">
        <v>54</v>
      </c>
      <c r="AB429" t="s">
        <v>645</v>
      </c>
      <c r="AC429" t="s">
        <v>85</v>
      </c>
      <c r="AD429" t="s">
        <v>79</v>
      </c>
      <c r="AE429" t="s">
        <v>172</v>
      </c>
      <c r="AF429" t="s">
        <v>173</v>
      </c>
      <c r="AG429" t="s">
        <v>58</v>
      </c>
      <c r="AH429">
        <v>11368</v>
      </c>
      <c r="AK429">
        <v>0</v>
      </c>
      <c r="AL429" t="s">
        <v>61</v>
      </c>
      <c r="AM429" t="s">
        <v>2297</v>
      </c>
      <c r="AN429" t="s">
        <v>2298</v>
      </c>
    </row>
    <row r="430" spans="1:40" x14ac:dyDescent="0.35">
      <c r="A430" t="s">
        <v>37</v>
      </c>
      <c r="B430" t="s">
        <v>2299</v>
      </c>
      <c r="C430" t="s">
        <v>102</v>
      </c>
      <c r="D430" t="s">
        <v>191</v>
      </c>
      <c r="E430" t="s">
        <v>192</v>
      </c>
      <c r="F430" s="1">
        <v>46077.589178240742</v>
      </c>
      <c r="G430" t="s">
        <v>71</v>
      </c>
      <c r="H430" t="s">
        <v>72</v>
      </c>
      <c r="I430" t="s">
        <v>2300</v>
      </c>
      <c r="J430" t="s">
        <v>194</v>
      </c>
      <c r="K430" t="s">
        <v>130</v>
      </c>
      <c r="M430" t="s">
        <v>150</v>
      </c>
      <c r="O430" t="s">
        <v>77</v>
      </c>
      <c r="P430" t="s">
        <v>78</v>
      </c>
      <c r="Q430" t="s">
        <v>50</v>
      </c>
      <c r="R430" t="s">
        <v>51</v>
      </c>
      <c r="S430" t="s">
        <v>52</v>
      </c>
      <c r="T430" t="s">
        <v>195</v>
      </c>
      <c r="U430" s="1">
        <v>46078.420810185184</v>
      </c>
      <c r="V430" t="s">
        <v>54</v>
      </c>
      <c r="W430" t="s">
        <v>55</v>
      </c>
      <c r="X430" t="s">
        <v>196</v>
      </c>
      <c r="Y430" t="s">
        <v>2301</v>
      </c>
      <c r="Z430" t="s">
        <v>58</v>
      </c>
      <c r="AA430" t="s">
        <v>54</v>
      </c>
      <c r="AB430" t="s">
        <v>198</v>
      </c>
      <c r="AC430" t="s">
        <v>85</v>
      </c>
      <c r="AD430" t="s">
        <v>51</v>
      </c>
      <c r="AE430" t="s">
        <v>52</v>
      </c>
      <c r="AF430" t="s">
        <v>195</v>
      </c>
      <c r="AG430" t="s">
        <v>58</v>
      </c>
      <c r="AH430" t="s">
        <v>199</v>
      </c>
      <c r="AK430">
        <v>1</v>
      </c>
      <c r="AL430" t="s">
        <v>61</v>
      </c>
      <c r="AM430" t="s">
        <v>198</v>
      </c>
      <c r="AN430" t="s">
        <v>200</v>
      </c>
    </row>
    <row r="431" spans="1:40" x14ac:dyDescent="0.35">
      <c r="A431" t="s">
        <v>37</v>
      </c>
      <c r="B431" t="s">
        <v>2302</v>
      </c>
      <c r="C431" t="s">
        <v>39</v>
      </c>
      <c r="D431" t="s">
        <v>2303</v>
      </c>
      <c r="E431" t="s">
        <v>2304</v>
      </c>
      <c r="F431" s="1">
        <v>46077.586898148147</v>
      </c>
      <c r="G431" t="s">
        <v>1249</v>
      </c>
      <c r="H431" t="s">
        <v>233</v>
      </c>
      <c r="I431" t="s">
        <v>205</v>
      </c>
      <c r="J431" t="s">
        <v>206</v>
      </c>
      <c r="K431" t="s">
        <v>207</v>
      </c>
      <c r="M431" t="s">
        <v>131</v>
      </c>
      <c r="O431" t="s">
        <v>77</v>
      </c>
      <c r="P431" t="s">
        <v>78</v>
      </c>
      <c r="Q431" t="s">
        <v>2305</v>
      </c>
      <c r="R431" t="s">
        <v>208</v>
      </c>
      <c r="S431" t="s">
        <v>209</v>
      </c>
      <c r="T431" t="s">
        <v>210</v>
      </c>
      <c r="U431" s="1">
        <v>46077.7500462963</v>
      </c>
      <c r="V431" t="s">
        <v>54</v>
      </c>
      <c r="W431" t="s">
        <v>55</v>
      </c>
      <c r="X431" t="s">
        <v>211</v>
      </c>
      <c r="Y431" t="s">
        <v>212</v>
      </c>
      <c r="Z431" t="s">
        <v>58</v>
      </c>
      <c r="AA431" t="s">
        <v>54</v>
      </c>
      <c r="AB431" t="s">
        <v>213</v>
      </c>
      <c r="AC431" t="s">
        <v>85</v>
      </c>
      <c r="AD431" t="s">
        <v>214</v>
      </c>
      <c r="AE431" t="s">
        <v>215</v>
      </c>
      <c r="AF431" t="s">
        <v>216</v>
      </c>
      <c r="AG431" t="s">
        <v>58</v>
      </c>
      <c r="AH431">
        <v>4573</v>
      </c>
      <c r="AK431">
        <v>1</v>
      </c>
      <c r="AL431" t="s">
        <v>61</v>
      </c>
      <c r="AM431" t="s">
        <v>2306</v>
      </c>
      <c r="AN431" t="s">
        <v>2307</v>
      </c>
    </row>
    <row r="432" spans="1:40" x14ac:dyDescent="0.35">
      <c r="A432" t="s">
        <v>37</v>
      </c>
      <c r="B432" t="s">
        <v>2308</v>
      </c>
      <c r="C432" t="s">
        <v>39</v>
      </c>
      <c r="D432" t="s">
        <v>555</v>
      </c>
      <c r="E432" t="s">
        <v>747</v>
      </c>
      <c r="F432" s="1">
        <v>46077.584826388891</v>
      </c>
      <c r="G432" t="s">
        <v>1264</v>
      </c>
      <c r="H432" t="s">
        <v>43</v>
      </c>
      <c r="I432" t="s">
        <v>205</v>
      </c>
      <c r="J432" t="s">
        <v>206</v>
      </c>
      <c r="K432" t="s">
        <v>207</v>
      </c>
      <c r="M432" t="s">
        <v>131</v>
      </c>
      <c r="O432" t="s">
        <v>77</v>
      </c>
      <c r="P432" t="s">
        <v>78</v>
      </c>
      <c r="Q432" t="s">
        <v>2305</v>
      </c>
      <c r="R432" t="s">
        <v>208</v>
      </c>
      <c r="S432" t="s">
        <v>209</v>
      </c>
      <c r="T432" t="s">
        <v>210</v>
      </c>
      <c r="U432" s="1">
        <v>46077.750254629631</v>
      </c>
      <c r="V432" t="s">
        <v>54</v>
      </c>
      <c r="W432" t="s">
        <v>55</v>
      </c>
      <c r="X432" t="s">
        <v>211</v>
      </c>
      <c r="Y432" t="s">
        <v>212</v>
      </c>
      <c r="Z432" t="s">
        <v>58</v>
      </c>
      <c r="AA432" t="s">
        <v>54</v>
      </c>
      <c r="AB432" t="s">
        <v>213</v>
      </c>
      <c r="AC432" t="s">
        <v>85</v>
      </c>
      <c r="AD432" t="s">
        <v>214</v>
      </c>
      <c r="AE432" t="s">
        <v>215</v>
      </c>
      <c r="AF432" t="s">
        <v>216</v>
      </c>
      <c r="AG432" t="s">
        <v>58</v>
      </c>
      <c r="AH432">
        <v>9166</v>
      </c>
      <c r="AK432">
        <v>1</v>
      </c>
      <c r="AL432" t="s">
        <v>410</v>
      </c>
      <c r="AM432" t="s">
        <v>2309</v>
      </c>
      <c r="AN432" t="s">
        <v>2310</v>
      </c>
    </row>
    <row r="433" spans="1:40" x14ac:dyDescent="0.35">
      <c r="A433" t="s">
        <v>37</v>
      </c>
      <c r="B433" t="s">
        <v>2311</v>
      </c>
      <c r="C433" t="s">
        <v>102</v>
      </c>
      <c r="D433" t="s">
        <v>799</v>
      </c>
      <c r="E433" t="s">
        <v>2312</v>
      </c>
      <c r="F433" s="1">
        <v>46077.587500000001</v>
      </c>
      <c r="G433" t="s">
        <v>508</v>
      </c>
      <c r="H433" t="s">
        <v>72</v>
      </c>
      <c r="I433" t="s">
        <v>2313</v>
      </c>
      <c r="J433" t="s">
        <v>394</v>
      </c>
      <c r="K433" t="s">
        <v>75</v>
      </c>
      <c r="M433" t="s">
        <v>76</v>
      </c>
      <c r="O433" t="s">
        <v>237</v>
      </c>
      <c r="P433" t="s">
        <v>238</v>
      </c>
      <c r="Q433" t="s">
        <v>50</v>
      </c>
      <c r="R433" t="s">
        <v>79</v>
      </c>
      <c r="S433" t="s">
        <v>955</v>
      </c>
      <c r="T433" t="s">
        <v>2314</v>
      </c>
      <c r="U433" s="1">
        <v>46077.591423611113</v>
      </c>
      <c r="V433" t="s">
        <v>54</v>
      </c>
      <c r="W433" t="s">
        <v>55</v>
      </c>
      <c r="X433" t="s">
        <v>82</v>
      </c>
      <c r="Y433" t="s">
        <v>2315</v>
      </c>
      <c r="Z433" t="s">
        <v>58</v>
      </c>
      <c r="AA433" t="s">
        <v>54</v>
      </c>
      <c r="AB433" t="s">
        <v>396</v>
      </c>
      <c r="AC433" t="s">
        <v>242</v>
      </c>
      <c r="AD433" t="s">
        <v>79</v>
      </c>
      <c r="AE433" t="s">
        <v>955</v>
      </c>
      <c r="AF433" t="s">
        <v>2314</v>
      </c>
      <c r="AG433" t="s">
        <v>58</v>
      </c>
      <c r="AH433">
        <v>12215</v>
      </c>
      <c r="AK433">
        <v>0</v>
      </c>
      <c r="AL433" t="s">
        <v>61</v>
      </c>
      <c r="AM433" t="s">
        <v>2316</v>
      </c>
      <c r="AN433" t="s">
        <v>2317</v>
      </c>
    </row>
    <row r="434" spans="1:40" x14ac:dyDescent="0.35">
      <c r="A434" t="s">
        <v>37</v>
      </c>
      <c r="B434" t="s">
        <v>2318</v>
      </c>
      <c r="C434" t="s">
        <v>39</v>
      </c>
      <c r="D434" t="s">
        <v>2319</v>
      </c>
      <c r="E434" t="s">
        <v>2320</v>
      </c>
      <c r="F434" s="1">
        <v>46077.58258101852</v>
      </c>
      <c r="G434" t="s">
        <v>432</v>
      </c>
      <c r="H434" t="s">
        <v>433</v>
      </c>
      <c r="I434" t="s">
        <v>205</v>
      </c>
      <c r="J434" t="s">
        <v>206</v>
      </c>
      <c r="K434" t="s">
        <v>207</v>
      </c>
      <c r="M434" t="s">
        <v>131</v>
      </c>
      <c r="O434" t="s">
        <v>77</v>
      </c>
      <c r="P434" t="s">
        <v>78</v>
      </c>
      <c r="Q434" t="s">
        <v>50</v>
      </c>
      <c r="R434" t="s">
        <v>208</v>
      </c>
      <c r="S434" t="s">
        <v>209</v>
      </c>
      <c r="T434" t="s">
        <v>210</v>
      </c>
      <c r="U434" s="1">
        <v>46077.750717592593</v>
      </c>
      <c r="V434" t="s">
        <v>54</v>
      </c>
      <c r="W434" t="s">
        <v>55</v>
      </c>
      <c r="X434" t="s">
        <v>211</v>
      </c>
      <c r="Y434" t="s">
        <v>212</v>
      </c>
      <c r="Z434" t="s">
        <v>58</v>
      </c>
      <c r="AA434" t="s">
        <v>54</v>
      </c>
      <c r="AB434" t="s">
        <v>213</v>
      </c>
      <c r="AC434" t="s">
        <v>85</v>
      </c>
      <c r="AD434" t="s">
        <v>214</v>
      </c>
      <c r="AE434" t="s">
        <v>215</v>
      </c>
      <c r="AF434" t="s">
        <v>216</v>
      </c>
      <c r="AG434" t="s">
        <v>58</v>
      </c>
      <c r="AH434" t="s">
        <v>2321</v>
      </c>
      <c r="AK434">
        <v>1</v>
      </c>
      <c r="AL434" t="s">
        <v>61</v>
      </c>
      <c r="AM434" t="s">
        <v>2322</v>
      </c>
      <c r="AN434" t="s">
        <v>2323</v>
      </c>
    </row>
    <row r="435" spans="1:40" x14ac:dyDescent="0.35">
      <c r="A435" t="s">
        <v>37</v>
      </c>
      <c r="B435" t="s">
        <v>2324</v>
      </c>
      <c r="C435" t="s">
        <v>39</v>
      </c>
      <c r="D435" t="s">
        <v>127</v>
      </c>
      <c r="E435" t="s">
        <v>2325</v>
      </c>
      <c r="F435" s="1">
        <v>46077.581793981481</v>
      </c>
      <c r="G435" t="s">
        <v>432</v>
      </c>
      <c r="H435" t="s">
        <v>433</v>
      </c>
      <c r="I435" t="s">
        <v>205</v>
      </c>
      <c r="J435" t="s">
        <v>206</v>
      </c>
      <c r="K435" t="s">
        <v>207</v>
      </c>
      <c r="M435" t="s">
        <v>131</v>
      </c>
      <c r="O435" t="s">
        <v>77</v>
      </c>
      <c r="P435" t="s">
        <v>78</v>
      </c>
      <c r="Q435" t="s">
        <v>50</v>
      </c>
      <c r="R435" t="s">
        <v>208</v>
      </c>
      <c r="S435" t="s">
        <v>209</v>
      </c>
      <c r="T435" t="s">
        <v>210</v>
      </c>
      <c r="U435" s="1">
        <v>46077.750937500001</v>
      </c>
      <c r="V435" t="s">
        <v>54</v>
      </c>
      <c r="W435" t="s">
        <v>55</v>
      </c>
      <c r="X435" t="s">
        <v>211</v>
      </c>
      <c r="Y435" t="s">
        <v>212</v>
      </c>
      <c r="Z435" t="s">
        <v>58</v>
      </c>
      <c r="AA435" t="s">
        <v>54</v>
      </c>
      <c r="AB435" t="s">
        <v>213</v>
      </c>
      <c r="AC435" t="s">
        <v>85</v>
      </c>
      <c r="AD435" t="s">
        <v>214</v>
      </c>
      <c r="AE435" t="s">
        <v>215</v>
      </c>
      <c r="AF435" t="s">
        <v>216</v>
      </c>
      <c r="AG435" t="s">
        <v>58</v>
      </c>
      <c r="AH435" t="s">
        <v>2326</v>
      </c>
      <c r="AK435">
        <v>1</v>
      </c>
      <c r="AL435" t="s">
        <v>61</v>
      </c>
      <c r="AM435" t="s">
        <v>2327</v>
      </c>
      <c r="AN435" t="s">
        <v>2328</v>
      </c>
    </row>
    <row r="436" spans="1:40" x14ac:dyDescent="0.35">
      <c r="A436" t="s">
        <v>37</v>
      </c>
      <c r="B436" t="s">
        <v>2329</v>
      </c>
      <c r="C436" t="s">
        <v>656</v>
      </c>
      <c r="D436" t="s">
        <v>2330</v>
      </c>
      <c r="E436" t="s">
        <v>2331</v>
      </c>
      <c r="F436" s="1">
        <v>46077.580763888887</v>
      </c>
      <c r="G436" t="s">
        <v>355</v>
      </c>
      <c r="H436" t="s">
        <v>356</v>
      </c>
      <c r="I436" t="s">
        <v>2332</v>
      </c>
      <c r="J436" t="s">
        <v>2333</v>
      </c>
      <c r="K436" t="s">
        <v>1187</v>
      </c>
      <c r="M436" t="s">
        <v>76</v>
      </c>
      <c r="O436" t="s">
        <v>77</v>
      </c>
      <c r="P436" t="s">
        <v>78</v>
      </c>
      <c r="Q436" t="s">
        <v>50</v>
      </c>
      <c r="R436" t="s">
        <v>305</v>
      </c>
      <c r="S436" t="s">
        <v>306</v>
      </c>
      <c r="T436" t="s">
        <v>307</v>
      </c>
      <c r="U436" s="1">
        <v>46078.91333333333</v>
      </c>
      <c r="V436" t="s">
        <v>54</v>
      </c>
      <c r="W436" t="s">
        <v>55</v>
      </c>
      <c r="X436" t="s">
        <v>211</v>
      </c>
      <c r="Y436" t="s">
        <v>2334</v>
      </c>
      <c r="Z436" t="s">
        <v>58</v>
      </c>
      <c r="AA436" t="s">
        <v>54</v>
      </c>
      <c r="AB436" t="s">
        <v>213</v>
      </c>
      <c r="AC436" t="s">
        <v>85</v>
      </c>
      <c r="AD436" t="s">
        <v>662</v>
      </c>
      <c r="AE436" t="s">
        <v>2335</v>
      </c>
      <c r="AF436" t="s">
        <v>2336</v>
      </c>
      <c r="AG436" t="s">
        <v>58</v>
      </c>
      <c r="AH436" t="s">
        <v>2337</v>
      </c>
      <c r="AK436">
        <v>2</v>
      </c>
      <c r="AL436" t="s">
        <v>61</v>
      </c>
      <c r="AM436" t="s">
        <v>2338</v>
      </c>
      <c r="AN436" t="s">
        <v>2339</v>
      </c>
    </row>
    <row r="437" spans="1:40" x14ac:dyDescent="0.35">
      <c r="A437" t="s">
        <v>37</v>
      </c>
      <c r="B437" t="s">
        <v>2340</v>
      </c>
      <c r="C437" t="s">
        <v>39</v>
      </c>
      <c r="D437" t="s">
        <v>2341</v>
      </c>
      <c r="E437" t="s">
        <v>2342</v>
      </c>
      <c r="F437" s="1">
        <v>46077.580034722225</v>
      </c>
      <c r="G437" t="s">
        <v>105</v>
      </c>
      <c r="H437" t="s">
        <v>106</v>
      </c>
      <c r="I437" t="s">
        <v>2343</v>
      </c>
      <c r="J437" t="s">
        <v>2344</v>
      </c>
      <c r="K437" t="s">
        <v>2345</v>
      </c>
      <c r="M437" t="s">
        <v>76</v>
      </c>
      <c r="O437" t="s">
        <v>237</v>
      </c>
      <c r="P437" t="s">
        <v>238</v>
      </c>
      <c r="Q437" t="s">
        <v>50</v>
      </c>
      <c r="R437" t="s">
        <v>111</v>
      </c>
      <c r="S437" t="s">
        <v>2346</v>
      </c>
      <c r="T437" t="s">
        <v>2347</v>
      </c>
      <c r="U437" s="1">
        <v>46077.580277777779</v>
      </c>
      <c r="V437" t="s">
        <v>54</v>
      </c>
      <c r="W437" t="s">
        <v>55</v>
      </c>
      <c r="X437" t="s">
        <v>134</v>
      </c>
      <c r="Y437" t="s">
        <v>2348</v>
      </c>
      <c r="Z437" t="s">
        <v>58</v>
      </c>
      <c r="AA437" t="s">
        <v>54</v>
      </c>
      <c r="AB437" t="s">
        <v>2349</v>
      </c>
      <c r="AC437" t="s">
        <v>242</v>
      </c>
      <c r="AD437" t="s">
        <v>2350</v>
      </c>
      <c r="AE437" t="s">
        <v>2351</v>
      </c>
      <c r="AF437" t="s">
        <v>2352</v>
      </c>
      <c r="AG437" t="s">
        <v>58</v>
      </c>
      <c r="AH437">
        <v>15148</v>
      </c>
      <c r="AK437">
        <v>0</v>
      </c>
      <c r="AL437" t="s">
        <v>61</v>
      </c>
      <c r="AM437" t="s">
        <v>2353</v>
      </c>
      <c r="AN437" t="s">
        <v>2354</v>
      </c>
    </row>
    <row r="438" spans="1:40" x14ac:dyDescent="0.35">
      <c r="A438" t="s">
        <v>37</v>
      </c>
      <c r="B438" t="s">
        <v>2355</v>
      </c>
      <c r="C438" t="s">
        <v>656</v>
      </c>
      <c r="D438" t="s">
        <v>2330</v>
      </c>
      <c r="E438" t="s">
        <v>2331</v>
      </c>
      <c r="F438" s="1">
        <v>46077.578587962962</v>
      </c>
      <c r="G438" t="s">
        <v>355</v>
      </c>
      <c r="H438" t="s">
        <v>356</v>
      </c>
      <c r="I438" t="s">
        <v>2356</v>
      </c>
      <c r="J438" t="s">
        <v>2357</v>
      </c>
      <c r="K438" t="s">
        <v>2358</v>
      </c>
      <c r="M438" t="s">
        <v>76</v>
      </c>
      <c r="O438" t="s">
        <v>77</v>
      </c>
      <c r="P438" t="s">
        <v>78</v>
      </c>
      <c r="Q438" t="s">
        <v>50</v>
      </c>
      <c r="R438" t="s">
        <v>305</v>
      </c>
      <c r="S438" t="s">
        <v>306</v>
      </c>
      <c r="T438" t="s">
        <v>307</v>
      </c>
      <c r="U438" s="1">
        <v>46078.394166666665</v>
      </c>
      <c r="V438" t="s">
        <v>54</v>
      </c>
      <c r="W438" t="s">
        <v>55</v>
      </c>
      <c r="X438" t="s">
        <v>211</v>
      </c>
      <c r="Y438" t="s">
        <v>2359</v>
      </c>
      <c r="Z438" t="s">
        <v>58</v>
      </c>
      <c r="AA438" t="s">
        <v>54</v>
      </c>
      <c r="AB438" t="s">
        <v>213</v>
      </c>
      <c r="AC438" t="s">
        <v>85</v>
      </c>
      <c r="AD438" t="s">
        <v>662</v>
      </c>
      <c r="AE438" t="s">
        <v>2335</v>
      </c>
      <c r="AF438" t="s">
        <v>2336</v>
      </c>
      <c r="AG438" t="s">
        <v>58</v>
      </c>
      <c r="AH438" t="s">
        <v>2337</v>
      </c>
      <c r="AK438">
        <v>2</v>
      </c>
      <c r="AL438" t="s">
        <v>61</v>
      </c>
      <c r="AM438" t="s">
        <v>2338</v>
      </c>
      <c r="AN438" t="s">
        <v>2339</v>
      </c>
    </row>
    <row r="439" spans="1:40" x14ac:dyDescent="0.35">
      <c r="A439" t="s">
        <v>37</v>
      </c>
      <c r="B439" t="s">
        <v>2360</v>
      </c>
      <c r="C439" t="s">
        <v>39</v>
      </c>
      <c r="D439" t="s">
        <v>2361</v>
      </c>
      <c r="E439" t="s">
        <v>1146</v>
      </c>
      <c r="F439" s="1">
        <v>46077.578819444447</v>
      </c>
      <c r="G439" t="s">
        <v>105</v>
      </c>
      <c r="H439" t="s">
        <v>106</v>
      </c>
      <c r="I439" t="s">
        <v>2362</v>
      </c>
      <c r="J439" t="s">
        <v>2344</v>
      </c>
      <c r="K439" t="s">
        <v>2345</v>
      </c>
      <c r="M439" t="s">
        <v>76</v>
      </c>
      <c r="O439" t="s">
        <v>237</v>
      </c>
      <c r="P439" t="s">
        <v>238</v>
      </c>
      <c r="Q439" t="s">
        <v>50</v>
      </c>
      <c r="R439" t="s">
        <v>111</v>
      </c>
      <c r="S439" t="s">
        <v>2346</v>
      </c>
      <c r="T439" t="s">
        <v>2363</v>
      </c>
      <c r="U439" s="1">
        <v>46077.579085648147</v>
      </c>
      <c r="V439" t="s">
        <v>54</v>
      </c>
      <c r="W439" t="s">
        <v>55</v>
      </c>
      <c r="X439" t="s">
        <v>134</v>
      </c>
      <c r="Y439" t="s">
        <v>2364</v>
      </c>
      <c r="Z439" t="s">
        <v>58</v>
      </c>
      <c r="AA439" t="s">
        <v>54</v>
      </c>
      <c r="AB439" t="s">
        <v>2349</v>
      </c>
      <c r="AC439" t="s">
        <v>242</v>
      </c>
      <c r="AD439" t="s">
        <v>2350</v>
      </c>
      <c r="AE439" t="s">
        <v>2351</v>
      </c>
      <c r="AF439" t="s">
        <v>2352</v>
      </c>
      <c r="AG439" t="s">
        <v>58</v>
      </c>
      <c r="AH439">
        <v>15102</v>
      </c>
      <c r="AK439">
        <v>0</v>
      </c>
      <c r="AL439" t="s">
        <v>61</v>
      </c>
      <c r="AM439" t="s">
        <v>2365</v>
      </c>
      <c r="AN439" t="s">
        <v>2366</v>
      </c>
    </row>
    <row r="440" spans="1:40" x14ac:dyDescent="0.35">
      <c r="A440" t="s">
        <v>37</v>
      </c>
      <c r="B440" t="s">
        <v>2367</v>
      </c>
      <c r="C440" t="s">
        <v>39</v>
      </c>
      <c r="D440" t="s">
        <v>40</v>
      </c>
      <c r="E440" t="s">
        <v>41</v>
      </c>
      <c r="F440" s="1">
        <v>46077.578043981484</v>
      </c>
      <c r="G440" t="s">
        <v>42</v>
      </c>
      <c r="H440" t="s">
        <v>43</v>
      </c>
      <c r="I440" t="s">
        <v>2368</v>
      </c>
      <c r="J440" t="s">
        <v>45</v>
      </c>
      <c r="K440" t="s">
        <v>46</v>
      </c>
      <c r="M440" t="s">
        <v>47</v>
      </c>
      <c r="O440" t="s">
        <v>48</v>
      </c>
      <c r="P440" t="s">
        <v>49</v>
      </c>
      <c r="Q440" t="s">
        <v>50</v>
      </c>
      <c r="R440" t="s">
        <v>51</v>
      </c>
      <c r="S440" t="s">
        <v>52</v>
      </c>
      <c r="T440" t="s">
        <v>53</v>
      </c>
      <c r="U440" s="1">
        <v>46077.579062500001</v>
      </c>
      <c r="V440" t="s">
        <v>54</v>
      </c>
      <c r="W440" t="s">
        <v>55</v>
      </c>
      <c r="X440" t="s">
        <v>56</v>
      </c>
      <c r="Y440" t="s">
        <v>57</v>
      </c>
      <c r="Z440" t="s">
        <v>58</v>
      </c>
      <c r="AA440" t="s">
        <v>54</v>
      </c>
      <c r="AB440" t="s">
        <v>59</v>
      </c>
      <c r="AC440" t="s">
        <v>60</v>
      </c>
      <c r="AD440" t="s">
        <v>51</v>
      </c>
      <c r="AE440" t="s">
        <v>52</v>
      </c>
      <c r="AF440" t="s">
        <v>53</v>
      </c>
      <c r="AG440" t="s">
        <v>58</v>
      </c>
      <c r="AK440">
        <v>0</v>
      </c>
      <c r="AL440" t="s">
        <v>61</v>
      </c>
      <c r="AM440" t="s">
        <v>59</v>
      </c>
      <c r="AN440" t="s">
        <v>62</v>
      </c>
    </row>
    <row r="441" spans="1:40" x14ac:dyDescent="0.35">
      <c r="A441" t="s">
        <v>37</v>
      </c>
      <c r="B441" t="s">
        <v>2369</v>
      </c>
      <c r="C441" t="s">
        <v>102</v>
      </c>
      <c r="D441" t="s">
        <v>799</v>
      </c>
      <c r="E441" t="s">
        <v>2312</v>
      </c>
      <c r="F441" s="1">
        <v>46077.580590277779</v>
      </c>
      <c r="G441" t="s">
        <v>508</v>
      </c>
      <c r="H441" t="s">
        <v>72</v>
      </c>
      <c r="I441" t="s">
        <v>1500</v>
      </c>
      <c r="J441" t="s">
        <v>950</v>
      </c>
      <c r="K441" t="s">
        <v>951</v>
      </c>
      <c r="M441" t="s">
        <v>76</v>
      </c>
      <c r="O441" t="s">
        <v>1501</v>
      </c>
      <c r="P441" t="s">
        <v>1502</v>
      </c>
      <c r="Q441" t="s">
        <v>50</v>
      </c>
      <c r="R441" t="s">
        <v>79</v>
      </c>
      <c r="S441" t="s">
        <v>955</v>
      </c>
      <c r="T441" t="s">
        <v>1500</v>
      </c>
      <c r="U441" s="1">
        <v>46077.586446759262</v>
      </c>
      <c r="V441" t="s">
        <v>54</v>
      </c>
      <c r="W441" t="s">
        <v>55</v>
      </c>
      <c r="X441" t="s">
        <v>82</v>
      </c>
      <c r="Y441" t="s">
        <v>2370</v>
      </c>
      <c r="Z441" t="s">
        <v>58</v>
      </c>
      <c r="AA441" t="s">
        <v>54</v>
      </c>
      <c r="AB441" t="s">
        <v>396</v>
      </c>
      <c r="AC441" t="s">
        <v>1504</v>
      </c>
      <c r="AD441" t="s">
        <v>79</v>
      </c>
      <c r="AE441" t="s">
        <v>955</v>
      </c>
      <c r="AF441" t="s">
        <v>1500</v>
      </c>
      <c r="AG441" t="s">
        <v>58</v>
      </c>
      <c r="AH441">
        <v>12215</v>
      </c>
      <c r="AK441">
        <v>1</v>
      </c>
      <c r="AL441" t="s">
        <v>61</v>
      </c>
      <c r="AM441" t="s">
        <v>2316</v>
      </c>
      <c r="AN441" t="s">
        <v>2317</v>
      </c>
    </row>
    <row r="442" spans="1:40" x14ac:dyDescent="0.35">
      <c r="A442" t="s">
        <v>37</v>
      </c>
      <c r="B442" t="s">
        <v>2371</v>
      </c>
      <c r="C442" t="s">
        <v>39</v>
      </c>
      <c r="D442" t="s">
        <v>277</v>
      </c>
      <c r="E442" t="s">
        <v>2372</v>
      </c>
      <c r="F442" s="1">
        <v>46077.577974537038</v>
      </c>
      <c r="G442" t="s">
        <v>105</v>
      </c>
      <c r="H442" t="s">
        <v>106</v>
      </c>
      <c r="I442" t="s">
        <v>2373</v>
      </c>
      <c r="J442" t="s">
        <v>2344</v>
      </c>
      <c r="K442" t="s">
        <v>2345</v>
      </c>
      <c r="M442" t="s">
        <v>76</v>
      </c>
      <c r="O442" t="s">
        <v>237</v>
      </c>
      <c r="P442" t="s">
        <v>238</v>
      </c>
      <c r="Q442" t="s">
        <v>110</v>
      </c>
      <c r="R442" t="s">
        <v>111</v>
      </c>
      <c r="S442" t="s">
        <v>2346</v>
      </c>
      <c r="T442" t="s">
        <v>2363</v>
      </c>
      <c r="U442" s="1">
        <v>46077.578333333331</v>
      </c>
      <c r="V442" t="s">
        <v>54</v>
      </c>
      <c r="W442" t="s">
        <v>55</v>
      </c>
      <c r="X442" t="s">
        <v>134</v>
      </c>
      <c r="Y442" t="s">
        <v>2374</v>
      </c>
      <c r="Z442" t="s">
        <v>58</v>
      </c>
      <c r="AA442" t="s">
        <v>54</v>
      </c>
      <c r="AB442" t="s">
        <v>2349</v>
      </c>
      <c r="AC442" t="s">
        <v>242</v>
      </c>
      <c r="AD442" t="s">
        <v>2350</v>
      </c>
      <c r="AE442" t="s">
        <v>2351</v>
      </c>
      <c r="AF442" t="s">
        <v>2352</v>
      </c>
      <c r="AG442" t="s">
        <v>58</v>
      </c>
      <c r="AH442">
        <v>10352</v>
      </c>
      <c r="AK442">
        <v>0</v>
      </c>
      <c r="AL442" t="s">
        <v>61</v>
      </c>
      <c r="AM442" t="s">
        <v>2375</v>
      </c>
      <c r="AN442" t="s">
        <v>2376</v>
      </c>
    </row>
    <row r="443" spans="1:40" x14ac:dyDescent="0.35">
      <c r="A443" t="s">
        <v>37</v>
      </c>
      <c r="B443" t="s">
        <v>2377</v>
      </c>
      <c r="C443" t="s">
        <v>39</v>
      </c>
      <c r="D443" t="s">
        <v>1216</v>
      </c>
      <c r="E443" t="s">
        <v>2378</v>
      </c>
      <c r="F443" s="1">
        <v>46077.575312499997</v>
      </c>
      <c r="G443" t="s">
        <v>432</v>
      </c>
      <c r="H443" t="s">
        <v>433</v>
      </c>
      <c r="I443" t="s">
        <v>205</v>
      </c>
      <c r="J443" t="s">
        <v>603</v>
      </c>
      <c r="K443" t="s">
        <v>207</v>
      </c>
      <c r="M443" t="s">
        <v>131</v>
      </c>
      <c r="O443" t="s">
        <v>77</v>
      </c>
      <c r="P443" t="s">
        <v>78</v>
      </c>
      <c r="Q443" t="s">
        <v>2379</v>
      </c>
      <c r="R443" t="s">
        <v>208</v>
      </c>
      <c r="S443" t="s">
        <v>209</v>
      </c>
      <c r="T443" t="s">
        <v>210</v>
      </c>
      <c r="U443" s="1">
        <v>46077.681284722225</v>
      </c>
      <c r="V443" t="s">
        <v>54</v>
      </c>
      <c r="W443" t="s">
        <v>55</v>
      </c>
      <c r="X443" t="s">
        <v>211</v>
      </c>
      <c r="Y443" t="s">
        <v>604</v>
      </c>
      <c r="Z443" t="s">
        <v>58</v>
      </c>
      <c r="AA443" t="s">
        <v>54</v>
      </c>
      <c r="AB443" t="s">
        <v>213</v>
      </c>
      <c r="AC443" t="s">
        <v>85</v>
      </c>
      <c r="AD443" t="s">
        <v>214</v>
      </c>
      <c r="AE443" t="s">
        <v>215</v>
      </c>
      <c r="AF443" t="s">
        <v>216</v>
      </c>
      <c r="AG443" t="s">
        <v>58</v>
      </c>
      <c r="AH443">
        <v>904</v>
      </c>
      <c r="AK443">
        <v>1</v>
      </c>
      <c r="AL443" t="s">
        <v>61</v>
      </c>
      <c r="AM443" t="s">
        <v>2380</v>
      </c>
      <c r="AN443" t="s">
        <v>2381</v>
      </c>
    </row>
    <row r="444" spans="1:40" x14ac:dyDescent="0.35">
      <c r="A444" t="s">
        <v>37</v>
      </c>
      <c r="B444" t="s">
        <v>2382</v>
      </c>
      <c r="C444" t="s">
        <v>352</v>
      </c>
      <c r="D444" t="s">
        <v>422</v>
      </c>
      <c r="E444" t="s">
        <v>423</v>
      </c>
      <c r="F444" s="1">
        <v>46077.574884259258</v>
      </c>
      <c r="G444" t="s">
        <v>355</v>
      </c>
      <c r="H444" t="s">
        <v>356</v>
      </c>
      <c r="I444" t="s">
        <v>2383</v>
      </c>
      <c r="J444" t="s">
        <v>358</v>
      </c>
      <c r="K444" t="s">
        <v>359</v>
      </c>
      <c r="M444" t="s">
        <v>131</v>
      </c>
      <c r="O444" t="s">
        <v>77</v>
      </c>
      <c r="P444" t="s">
        <v>78</v>
      </c>
      <c r="Q444" t="s">
        <v>50</v>
      </c>
      <c r="R444" t="s">
        <v>51</v>
      </c>
      <c r="S444" t="s">
        <v>52</v>
      </c>
      <c r="T444" t="s">
        <v>53</v>
      </c>
      <c r="U444" s="1">
        <v>46078.427372685182</v>
      </c>
      <c r="V444" t="s">
        <v>54</v>
      </c>
      <c r="W444" t="s">
        <v>55</v>
      </c>
      <c r="X444" t="s">
        <v>134</v>
      </c>
      <c r="Y444" t="s">
        <v>2384</v>
      </c>
      <c r="Z444" t="s">
        <v>58</v>
      </c>
      <c r="AA444" t="s">
        <v>54</v>
      </c>
      <c r="AB444" t="s">
        <v>361</v>
      </c>
      <c r="AC444" t="s">
        <v>85</v>
      </c>
      <c r="AD444" t="s">
        <v>52</v>
      </c>
      <c r="AE444" t="s">
        <v>362</v>
      </c>
      <c r="AF444" t="s">
        <v>363</v>
      </c>
      <c r="AG444" t="s">
        <v>58</v>
      </c>
      <c r="AH444" t="s">
        <v>426</v>
      </c>
      <c r="AK444">
        <v>1</v>
      </c>
      <c r="AL444" t="s">
        <v>61</v>
      </c>
      <c r="AM444" t="s">
        <v>427</v>
      </c>
      <c r="AN444" t="s">
        <v>428</v>
      </c>
    </row>
    <row r="445" spans="1:40" x14ac:dyDescent="0.35">
      <c r="A445" t="s">
        <v>37</v>
      </c>
      <c r="B445" t="s">
        <v>2385</v>
      </c>
      <c r="C445" t="s">
        <v>39</v>
      </c>
      <c r="D445" t="s">
        <v>2386</v>
      </c>
      <c r="E445" t="s">
        <v>1316</v>
      </c>
      <c r="F445" s="1">
        <v>46077.574224537035</v>
      </c>
      <c r="G445" t="s">
        <v>355</v>
      </c>
      <c r="H445" t="s">
        <v>356</v>
      </c>
      <c r="I445" t="s">
        <v>815</v>
      </c>
      <c r="J445" t="s">
        <v>816</v>
      </c>
      <c r="K445" t="s">
        <v>817</v>
      </c>
      <c r="M445" t="s">
        <v>76</v>
      </c>
      <c r="O445" t="s">
        <v>77</v>
      </c>
      <c r="P445" t="s">
        <v>78</v>
      </c>
      <c r="Q445" t="s">
        <v>50</v>
      </c>
      <c r="R445" t="s">
        <v>51</v>
      </c>
      <c r="S445" t="s">
        <v>819</v>
      </c>
      <c r="T445" t="s">
        <v>817</v>
      </c>
      <c r="U445" s="1">
        <v>46077.612951388888</v>
      </c>
      <c r="V445" t="s">
        <v>54</v>
      </c>
      <c r="W445" t="s">
        <v>55</v>
      </c>
      <c r="X445" t="s">
        <v>134</v>
      </c>
      <c r="Y445" t="s">
        <v>2387</v>
      </c>
      <c r="Z445" t="s">
        <v>58</v>
      </c>
      <c r="AA445" t="s">
        <v>54</v>
      </c>
      <c r="AB445" t="s">
        <v>408</v>
      </c>
      <c r="AC445" t="s">
        <v>85</v>
      </c>
      <c r="AD445" t="s">
        <v>51</v>
      </c>
      <c r="AE445" t="s">
        <v>819</v>
      </c>
      <c r="AF445" t="s">
        <v>817</v>
      </c>
      <c r="AG445" t="s">
        <v>58</v>
      </c>
      <c r="AK445">
        <v>1</v>
      </c>
      <c r="AL445" t="s">
        <v>61</v>
      </c>
      <c r="AM445" t="s">
        <v>2388</v>
      </c>
      <c r="AN445" t="s">
        <v>2389</v>
      </c>
    </row>
    <row r="446" spans="1:40" x14ac:dyDescent="0.35">
      <c r="A446" t="s">
        <v>37</v>
      </c>
      <c r="B446" t="s">
        <v>2390</v>
      </c>
      <c r="C446" t="s">
        <v>39</v>
      </c>
      <c r="D446" t="s">
        <v>2391</v>
      </c>
      <c r="E446" t="s">
        <v>2038</v>
      </c>
      <c r="F446" s="1">
        <v>46077.573796296296</v>
      </c>
      <c r="G446" t="s">
        <v>446</v>
      </c>
      <c r="H446" t="s">
        <v>447</v>
      </c>
      <c r="I446" t="s">
        <v>205</v>
      </c>
      <c r="J446" t="s">
        <v>206</v>
      </c>
      <c r="K446" t="s">
        <v>207</v>
      </c>
      <c r="M446" t="s">
        <v>131</v>
      </c>
      <c r="O446" t="s">
        <v>77</v>
      </c>
      <c r="P446" t="s">
        <v>78</v>
      </c>
      <c r="R446" t="s">
        <v>208</v>
      </c>
      <c r="S446" t="s">
        <v>209</v>
      </c>
      <c r="T446" t="s">
        <v>210</v>
      </c>
      <c r="U446" s="1">
        <v>46077.751342592594</v>
      </c>
      <c r="V446" t="s">
        <v>54</v>
      </c>
      <c r="W446" t="s">
        <v>55</v>
      </c>
      <c r="X446" t="s">
        <v>211</v>
      </c>
      <c r="Y446" t="s">
        <v>212</v>
      </c>
      <c r="Z446" t="s">
        <v>58</v>
      </c>
      <c r="AA446" t="s">
        <v>54</v>
      </c>
      <c r="AB446" t="s">
        <v>213</v>
      </c>
      <c r="AC446" t="s">
        <v>85</v>
      </c>
      <c r="AD446" t="s">
        <v>214</v>
      </c>
      <c r="AE446" t="s">
        <v>215</v>
      </c>
      <c r="AF446" t="s">
        <v>216</v>
      </c>
      <c r="AG446" t="s">
        <v>58</v>
      </c>
      <c r="AH446" t="s">
        <v>2392</v>
      </c>
      <c r="AK446">
        <v>1</v>
      </c>
      <c r="AL446" t="s">
        <v>61</v>
      </c>
      <c r="AM446" t="s">
        <v>2393</v>
      </c>
      <c r="AN446" t="s">
        <v>2394</v>
      </c>
    </row>
    <row r="447" spans="1:40" x14ac:dyDescent="0.35">
      <c r="A447" t="s">
        <v>37</v>
      </c>
      <c r="B447" t="s">
        <v>2395</v>
      </c>
      <c r="C447" t="s">
        <v>39</v>
      </c>
      <c r="D447" t="s">
        <v>2396</v>
      </c>
      <c r="E447" t="s">
        <v>1248</v>
      </c>
      <c r="F447" s="1">
        <v>46077.572835648149</v>
      </c>
      <c r="G447" t="s">
        <v>261</v>
      </c>
      <c r="H447" t="s">
        <v>72</v>
      </c>
      <c r="I447" t="s">
        <v>205</v>
      </c>
      <c r="J447" t="s">
        <v>206</v>
      </c>
      <c r="K447" t="s">
        <v>207</v>
      </c>
      <c r="M447" t="s">
        <v>131</v>
      </c>
      <c r="O447" t="s">
        <v>77</v>
      </c>
      <c r="P447" t="s">
        <v>78</v>
      </c>
      <c r="Q447" t="s">
        <v>50</v>
      </c>
      <c r="R447" t="s">
        <v>208</v>
      </c>
      <c r="S447" t="s">
        <v>209</v>
      </c>
      <c r="T447" t="s">
        <v>210</v>
      </c>
      <c r="U447" s="1">
        <v>46077.751562500001</v>
      </c>
      <c r="V447" t="s">
        <v>54</v>
      </c>
      <c r="W447" t="s">
        <v>55</v>
      </c>
      <c r="X447" t="s">
        <v>211</v>
      </c>
      <c r="Y447" t="s">
        <v>212</v>
      </c>
      <c r="Z447" t="s">
        <v>58</v>
      </c>
      <c r="AA447" t="s">
        <v>54</v>
      </c>
      <c r="AB447" t="s">
        <v>213</v>
      </c>
      <c r="AC447" t="s">
        <v>85</v>
      </c>
      <c r="AD447" t="s">
        <v>214</v>
      </c>
      <c r="AE447" t="s">
        <v>215</v>
      </c>
      <c r="AF447" t="s">
        <v>216</v>
      </c>
      <c r="AG447" t="s">
        <v>58</v>
      </c>
      <c r="AH447">
        <v>15089</v>
      </c>
      <c r="AK447">
        <v>1</v>
      </c>
      <c r="AL447" t="s">
        <v>61</v>
      </c>
      <c r="AM447" t="s">
        <v>2397</v>
      </c>
      <c r="AN447" t="s">
        <v>2398</v>
      </c>
    </row>
    <row r="448" spans="1:40" x14ac:dyDescent="0.35">
      <c r="A448" t="s">
        <v>37</v>
      </c>
      <c r="B448" t="s">
        <v>2399</v>
      </c>
      <c r="C448" t="s">
        <v>39</v>
      </c>
      <c r="D448" t="s">
        <v>191</v>
      </c>
      <c r="E448" t="s">
        <v>192</v>
      </c>
      <c r="F448" s="1">
        <v>46077.573310185187</v>
      </c>
      <c r="G448" t="s">
        <v>71</v>
      </c>
      <c r="H448" t="s">
        <v>72</v>
      </c>
      <c r="I448" t="s">
        <v>2400</v>
      </c>
      <c r="J448" t="s">
        <v>194</v>
      </c>
      <c r="K448" t="s">
        <v>130</v>
      </c>
      <c r="M448" t="s">
        <v>131</v>
      </c>
      <c r="O448" t="s">
        <v>77</v>
      </c>
      <c r="P448" t="s">
        <v>78</v>
      </c>
      <c r="Q448" t="s">
        <v>50</v>
      </c>
      <c r="R448" t="s">
        <v>51</v>
      </c>
      <c r="S448" t="s">
        <v>52</v>
      </c>
      <c r="T448" t="s">
        <v>195</v>
      </c>
      <c r="U448" s="1">
        <v>46077.793310185189</v>
      </c>
      <c r="V448" t="s">
        <v>54</v>
      </c>
      <c r="W448" t="s">
        <v>55</v>
      </c>
      <c r="X448" t="s">
        <v>196</v>
      </c>
      <c r="Y448" t="s">
        <v>2401</v>
      </c>
      <c r="Z448" t="s">
        <v>58</v>
      </c>
      <c r="AA448" t="s">
        <v>54</v>
      </c>
      <c r="AB448" t="s">
        <v>198</v>
      </c>
      <c r="AC448" t="s">
        <v>85</v>
      </c>
      <c r="AD448" t="s">
        <v>51</v>
      </c>
      <c r="AE448" t="s">
        <v>52</v>
      </c>
      <c r="AF448" t="s">
        <v>195</v>
      </c>
      <c r="AG448" t="s">
        <v>58</v>
      </c>
      <c r="AH448" t="s">
        <v>199</v>
      </c>
      <c r="AK448">
        <v>1</v>
      </c>
      <c r="AL448" t="s">
        <v>61</v>
      </c>
      <c r="AM448" t="s">
        <v>198</v>
      </c>
      <c r="AN448" t="s">
        <v>200</v>
      </c>
    </row>
    <row r="449" spans="1:40" x14ac:dyDescent="0.35">
      <c r="A449" t="s">
        <v>37</v>
      </c>
      <c r="B449" t="s">
        <v>2402</v>
      </c>
      <c r="C449" t="s">
        <v>656</v>
      </c>
      <c r="D449" t="s">
        <v>2403</v>
      </c>
      <c r="E449" t="s">
        <v>2404</v>
      </c>
      <c r="F449" s="1">
        <v>46077.571666666663</v>
      </c>
      <c r="G449" t="s">
        <v>71</v>
      </c>
      <c r="H449" t="s">
        <v>72</v>
      </c>
      <c r="I449" t="s">
        <v>2405</v>
      </c>
      <c r="J449" t="s">
        <v>2406</v>
      </c>
      <c r="K449" t="s">
        <v>1187</v>
      </c>
      <c r="M449" t="s">
        <v>131</v>
      </c>
      <c r="O449" t="s">
        <v>77</v>
      </c>
      <c r="P449" t="s">
        <v>78</v>
      </c>
      <c r="Q449" t="s">
        <v>818</v>
      </c>
      <c r="R449" t="s">
        <v>662</v>
      </c>
      <c r="S449" t="s">
        <v>2407</v>
      </c>
      <c r="T449" t="s">
        <v>2408</v>
      </c>
      <c r="U449" s="1">
        <v>46077.64980324074</v>
      </c>
      <c r="V449" t="s">
        <v>54</v>
      </c>
      <c r="W449" t="s">
        <v>55</v>
      </c>
      <c r="X449" t="s">
        <v>134</v>
      </c>
      <c r="Y449" t="s">
        <v>2409</v>
      </c>
      <c r="Z449" t="s">
        <v>58</v>
      </c>
      <c r="AA449" t="s">
        <v>54</v>
      </c>
      <c r="AB449" t="s">
        <v>408</v>
      </c>
      <c r="AC449" t="s">
        <v>85</v>
      </c>
      <c r="AD449" t="s">
        <v>1189</v>
      </c>
      <c r="AE449" t="s">
        <v>2407</v>
      </c>
      <c r="AF449" t="s">
        <v>2408</v>
      </c>
      <c r="AG449" t="s">
        <v>58</v>
      </c>
      <c r="AH449" t="s">
        <v>2410</v>
      </c>
      <c r="AK449">
        <v>1</v>
      </c>
      <c r="AL449" t="s">
        <v>61</v>
      </c>
      <c r="AM449" t="s">
        <v>2411</v>
      </c>
      <c r="AN449" t="s">
        <v>2412</v>
      </c>
    </row>
    <row r="450" spans="1:40" x14ac:dyDescent="0.35">
      <c r="A450" t="s">
        <v>37</v>
      </c>
      <c r="B450" t="s">
        <v>2413</v>
      </c>
      <c r="C450" t="s">
        <v>102</v>
      </c>
      <c r="D450" t="s">
        <v>191</v>
      </c>
      <c r="E450" t="s">
        <v>192</v>
      </c>
      <c r="F450" s="1">
        <v>46077.570069444446</v>
      </c>
      <c r="G450" t="s">
        <v>71</v>
      </c>
      <c r="H450" t="s">
        <v>72</v>
      </c>
      <c r="I450" t="s">
        <v>2414</v>
      </c>
      <c r="J450" t="s">
        <v>194</v>
      </c>
      <c r="K450" t="s">
        <v>565</v>
      </c>
      <c r="M450" t="s">
        <v>76</v>
      </c>
      <c r="O450" t="s">
        <v>77</v>
      </c>
      <c r="P450" t="s">
        <v>78</v>
      </c>
      <c r="Q450" t="s">
        <v>50</v>
      </c>
      <c r="R450" t="s">
        <v>51</v>
      </c>
      <c r="S450" t="s">
        <v>52</v>
      </c>
      <c r="T450" t="s">
        <v>195</v>
      </c>
      <c r="U450" s="1">
        <v>46077.639166666668</v>
      </c>
      <c r="V450" t="s">
        <v>54</v>
      </c>
      <c r="W450" t="s">
        <v>55</v>
      </c>
      <c r="X450" t="s">
        <v>196</v>
      </c>
      <c r="Y450" t="s">
        <v>2415</v>
      </c>
      <c r="Z450" t="s">
        <v>58</v>
      </c>
      <c r="AA450" t="s">
        <v>54</v>
      </c>
      <c r="AB450" t="s">
        <v>198</v>
      </c>
      <c r="AC450" t="s">
        <v>85</v>
      </c>
      <c r="AD450" t="s">
        <v>51</v>
      </c>
      <c r="AE450" t="s">
        <v>52</v>
      </c>
      <c r="AF450" t="s">
        <v>195</v>
      </c>
      <c r="AG450" t="s">
        <v>58</v>
      </c>
      <c r="AH450" t="s">
        <v>199</v>
      </c>
      <c r="AK450">
        <v>2</v>
      </c>
      <c r="AL450" t="s">
        <v>61</v>
      </c>
      <c r="AM450" t="s">
        <v>198</v>
      </c>
      <c r="AN450" t="s">
        <v>200</v>
      </c>
    </row>
    <row r="451" spans="1:40" x14ac:dyDescent="0.35">
      <c r="A451" t="s">
        <v>37</v>
      </c>
      <c r="B451" t="s">
        <v>2416</v>
      </c>
      <c r="C451" t="s">
        <v>39</v>
      </c>
      <c r="D451" t="s">
        <v>40</v>
      </c>
      <c r="E451" t="s">
        <v>41</v>
      </c>
      <c r="F451" s="1">
        <v>46077.56559027778</v>
      </c>
      <c r="G451" t="s">
        <v>42</v>
      </c>
      <c r="H451" t="s">
        <v>43</v>
      </c>
      <c r="I451" t="s">
        <v>2417</v>
      </c>
      <c r="J451" t="s">
        <v>45</v>
      </c>
      <c r="K451" t="s">
        <v>46</v>
      </c>
      <c r="M451" t="s">
        <v>47</v>
      </c>
      <c r="O451" t="s">
        <v>48</v>
      </c>
      <c r="P451" t="s">
        <v>49</v>
      </c>
      <c r="Q451" t="s">
        <v>50</v>
      </c>
      <c r="R451" t="s">
        <v>51</v>
      </c>
      <c r="S451" t="s">
        <v>52</v>
      </c>
      <c r="T451" t="s">
        <v>53</v>
      </c>
      <c r="U451" s="1">
        <v>46077.56690972222</v>
      </c>
      <c r="V451" t="s">
        <v>54</v>
      </c>
      <c r="W451" t="s">
        <v>55</v>
      </c>
      <c r="X451" t="s">
        <v>56</v>
      </c>
      <c r="Y451" t="s">
        <v>57</v>
      </c>
      <c r="Z451" t="s">
        <v>58</v>
      </c>
      <c r="AA451" t="s">
        <v>54</v>
      </c>
      <c r="AB451" t="s">
        <v>59</v>
      </c>
      <c r="AC451" t="s">
        <v>60</v>
      </c>
      <c r="AD451" t="s">
        <v>51</v>
      </c>
      <c r="AE451" t="s">
        <v>52</v>
      </c>
      <c r="AF451" t="s">
        <v>53</v>
      </c>
      <c r="AG451" t="s">
        <v>58</v>
      </c>
      <c r="AK451">
        <v>0</v>
      </c>
      <c r="AL451" t="s">
        <v>61</v>
      </c>
      <c r="AM451" t="s">
        <v>59</v>
      </c>
      <c r="AN451" t="s">
        <v>62</v>
      </c>
    </row>
    <row r="452" spans="1:40" x14ac:dyDescent="0.35">
      <c r="A452" t="s">
        <v>37</v>
      </c>
      <c r="B452" t="s">
        <v>2418</v>
      </c>
      <c r="C452" t="s">
        <v>102</v>
      </c>
      <c r="D452" t="s">
        <v>1292</v>
      </c>
      <c r="E452" t="s">
        <v>2419</v>
      </c>
      <c r="F452" s="1">
        <v>46077.56627314815</v>
      </c>
      <c r="G452" t="s">
        <v>71</v>
      </c>
      <c r="H452" t="s">
        <v>72</v>
      </c>
      <c r="I452" t="s">
        <v>2420</v>
      </c>
      <c r="J452" t="s">
        <v>2421</v>
      </c>
      <c r="K452" t="s">
        <v>2422</v>
      </c>
      <c r="M452" t="s">
        <v>131</v>
      </c>
      <c r="O452" t="s">
        <v>1501</v>
      </c>
      <c r="P452" t="s">
        <v>1502</v>
      </c>
      <c r="Q452" t="s">
        <v>2423</v>
      </c>
      <c r="R452" t="s">
        <v>51</v>
      </c>
      <c r="S452" t="s">
        <v>52</v>
      </c>
      <c r="T452" t="s">
        <v>240</v>
      </c>
      <c r="U452" s="1">
        <v>46077.603159722225</v>
      </c>
      <c r="V452" t="s">
        <v>54</v>
      </c>
      <c r="W452" t="s">
        <v>55</v>
      </c>
      <c r="X452" t="s">
        <v>134</v>
      </c>
      <c r="Y452" t="s">
        <v>2424</v>
      </c>
      <c r="Z452" t="s">
        <v>58</v>
      </c>
      <c r="AA452" t="s">
        <v>54</v>
      </c>
      <c r="AB452" t="s">
        <v>408</v>
      </c>
      <c r="AC452" t="s">
        <v>1504</v>
      </c>
      <c r="AD452" t="s">
        <v>52</v>
      </c>
      <c r="AE452" t="s">
        <v>243</v>
      </c>
      <c r="AF452" t="s">
        <v>2425</v>
      </c>
      <c r="AG452" t="s">
        <v>58</v>
      </c>
      <c r="AH452">
        <v>9562</v>
      </c>
      <c r="AK452">
        <v>1</v>
      </c>
      <c r="AL452" t="s">
        <v>61</v>
      </c>
      <c r="AM452" t="s">
        <v>2426</v>
      </c>
      <c r="AN452" t="s">
        <v>2427</v>
      </c>
    </row>
    <row r="453" spans="1:40" x14ac:dyDescent="0.35">
      <c r="A453" t="s">
        <v>37</v>
      </c>
      <c r="B453" t="s">
        <v>2428</v>
      </c>
      <c r="C453" t="s">
        <v>39</v>
      </c>
      <c r="D453" t="s">
        <v>2429</v>
      </c>
      <c r="E453" t="s">
        <v>2430</v>
      </c>
      <c r="F453" s="1">
        <v>46077.564780092594</v>
      </c>
      <c r="G453" t="s">
        <v>631</v>
      </c>
      <c r="H453" t="s">
        <v>447</v>
      </c>
      <c r="I453" t="s">
        <v>205</v>
      </c>
      <c r="J453" t="s">
        <v>741</v>
      </c>
      <c r="K453" t="s">
        <v>207</v>
      </c>
      <c r="M453" t="s">
        <v>131</v>
      </c>
      <c r="O453" t="s">
        <v>77</v>
      </c>
      <c r="P453" t="s">
        <v>78</v>
      </c>
      <c r="Q453" t="s">
        <v>818</v>
      </c>
      <c r="R453" t="s">
        <v>208</v>
      </c>
      <c r="S453" t="s">
        <v>209</v>
      </c>
      <c r="T453" t="s">
        <v>210</v>
      </c>
      <c r="U453" s="1">
        <v>46077.604479166665</v>
      </c>
      <c r="V453" t="s">
        <v>54</v>
      </c>
      <c r="W453" t="s">
        <v>55</v>
      </c>
      <c r="X453" t="s">
        <v>211</v>
      </c>
      <c r="Y453" t="s">
        <v>2431</v>
      </c>
      <c r="Z453" t="s">
        <v>58</v>
      </c>
      <c r="AA453" t="s">
        <v>54</v>
      </c>
      <c r="AB453" t="s">
        <v>213</v>
      </c>
      <c r="AC453" t="s">
        <v>85</v>
      </c>
      <c r="AD453" t="s">
        <v>214</v>
      </c>
      <c r="AE453" t="s">
        <v>215</v>
      </c>
      <c r="AF453" t="s">
        <v>216</v>
      </c>
      <c r="AG453" t="s">
        <v>58</v>
      </c>
      <c r="AH453">
        <v>4926</v>
      </c>
      <c r="AK453">
        <v>1</v>
      </c>
      <c r="AL453" t="s">
        <v>61</v>
      </c>
      <c r="AM453" t="s">
        <v>2432</v>
      </c>
      <c r="AN453" t="s">
        <v>2433</v>
      </c>
    </row>
    <row r="454" spans="1:40" x14ac:dyDescent="0.35">
      <c r="A454" t="s">
        <v>37</v>
      </c>
      <c r="B454" t="s">
        <v>2434</v>
      </c>
      <c r="C454" t="s">
        <v>102</v>
      </c>
      <c r="D454" t="s">
        <v>799</v>
      </c>
      <c r="E454" t="s">
        <v>2435</v>
      </c>
      <c r="F454" s="1">
        <v>46077.561712962961</v>
      </c>
      <c r="G454" t="s">
        <v>540</v>
      </c>
      <c r="H454" t="s">
        <v>447</v>
      </c>
      <c r="I454" t="s">
        <v>2436</v>
      </c>
      <c r="J454" t="s">
        <v>235</v>
      </c>
      <c r="K454" t="s">
        <v>236</v>
      </c>
      <c r="M454" t="s">
        <v>76</v>
      </c>
      <c r="O454" t="s">
        <v>237</v>
      </c>
      <c r="P454" t="s">
        <v>238</v>
      </c>
      <c r="Q454" t="s">
        <v>1102</v>
      </c>
      <c r="R454" t="s">
        <v>51</v>
      </c>
      <c r="S454" t="s">
        <v>52</v>
      </c>
      <c r="T454" t="s">
        <v>240</v>
      </c>
      <c r="U454" s="1">
        <v>46077.679490740738</v>
      </c>
      <c r="V454" t="s">
        <v>54</v>
      </c>
      <c r="W454" t="s">
        <v>55</v>
      </c>
      <c r="X454" t="s">
        <v>211</v>
      </c>
      <c r="Y454" t="s">
        <v>2437</v>
      </c>
      <c r="Z454" t="s">
        <v>58</v>
      </c>
      <c r="AA454" t="s">
        <v>54</v>
      </c>
      <c r="AB454" t="s">
        <v>213</v>
      </c>
      <c r="AC454" t="s">
        <v>242</v>
      </c>
      <c r="AD454" t="s">
        <v>52</v>
      </c>
      <c r="AE454" t="s">
        <v>559</v>
      </c>
      <c r="AF454" t="s">
        <v>2438</v>
      </c>
      <c r="AG454" t="s">
        <v>58</v>
      </c>
      <c r="AH454">
        <v>11321</v>
      </c>
      <c r="AK454">
        <v>2</v>
      </c>
      <c r="AL454" t="s">
        <v>61</v>
      </c>
      <c r="AM454" t="s">
        <v>2439</v>
      </c>
      <c r="AN454" t="s">
        <v>2440</v>
      </c>
    </row>
    <row r="455" spans="1:40" x14ac:dyDescent="0.35">
      <c r="A455" t="s">
        <v>37</v>
      </c>
      <c r="B455" t="s">
        <v>2441</v>
      </c>
      <c r="C455" t="s">
        <v>39</v>
      </c>
      <c r="D455" t="s">
        <v>2442</v>
      </c>
      <c r="E455" t="s">
        <v>2443</v>
      </c>
      <c r="F455" s="1">
        <v>46077.560486111113</v>
      </c>
      <c r="G455" t="s">
        <v>105</v>
      </c>
      <c r="H455" t="s">
        <v>106</v>
      </c>
      <c r="I455" t="s">
        <v>2444</v>
      </c>
      <c r="J455" t="s">
        <v>435</v>
      </c>
      <c r="K455" t="s">
        <v>436</v>
      </c>
      <c r="M455" t="s">
        <v>76</v>
      </c>
      <c r="O455" t="s">
        <v>77</v>
      </c>
      <c r="P455" t="s">
        <v>78</v>
      </c>
      <c r="Q455" t="s">
        <v>50</v>
      </c>
      <c r="R455" t="s">
        <v>51</v>
      </c>
      <c r="S455" t="s">
        <v>52</v>
      </c>
      <c r="T455" t="s">
        <v>240</v>
      </c>
      <c r="U455" s="1">
        <v>46078.532870370371</v>
      </c>
      <c r="V455" t="s">
        <v>54</v>
      </c>
      <c r="W455" t="s">
        <v>55</v>
      </c>
      <c r="X455" t="s">
        <v>134</v>
      </c>
      <c r="Y455" t="s">
        <v>2445</v>
      </c>
      <c r="Z455" t="s">
        <v>58</v>
      </c>
      <c r="AA455" t="s">
        <v>54</v>
      </c>
      <c r="AB455" t="s">
        <v>612</v>
      </c>
      <c r="AC455" t="s">
        <v>85</v>
      </c>
      <c r="AD455" t="s">
        <v>52</v>
      </c>
      <c r="AE455" t="s">
        <v>243</v>
      </c>
      <c r="AF455" t="s">
        <v>1470</v>
      </c>
      <c r="AG455" t="s">
        <v>58</v>
      </c>
      <c r="AH455" t="s">
        <v>2446</v>
      </c>
      <c r="AK455">
        <v>1</v>
      </c>
      <c r="AL455" t="s">
        <v>61</v>
      </c>
      <c r="AM455" t="s">
        <v>2447</v>
      </c>
      <c r="AN455" t="s">
        <v>2448</v>
      </c>
    </row>
    <row r="456" spans="1:40" x14ac:dyDescent="0.35">
      <c r="A456" t="s">
        <v>37</v>
      </c>
      <c r="B456" t="s">
        <v>2449</v>
      </c>
      <c r="C456" t="s">
        <v>102</v>
      </c>
      <c r="D456" t="s">
        <v>2450</v>
      </c>
      <c r="E456" t="s">
        <v>2451</v>
      </c>
      <c r="F456" s="1">
        <v>46077.560081018521</v>
      </c>
      <c r="G456" t="s">
        <v>540</v>
      </c>
      <c r="H456" t="s">
        <v>447</v>
      </c>
      <c r="I456" t="s">
        <v>2452</v>
      </c>
      <c r="J456" t="s">
        <v>1015</v>
      </c>
      <c r="K456" t="s">
        <v>75</v>
      </c>
      <c r="M456" t="s">
        <v>76</v>
      </c>
      <c r="O456" t="s">
        <v>237</v>
      </c>
      <c r="P456" t="s">
        <v>238</v>
      </c>
      <c r="Q456" t="s">
        <v>50</v>
      </c>
      <c r="R456" t="s">
        <v>79</v>
      </c>
      <c r="S456" t="s">
        <v>781</v>
      </c>
      <c r="T456" t="s">
        <v>2453</v>
      </c>
      <c r="U456" s="1">
        <v>46077.562696759262</v>
      </c>
      <c r="V456" t="s">
        <v>54</v>
      </c>
      <c r="W456" t="s">
        <v>55</v>
      </c>
      <c r="X456" t="s">
        <v>82</v>
      </c>
      <c r="Y456" t="e">
        <f>- Run gpupdate/force - PC restarted  - Updated Google Chrome  - has confirmed able to browse and access hence closing the ticket</f>
        <v>#NAME?</v>
      </c>
      <c r="Z456" t="s">
        <v>58</v>
      </c>
      <c r="AA456" t="s">
        <v>54</v>
      </c>
      <c r="AB456" t="s">
        <v>954</v>
      </c>
      <c r="AC456" t="s">
        <v>242</v>
      </c>
      <c r="AD456" t="s">
        <v>79</v>
      </c>
      <c r="AE456" t="s">
        <v>784</v>
      </c>
      <c r="AF456" t="s">
        <v>2454</v>
      </c>
      <c r="AG456" t="s">
        <v>58</v>
      </c>
      <c r="AH456">
        <v>15173</v>
      </c>
      <c r="AK456">
        <v>0</v>
      </c>
      <c r="AL456" t="s">
        <v>61</v>
      </c>
      <c r="AM456" t="s">
        <v>2455</v>
      </c>
      <c r="AN456" t="s">
        <v>2456</v>
      </c>
    </row>
    <row r="457" spans="1:40" x14ac:dyDescent="0.35">
      <c r="A457" t="s">
        <v>37</v>
      </c>
      <c r="B457" t="s">
        <v>2457</v>
      </c>
      <c r="C457" t="s">
        <v>102</v>
      </c>
      <c r="D457" t="s">
        <v>2458</v>
      </c>
      <c r="E457" t="s">
        <v>2459</v>
      </c>
      <c r="F457" s="1">
        <v>46077.559270833335</v>
      </c>
      <c r="G457" t="s">
        <v>446</v>
      </c>
      <c r="H457" t="s">
        <v>447</v>
      </c>
      <c r="I457" t="s">
        <v>2460</v>
      </c>
      <c r="J457" t="s">
        <v>1015</v>
      </c>
      <c r="K457" t="s">
        <v>75</v>
      </c>
      <c r="M457" t="s">
        <v>76</v>
      </c>
      <c r="O457" t="s">
        <v>237</v>
      </c>
      <c r="P457" t="s">
        <v>238</v>
      </c>
      <c r="Q457" t="s">
        <v>50</v>
      </c>
      <c r="R457" t="s">
        <v>79</v>
      </c>
      <c r="S457" t="s">
        <v>955</v>
      </c>
      <c r="T457" t="s">
        <v>2460</v>
      </c>
      <c r="U457" s="1">
        <v>46077.566064814811</v>
      </c>
      <c r="V457" t="s">
        <v>54</v>
      </c>
      <c r="W457" t="s">
        <v>55</v>
      </c>
      <c r="X457" t="s">
        <v>82</v>
      </c>
      <c r="Y457" t="s">
        <v>2461</v>
      </c>
      <c r="Z457" t="s">
        <v>58</v>
      </c>
      <c r="AA457" t="s">
        <v>54</v>
      </c>
      <c r="AB457" t="s">
        <v>954</v>
      </c>
      <c r="AC457" t="s">
        <v>242</v>
      </c>
      <c r="AD457" t="s">
        <v>79</v>
      </c>
      <c r="AE457" t="s">
        <v>955</v>
      </c>
      <c r="AF457" t="s">
        <v>2460</v>
      </c>
      <c r="AG457" t="s">
        <v>58</v>
      </c>
      <c r="AH457">
        <v>15538</v>
      </c>
      <c r="AK457">
        <v>0</v>
      </c>
      <c r="AL457" t="s">
        <v>61</v>
      </c>
      <c r="AM457" t="s">
        <v>2462</v>
      </c>
      <c r="AN457" t="s">
        <v>2463</v>
      </c>
    </row>
    <row r="458" spans="1:40" x14ac:dyDescent="0.35">
      <c r="A458" t="s">
        <v>37</v>
      </c>
      <c r="B458" t="s">
        <v>2464</v>
      </c>
      <c r="C458" t="s">
        <v>102</v>
      </c>
      <c r="D458" t="s">
        <v>181</v>
      </c>
      <c r="E458" t="s">
        <v>182</v>
      </c>
      <c r="F458" s="1">
        <v>46077.55976851852</v>
      </c>
      <c r="G458" t="s">
        <v>105</v>
      </c>
      <c r="H458" t="s">
        <v>106</v>
      </c>
      <c r="I458" t="s">
        <v>1704</v>
      </c>
      <c r="J458" t="s">
        <v>108</v>
      </c>
      <c r="K458" t="s">
        <v>571</v>
      </c>
      <c r="M458" t="s">
        <v>76</v>
      </c>
      <c r="O458" t="s">
        <v>77</v>
      </c>
      <c r="P458" t="s">
        <v>78</v>
      </c>
      <c r="Q458" t="s">
        <v>50</v>
      </c>
      <c r="R458" t="s">
        <v>111</v>
      </c>
      <c r="S458" t="s">
        <v>51</v>
      </c>
      <c r="T458" t="s">
        <v>112</v>
      </c>
      <c r="U458" s="1">
        <v>46077.823900462965</v>
      </c>
      <c r="V458" t="s">
        <v>54</v>
      </c>
      <c r="W458" t="s">
        <v>55</v>
      </c>
      <c r="X458" t="s">
        <v>82</v>
      </c>
      <c r="Y458" t="s">
        <v>2465</v>
      </c>
      <c r="Z458" t="s">
        <v>58</v>
      </c>
      <c r="AA458" t="s">
        <v>54</v>
      </c>
      <c r="AB458" t="s">
        <v>115</v>
      </c>
      <c r="AC458" t="s">
        <v>85</v>
      </c>
      <c r="AD458" t="s">
        <v>116</v>
      </c>
      <c r="AE458" t="s">
        <v>574</v>
      </c>
      <c r="AF458" t="s">
        <v>2466</v>
      </c>
      <c r="AG458" t="s">
        <v>58</v>
      </c>
      <c r="AH458" t="s">
        <v>185</v>
      </c>
      <c r="AK458">
        <v>1</v>
      </c>
      <c r="AL458" t="s">
        <v>61</v>
      </c>
      <c r="AM458" t="s">
        <v>186</v>
      </c>
      <c r="AN458" t="s">
        <v>187</v>
      </c>
    </row>
    <row r="459" spans="1:40" x14ac:dyDescent="0.35">
      <c r="A459" t="s">
        <v>37</v>
      </c>
      <c r="B459" t="s">
        <v>2467</v>
      </c>
      <c r="C459" t="s">
        <v>39</v>
      </c>
      <c r="D459" t="s">
        <v>40</v>
      </c>
      <c r="E459" t="s">
        <v>41</v>
      </c>
      <c r="F459" s="1">
        <v>46077.557372685187</v>
      </c>
      <c r="G459" t="s">
        <v>42</v>
      </c>
      <c r="H459" t="s">
        <v>43</v>
      </c>
      <c r="I459" t="s">
        <v>2468</v>
      </c>
      <c r="J459" t="s">
        <v>45</v>
      </c>
      <c r="K459" t="s">
        <v>46</v>
      </c>
      <c r="M459" t="s">
        <v>47</v>
      </c>
      <c r="O459" t="s">
        <v>48</v>
      </c>
      <c r="P459" t="s">
        <v>49</v>
      </c>
      <c r="Q459" t="s">
        <v>50</v>
      </c>
      <c r="R459" t="s">
        <v>51</v>
      </c>
      <c r="S459" t="s">
        <v>52</v>
      </c>
      <c r="T459" t="s">
        <v>53</v>
      </c>
      <c r="U459" s="1">
        <v>46077.558715277781</v>
      </c>
      <c r="V459" t="s">
        <v>54</v>
      </c>
      <c r="W459" t="s">
        <v>55</v>
      </c>
      <c r="X459" t="s">
        <v>56</v>
      </c>
      <c r="Y459" t="s">
        <v>57</v>
      </c>
      <c r="Z459" t="s">
        <v>58</v>
      </c>
      <c r="AA459" t="s">
        <v>54</v>
      </c>
      <c r="AB459" t="s">
        <v>59</v>
      </c>
      <c r="AC459" t="s">
        <v>60</v>
      </c>
      <c r="AD459" t="s">
        <v>51</v>
      </c>
      <c r="AE459" t="s">
        <v>52</v>
      </c>
      <c r="AF459" t="s">
        <v>53</v>
      </c>
      <c r="AG459" t="s">
        <v>58</v>
      </c>
      <c r="AK459">
        <v>0</v>
      </c>
      <c r="AL459" t="s">
        <v>61</v>
      </c>
      <c r="AM459" t="s">
        <v>59</v>
      </c>
      <c r="AN459" t="s">
        <v>62</v>
      </c>
    </row>
    <row r="460" spans="1:40" x14ac:dyDescent="0.35">
      <c r="A460" t="s">
        <v>37</v>
      </c>
      <c r="B460" t="s">
        <v>2469</v>
      </c>
      <c r="C460" t="s">
        <v>39</v>
      </c>
      <c r="D460" t="s">
        <v>2470</v>
      </c>
      <c r="E460" t="s">
        <v>2471</v>
      </c>
      <c r="F460" s="1">
        <v>46077.557557870372</v>
      </c>
      <c r="G460" t="s">
        <v>91</v>
      </c>
      <c r="H460" t="s">
        <v>92</v>
      </c>
      <c r="I460" t="s">
        <v>2472</v>
      </c>
      <c r="J460" t="s">
        <v>548</v>
      </c>
      <c r="K460" t="s">
        <v>610</v>
      </c>
      <c r="M460" t="s">
        <v>47</v>
      </c>
      <c r="O460" t="s">
        <v>77</v>
      </c>
      <c r="P460" t="s">
        <v>78</v>
      </c>
      <c r="Q460" t="s">
        <v>50</v>
      </c>
      <c r="R460" t="s">
        <v>51</v>
      </c>
      <c r="S460" t="s">
        <v>52</v>
      </c>
      <c r="T460" t="s">
        <v>773</v>
      </c>
      <c r="U460" s="1">
        <v>46077.559942129628</v>
      </c>
      <c r="V460" t="s">
        <v>54</v>
      </c>
      <c r="W460" t="s">
        <v>55</v>
      </c>
      <c r="X460" t="s">
        <v>134</v>
      </c>
      <c r="Y460" t="s">
        <v>2473</v>
      </c>
      <c r="Z460" t="s">
        <v>58</v>
      </c>
      <c r="AA460" t="s">
        <v>54</v>
      </c>
      <c r="AB460" t="s">
        <v>612</v>
      </c>
      <c r="AC460" t="s">
        <v>85</v>
      </c>
      <c r="AD460" t="s">
        <v>52</v>
      </c>
      <c r="AE460" t="s">
        <v>438</v>
      </c>
      <c r="AF460" t="s">
        <v>775</v>
      </c>
      <c r="AG460" t="s">
        <v>58</v>
      </c>
      <c r="AH460">
        <v>15205</v>
      </c>
      <c r="AK460">
        <v>1</v>
      </c>
      <c r="AL460" t="s">
        <v>61</v>
      </c>
      <c r="AM460" t="s">
        <v>2474</v>
      </c>
      <c r="AN460" t="s">
        <v>2475</v>
      </c>
    </row>
    <row r="461" spans="1:40" x14ac:dyDescent="0.35">
      <c r="A461" t="s">
        <v>37</v>
      </c>
      <c r="B461" t="s">
        <v>2476</v>
      </c>
      <c r="C461" t="s">
        <v>102</v>
      </c>
      <c r="D461" t="s">
        <v>617</v>
      </c>
      <c r="E461" t="s">
        <v>618</v>
      </c>
      <c r="F461" s="1">
        <v>46077.556134259263</v>
      </c>
      <c r="G461" t="s">
        <v>286</v>
      </c>
      <c r="H461" t="s">
        <v>287</v>
      </c>
      <c r="I461" t="s">
        <v>2477</v>
      </c>
      <c r="J461" t="s">
        <v>620</v>
      </c>
      <c r="K461" t="s">
        <v>565</v>
      </c>
      <c r="M461" t="s">
        <v>76</v>
      </c>
      <c r="O461" t="s">
        <v>77</v>
      </c>
      <c r="P461" t="s">
        <v>78</v>
      </c>
      <c r="Q461" t="s">
        <v>50</v>
      </c>
      <c r="R461" t="s">
        <v>132</v>
      </c>
      <c r="S461" t="s">
        <v>133</v>
      </c>
      <c r="T461" t="s">
        <v>133</v>
      </c>
      <c r="U461" s="1">
        <v>46077.57068287037</v>
      </c>
      <c r="V461" t="s">
        <v>54</v>
      </c>
      <c r="W461" t="s">
        <v>55</v>
      </c>
      <c r="X461" t="s">
        <v>134</v>
      </c>
      <c r="Y461" t="s">
        <v>2478</v>
      </c>
      <c r="Z461" t="s">
        <v>58</v>
      </c>
      <c r="AA461" t="s">
        <v>54</v>
      </c>
      <c r="AB461" t="s">
        <v>622</v>
      </c>
      <c r="AC461" t="s">
        <v>85</v>
      </c>
      <c r="AD461" t="s">
        <v>132</v>
      </c>
      <c r="AE461" t="s">
        <v>133</v>
      </c>
      <c r="AF461" t="s">
        <v>133</v>
      </c>
      <c r="AG461" t="s">
        <v>58</v>
      </c>
      <c r="AH461" t="s">
        <v>623</v>
      </c>
      <c r="AK461">
        <v>1</v>
      </c>
      <c r="AL461" t="s">
        <v>61</v>
      </c>
      <c r="AM461" t="s">
        <v>622</v>
      </c>
      <c r="AN461" t="s">
        <v>624</v>
      </c>
    </row>
    <row r="462" spans="1:40" x14ac:dyDescent="0.35">
      <c r="A462" t="s">
        <v>37</v>
      </c>
      <c r="B462" t="s">
        <v>2479</v>
      </c>
      <c r="C462" t="s">
        <v>102</v>
      </c>
      <c r="D462" t="s">
        <v>181</v>
      </c>
      <c r="E462" t="s">
        <v>182</v>
      </c>
      <c r="F462" s="1">
        <v>46077.556423611109</v>
      </c>
      <c r="G462" t="s">
        <v>105</v>
      </c>
      <c r="H462" t="s">
        <v>106</v>
      </c>
      <c r="I462" t="s">
        <v>2480</v>
      </c>
      <c r="J462" t="s">
        <v>108</v>
      </c>
      <c r="K462" t="s">
        <v>571</v>
      </c>
      <c r="M462" t="s">
        <v>76</v>
      </c>
      <c r="O462" t="s">
        <v>77</v>
      </c>
      <c r="P462" t="s">
        <v>78</v>
      </c>
      <c r="Q462" t="s">
        <v>50</v>
      </c>
      <c r="R462" t="s">
        <v>111</v>
      </c>
      <c r="S462" t="s">
        <v>51</v>
      </c>
      <c r="T462" t="s">
        <v>112</v>
      </c>
      <c r="U462" s="1">
        <v>46077.715787037036</v>
      </c>
      <c r="V462" t="s">
        <v>54</v>
      </c>
      <c r="W462" t="s">
        <v>55</v>
      </c>
      <c r="X462" t="s">
        <v>82</v>
      </c>
      <c r="Y462" t="s">
        <v>2481</v>
      </c>
      <c r="Z462" t="s">
        <v>58</v>
      </c>
      <c r="AA462" t="s">
        <v>54</v>
      </c>
      <c r="AB462" t="s">
        <v>115</v>
      </c>
      <c r="AC462" t="s">
        <v>85</v>
      </c>
      <c r="AD462" t="s">
        <v>116</v>
      </c>
      <c r="AE462" t="s">
        <v>574</v>
      </c>
      <c r="AF462" t="s">
        <v>2482</v>
      </c>
      <c r="AG462" t="s">
        <v>58</v>
      </c>
      <c r="AH462" t="s">
        <v>185</v>
      </c>
      <c r="AK462">
        <v>1</v>
      </c>
      <c r="AL462" t="s">
        <v>61</v>
      </c>
      <c r="AM462" t="s">
        <v>186</v>
      </c>
      <c r="AN462" t="s">
        <v>187</v>
      </c>
    </row>
    <row r="463" spans="1:40" x14ac:dyDescent="0.35">
      <c r="A463" t="s">
        <v>37</v>
      </c>
      <c r="B463" t="s">
        <v>2483</v>
      </c>
      <c r="C463" t="s">
        <v>39</v>
      </c>
      <c r="D463" t="s">
        <v>635</v>
      </c>
      <c r="E463" t="s">
        <v>2484</v>
      </c>
      <c r="F463" s="1">
        <v>46077.552858796298</v>
      </c>
      <c r="G463" t="s">
        <v>261</v>
      </c>
      <c r="H463" t="s">
        <v>72</v>
      </c>
      <c r="I463" t="s">
        <v>205</v>
      </c>
      <c r="J463" t="s">
        <v>741</v>
      </c>
      <c r="K463" t="s">
        <v>207</v>
      </c>
      <c r="M463" t="s">
        <v>131</v>
      </c>
      <c r="O463" t="s">
        <v>77</v>
      </c>
      <c r="P463" t="s">
        <v>78</v>
      </c>
      <c r="Q463" t="s">
        <v>2485</v>
      </c>
      <c r="R463" t="s">
        <v>208</v>
      </c>
      <c r="S463" t="s">
        <v>209</v>
      </c>
      <c r="T463" t="s">
        <v>210</v>
      </c>
      <c r="U463" s="1">
        <v>46077.57440972222</v>
      </c>
      <c r="V463" t="s">
        <v>54</v>
      </c>
      <c r="W463" t="s">
        <v>55</v>
      </c>
      <c r="X463" t="s">
        <v>211</v>
      </c>
      <c r="Y463" t="s">
        <v>2486</v>
      </c>
      <c r="Z463" t="s">
        <v>58</v>
      </c>
      <c r="AA463" t="s">
        <v>54</v>
      </c>
      <c r="AB463" t="s">
        <v>213</v>
      </c>
      <c r="AC463" t="s">
        <v>85</v>
      </c>
      <c r="AD463" t="s">
        <v>214</v>
      </c>
      <c r="AE463" t="s">
        <v>215</v>
      </c>
      <c r="AF463" t="s">
        <v>216</v>
      </c>
      <c r="AG463" t="s">
        <v>58</v>
      </c>
      <c r="AH463">
        <v>11104</v>
      </c>
      <c r="AK463">
        <v>1</v>
      </c>
      <c r="AL463" t="s">
        <v>61</v>
      </c>
      <c r="AM463" t="s">
        <v>2487</v>
      </c>
      <c r="AN463" t="s">
        <v>2488</v>
      </c>
    </row>
    <row r="464" spans="1:40" x14ac:dyDescent="0.35">
      <c r="A464" t="s">
        <v>37</v>
      </c>
      <c r="B464" t="s">
        <v>2489</v>
      </c>
      <c r="C464" t="s">
        <v>39</v>
      </c>
      <c r="D464" t="s">
        <v>2490</v>
      </c>
      <c r="E464" t="s">
        <v>2491</v>
      </c>
      <c r="F464" s="1">
        <v>46077.552893518521</v>
      </c>
      <c r="G464" t="s">
        <v>497</v>
      </c>
      <c r="H464" t="s">
        <v>72</v>
      </c>
      <c r="I464" t="s">
        <v>2492</v>
      </c>
      <c r="J464" t="s">
        <v>1058</v>
      </c>
      <c r="K464" t="s">
        <v>436</v>
      </c>
      <c r="M464" t="s">
        <v>76</v>
      </c>
      <c r="O464" t="s">
        <v>77</v>
      </c>
      <c r="P464" t="s">
        <v>78</v>
      </c>
      <c r="Q464" t="s">
        <v>50</v>
      </c>
      <c r="R464" t="s">
        <v>51</v>
      </c>
      <c r="S464" t="s">
        <v>52</v>
      </c>
      <c r="T464" t="s">
        <v>773</v>
      </c>
      <c r="U464" s="1">
        <v>46077.61546296296</v>
      </c>
      <c r="V464" t="s">
        <v>54</v>
      </c>
      <c r="W464" t="s">
        <v>55</v>
      </c>
      <c r="X464" t="s">
        <v>134</v>
      </c>
      <c r="Y464" t="s">
        <v>2493</v>
      </c>
      <c r="Z464" t="s">
        <v>58</v>
      </c>
      <c r="AA464" t="s">
        <v>54</v>
      </c>
      <c r="AB464" t="s">
        <v>612</v>
      </c>
      <c r="AC464" t="s">
        <v>85</v>
      </c>
      <c r="AD464" t="s">
        <v>52</v>
      </c>
      <c r="AE464" t="s">
        <v>438</v>
      </c>
      <c r="AF464" t="s">
        <v>775</v>
      </c>
      <c r="AG464" t="s">
        <v>58</v>
      </c>
      <c r="AH464" t="s">
        <v>2494</v>
      </c>
      <c r="AK464">
        <v>1</v>
      </c>
      <c r="AL464" t="s">
        <v>61</v>
      </c>
      <c r="AM464" t="s">
        <v>2495</v>
      </c>
      <c r="AN464" t="s">
        <v>2496</v>
      </c>
    </row>
    <row r="465" spans="1:40" x14ac:dyDescent="0.35">
      <c r="A465" t="s">
        <v>37</v>
      </c>
      <c r="B465" t="s">
        <v>2497</v>
      </c>
      <c r="C465" t="s">
        <v>39</v>
      </c>
      <c r="D465" t="s">
        <v>277</v>
      </c>
      <c r="E465" t="s">
        <v>2498</v>
      </c>
      <c r="F465" s="1">
        <v>46077.551238425927</v>
      </c>
      <c r="G465" t="s">
        <v>261</v>
      </c>
      <c r="H465" t="s">
        <v>72</v>
      </c>
      <c r="I465" t="s">
        <v>205</v>
      </c>
      <c r="J465" t="s">
        <v>741</v>
      </c>
      <c r="K465" t="s">
        <v>207</v>
      </c>
      <c r="M465" t="s">
        <v>131</v>
      </c>
      <c r="O465" t="s">
        <v>77</v>
      </c>
      <c r="P465" t="s">
        <v>78</v>
      </c>
      <c r="Q465" t="s">
        <v>50</v>
      </c>
      <c r="R465" t="s">
        <v>208</v>
      </c>
      <c r="S465" t="s">
        <v>209</v>
      </c>
      <c r="T465" t="s">
        <v>210</v>
      </c>
      <c r="U465" s="1">
        <v>46077.572893518518</v>
      </c>
      <c r="V465" t="s">
        <v>54</v>
      </c>
      <c r="W465" t="s">
        <v>55</v>
      </c>
      <c r="X465" t="s">
        <v>211</v>
      </c>
      <c r="Y465" t="s">
        <v>2499</v>
      </c>
      <c r="Z465" t="s">
        <v>58</v>
      </c>
      <c r="AA465" t="s">
        <v>54</v>
      </c>
      <c r="AB465" t="s">
        <v>213</v>
      </c>
      <c r="AC465" t="s">
        <v>85</v>
      </c>
      <c r="AD465" t="s">
        <v>214</v>
      </c>
      <c r="AE465" t="s">
        <v>215</v>
      </c>
      <c r="AF465" t="s">
        <v>216</v>
      </c>
      <c r="AG465" t="s">
        <v>58</v>
      </c>
      <c r="AH465">
        <v>15616</v>
      </c>
      <c r="AK465">
        <v>1</v>
      </c>
      <c r="AL465" t="s">
        <v>61</v>
      </c>
      <c r="AM465" t="s">
        <v>2500</v>
      </c>
      <c r="AN465" t="s">
        <v>2501</v>
      </c>
    </row>
    <row r="466" spans="1:40" x14ac:dyDescent="0.35">
      <c r="A466" t="s">
        <v>37</v>
      </c>
      <c r="B466" t="s">
        <v>2502</v>
      </c>
      <c r="C466" t="s">
        <v>102</v>
      </c>
      <c r="D466" t="s">
        <v>2503</v>
      </c>
      <c r="E466" t="s">
        <v>2504</v>
      </c>
      <c r="F466" s="1">
        <v>46077.552002314813</v>
      </c>
      <c r="G466" t="s">
        <v>71</v>
      </c>
      <c r="H466" t="s">
        <v>72</v>
      </c>
      <c r="I466" t="s">
        <v>2505</v>
      </c>
      <c r="J466" t="s">
        <v>2421</v>
      </c>
      <c r="K466" t="s">
        <v>2422</v>
      </c>
      <c r="M466" t="s">
        <v>830</v>
      </c>
      <c r="O466" t="s">
        <v>1501</v>
      </c>
      <c r="P466" t="s">
        <v>1502</v>
      </c>
      <c r="Q466" t="s">
        <v>50</v>
      </c>
      <c r="R466" t="s">
        <v>51</v>
      </c>
      <c r="S466" t="s">
        <v>52</v>
      </c>
      <c r="T466" t="s">
        <v>240</v>
      </c>
      <c r="U466" s="1">
        <v>46077.598310185182</v>
      </c>
      <c r="V466" t="s">
        <v>54</v>
      </c>
      <c r="W466" t="s">
        <v>55</v>
      </c>
      <c r="X466" t="s">
        <v>134</v>
      </c>
      <c r="Y466" t="s">
        <v>2506</v>
      </c>
      <c r="Z466" t="s">
        <v>58</v>
      </c>
      <c r="AA466" t="s">
        <v>54</v>
      </c>
      <c r="AB466" t="s">
        <v>408</v>
      </c>
      <c r="AC466" t="s">
        <v>1504</v>
      </c>
      <c r="AD466" t="s">
        <v>52</v>
      </c>
      <c r="AE466" t="s">
        <v>243</v>
      </c>
      <c r="AF466" t="s">
        <v>2425</v>
      </c>
      <c r="AG466" t="s">
        <v>58</v>
      </c>
      <c r="AH466">
        <v>11477</v>
      </c>
      <c r="AK466">
        <v>1</v>
      </c>
      <c r="AL466" t="s">
        <v>61</v>
      </c>
      <c r="AM466" t="s">
        <v>2507</v>
      </c>
      <c r="AN466" t="s">
        <v>2508</v>
      </c>
    </row>
    <row r="467" spans="1:40" x14ac:dyDescent="0.35">
      <c r="A467" t="s">
        <v>37</v>
      </c>
      <c r="B467" t="s">
        <v>2509</v>
      </c>
      <c r="C467" t="s">
        <v>39</v>
      </c>
      <c r="D467" t="s">
        <v>40</v>
      </c>
      <c r="E467" t="s">
        <v>41</v>
      </c>
      <c r="F467" s="1">
        <v>46077.544814814813</v>
      </c>
      <c r="G467" t="s">
        <v>42</v>
      </c>
      <c r="H467" t="s">
        <v>43</v>
      </c>
      <c r="I467" t="s">
        <v>2510</v>
      </c>
      <c r="J467" t="s">
        <v>45</v>
      </c>
      <c r="K467" t="s">
        <v>46</v>
      </c>
      <c r="M467" t="s">
        <v>47</v>
      </c>
      <c r="O467" t="s">
        <v>48</v>
      </c>
      <c r="P467" t="s">
        <v>49</v>
      </c>
      <c r="Q467" t="s">
        <v>50</v>
      </c>
      <c r="R467" t="s">
        <v>51</v>
      </c>
      <c r="S467" t="s">
        <v>52</v>
      </c>
      <c r="T467" t="s">
        <v>53</v>
      </c>
      <c r="U467" s="1">
        <v>46077.545810185184</v>
      </c>
      <c r="V467" t="s">
        <v>54</v>
      </c>
      <c r="W467" t="s">
        <v>55</v>
      </c>
      <c r="X467" t="s">
        <v>56</v>
      </c>
      <c r="Y467" t="s">
        <v>57</v>
      </c>
      <c r="Z467" t="s">
        <v>58</v>
      </c>
      <c r="AA467" t="s">
        <v>54</v>
      </c>
      <c r="AB467" t="s">
        <v>59</v>
      </c>
      <c r="AC467" t="s">
        <v>60</v>
      </c>
      <c r="AD467" t="s">
        <v>51</v>
      </c>
      <c r="AE467" t="s">
        <v>52</v>
      </c>
      <c r="AF467" t="s">
        <v>53</v>
      </c>
      <c r="AG467" t="s">
        <v>58</v>
      </c>
      <c r="AK467">
        <v>0</v>
      </c>
      <c r="AL467" t="s">
        <v>61</v>
      </c>
      <c r="AM467" t="s">
        <v>59</v>
      </c>
      <c r="AN467" t="s">
        <v>62</v>
      </c>
    </row>
    <row r="468" spans="1:40" x14ac:dyDescent="0.35">
      <c r="A468" t="s">
        <v>37</v>
      </c>
      <c r="B468" t="s">
        <v>2511</v>
      </c>
      <c r="C468" t="s">
        <v>39</v>
      </c>
      <c r="D468" t="s">
        <v>2512</v>
      </c>
      <c r="E468" t="s">
        <v>513</v>
      </c>
      <c r="F468" s="1">
        <v>46077.543553240743</v>
      </c>
      <c r="G468" t="s">
        <v>1363</v>
      </c>
      <c r="H468" t="s">
        <v>106</v>
      </c>
      <c r="I468" t="s">
        <v>205</v>
      </c>
      <c r="J468" t="s">
        <v>741</v>
      </c>
      <c r="K468" t="s">
        <v>207</v>
      </c>
      <c r="M468" t="s">
        <v>131</v>
      </c>
      <c r="O468" t="s">
        <v>77</v>
      </c>
      <c r="P468" t="s">
        <v>78</v>
      </c>
      <c r="Q468" t="s">
        <v>50</v>
      </c>
      <c r="R468" t="s">
        <v>208</v>
      </c>
      <c r="S468" t="s">
        <v>209</v>
      </c>
      <c r="T468" t="s">
        <v>210</v>
      </c>
      <c r="U468" s="1">
        <v>46077.567175925928</v>
      </c>
      <c r="V468" t="s">
        <v>54</v>
      </c>
      <c r="W468" t="s">
        <v>55</v>
      </c>
      <c r="X468" t="s">
        <v>211</v>
      </c>
      <c r="Y468" t="s">
        <v>2513</v>
      </c>
      <c r="Z468" t="s">
        <v>58</v>
      </c>
      <c r="AA468" t="s">
        <v>54</v>
      </c>
      <c r="AB468" t="s">
        <v>213</v>
      </c>
      <c r="AC468" t="s">
        <v>85</v>
      </c>
      <c r="AD468" t="s">
        <v>214</v>
      </c>
      <c r="AE468" t="s">
        <v>215</v>
      </c>
      <c r="AF468" t="s">
        <v>216</v>
      </c>
      <c r="AG468" t="s">
        <v>58</v>
      </c>
      <c r="AH468">
        <v>12773</v>
      </c>
      <c r="AK468">
        <v>1</v>
      </c>
      <c r="AL468" t="s">
        <v>61</v>
      </c>
      <c r="AM468" t="s">
        <v>2514</v>
      </c>
      <c r="AN468" t="s">
        <v>2515</v>
      </c>
    </row>
    <row r="469" spans="1:40" x14ac:dyDescent="0.35">
      <c r="A469" t="s">
        <v>37</v>
      </c>
      <c r="B469" t="s">
        <v>2516</v>
      </c>
      <c r="C469" t="s">
        <v>39</v>
      </c>
      <c r="D469" t="s">
        <v>2517</v>
      </c>
      <c r="E469" t="s">
        <v>2518</v>
      </c>
      <c r="F469" s="1">
        <v>46077.543113425927</v>
      </c>
      <c r="G469" t="s">
        <v>355</v>
      </c>
      <c r="H469" t="s">
        <v>356</v>
      </c>
      <c r="I469" t="s">
        <v>2519</v>
      </c>
      <c r="J469" t="s">
        <v>1865</v>
      </c>
      <c r="K469" t="s">
        <v>1824</v>
      </c>
      <c r="M469" t="s">
        <v>131</v>
      </c>
      <c r="O469" t="s">
        <v>77</v>
      </c>
      <c r="P469" t="s">
        <v>78</v>
      </c>
      <c r="Q469" t="s">
        <v>50</v>
      </c>
      <c r="R469" t="s">
        <v>51</v>
      </c>
      <c r="S469" t="s">
        <v>52</v>
      </c>
      <c r="T469" t="s">
        <v>240</v>
      </c>
      <c r="U469" s="1">
        <v>46077.602743055555</v>
      </c>
      <c r="V469" t="s">
        <v>54</v>
      </c>
      <c r="W469" t="s">
        <v>55</v>
      </c>
      <c r="X469" t="s">
        <v>56</v>
      </c>
      <c r="Y469" t="s">
        <v>2520</v>
      </c>
      <c r="Z469" t="s">
        <v>58</v>
      </c>
      <c r="AA469" t="s">
        <v>54</v>
      </c>
      <c r="AB469" t="s">
        <v>2521</v>
      </c>
      <c r="AC469" t="s">
        <v>85</v>
      </c>
      <c r="AD469" t="s">
        <v>52</v>
      </c>
      <c r="AE469" t="s">
        <v>243</v>
      </c>
      <c r="AF469" t="s">
        <v>244</v>
      </c>
      <c r="AG469" t="s">
        <v>58</v>
      </c>
      <c r="AH469" t="s">
        <v>2522</v>
      </c>
      <c r="AK469">
        <v>0</v>
      </c>
      <c r="AL469" t="s">
        <v>61</v>
      </c>
      <c r="AM469" t="s">
        <v>2521</v>
      </c>
      <c r="AN469" t="s">
        <v>2523</v>
      </c>
    </row>
    <row r="470" spans="1:40" x14ac:dyDescent="0.35">
      <c r="A470" t="s">
        <v>37</v>
      </c>
      <c r="B470" t="s">
        <v>2524</v>
      </c>
      <c r="C470" t="s">
        <v>39</v>
      </c>
      <c r="D470" t="s">
        <v>2525</v>
      </c>
      <c r="E470" t="s">
        <v>2526</v>
      </c>
      <c r="F470" s="1">
        <v>46077.537395833337</v>
      </c>
      <c r="G470" t="s">
        <v>232</v>
      </c>
      <c r="H470" t="s">
        <v>233</v>
      </c>
      <c r="I470" t="s">
        <v>205</v>
      </c>
      <c r="J470" t="s">
        <v>1692</v>
      </c>
      <c r="K470" t="s">
        <v>207</v>
      </c>
      <c r="M470" t="s">
        <v>131</v>
      </c>
      <c r="O470" t="s">
        <v>77</v>
      </c>
      <c r="P470" t="s">
        <v>78</v>
      </c>
      <c r="Q470" t="s">
        <v>50</v>
      </c>
      <c r="R470" t="s">
        <v>305</v>
      </c>
      <c r="S470" t="s">
        <v>306</v>
      </c>
      <c r="T470" t="s">
        <v>307</v>
      </c>
      <c r="U470" s="1">
        <v>46078.972719907404</v>
      </c>
      <c r="V470" t="s">
        <v>54</v>
      </c>
      <c r="W470" t="s">
        <v>55</v>
      </c>
      <c r="X470" t="s">
        <v>211</v>
      </c>
      <c r="Y470" t="s">
        <v>2045</v>
      </c>
      <c r="Z470" t="s">
        <v>58</v>
      </c>
      <c r="AA470" t="s">
        <v>54</v>
      </c>
      <c r="AB470" t="s">
        <v>213</v>
      </c>
      <c r="AC470" t="s">
        <v>85</v>
      </c>
      <c r="AD470" t="s">
        <v>214</v>
      </c>
      <c r="AE470" t="s">
        <v>215</v>
      </c>
      <c r="AF470" t="s">
        <v>161</v>
      </c>
      <c r="AG470" t="s">
        <v>58</v>
      </c>
      <c r="AH470">
        <v>15200</v>
      </c>
      <c r="AK470">
        <v>4</v>
      </c>
      <c r="AL470" t="s">
        <v>61</v>
      </c>
      <c r="AM470" t="s">
        <v>2527</v>
      </c>
      <c r="AN470" t="s">
        <v>2528</v>
      </c>
    </row>
    <row r="471" spans="1:40" x14ac:dyDescent="0.35">
      <c r="A471" t="s">
        <v>37</v>
      </c>
      <c r="B471" t="s">
        <v>2529</v>
      </c>
      <c r="C471" t="s">
        <v>102</v>
      </c>
      <c r="D471" t="s">
        <v>89</v>
      </c>
      <c r="E471" t="s">
        <v>1158</v>
      </c>
      <c r="F471" s="1">
        <v>46077.536956018521</v>
      </c>
      <c r="G471" t="s">
        <v>793</v>
      </c>
      <c r="H471" t="s">
        <v>356</v>
      </c>
      <c r="I471" t="s">
        <v>2530</v>
      </c>
      <c r="J471" t="s">
        <v>2531</v>
      </c>
      <c r="K471" t="s">
        <v>2532</v>
      </c>
      <c r="M471" t="s">
        <v>76</v>
      </c>
      <c r="O471" t="s">
        <v>237</v>
      </c>
      <c r="P471" t="s">
        <v>238</v>
      </c>
      <c r="Q471" t="s">
        <v>1174</v>
      </c>
      <c r="R471" t="s">
        <v>51</v>
      </c>
      <c r="S471" t="s">
        <v>52</v>
      </c>
      <c r="T471" t="s">
        <v>240</v>
      </c>
      <c r="U471" s="1">
        <v>46077.56108796296</v>
      </c>
      <c r="V471" t="s">
        <v>54</v>
      </c>
      <c r="W471" t="s">
        <v>55</v>
      </c>
      <c r="X471" t="s">
        <v>211</v>
      </c>
      <c r="Y471" t="e">
        <f>- Please note that, your username has been whitelisted now. kindly ensure that you are using only one device to punch.</f>
        <v>#NAME?</v>
      </c>
      <c r="Z471" t="s">
        <v>58</v>
      </c>
      <c r="AA471" t="s">
        <v>54</v>
      </c>
      <c r="AB471" t="s">
        <v>213</v>
      </c>
      <c r="AC471" t="s">
        <v>242</v>
      </c>
      <c r="AD471" t="s">
        <v>52</v>
      </c>
      <c r="AE471" t="s">
        <v>243</v>
      </c>
      <c r="AF471" t="s">
        <v>2533</v>
      </c>
      <c r="AG471" t="s">
        <v>58</v>
      </c>
      <c r="AH471">
        <v>14987</v>
      </c>
      <c r="AK471">
        <v>1</v>
      </c>
      <c r="AL471" t="s">
        <v>61</v>
      </c>
      <c r="AM471" t="s">
        <v>2534</v>
      </c>
      <c r="AN471" t="s">
        <v>2535</v>
      </c>
    </row>
    <row r="472" spans="1:40" x14ac:dyDescent="0.35">
      <c r="A472" t="s">
        <v>37</v>
      </c>
      <c r="B472" t="s">
        <v>2536</v>
      </c>
      <c r="C472" t="s">
        <v>39</v>
      </c>
      <c r="D472" t="s">
        <v>40</v>
      </c>
      <c r="E472" t="s">
        <v>41</v>
      </c>
      <c r="F472" s="1">
        <v>46077.536724537036</v>
      </c>
      <c r="G472" t="s">
        <v>42</v>
      </c>
      <c r="H472" t="s">
        <v>43</v>
      </c>
      <c r="I472" t="s">
        <v>2537</v>
      </c>
      <c r="J472" t="s">
        <v>45</v>
      </c>
      <c r="K472" t="s">
        <v>46</v>
      </c>
      <c r="M472" t="s">
        <v>47</v>
      </c>
      <c r="O472" t="s">
        <v>48</v>
      </c>
      <c r="P472" t="s">
        <v>49</v>
      </c>
      <c r="Q472" t="s">
        <v>50</v>
      </c>
      <c r="R472" t="s">
        <v>51</v>
      </c>
      <c r="S472" t="s">
        <v>52</v>
      </c>
      <c r="T472" t="s">
        <v>53</v>
      </c>
      <c r="U472" s="1">
        <v>46077.538287037038</v>
      </c>
      <c r="V472" t="s">
        <v>54</v>
      </c>
      <c r="W472" t="s">
        <v>55</v>
      </c>
      <c r="X472" t="s">
        <v>56</v>
      </c>
      <c r="Y472" t="s">
        <v>57</v>
      </c>
      <c r="Z472" t="s">
        <v>58</v>
      </c>
      <c r="AA472" t="s">
        <v>54</v>
      </c>
      <c r="AB472" t="s">
        <v>59</v>
      </c>
      <c r="AC472" t="s">
        <v>60</v>
      </c>
      <c r="AD472" t="s">
        <v>51</v>
      </c>
      <c r="AE472" t="s">
        <v>52</v>
      </c>
      <c r="AF472" t="s">
        <v>53</v>
      </c>
      <c r="AG472" t="s">
        <v>58</v>
      </c>
      <c r="AK472">
        <v>0</v>
      </c>
      <c r="AL472" t="s">
        <v>61</v>
      </c>
      <c r="AM472" t="s">
        <v>59</v>
      </c>
      <c r="AN472" t="s">
        <v>62</v>
      </c>
    </row>
    <row r="473" spans="1:40" x14ac:dyDescent="0.35">
      <c r="A473" t="s">
        <v>37</v>
      </c>
      <c r="B473" t="s">
        <v>2538</v>
      </c>
      <c r="C473" t="s">
        <v>102</v>
      </c>
      <c r="D473" t="s">
        <v>617</v>
      </c>
      <c r="E473" t="s">
        <v>618</v>
      </c>
      <c r="F473" s="1">
        <v>46077.533356481479</v>
      </c>
      <c r="G473" t="s">
        <v>286</v>
      </c>
      <c r="H473" t="s">
        <v>287</v>
      </c>
      <c r="I473" t="s">
        <v>2539</v>
      </c>
      <c r="J473" t="s">
        <v>289</v>
      </c>
      <c r="K473" t="s">
        <v>130</v>
      </c>
      <c r="M473" t="s">
        <v>131</v>
      </c>
      <c r="O473" t="s">
        <v>77</v>
      </c>
      <c r="P473" t="s">
        <v>78</v>
      </c>
      <c r="Q473" t="s">
        <v>50</v>
      </c>
      <c r="R473" t="s">
        <v>132</v>
      </c>
      <c r="S473" t="s">
        <v>133</v>
      </c>
      <c r="T473" t="s">
        <v>133</v>
      </c>
      <c r="U473" s="1">
        <v>46077.792743055557</v>
      </c>
      <c r="V473" t="s">
        <v>54</v>
      </c>
      <c r="W473" t="s">
        <v>55</v>
      </c>
      <c r="X473" t="s">
        <v>134</v>
      </c>
      <c r="Y473" t="s">
        <v>2540</v>
      </c>
      <c r="Z473" t="s">
        <v>58</v>
      </c>
      <c r="AA473" t="s">
        <v>54</v>
      </c>
      <c r="AB473" t="s">
        <v>622</v>
      </c>
      <c r="AC473" t="s">
        <v>85</v>
      </c>
      <c r="AD473" t="s">
        <v>132</v>
      </c>
      <c r="AE473" t="s">
        <v>133</v>
      </c>
      <c r="AF473" t="s">
        <v>133</v>
      </c>
      <c r="AG473" t="s">
        <v>58</v>
      </c>
      <c r="AH473" t="s">
        <v>623</v>
      </c>
      <c r="AK473">
        <v>1</v>
      </c>
      <c r="AL473" t="s">
        <v>61</v>
      </c>
      <c r="AM473" t="s">
        <v>622</v>
      </c>
      <c r="AN473" t="s">
        <v>624</v>
      </c>
    </row>
    <row r="474" spans="1:40" x14ac:dyDescent="0.35">
      <c r="A474" t="s">
        <v>37</v>
      </c>
      <c r="B474" t="s">
        <v>2541</v>
      </c>
      <c r="C474" t="s">
        <v>39</v>
      </c>
      <c r="D474" t="s">
        <v>853</v>
      </c>
      <c r="E474" t="s">
        <v>2542</v>
      </c>
      <c r="F474" s="1">
        <v>46077.532418981478</v>
      </c>
      <c r="G474" t="s">
        <v>402</v>
      </c>
      <c r="H474" t="s">
        <v>72</v>
      </c>
      <c r="I474" t="s">
        <v>2543</v>
      </c>
      <c r="J474" t="s">
        <v>2256</v>
      </c>
      <c r="K474" t="s">
        <v>2257</v>
      </c>
      <c r="M474" t="s">
        <v>131</v>
      </c>
      <c r="O474" t="s">
        <v>77</v>
      </c>
      <c r="P474" t="s">
        <v>78</v>
      </c>
      <c r="Q474" t="s">
        <v>50</v>
      </c>
      <c r="R474" t="s">
        <v>51</v>
      </c>
      <c r="S474" t="s">
        <v>52</v>
      </c>
      <c r="T474" t="s">
        <v>773</v>
      </c>
      <c r="U474" s="1">
        <v>46078.51121527778</v>
      </c>
      <c r="V474" t="s">
        <v>54</v>
      </c>
      <c r="W474" t="s">
        <v>55</v>
      </c>
      <c r="X474" t="s">
        <v>134</v>
      </c>
      <c r="Y474" t="s">
        <v>2544</v>
      </c>
      <c r="Z474" t="s">
        <v>58</v>
      </c>
      <c r="AA474" t="s">
        <v>54</v>
      </c>
      <c r="AB474" t="s">
        <v>612</v>
      </c>
      <c r="AC474" t="s">
        <v>85</v>
      </c>
      <c r="AD474" t="s">
        <v>52</v>
      </c>
      <c r="AE474" t="s">
        <v>438</v>
      </c>
      <c r="AF474" t="s">
        <v>2204</v>
      </c>
      <c r="AG474" t="s">
        <v>58</v>
      </c>
      <c r="AH474">
        <v>15955</v>
      </c>
      <c r="AK474">
        <v>1</v>
      </c>
      <c r="AL474" t="s">
        <v>61</v>
      </c>
      <c r="AM474" t="s">
        <v>2545</v>
      </c>
      <c r="AN474" t="s">
        <v>2546</v>
      </c>
    </row>
    <row r="475" spans="1:40" x14ac:dyDescent="0.35">
      <c r="A475" t="s">
        <v>37</v>
      </c>
      <c r="B475" t="s">
        <v>2547</v>
      </c>
      <c r="C475" t="s">
        <v>656</v>
      </c>
      <c r="D475" t="s">
        <v>469</v>
      </c>
      <c r="E475" t="s">
        <v>2548</v>
      </c>
      <c r="F475" s="1">
        <v>46077.532025462962</v>
      </c>
      <c r="G475" t="s">
        <v>432</v>
      </c>
      <c r="H475" t="s">
        <v>433</v>
      </c>
      <c r="I475" t="s">
        <v>2549</v>
      </c>
      <c r="J475" t="s">
        <v>2550</v>
      </c>
      <c r="K475" t="s">
        <v>2551</v>
      </c>
      <c r="M475" t="s">
        <v>131</v>
      </c>
      <c r="O475" t="s">
        <v>77</v>
      </c>
      <c r="P475" t="s">
        <v>78</v>
      </c>
      <c r="Q475" t="s">
        <v>456</v>
      </c>
      <c r="R475" t="s">
        <v>208</v>
      </c>
      <c r="S475" t="s">
        <v>209</v>
      </c>
      <c r="T475" t="s">
        <v>2552</v>
      </c>
      <c r="U475" s="1">
        <v>46078.554895833331</v>
      </c>
      <c r="V475" t="s">
        <v>54</v>
      </c>
      <c r="W475" t="s">
        <v>55</v>
      </c>
      <c r="X475" t="s">
        <v>134</v>
      </c>
      <c r="Y475" t="s">
        <v>2553</v>
      </c>
      <c r="Z475" t="s">
        <v>58</v>
      </c>
      <c r="AA475" t="s">
        <v>54</v>
      </c>
      <c r="AB475" t="s">
        <v>458</v>
      </c>
      <c r="AC475" t="s">
        <v>85</v>
      </c>
      <c r="AD475" t="s">
        <v>208</v>
      </c>
      <c r="AE475" t="s">
        <v>209</v>
      </c>
      <c r="AF475" t="s">
        <v>2554</v>
      </c>
      <c r="AG475" t="s">
        <v>58</v>
      </c>
      <c r="AH475">
        <v>8449</v>
      </c>
      <c r="AK475">
        <v>1</v>
      </c>
      <c r="AL475" t="s">
        <v>61</v>
      </c>
      <c r="AM475" t="s">
        <v>2555</v>
      </c>
      <c r="AN475" t="s">
        <v>2556</v>
      </c>
    </row>
    <row r="476" spans="1:40" x14ac:dyDescent="0.35">
      <c r="A476" t="s">
        <v>37</v>
      </c>
      <c r="B476" t="s">
        <v>2557</v>
      </c>
      <c r="C476" t="s">
        <v>39</v>
      </c>
      <c r="D476" t="s">
        <v>469</v>
      </c>
      <c r="E476" t="s">
        <v>1982</v>
      </c>
      <c r="F476" s="1">
        <v>46077.531631944446</v>
      </c>
      <c r="G476" t="s">
        <v>250</v>
      </c>
      <c r="H476" t="s">
        <v>106</v>
      </c>
      <c r="I476" t="s">
        <v>1196</v>
      </c>
      <c r="J476" t="s">
        <v>394</v>
      </c>
      <c r="K476" t="s">
        <v>75</v>
      </c>
      <c r="M476" t="s">
        <v>76</v>
      </c>
      <c r="O476" t="s">
        <v>77</v>
      </c>
      <c r="P476" t="s">
        <v>78</v>
      </c>
      <c r="Q476" t="s">
        <v>50</v>
      </c>
      <c r="R476" t="s">
        <v>79</v>
      </c>
      <c r="S476" t="s">
        <v>1078</v>
      </c>
      <c r="T476" t="s">
        <v>1078</v>
      </c>
      <c r="U476" s="1">
        <v>46077.531793981485</v>
      </c>
      <c r="V476" t="s">
        <v>54</v>
      </c>
      <c r="W476" t="s">
        <v>55</v>
      </c>
      <c r="X476" t="s">
        <v>82</v>
      </c>
      <c r="Y476" t="s">
        <v>1197</v>
      </c>
      <c r="Z476" t="s">
        <v>58</v>
      </c>
      <c r="AA476" t="s">
        <v>54</v>
      </c>
      <c r="AB476" t="s">
        <v>396</v>
      </c>
      <c r="AC476" t="s">
        <v>85</v>
      </c>
      <c r="AD476" t="s">
        <v>79</v>
      </c>
      <c r="AE476" t="s">
        <v>1078</v>
      </c>
      <c r="AF476" t="s">
        <v>1078</v>
      </c>
      <c r="AG476" t="s">
        <v>58</v>
      </c>
      <c r="AH476">
        <v>3635</v>
      </c>
      <c r="AK476">
        <v>0</v>
      </c>
      <c r="AL476" t="s">
        <v>61</v>
      </c>
      <c r="AM476" t="s">
        <v>2558</v>
      </c>
      <c r="AN476" t="s">
        <v>2559</v>
      </c>
    </row>
    <row r="477" spans="1:40" x14ac:dyDescent="0.35">
      <c r="A477" t="s">
        <v>37</v>
      </c>
      <c r="B477" t="s">
        <v>2560</v>
      </c>
      <c r="C477" t="s">
        <v>39</v>
      </c>
      <c r="D477" t="s">
        <v>933</v>
      </c>
      <c r="E477" t="s">
        <v>2020</v>
      </c>
      <c r="F477" s="1">
        <v>46077.530370370368</v>
      </c>
      <c r="G477" t="s">
        <v>402</v>
      </c>
      <c r="H477" t="s">
        <v>72</v>
      </c>
      <c r="I477" t="s">
        <v>2561</v>
      </c>
      <c r="J477" t="s">
        <v>2256</v>
      </c>
      <c r="K477" t="s">
        <v>2257</v>
      </c>
      <c r="M477" t="s">
        <v>131</v>
      </c>
      <c r="O477" t="s">
        <v>237</v>
      </c>
      <c r="P477" t="s">
        <v>238</v>
      </c>
      <c r="Q477" t="s">
        <v>50</v>
      </c>
      <c r="R477" t="s">
        <v>51</v>
      </c>
      <c r="S477" t="s">
        <v>52</v>
      </c>
      <c r="T477" t="s">
        <v>240</v>
      </c>
      <c r="U477" s="1">
        <v>46078.510868055557</v>
      </c>
      <c r="V477" t="s">
        <v>54</v>
      </c>
      <c r="W477" t="s">
        <v>55</v>
      </c>
      <c r="X477" t="s">
        <v>134</v>
      </c>
      <c r="Y477" t="s">
        <v>2562</v>
      </c>
      <c r="Z477" t="s">
        <v>58</v>
      </c>
      <c r="AA477" t="s">
        <v>54</v>
      </c>
      <c r="AB477" t="s">
        <v>612</v>
      </c>
      <c r="AC477" t="s">
        <v>242</v>
      </c>
      <c r="AD477" t="s">
        <v>52</v>
      </c>
      <c r="AE477" t="s">
        <v>967</v>
      </c>
      <c r="AF477" t="s">
        <v>2563</v>
      </c>
      <c r="AG477" t="s">
        <v>58</v>
      </c>
      <c r="AH477">
        <v>15551</v>
      </c>
      <c r="AK477">
        <v>1</v>
      </c>
      <c r="AL477" t="s">
        <v>61</v>
      </c>
      <c r="AM477" t="s">
        <v>2021</v>
      </c>
      <c r="AN477" t="s">
        <v>2022</v>
      </c>
    </row>
    <row r="478" spans="1:40" x14ac:dyDescent="0.35">
      <c r="A478" t="s">
        <v>37</v>
      </c>
      <c r="B478" t="s">
        <v>2564</v>
      </c>
      <c r="C478" t="s">
        <v>39</v>
      </c>
      <c r="D478" t="s">
        <v>2565</v>
      </c>
      <c r="E478" t="s">
        <v>2566</v>
      </c>
      <c r="F478" s="1">
        <v>46077.527662037035</v>
      </c>
      <c r="G478" t="s">
        <v>304</v>
      </c>
      <c r="H478" t="s">
        <v>106</v>
      </c>
      <c r="I478" t="s">
        <v>2567</v>
      </c>
      <c r="J478" t="s">
        <v>548</v>
      </c>
      <c r="K478" t="s">
        <v>610</v>
      </c>
      <c r="M478" t="s">
        <v>47</v>
      </c>
      <c r="O478" t="s">
        <v>77</v>
      </c>
      <c r="P478" t="s">
        <v>78</v>
      </c>
      <c r="Q478" t="s">
        <v>50</v>
      </c>
      <c r="R478" t="s">
        <v>51</v>
      </c>
      <c r="S478" t="s">
        <v>52</v>
      </c>
      <c r="T478" t="s">
        <v>240</v>
      </c>
      <c r="U478" s="1">
        <v>46077.530081018522</v>
      </c>
      <c r="V478" t="s">
        <v>54</v>
      </c>
      <c r="W478" t="s">
        <v>55</v>
      </c>
      <c r="X478" t="s">
        <v>134</v>
      </c>
      <c r="Y478" t="s">
        <v>2568</v>
      </c>
      <c r="Z478" t="s">
        <v>58</v>
      </c>
      <c r="AA478" t="s">
        <v>54</v>
      </c>
      <c r="AB478" t="s">
        <v>612</v>
      </c>
      <c r="AC478" t="s">
        <v>85</v>
      </c>
      <c r="AD478" t="s">
        <v>52</v>
      </c>
      <c r="AE478" t="s">
        <v>243</v>
      </c>
      <c r="AF478" t="s">
        <v>2533</v>
      </c>
      <c r="AG478" t="s">
        <v>58</v>
      </c>
      <c r="AH478">
        <v>13954</v>
      </c>
      <c r="AK478">
        <v>1</v>
      </c>
      <c r="AL478" t="s">
        <v>61</v>
      </c>
      <c r="AM478" t="s">
        <v>2569</v>
      </c>
      <c r="AN478" t="s">
        <v>2570</v>
      </c>
    </row>
    <row r="479" spans="1:40" x14ac:dyDescent="0.35">
      <c r="A479" t="s">
        <v>37</v>
      </c>
      <c r="B479" t="s">
        <v>2571</v>
      </c>
      <c r="C479" t="s">
        <v>102</v>
      </c>
      <c r="D479" t="s">
        <v>89</v>
      </c>
      <c r="E479" t="s">
        <v>1158</v>
      </c>
      <c r="F479" s="1">
        <v>46077.52239583333</v>
      </c>
      <c r="G479" t="s">
        <v>793</v>
      </c>
      <c r="H479" t="s">
        <v>356</v>
      </c>
      <c r="I479" t="s">
        <v>2572</v>
      </c>
      <c r="J479" t="s">
        <v>2531</v>
      </c>
      <c r="K479" t="s">
        <v>2532</v>
      </c>
      <c r="M479" t="s">
        <v>150</v>
      </c>
      <c r="O479" t="s">
        <v>237</v>
      </c>
      <c r="P479" t="s">
        <v>238</v>
      </c>
      <c r="Q479" t="s">
        <v>1174</v>
      </c>
      <c r="R479" t="s">
        <v>51</v>
      </c>
      <c r="S479" t="s">
        <v>52</v>
      </c>
      <c r="T479" t="s">
        <v>240</v>
      </c>
      <c r="U479" s="1">
        <v>46077.561377314814</v>
      </c>
      <c r="V479" t="s">
        <v>54</v>
      </c>
      <c r="W479" t="s">
        <v>55</v>
      </c>
      <c r="X479" t="s">
        <v>211</v>
      </c>
      <c r="Y479" t="e">
        <f>- Please note that, your username has been whitelisted now. kindly ensure that you are using only one device to punch.</f>
        <v>#NAME?</v>
      </c>
      <c r="Z479" t="s">
        <v>58</v>
      </c>
      <c r="AA479" t="s">
        <v>54</v>
      </c>
      <c r="AB479" t="s">
        <v>213</v>
      </c>
      <c r="AC479" t="s">
        <v>242</v>
      </c>
      <c r="AD479" t="s">
        <v>52</v>
      </c>
      <c r="AE479" t="s">
        <v>243</v>
      </c>
      <c r="AF479" t="s">
        <v>2533</v>
      </c>
      <c r="AG479" t="s">
        <v>58</v>
      </c>
      <c r="AH479">
        <v>14987</v>
      </c>
      <c r="AK479">
        <v>1</v>
      </c>
      <c r="AL479" t="s">
        <v>61</v>
      </c>
      <c r="AM479" t="s">
        <v>2534</v>
      </c>
      <c r="AN479" t="s">
        <v>2535</v>
      </c>
    </row>
    <row r="480" spans="1:40" x14ac:dyDescent="0.35">
      <c r="A480" t="s">
        <v>37</v>
      </c>
      <c r="B480" t="s">
        <v>2573</v>
      </c>
      <c r="C480" t="s">
        <v>39</v>
      </c>
      <c r="D480" t="s">
        <v>2105</v>
      </c>
      <c r="E480" t="s">
        <v>2106</v>
      </c>
      <c r="F480" s="1">
        <v>46077.51761574074</v>
      </c>
      <c r="G480" t="s">
        <v>377</v>
      </c>
      <c r="H480" t="s">
        <v>287</v>
      </c>
      <c r="I480" t="s">
        <v>2543</v>
      </c>
      <c r="J480" t="s">
        <v>2256</v>
      </c>
      <c r="K480" t="s">
        <v>2257</v>
      </c>
      <c r="M480" t="s">
        <v>131</v>
      </c>
      <c r="O480" t="s">
        <v>77</v>
      </c>
      <c r="P480" t="s">
        <v>78</v>
      </c>
      <c r="Q480" t="s">
        <v>50</v>
      </c>
      <c r="R480" t="s">
        <v>51</v>
      </c>
      <c r="S480" t="s">
        <v>52</v>
      </c>
      <c r="T480" t="s">
        <v>240</v>
      </c>
      <c r="U480" s="1">
        <v>46078.50849537037</v>
      </c>
      <c r="V480" t="s">
        <v>54</v>
      </c>
      <c r="W480" t="s">
        <v>55</v>
      </c>
      <c r="X480" t="s">
        <v>134</v>
      </c>
      <c r="Y480" t="s">
        <v>2574</v>
      </c>
      <c r="Z480" t="s">
        <v>58</v>
      </c>
      <c r="AA480" t="s">
        <v>54</v>
      </c>
      <c r="AB480" t="s">
        <v>458</v>
      </c>
      <c r="AC480" t="s">
        <v>85</v>
      </c>
      <c r="AD480" t="s">
        <v>52</v>
      </c>
      <c r="AE480" t="s">
        <v>2575</v>
      </c>
      <c r="AF480" t="s">
        <v>2576</v>
      </c>
      <c r="AG480" t="s">
        <v>58</v>
      </c>
      <c r="AH480" t="s">
        <v>2112</v>
      </c>
      <c r="AK480">
        <v>1</v>
      </c>
      <c r="AL480" t="s">
        <v>61</v>
      </c>
      <c r="AM480" t="s">
        <v>2113</v>
      </c>
      <c r="AN480" t="s">
        <v>2114</v>
      </c>
    </row>
    <row r="481" spans="1:40" x14ac:dyDescent="0.35">
      <c r="A481" t="s">
        <v>37</v>
      </c>
      <c r="B481" t="s">
        <v>2577</v>
      </c>
      <c r="C481" t="s">
        <v>102</v>
      </c>
      <c r="D481" t="s">
        <v>2578</v>
      </c>
      <c r="E481" t="s">
        <v>2579</v>
      </c>
      <c r="F481" s="1">
        <v>46077.519652777781</v>
      </c>
      <c r="G481" t="s">
        <v>793</v>
      </c>
      <c r="H481" t="s">
        <v>356</v>
      </c>
      <c r="I481" t="s">
        <v>2580</v>
      </c>
      <c r="J481" t="s">
        <v>2581</v>
      </c>
      <c r="K481" t="s">
        <v>2582</v>
      </c>
      <c r="M481" t="s">
        <v>47</v>
      </c>
      <c r="O481" t="s">
        <v>77</v>
      </c>
      <c r="P481" t="s">
        <v>78</v>
      </c>
      <c r="Q481" t="s">
        <v>1174</v>
      </c>
      <c r="R481" t="s">
        <v>51</v>
      </c>
      <c r="S481" t="s">
        <v>195</v>
      </c>
      <c r="T481" t="s">
        <v>195</v>
      </c>
      <c r="U481" s="1">
        <v>46078.497129629628</v>
      </c>
      <c r="V481" t="s">
        <v>54</v>
      </c>
      <c r="W481" t="s">
        <v>55</v>
      </c>
      <c r="X481" t="s">
        <v>56</v>
      </c>
      <c r="Y481" t="s">
        <v>2583</v>
      </c>
      <c r="Z481" t="s">
        <v>58</v>
      </c>
      <c r="AA481" t="s">
        <v>54</v>
      </c>
      <c r="AB481" t="s">
        <v>2584</v>
      </c>
      <c r="AC481" t="s">
        <v>85</v>
      </c>
      <c r="AD481" t="s">
        <v>51</v>
      </c>
      <c r="AE481" t="s">
        <v>195</v>
      </c>
      <c r="AF481" t="s">
        <v>195</v>
      </c>
      <c r="AG481" t="s">
        <v>58</v>
      </c>
      <c r="AH481" t="s">
        <v>2585</v>
      </c>
      <c r="AK481">
        <v>0</v>
      </c>
      <c r="AL481" t="s">
        <v>61</v>
      </c>
      <c r="AM481" t="s">
        <v>2584</v>
      </c>
      <c r="AN481" t="s">
        <v>2586</v>
      </c>
    </row>
    <row r="482" spans="1:40" x14ac:dyDescent="0.35">
      <c r="A482" t="s">
        <v>37</v>
      </c>
      <c r="B482" t="s">
        <v>2587</v>
      </c>
      <c r="C482" t="s">
        <v>102</v>
      </c>
      <c r="D482" t="s">
        <v>2588</v>
      </c>
      <c r="E482" t="s">
        <v>2589</v>
      </c>
      <c r="F482" s="1">
        <v>46077.512962962966</v>
      </c>
      <c r="G482" t="s">
        <v>393</v>
      </c>
      <c r="H482" t="s">
        <v>92</v>
      </c>
      <c r="I482" t="s">
        <v>2590</v>
      </c>
      <c r="J482" t="s">
        <v>2108</v>
      </c>
      <c r="K482" t="s">
        <v>2109</v>
      </c>
      <c r="M482" t="s">
        <v>131</v>
      </c>
      <c r="O482" t="s">
        <v>237</v>
      </c>
      <c r="P482" t="s">
        <v>238</v>
      </c>
      <c r="Q482" t="s">
        <v>2591</v>
      </c>
      <c r="R482" t="s">
        <v>51</v>
      </c>
      <c r="S482" t="s">
        <v>52</v>
      </c>
      <c r="T482" t="s">
        <v>240</v>
      </c>
      <c r="U482" s="1">
        <v>46078.458124999997</v>
      </c>
      <c r="V482" t="s">
        <v>54</v>
      </c>
      <c r="W482" t="s">
        <v>55</v>
      </c>
      <c r="X482" t="s">
        <v>134</v>
      </c>
      <c r="Y482" t="s">
        <v>2119</v>
      </c>
      <c r="Z482" t="s">
        <v>58</v>
      </c>
      <c r="AA482" t="s">
        <v>54</v>
      </c>
      <c r="AB482" t="s">
        <v>408</v>
      </c>
      <c r="AC482" t="s">
        <v>242</v>
      </c>
      <c r="AD482" t="s">
        <v>52</v>
      </c>
      <c r="AE482" t="s">
        <v>243</v>
      </c>
      <c r="AF482" t="s">
        <v>1470</v>
      </c>
      <c r="AG482" t="s">
        <v>58</v>
      </c>
      <c r="AH482">
        <v>11329</v>
      </c>
      <c r="AK482">
        <v>1</v>
      </c>
      <c r="AL482" t="s">
        <v>410</v>
      </c>
      <c r="AM482" t="s">
        <v>2592</v>
      </c>
      <c r="AN482" t="s">
        <v>2593</v>
      </c>
    </row>
    <row r="483" spans="1:40" x14ac:dyDescent="0.35">
      <c r="A483" t="s">
        <v>37</v>
      </c>
      <c r="B483" t="s">
        <v>2594</v>
      </c>
      <c r="C483" t="s">
        <v>102</v>
      </c>
      <c r="D483" t="s">
        <v>651</v>
      </c>
      <c r="E483" t="s">
        <v>1465</v>
      </c>
      <c r="F483" s="1">
        <v>46077.509340277778</v>
      </c>
      <c r="G483" t="s">
        <v>722</v>
      </c>
      <c r="H483" t="s">
        <v>356</v>
      </c>
      <c r="I483" t="s">
        <v>2595</v>
      </c>
      <c r="J483" t="s">
        <v>1467</v>
      </c>
      <c r="K483" t="s">
        <v>1468</v>
      </c>
      <c r="M483" t="s">
        <v>131</v>
      </c>
      <c r="O483" t="s">
        <v>237</v>
      </c>
      <c r="P483" t="s">
        <v>238</v>
      </c>
      <c r="Q483" t="s">
        <v>50</v>
      </c>
      <c r="R483" t="s">
        <v>51</v>
      </c>
      <c r="S483" t="s">
        <v>52</v>
      </c>
      <c r="T483" t="s">
        <v>240</v>
      </c>
      <c r="U483" s="1">
        <v>46077.570729166669</v>
      </c>
      <c r="V483" t="s">
        <v>54</v>
      </c>
      <c r="W483" t="s">
        <v>55</v>
      </c>
      <c r="X483" t="s">
        <v>211</v>
      </c>
      <c r="Y483" t="s">
        <v>2596</v>
      </c>
      <c r="Z483" t="s">
        <v>58</v>
      </c>
      <c r="AA483" t="s">
        <v>54</v>
      </c>
      <c r="AB483" t="s">
        <v>213</v>
      </c>
      <c r="AC483" t="s">
        <v>242</v>
      </c>
      <c r="AD483" t="s">
        <v>52</v>
      </c>
      <c r="AE483" t="s">
        <v>243</v>
      </c>
      <c r="AF483" t="s">
        <v>1470</v>
      </c>
      <c r="AG483" t="s">
        <v>58</v>
      </c>
      <c r="AH483">
        <v>12396</v>
      </c>
      <c r="AK483">
        <v>1</v>
      </c>
      <c r="AL483" t="s">
        <v>61</v>
      </c>
      <c r="AM483" t="s">
        <v>1471</v>
      </c>
      <c r="AN483" t="s">
        <v>1472</v>
      </c>
    </row>
    <row r="484" spans="1:40" x14ac:dyDescent="0.35">
      <c r="A484" t="s">
        <v>37</v>
      </c>
      <c r="B484" t="s">
        <v>2597</v>
      </c>
      <c r="C484" t="s">
        <v>39</v>
      </c>
      <c r="D484" t="s">
        <v>444</v>
      </c>
      <c r="E484" t="s">
        <v>2598</v>
      </c>
      <c r="F484" s="1">
        <v>46077.506006944444</v>
      </c>
      <c r="G484" t="s">
        <v>734</v>
      </c>
      <c r="H484" t="s">
        <v>356</v>
      </c>
      <c r="I484" t="s">
        <v>2599</v>
      </c>
      <c r="J484" t="s">
        <v>2117</v>
      </c>
      <c r="K484" t="s">
        <v>2109</v>
      </c>
      <c r="M484" t="s">
        <v>131</v>
      </c>
      <c r="O484" t="s">
        <v>77</v>
      </c>
      <c r="P484" t="s">
        <v>78</v>
      </c>
      <c r="Q484" t="s">
        <v>50</v>
      </c>
      <c r="R484" t="s">
        <v>51</v>
      </c>
      <c r="S484" t="s">
        <v>52</v>
      </c>
      <c r="T484" t="s">
        <v>240</v>
      </c>
      <c r="U484" s="1">
        <v>46078.457268518519</v>
      </c>
      <c r="V484" t="s">
        <v>54</v>
      </c>
      <c r="W484" t="s">
        <v>55</v>
      </c>
      <c r="X484" t="s">
        <v>134</v>
      </c>
      <c r="Y484" t="s">
        <v>2119</v>
      </c>
      <c r="Z484" t="s">
        <v>58</v>
      </c>
      <c r="AA484" t="s">
        <v>54</v>
      </c>
      <c r="AB484" t="s">
        <v>408</v>
      </c>
      <c r="AC484" t="s">
        <v>85</v>
      </c>
      <c r="AD484" t="s">
        <v>52</v>
      </c>
      <c r="AE484" t="s">
        <v>438</v>
      </c>
      <c r="AF484" t="s">
        <v>775</v>
      </c>
      <c r="AG484" t="s">
        <v>58</v>
      </c>
      <c r="AH484">
        <v>14231</v>
      </c>
      <c r="AK484">
        <v>1</v>
      </c>
      <c r="AL484" t="s">
        <v>61</v>
      </c>
      <c r="AM484" t="s">
        <v>2600</v>
      </c>
      <c r="AN484" t="s">
        <v>2601</v>
      </c>
    </row>
    <row r="485" spans="1:40" x14ac:dyDescent="0.35">
      <c r="A485" t="s">
        <v>37</v>
      </c>
      <c r="B485" t="s">
        <v>2602</v>
      </c>
      <c r="C485" t="s">
        <v>102</v>
      </c>
      <c r="D485" t="s">
        <v>2603</v>
      </c>
      <c r="E485" t="s">
        <v>1316</v>
      </c>
      <c r="F485" s="1">
        <v>46077.506064814814</v>
      </c>
      <c r="G485" t="s">
        <v>355</v>
      </c>
      <c r="H485" t="s">
        <v>356</v>
      </c>
      <c r="I485" t="s">
        <v>2604</v>
      </c>
      <c r="J485" t="s">
        <v>2605</v>
      </c>
      <c r="K485" t="s">
        <v>588</v>
      </c>
      <c r="M485" t="s">
        <v>131</v>
      </c>
      <c r="O485" t="s">
        <v>77</v>
      </c>
      <c r="P485" t="s">
        <v>78</v>
      </c>
      <c r="Q485" t="s">
        <v>50</v>
      </c>
      <c r="R485" t="s">
        <v>1993</v>
      </c>
      <c r="S485" t="s">
        <v>2606</v>
      </c>
      <c r="T485" t="s">
        <v>2607</v>
      </c>
      <c r="U485" s="1">
        <v>46078.565092592595</v>
      </c>
      <c r="V485" t="s">
        <v>54</v>
      </c>
      <c r="W485" t="s">
        <v>55</v>
      </c>
      <c r="X485" t="s">
        <v>134</v>
      </c>
      <c r="Y485" t="s">
        <v>2608</v>
      </c>
      <c r="Z485" t="s">
        <v>58</v>
      </c>
      <c r="AA485" t="s">
        <v>54</v>
      </c>
      <c r="AB485" t="s">
        <v>2609</v>
      </c>
      <c r="AC485" t="s">
        <v>85</v>
      </c>
      <c r="AD485" t="s">
        <v>1993</v>
      </c>
      <c r="AE485" t="s">
        <v>2610</v>
      </c>
      <c r="AF485" t="s">
        <v>2611</v>
      </c>
      <c r="AG485" t="s">
        <v>58</v>
      </c>
      <c r="AK485">
        <v>0</v>
      </c>
      <c r="AL485" t="s">
        <v>61</v>
      </c>
      <c r="AM485" t="s">
        <v>2612</v>
      </c>
      <c r="AN485" t="s">
        <v>2613</v>
      </c>
    </row>
    <row r="486" spans="1:40" x14ac:dyDescent="0.35">
      <c r="A486" t="s">
        <v>37</v>
      </c>
      <c r="B486" t="s">
        <v>2614</v>
      </c>
      <c r="C486" t="s">
        <v>39</v>
      </c>
      <c r="D486" t="s">
        <v>2615</v>
      </c>
      <c r="E486" t="s">
        <v>2616</v>
      </c>
      <c r="F486" s="1">
        <v>46077.502013888887</v>
      </c>
      <c r="G486" t="s">
        <v>261</v>
      </c>
      <c r="H486" t="s">
        <v>72</v>
      </c>
      <c r="I486" t="s">
        <v>1185</v>
      </c>
      <c r="J486" t="s">
        <v>2406</v>
      </c>
      <c r="K486" t="s">
        <v>1187</v>
      </c>
      <c r="M486" t="s">
        <v>131</v>
      </c>
      <c r="O486" t="s">
        <v>77</v>
      </c>
      <c r="P486" t="s">
        <v>78</v>
      </c>
      <c r="Q486" t="s">
        <v>50</v>
      </c>
      <c r="R486" t="s">
        <v>305</v>
      </c>
      <c r="S486" t="s">
        <v>306</v>
      </c>
      <c r="T486" t="s">
        <v>307</v>
      </c>
      <c r="U486" s="1">
        <v>46077.592592592591</v>
      </c>
      <c r="V486" t="s">
        <v>54</v>
      </c>
      <c r="W486" t="s">
        <v>55</v>
      </c>
      <c r="X486" t="s">
        <v>211</v>
      </c>
      <c r="Y486" t="s">
        <v>2617</v>
      </c>
      <c r="Z486" t="s">
        <v>58</v>
      </c>
      <c r="AA486" t="s">
        <v>54</v>
      </c>
      <c r="AB486" t="s">
        <v>213</v>
      </c>
      <c r="AC486" t="s">
        <v>85</v>
      </c>
      <c r="AD486" t="s">
        <v>1189</v>
      </c>
      <c r="AE486" t="s">
        <v>1190</v>
      </c>
      <c r="AF486" t="s">
        <v>1191</v>
      </c>
      <c r="AG486" t="s">
        <v>58</v>
      </c>
      <c r="AH486">
        <v>15508</v>
      </c>
      <c r="AK486">
        <v>3</v>
      </c>
      <c r="AL486" t="s">
        <v>61</v>
      </c>
      <c r="AM486" t="s">
        <v>2618</v>
      </c>
      <c r="AN486" t="s">
        <v>2619</v>
      </c>
    </row>
    <row r="487" spans="1:40" x14ac:dyDescent="0.35">
      <c r="A487" t="s">
        <v>37</v>
      </c>
      <c r="B487" t="s">
        <v>2620</v>
      </c>
      <c r="C487" t="s">
        <v>39</v>
      </c>
      <c r="D487" t="s">
        <v>2621</v>
      </c>
      <c r="E487" t="s">
        <v>2622</v>
      </c>
      <c r="F487" s="1">
        <v>46077.492615740739</v>
      </c>
      <c r="G487" t="s">
        <v>261</v>
      </c>
      <c r="H487" t="s">
        <v>72</v>
      </c>
      <c r="I487" t="s">
        <v>205</v>
      </c>
      <c r="J487" t="s">
        <v>741</v>
      </c>
      <c r="K487" t="s">
        <v>207</v>
      </c>
      <c r="M487" t="s">
        <v>131</v>
      </c>
      <c r="O487" t="s">
        <v>77</v>
      </c>
      <c r="P487" t="s">
        <v>78</v>
      </c>
      <c r="Q487" t="s">
        <v>50</v>
      </c>
      <c r="R487" t="s">
        <v>208</v>
      </c>
      <c r="S487" t="s">
        <v>209</v>
      </c>
      <c r="T487" t="s">
        <v>210</v>
      </c>
      <c r="U487" s="1">
        <v>46077.543668981481</v>
      </c>
      <c r="V487" t="s">
        <v>54</v>
      </c>
      <c r="W487" t="s">
        <v>55</v>
      </c>
      <c r="X487" t="s">
        <v>211</v>
      </c>
      <c r="Y487" t="s">
        <v>2623</v>
      </c>
      <c r="Z487" t="s">
        <v>58</v>
      </c>
      <c r="AA487" t="s">
        <v>54</v>
      </c>
      <c r="AB487" t="s">
        <v>213</v>
      </c>
      <c r="AC487" t="s">
        <v>85</v>
      </c>
      <c r="AD487" t="s">
        <v>214</v>
      </c>
      <c r="AE487" t="s">
        <v>215</v>
      </c>
      <c r="AF487" t="s">
        <v>216</v>
      </c>
      <c r="AG487" t="s">
        <v>58</v>
      </c>
      <c r="AH487" t="s">
        <v>2624</v>
      </c>
      <c r="AK487">
        <v>1</v>
      </c>
      <c r="AL487" t="s">
        <v>61</v>
      </c>
      <c r="AM487" t="s">
        <v>2625</v>
      </c>
      <c r="AN487" t="s">
        <v>2626</v>
      </c>
    </row>
    <row r="488" spans="1:40" x14ac:dyDescent="0.35">
      <c r="A488" t="s">
        <v>37</v>
      </c>
      <c r="B488" t="s">
        <v>2627</v>
      </c>
      <c r="C488" t="s">
        <v>656</v>
      </c>
      <c r="D488" t="s">
        <v>732</v>
      </c>
      <c r="E488" t="s">
        <v>733</v>
      </c>
      <c r="F488" s="1">
        <v>46077.499583333331</v>
      </c>
      <c r="G488" t="s">
        <v>734</v>
      </c>
      <c r="H488" t="s">
        <v>356</v>
      </c>
      <c r="I488" t="s">
        <v>2628</v>
      </c>
      <c r="J488" t="s">
        <v>2629</v>
      </c>
      <c r="K488" t="s">
        <v>2630</v>
      </c>
      <c r="M488" t="s">
        <v>76</v>
      </c>
      <c r="O488" t="s">
        <v>77</v>
      </c>
      <c r="P488" t="s">
        <v>78</v>
      </c>
      <c r="Q488" t="s">
        <v>50</v>
      </c>
      <c r="R488" t="s">
        <v>1321</v>
      </c>
      <c r="S488" t="s">
        <v>2631</v>
      </c>
      <c r="T488" t="s">
        <v>967</v>
      </c>
      <c r="U488" s="1">
        <v>46077.539340277777</v>
      </c>
      <c r="V488" t="s">
        <v>54</v>
      </c>
      <c r="W488" t="s">
        <v>55</v>
      </c>
      <c r="X488" t="s">
        <v>134</v>
      </c>
      <c r="Y488" t="s">
        <v>2632</v>
      </c>
      <c r="Z488" t="s">
        <v>58</v>
      </c>
      <c r="AA488" t="s">
        <v>54</v>
      </c>
      <c r="AB488" t="s">
        <v>612</v>
      </c>
      <c r="AC488" t="s">
        <v>85</v>
      </c>
      <c r="AD488" t="s">
        <v>1321</v>
      </c>
      <c r="AE488" t="s">
        <v>2631</v>
      </c>
      <c r="AF488" t="s">
        <v>967</v>
      </c>
      <c r="AG488" t="s">
        <v>58</v>
      </c>
      <c r="AH488">
        <v>15860</v>
      </c>
      <c r="AK488">
        <v>1</v>
      </c>
      <c r="AL488" t="s">
        <v>61</v>
      </c>
      <c r="AM488" t="s">
        <v>736</v>
      </c>
      <c r="AN488" t="s">
        <v>737</v>
      </c>
    </row>
    <row r="489" spans="1:40" x14ac:dyDescent="0.35">
      <c r="A489" t="s">
        <v>37</v>
      </c>
      <c r="B489" t="s">
        <v>2633</v>
      </c>
      <c r="C489" t="s">
        <v>39</v>
      </c>
      <c r="D489" t="s">
        <v>1352</v>
      </c>
      <c r="E489" t="s">
        <v>1353</v>
      </c>
      <c r="F489" s="1">
        <v>46077.490995370368</v>
      </c>
      <c r="G489" t="s">
        <v>377</v>
      </c>
      <c r="H489" t="s">
        <v>287</v>
      </c>
      <c r="I489" t="s">
        <v>2255</v>
      </c>
      <c r="J489" t="s">
        <v>2256</v>
      </c>
      <c r="K489" t="s">
        <v>2257</v>
      </c>
      <c r="M489" t="s">
        <v>131</v>
      </c>
      <c r="O489" t="s">
        <v>77</v>
      </c>
      <c r="P489" t="s">
        <v>78</v>
      </c>
      <c r="Q489" t="s">
        <v>50</v>
      </c>
      <c r="R489" t="s">
        <v>51</v>
      </c>
      <c r="S489" t="s">
        <v>52</v>
      </c>
      <c r="T489" t="s">
        <v>773</v>
      </c>
      <c r="U489" s="1">
        <v>46078.528402777774</v>
      </c>
      <c r="V489" t="s">
        <v>54</v>
      </c>
      <c r="W489" t="s">
        <v>55</v>
      </c>
      <c r="X489" t="s">
        <v>211</v>
      </c>
      <c r="Y489" t="s">
        <v>2258</v>
      </c>
      <c r="Z489" t="s">
        <v>58</v>
      </c>
      <c r="AA489" t="s">
        <v>54</v>
      </c>
      <c r="AB489" t="s">
        <v>213</v>
      </c>
      <c r="AC489" t="s">
        <v>85</v>
      </c>
      <c r="AD489" t="s">
        <v>52</v>
      </c>
      <c r="AE489" t="s">
        <v>438</v>
      </c>
      <c r="AF489" t="s">
        <v>2204</v>
      </c>
      <c r="AG489" t="s">
        <v>58</v>
      </c>
      <c r="AH489" t="s">
        <v>1357</v>
      </c>
      <c r="AK489">
        <v>1</v>
      </c>
      <c r="AL489" t="s">
        <v>61</v>
      </c>
      <c r="AM489" t="s">
        <v>1358</v>
      </c>
      <c r="AN489" t="s">
        <v>1359</v>
      </c>
    </row>
    <row r="490" spans="1:40" x14ac:dyDescent="0.35">
      <c r="A490" t="s">
        <v>37</v>
      </c>
      <c r="B490" t="s">
        <v>2634</v>
      </c>
      <c r="C490" t="s">
        <v>39</v>
      </c>
      <c r="D490" t="s">
        <v>2635</v>
      </c>
      <c r="E490" t="s">
        <v>854</v>
      </c>
      <c r="F490" s="1">
        <v>46077.488402777781</v>
      </c>
      <c r="G490" t="s">
        <v>464</v>
      </c>
      <c r="H490" t="s">
        <v>287</v>
      </c>
      <c r="I490" t="s">
        <v>2636</v>
      </c>
      <c r="J490" t="s">
        <v>2117</v>
      </c>
      <c r="K490" t="s">
        <v>2118</v>
      </c>
      <c r="M490" t="s">
        <v>131</v>
      </c>
      <c r="O490" t="s">
        <v>77</v>
      </c>
      <c r="P490" t="s">
        <v>78</v>
      </c>
      <c r="Q490" t="s">
        <v>465</v>
      </c>
      <c r="R490" t="s">
        <v>51</v>
      </c>
      <c r="S490" t="s">
        <v>52</v>
      </c>
      <c r="T490" t="s">
        <v>240</v>
      </c>
      <c r="U490" s="1">
        <v>46077.499131944445</v>
      </c>
      <c r="V490" t="s">
        <v>54</v>
      </c>
      <c r="W490" t="s">
        <v>55</v>
      </c>
      <c r="X490" t="s">
        <v>134</v>
      </c>
      <c r="Y490" t="s">
        <v>2637</v>
      </c>
      <c r="Z490" t="s">
        <v>58</v>
      </c>
      <c r="AA490" t="s">
        <v>54</v>
      </c>
      <c r="AB490" t="s">
        <v>408</v>
      </c>
      <c r="AC490" t="s">
        <v>85</v>
      </c>
      <c r="AD490" t="s">
        <v>52</v>
      </c>
      <c r="AE490" t="s">
        <v>243</v>
      </c>
      <c r="AF490" t="s">
        <v>1470</v>
      </c>
      <c r="AG490" t="s">
        <v>58</v>
      </c>
      <c r="AH490">
        <v>3811</v>
      </c>
      <c r="AK490">
        <v>1</v>
      </c>
      <c r="AL490" t="s">
        <v>61</v>
      </c>
      <c r="AM490" t="s">
        <v>2638</v>
      </c>
      <c r="AN490" t="s">
        <v>2639</v>
      </c>
    </row>
    <row r="491" spans="1:40" x14ac:dyDescent="0.35">
      <c r="A491" t="s">
        <v>37</v>
      </c>
      <c r="B491" t="s">
        <v>2640</v>
      </c>
      <c r="C491" t="s">
        <v>39</v>
      </c>
      <c r="D491" t="s">
        <v>2635</v>
      </c>
      <c r="E491" t="s">
        <v>854</v>
      </c>
      <c r="F491" s="1">
        <v>46077.486828703702</v>
      </c>
      <c r="G491" t="s">
        <v>464</v>
      </c>
      <c r="H491" t="s">
        <v>287</v>
      </c>
      <c r="I491" t="s">
        <v>2641</v>
      </c>
      <c r="J491" t="s">
        <v>1833</v>
      </c>
      <c r="K491" t="s">
        <v>1834</v>
      </c>
      <c r="M491" t="s">
        <v>76</v>
      </c>
      <c r="O491" t="s">
        <v>77</v>
      </c>
      <c r="P491" t="s">
        <v>78</v>
      </c>
      <c r="Q491" t="s">
        <v>465</v>
      </c>
      <c r="R491" t="s">
        <v>51</v>
      </c>
      <c r="S491" t="s">
        <v>52</v>
      </c>
      <c r="T491" t="s">
        <v>773</v>
      </c>
      <c r="U491" s="1">
        <v>46077.589456018519</v>
      </c>
      <c r="V491" t="s">
        <v>54</v>
      </c>
      <c r="W491" t="s">
        <v>55</v>
      </c>
      <c r="X491" t="s">
        <v>134</v>
      </c>
      <c r="Y491" t="s">
        <v>2642</v>
      </c>
      <c r="Z491" t="s">
        <v>58</v>
      </c>
      <c r="AA491" t="s">
        <v>54</v>
      </c>
      <c r="AB491" t="s">
        <v>408</v>
      </c>
      <c r="AC491" t="s">
        <v>85</v>
      </c>
      <c r="AD491" t="s">
        <v>52</v>
      </c>
      <c r="AE491" t="s">
        <v>438</v>
      </c>
      <c r="AF491" t="s">
        <v>2204</v>
      </c>
      <c r="AG491" t="s">
        <v>58</v>
      </c>
      <c r="AH491">
        <v>3811</v>
      </c>
      <c r="AK491">
        <v>1</v>
      </c>
      <c r="AL491" t="s">
        <v>61</v>
      </c>
      <c r="AM491" t="s">
        <v>2638</v>
      </c>
      <c r="AN491" t="s">
        <v>2639</v>
      </c>
    </row>
    <row r="492" spans="1:40" x14ac:dyDescent="0.35">
      <c r="A492" t="s">
        <v>37</v>
      </c>
      <c r="B492" t="s">
        <v>2643</v>
      </c>
      <c r="C492" t="s">
        <v>102</v>
      </c>
      <c r="D492" t="s">
        <v>617</v>
      </c>
      <c r="E492" t="s">
        <v>618</v>
      </c>
      <c r="F492" s="1">
        <v>46077.485601851855</v>
      </c>
      <c r="G492" t="s">
        <v>286</v>
      </c>
      <c r="H492" t="s">
        <v>287</v>
      </c>
      <c r="I492" t="s">
        <v>2644</v>
      </c>
      <c r="J492" t="s">
        <v>620</v>
      </c>
      <c r="K492" t="s">
        <v>130</v>
      </c>
      <c r="M492" t="s">
        <v>131</v>
      </c>
      <c r="O492" t="s">
        <v>77</v>
      </c>
      <c r="P492" t="s">
        <v>78</v>
      </c>
      <c r="Q492" t="s">
        <v>50</v>
      </c>
      <c r="R492" t="s">
        <v>132</v>
      </c>
      <c r="S492" t="s">
        <v>133</v>
      </c>
      <c r="T492" t="s">
        <v>133</v>
      </c>
      <c r="U492" s="1">
        <v>46077.529710648145</v>
      </c>
      <c r="V492" t="s">
        <v>54</v>
      </c>
      <c r="W492" t="s">
        <v>55</v>
      </c>
      <c r="X492" t="s">
        <v>134</v>
      </c>
      <c r="Y492" t="s">
        <v>2645</v>
      </c>
      <c r="Z492" t="s">
        <v>58</v>
      </c>
      <c r="AA492" t="s">
        <v>54</v>
      </c>
      <c r="AB492" t="s">
        <v>622</v>
      </c>
      <c r="AC492" t="s">
        <v>85</v>
      </c>
      <c r="AD492" t="s">
        <v>132</v>
      </c>
      <c r="AE492" t="s">
        <v>133</v>
      </c>
      <c r="AF492" t="s">
        <v>133</v>
      </c>
      <c r="AG492" t="s">
        <v>58</v>
      </c>
      <c r="AH492" t="s">
        <v>623</v>
      </c>
      <c r="AK492">
        <v>1</v>
      </c>
      <c r="AL492" t="s">
        <v>61</v>
      </c>
      <c r="AM492" t="s">
        <v>622</v>
      </c>
      <c r="AN492" t="s">
        <v>624</v>
      </c>
    </row>
    <row r="493" spans="1:40" x14ac:dyDescent="0.35">
      <c r="A493" t="s">
        <v>37</v>
      </c>
      <c r="B493" t="s">
        <v>2646</v>
      </c>
      <c r="C493" t="s">
        <v>102</v>
      </c>
      <c r="D493" t="s">
        <v>761</v>
      </c>
      <c r="E493" t="s">
        <v>762</v>
      </c>
      <c r="F493" s="1">
        <v>46077.485324074078</v>
      </c>
      <c r="G493" t="s">
        <v>105</v>
      </c>
      <c r="H493" t="s">
        <v>106</v>
      </c>
      <c r="I493" t="s">
        <v>2647</v>
      </c>
      <c r="J493" t="s">
        <v>108</v>
      </c>
      <c r="K493" t="s">
        <v>571</v>
      </c>
      <c r="M493" t="s">
        <v>76</v>
      </c>
      <c r="O493" t="s">
        <v>77</v>
      </c>
      <c r="P493" t="s">
        <v>78</v>
      </c>
      <c r="Q493" t="s">
        <v>50</v>
      </c>
      <c r="R493" t="s">
        <v>111</v>
      </c>
      <c r="S493" t="s">
        <v>51</v>
      </c>
      <c r="T493" t="s">
        <v>112</v>
      </c>
      <c r="U493" s="1">
        <v>46078.090532407405</v>
      </c>
      <c r="V493" t="s">
        <v>54</v>
      </c>
      <c r="W493" t="s">
        <v>55</v>
      </c>
      <c r="X493" t="s">
        <v>134</v>
      </c>
      <c r="Y493" t="s">
        <v>1572</v>
      </c>
      <c r="Z493" t="s">
        <v>58</v>
      </c>
      <c r="AA493" t="s">
        <v>54</v>
      </c>
      <c r="AB493" t="s">
        <v>115</v>
      </c>
      <c r="AC493" t="s">
        <v>85</v>
      </c>
      <c r="AD493" t="s">
        <v>116</v>
      </c>
      <c r="AE493" t="s">
        <v>1541</v>
      </c>
      <c r="AF493" t="s">
        <v>144</v>
      </c>
      <c r="AG493" t="s">
        <v>58</v>
      </c>
      <c r="AH493" t="s">
        <v>765</v>
      </c>
      <c r="AK493">
        <v>1</v>
      </c>
      <c r="AL493" t="s">
        <v>61</v>
      </c>
      <c r="AM493" t="s">
        <v>766</v>
      </c>
      <c r="AN493" t="s">
        <v>767</v>
      </c>
    </row>
    <row r="494" spans="1:40" x14ac:dyDescent="0.35">
      <c r="A494" t="s">
        <v>37</v>
      </c>
      <c r="B494" t="s">
        <v>2648</v>
      </c>
      <c r="C494" t="s">
        <v>102</v>
      </c>
      <c r="D494" t="s">
        <v>2649</v>
      </c>
      <c r="E494" t="s">
        <v>2650</v>
      </c>
      <c r="F494" s="1">
        <v>46077.483171296299</v>
      </c>
      <c r="G494" t="s">
        <v>71</v>
      </c>
      <c r="H494" t="s">
        <v>72</v>
      </c>
      <c r="I494" t="s">
        <v>2651</v>
      </c>
      <c r="J494" t="s">
        <v>1555</v>
      </c>
      <c r="K494" t="s">
        <v>951</v>
      </c>
      <c r="M494" t="s">
        <v>76</v>
      </c>
      <c r="O494" t="s">
        <v>237</v>
      </c>
      <c r="P494" t="s">
        <v>238</v>
      </c>
      <c r="Q494" t="s">
        <v>50</v>
      </c>
      <c r="R494" t="s">
        <v>79</v>
      </c>
      <c r="S494" t="s">
        <v>1124</v>
      </c>
      <c r="T494" t="s">
        <v>2652</v>
      </c>
      <c r="U494" s="1">
        <v>46077.507037037038</v>
      </c>
      <c r="V494" t="s">
        <v>54</v>
      </c>
      <c r="W494" t="s">
        <v>55</v>
      </c>
      <c r="X494" t="s">
        <v>113</v>
      </c>
      <c r="Y494" t="s">
        <v>2653</v>
      </c>
      <c r="Z494" t="s">
        <v>58</v>
      </c>
      <c r="AA494" t="s">
        <v>54</v>
      </c>
      <c r="AB494" t="s">
        <v>2654</v>
      </c>
      <c r="AC494" t="s">
        <v>242</v>
      </c>
      <c r="AD494" t="s">
        <v>79</v>
      </c>
      <c r="AE494" t="s">
        <v>1124</v>
      </c>
      <c r="AF494" t="s">
        <v>2655</v>
      </c>
      <c r="AG494" t="s">
        <v>58</v>
      </c>
      <c r="AH494">
        <v>15938</v>
      </c>
      <c r="AK494">
        <v>0</v>
      </c>
      <c r="AL494" t="s">
        <v>61</v>
      </c>
      <c r="AM494" t="s">
        <v>2656</v>
      </c>
      <c r="AN494" t="s">
        <v>2657</v>
      </c>
    </row>
    <row r="495" spans="1:40" x14ac:dyDescent="0.35">
      <c r="A495" t="s">
        <v>37</v>
      </c>
      <c r="B495" t="s">
        <v>2658</v>
      </c>
      <c r="C495" t="s">
        <v>39</v>
      </c>
      <c r="D495" t="s">
        <v>2659</v>
      </c>
      <c r="E495" t="s">
        <v>2660</v>
      </c>
      <c r="F495" s="1">
        <v>46077.481539351851</v>
      </c>
      <c r="G495" t="s">
        <v>71</v>
      </c>
      <c r="H495" t="s">
        <v>72</v>
      </c>
      <c r="I495" t="s">
        <v>2661</v>
      </c>
      <c r="J495" t="s">
        <v>1555</v>
      </c>
      <c r="K495" t="s">
        <v>951</v>
      </c>
      <c r="M495" t="s">
        <v>76</v>
      </c>
      <c r="O495" t="s">
        <v>77</v>
      </c>
      <c r="P495" t="s">
        <v>78</v>
      </c>
      <c r="Q495" t="s">
        <v>50</v>
      </c>
      <c r="R495" t="s">
        <v>79</v>
      </c>
      <c r="S495" t="s">
        <v>967</v>
      </c>
      <c r="T495" t="s">
        <v>1028</v>
      </c>
      <c r="U495" s="1">
        <v>46077.523298611108</v>
      </c>
      <c r="V495" t="s">
        <v>54</v>
      </c>
      <c r="W495" t="s">
        <v>55</v>
      </c>
      <c r="X495" t="s">
        <v>113</v>
      </c>
      <c r="Y495" t="s">
        <v>2662</v>
      </c>
      <c r="Z495" t="s">
        <v>58</v>
      </c>
      <c r="AA495" t="s">
        <v>54</v>
      </c>
      <c r="AB495" t="s">
        <v>2654</v>
      </c>
      <c r="AC495" t="s">
        <v>85</v>
      </c>
      <c r="AD495" t="s">
        <v>79</v>
      </c>
      <c r="AE495" t="s">
        <v>967</v>
      </c>
      <c r="AF495" t="s">
        <v>1028</v>
      </c>
      <c r="AG495" t="s">
        <v>58</v>
      </c>
      <c r="AH495" t="s">
        <v>2663</v>
      </c>
      <c r="AK495">
        <v>0</v>
      </c>
      <c r="AL495" t="s">
        <v>61</v>
      </c>
      <c r="AM495" t="s">
        <v>2664</v>
      </c>
      <c r="AN495" t="s">
        <v>2665</v>
      </c>
    </row>
    <row r="496" spans="1:40" x14ac:dyDescent="0.35">
      <c r="A496" t="s">
        <v>37</v>
      </c>
      <c r="B496" t="s">
        <v>2666</v>
      </c>
      <c r="C496" t="s">
        <v>39</v>
      </c>
      <c r="D496" t="s">
        <v>2667</v>
      </c>
      <c r="E496" t="s">
        <v>2668</v>
      </c>
      <c r="F496" s="1">
        <v>46077.481076388889</v>
      </c>
      <c r="G496" t="s">
        <v>71</v>
      </c>
      <c r="H496" t="s">
        <v>72</v>
      </c>
      <c r="I496" t="s">
        <v>2669</v>
      </c>
      <c r="J496" t="s">
        <v>1555</v>
      </c>
      <c r="K496" t="s">
        <v>951</v>
      </c>
      <c r="M496" t="s">
        <v>76</v>
      </c>
      <c r="O496" t="s">
        <v>77</v>
      </c>
      <c r="P496" t="s">
        <v>78</v>
      </c>
      <c r="Q496" t="s">
        <v>1027</v>
      </c>
      <c r="R496" t="s">
        <v>2670</v>
      </c>
      <c r="S496" t="s">
        <v>967</v>
      </c>
      <c r="T496" t="s">
        <v>2671</v>
      </c>
      <c r="U496" s="1">
        <v>46077.515752314815</v>
      </c>
      <c r="V496" t="s">
        <v>54</v>
      </c>
      <c r="W496" t="s">
        <v>55</v>
      </c>
      <c r="X496" t="s">
        <v>113</v>
      </c>
      <c r="Y496" t="s">
        <v>2672</v>
      </c>
      <c r="Z496" t="s">
        <v>58</v>
      </c>
      <c r="AA496" t="s">
        <v>54</v>
      </c>
      <c r="AB496" t="s">
        <v>2654</v>
      </c>
      <c r="AC496" t="s">
        <v>85</v>
      </c>
      <c r="AD496" t="s">
        <v>2670</v>
      </c>
      <c r="AE496" t="s">
        <v>967</v>
      </c>
      <c r="AF496" t="s">
        <v>2673</v>
      </c>
      <c r="AG496" t="s">
        <v>58</v>
      </c>
      <c r="AH496">
        <v>7126</v>
      </c>
      <c r="AK496">
        <v>0</v>
      </c>
      <c r="AL496" t="s">
        <v>61</v>
      </c>
      <c r="AM496" t="s">
        <v>2674</v>
      </c>
      <c r="AN496" t="s">
        <v>2675</v>
      </c>
    </row>
    <row r="497" spans="1:40" x14ac:dyDescent="0.35">
      <c r="A497" t="s">
        <v>37</v>
      </c>
      <c r="B497" t="s">
        <v>2676</v>
      </c>
      <c r="C497" t="s">
        <v>102</v>
      </c>
      <c r="D497" t="s">
        <v>191</v>
      </c>
      <c r="E497" t="s">
        <v>192</v>
      </c>
      <c r="F497" s="1">
        <v>46077.480567129627</v>
      </c>
      <c r="G497" t="s">
        <v>71</v>
      </c>
      <c r="H497" t="s">
        <v>72</v>
      </c>
      <c r="I497" t="s">
        <v>2677</v>
      </c>
      <c r="J497" t="s">
        <v>194</v>
      </c>
      <c r="K497" t="s">
        <v>130</v>
      </c>
      <c r="M497" t="s">
        <v>131</v>
      </c>
      <c r="O497" t="s">
        <v>77</v>
      </c>
      <c r="P497" t="s">
        <v>78</v>
      </c>
      <c r="Q497" t="s">
        <v>50</v>
      </c>
      <c r="R497" t="s">
        <v>51</v>
      </c>
      <c r="S497" t="s">
        <v>52</v>
      </c>
      <c r="T497" t="s">
        <v>195</v>
      </c>
      <c r="U497" s="1">
        <v>46078.550937499997</v>
      </c>
      <c r="V497" t="s">
        <v>54</v>
      </c>
      <c r="W497" t="s">
        <v>55</v>
      </c>
      <c r="X497" t="s">
        <v>196</v>
      </c>
      <c r="Y497" t="s">
        <v>2678</v>
      </c>
      <c r="Z497" t="s">
        <v>58</v>
      </c>
      <c r="AA497" t="s">
        <v>54</v>
      </c>
      <c r="AB497" t="s">
        <v>198</v>
      </c>
      <c r="AC497" t="s">
        <v>85</v>
      </c>
      <c r="AD497" t="s">
        <v>51</v>
      </c>
      <c r="AE497" t="s">
        <v>52</v>
      </c>
      <c r="AF497" t="s">
        <v>195</v>
      </c>
      <c r="AG497" t="s">
        <v>58</v>
      </c>
      <c r="AH497" t="s">
        <v>199</v>
      </c>
      <c r="AK497">
        <v>1</v>
      </c>
      <c r="AL497" t="s">
        <v>61</v>
      </c>
      <c r="AM497" t="s">
        <v>198</v>
      </c>
      <c r="AN497" t="s">
        <v>200</v>
      </c>
    </row>
    <row r="498" spans="1:40" x14ac:dyDescent="0.35">
      <c r="A498" t="s">
        <v>37</v>
      </c>
      <c r="B498" t="s">
        <v>2679</v>
      </c>
      <c r="C498" t="s">
        <v>102</v>
      </c>
      <c r="D498" t="s">
        <v>2680</v>
      </c>
      <c r="E498" t="s">
        <v>1407</v>
      </c>
      <c r="F498" s="1">
        <v>46077.479328703703</v>
      </c>
      <c r="G498" t="s">
        <v>71</v>
      </c>
      <c r="H498" t="s">
        <v>72</v>
      </c>
      <c r="I498" t="s">
        <v>2681</v>
      </c>
      <c r="J498" t="s">
        <v>2421</v>
      </c>
      <c r="K498" t="s">
        <v>2422</v>
      </c>
      <c r="M498" t="s">
        <v>2682</v>
      </c>
      <c r="O498" t="s">
        <v>1501</v>
      </c>
      <c r="P498" t="s">
        <v>1502</v>
      </c>
      <c r="Q498" t="s">
        <v>50</v>
      </c>
      <c r="R498" t="s">
        <v>51</v>
      </c>
      <c r="S498" t="s">
        <v>52</v>
      </c>
      <c r="T498" t="s">
        <v>2683</v>
      </c>
      <c r="U498" s="1">
        <v>46077.543182870373</v>
      </c>
      <c r="V498" t="s">
        <v>54</v>
      </c>
      <c r="W498" t="s">
        <v>55</v>
      </c>
      <c r="X498" t="s">
        <v>134</v>
      </c>
      <c r="Y498" t="s">
        <v>2684</v>
      </c>
      <c r="Z498" t="s">
        <v>58</v>
      </c>
      <c r="AA498" t="s">
        <v>54</v>
      </c>
      <c r="AB498" t="s">
        <v>408</v>
      </c>
      <c r="AC498" t="s">
        <v>1504</v>
      </c>
      <c r="AD498" t="s">
        <v>52</v>
      </c>
      <c r="AE498" t="s">
        <v>243</v>
      </c>
      <c r="AF498" t="s">
        <v>244</v>
      </c>
      <c r="AG498" t="s">
        <v>58</v>
      </c>
      <c r="AH498">
        <v>11912</v>
      </c>
      <c r="AK498">
        <v>1</v>
      </c>
      <c r="AL498" t="s">
        <v>61</v>
      </c>
      <c r="AM498" t="s">
        <v>2685</v>
      </c>
      <c r="AN498" t="s">
        <v>2686</v>
      </c>
    </row>
    <row r="499" spans="1:40" x14ac:dyDescent="0.35">
      <c r="A499" t="s">
        <v>37</v>
      </c>
      <c r="B499" t="s">
        <v>2687</v>
      </c>
      <c r="C499" t="s">
        <v>39</v>
      </c>
      <c r="D499" t="s">
        <v>2688</v>
      </c>
      <c r="E499" t="s">
        <v>2689</v>
      </c>
      <c r="F499" s="1">
        <v>46077.475393518522</v>
      </c>
      <c r="G499" t="s">
        <v>393</v>
      </c>
      <c r="H499" t="s">
        <v>92</v>
      </c>
      <c r="I499" t="s">
        <v>205</v>
      </c>
      <c r="J499" t="s">
        <v>741</v>
      </c>
      <c r="K499" t="s">
        <v>207</v>
      </c>
      <c r="M499" t="s">
        <v>131</v>
      </c>
      <c r="O499" t="s">
        <v>77</v>
      </c>
      <c r="P499" t="s">
        <v>78</v>
      </c>
      <c r="R499" t="s">
        <v>208</v>
      </c>
      <c r="S499" t="s">
        <v>209</v>
      </c>
      <c r="T499" t="s">
        <v>210</v>
      </c>
      <c r="U499" s="1">
        <v>46077.564340277779</v>
      </c>
      <c r="V499" t="s">
        <v>54</v>
      </c>
      <c r="W499" t="s">
        <v>55</v>
      </c>
      <c r="X499" t="s">
        <v>211</v>
      </c>
      <c r="Y499" t="s">
        <v>2690</v>
      </c>
      <c r="Z499" t="s">
        <v>58</v>
      </c>
      <c r="AA499" t="s">
        <v>54</v>
      </c>
      <c r="AB499" t="s">
        <v>213</v>
      </c>
      <c r="AC499" t="s">
        <v>85</v>
      </c>
      <c r="AD499" t="s">
        <v>214</v>
      </c>
      <c r="AE499" t="s">
        <v>215</v>
      </c>
      <c r="AF499" t="s">
        <v>216</v>
      </c>
      <c r="AG499" t="s">
        <v>58</v>
      </c>
      <c r="AH499">
        <v>14866</v>
      </c>
      <c r="AK499">
        <v>1</v>
      </c>
      <c r="AL499" t="s">
        <v>61</v>
      </c>
      <c r="AM499" t="s">
        <v>2691</v>
      </c>
      <c r="AN499" t="s">
        <v>2692</v>
      </c>
    </row>
    <row r="500" spans="1:40" x14ac:dyDescent="0.35">
      <c r="A500" t="s">
        <v>37</v>
      </c>
      <c r="B500" t="s">
        <v>2693</v>
      </c>
      <c r="C500" t="s">
        <v>102</v>
      </c>
      <c r="D500" t="s">
        <v>756</v>
      </c>
      <c r="E500" t="s">
        <v>2694</v>
      </c>
      <c r="F500" s="1">
        <v>46077.475347222222</v>
      </c>
      <c r="G500" t="s">
        <v>1264</v>
      </c>
      <c r="H500" t="s">
        <v>43</v>
      </c>
      <c r="I500" t="s">
        <v>2695</v>
      </c>
      <c r="J500" t="s">
        <v>724</v>
      </c>
      <c r="K500" t="s">
        <v>75</v>
      </c>
      <c r="M500" t="s">
        <v>76</v>
      </c>
      <c r="O500" t="s">
        <v>237</v>
      </c>
      <c r="P500" t="s">
        <v>238</v>
      </c>
      <c r="Q500" t="s">
        <v>2696</v>
      </c>
      <c r="R500" t="s">
        <v>79</v>
      </c>
      <c r="S500" t="s">
        <v>696</v>
      </c>
      <c r="T500" t="s">
        <v>1266</v>
      </c>
      <c r="U500" s="1">
        <v>46077.47619212963</v>
      </c>
      <c r="V500" t="s">
        <v>54</v>
      </c>
      <c r="W500" t="s">
        <v>55</v>
      </c>
      <c r="X500" t="s">
        <v>82</v>
      </c>
      <c r="Y500" t="s">
        <v>2697</v>
      </c>
      <c r="Z500" t="s">
        <v>58</v>
      </c>
      <c r="AA500" t="s">
        <v>54</v>
      </c>
      <c r="AB500" t="s">
        <v>727</v>
      </c>
      <c r="AC500" t="s">
        <v>242</v>
      </c>
      <c r="AD500" t="s">
        <v>79</v>
      </c>
      <c r="AE500" t="s">
        <v>696</v>
      </c>
      <c r="AF500" t="s">
        <v>1266</v>
      </c>
      <c r="AG500" t="s">
        <v>58</v>
      </c>
      <c r="AH500">
        <v>6190</v>
      </c>
      <c r="AK500">
        <v>0</v>
      </c>
      <c r="AL500" t="s">
        <v>61</v>
      </c>
      <c r="AM500" t="s">
        <v>2698</v>
      </c>
      <c r="AN500" t="s">
        <v>2699</v>
      </c>
    </row>
    <row r="501" spans="1:40" x14ac:dyDescent="0.35">
      <c r="A501" t="s">
        <v>37</v>
      </c>
      <c r="B501" t="s">
        <v>2700</v>
      </c>
      <c r="C501" t="s">
        <v>39</v>
      </c>
      <c r="D501" t="s">
        <v>519</v>
      </c>
      <c r="E501" t="s">
        <v>520</v>
      </c>
      <c r="F501" s="1">
        <v>46077.474583333336</v>
      </c>
      <c r="G501" t="s">
        <v>286</v>
      </c>
      <c r="H501" t="s">
        <v>287</v>
      </c>
      <c r="I501" t="s">
        <v>163</v>
      </c>
      <c r="J501" t="s">
        <v>521</v>
      </c>
      <c r="K501" t="s">
        <v>130</v>
      </c>
      <c r="M501" t="s">
        <v>131</v>
      </c>
      <c r="O501" t="s">
        <v>77</v>
      </c>
      <c r="P501" t="s">
        <v>78</v>
      </c>
      <c r="Q501" t="s">
        <v>50</v>
      </c>
      <c r="R501" t="s">
        <v>132</v>
      </c>
      <c r="S501" t="s">
        <v>133</v>
      </c>
      <c r="T501" t="s">
        <v>133</v>
      </c>
      <c r="U501" s="1">
        <v>46078.328935185185</v>
      </c>
      <c r="V501" t="s">
        <v>54</v>
      </c>
      <c r="W501" t="s">
        <v>55</v>
      </c>
      <c r="X501" t="s">
        <v>82</v>
      </c>
      <c r="Y501" t="s">
        <v>2701</v>
      </c>
      <c r="Z501" t="s">
        <v>58</v>
      </c>
      <c r="AA501" t="s">
        <v>54</v>
      </c>
      <c r="AB501" t="s">
        <v>523</v>
      </c>
      <c r="AC501" t="s">
        <v>85</v>
      </c>
      <c r="AD501" t="s">
        <v>132</v>
      </c>
      <c r="AE501" t="s">
        <v>133</v>
      </c>
      <c r="AF501" t="s">
        <v>133</v>
      </c>
      <c r="AG501" t="s">
        <v>58</v>
      </c>
      <c r="AH501" t="s">
        <v>524</v>
      </c>
      <c r="AK501">
        <v>1</v>
      </c>
      <c r="AL501" t="s">
        <v>61</v>
      </c>
      <c r="AM501" t="s">
        <v>523</v>
      </c>
      <c r="AN501" t="s">
        <v>525</v>
      </c>
    </row>
    <row r="502" spans="1:40" x14ac:dyDescent="0.35">
      <c r="A502" t="s">
        <v>37</v>
      </c>
      <c r="B502" t="s">
        <v>2702</v>
      </c>
      <c r="C502" t="s">
        <v>39</v>
      </c>
      <c r="D502" t="s">
        <v>1085</v>
      </c>
      <c r="E502" t="s">
        <v>303</v>
      </c>
      <c r="F502" s="1">
        <v>46077.47320601852</v>
      </c>
      <c r="G502" t="s">
        <v>393</v>
      </c>
      <c r="H502" t="s">
        <v>92</v>
      </c>
      <c r="I502" t="s">
        <v>205</v>
      </c>
      <c r="J502" t="s">
        <v>741</v>
      </c>
      <c r="K502" t="s">
        <v>207</v>
      </c>
      <c r="M502" t="s">
        <v>131</v>
      </c>
      <c r="O502" t="s">
        <v>77</v>
      </c>
      <c r="P502" t="s">
        <v>78</v>
      </c>
      <c r="Q502" t="s">
        <v>50</v>
      </c>
      <c r="R502" t="s">
        <v>208</v>
      </c>
      <c r="S502" t="s">
        <v>209</v>
      </c>
      <c r="T502" t="s">
        <v>210</v>
      </c>
      <c r="U502" s="1">
        <v>46077.562754629631</v>
      </c>
      <c r="V502" t="s">
        <v>54</v>
      </c>
      <c r="W502" t="s">
        <v>55</v>
      </c>
      <c r="X502" t="s">
        <v>211</v>
      </c>
      <c r="Y502" t="s">
        <v>2703</v>
      </c>
      <c r="Z502" t="s">
        <v>58</v>
      </c>
      <c r="AA502" t="s">
        <v>54</v>
      </c>
      <c r="AB502" t="s">
        <v>213</v>
      </c>
      <c r="AC502" t="s">
        <v>85</v>
      </c>
      <c r="AD502" t="s">
        <v>214</v>
      </c>
      <c r="AE502" t="s">
        <v>215</v>
      </c>
      <c r="AF502" t="s">
        <v>216</v>
      </c>
      <c r="AG502" t="s">
        <v>58</v>
      </c>
      <c r="AH502">
        <v>12592</v>
      </c>
      <c r="AK502">
        <v>1</v>
      </c>
      <c r="AL502" t="s">
        <v>61</v>
      </c>
      <c r="AM502" t="s">
        <v>2704</v>
      </c>
      <c r="AN502" t="s">
        <v>2705</v>
      </c>
    </row>
    <row r="503" spans="1:40" x14ac:dyDescent="0.35">
      <c r="A503" t="s">
        <v>37</v>
      </c>
      <c r="B503" t="s">
        <v>2706</v>
      </c>
      <c r="C503" t="s">
        <v>39</v>
      </c>
      <c r="D503" t="s">
        <v>2707</v>
      </c>
      <c r="E503" t="s">
        <v>469</v>
      </c>
      <c r="F503" s="1">
        <v>46077.470682870371</v>
      </c>
      <c r="G503" t="s">
        <v>170</v>
      </c>
      <c r="H503" t="s">
        <v>92</v>
      </c>
      <c r="I503" t="s">
        <v>2708</v>
      </c>
      <c r="J503" t="s">
        <v>548</v>
      </c>
      <c r="K503" t="s">
        <v>610</v>
      </c>
      <c r="M503" t="s">
        <v>47</v>
      </c>
      <c r="O503" t="s">
        <v>77</v>
      </c>
      <c r="P503" t="s">
        <v>78</v>
      </c>
      <c r="Q503" t="s">
        <v>50</v>
      </c>
      <c r="R503" t="s">
        <v>51</v>
      </c>
      <c r="S503" t="s">
        <v>52</v>
      </c>
      <c r="T503" t="s">
        <v>240</v>
      </c>
      <c r="U503" s="1">
        <v>46077.475763888891</v>
      </c>
      <c r="V503" t="s">
        <v>54</v>
      </c>
      <c r="W503" t="s">
        <v>55</v>
      </c>
      <c r="X503" t="s">
        <v>134</v>
      </c>
      <c r="Y503" t="s">
        <v>2709</v>
      </c>
      <c r="Z503" t="s">
        <v>58</v>
      </c>
      <c r="AA503" t="s">
        <v>54</v>
      </c>
      <c r="AB503" t="s">
        <v>612</v>
      </c>
      <c r="AC503" t="s">
        <v>85</v>
      </c>
      <c r="AD503" t="s">
        <v>52</v>
      </c>
      <c r="AE503" t="s">
        <v>2140</v>
      </c>
      <c r="AF503" t="s">
        <v>2710</v>
      </c>
      <c r="AG503" t="s">
        <v>58</v>
      </c>
      <c r="AH503">
        <v>15162</v>
      </c>
      <c r="AK503">
        <v>1</v>
      </c>
      <c r="AL503" t="s">
        <v>61</v>
      </c>
      <c r="AM503" t="s">
        <v>2711</v>
      </c>
      <c r="AN503" t="s">
        <v>2712</v>
      </c>
    </row>
    <row r="504" spans="1:40" x14ac:dyDescent="0.35">
      <c r="A504" t="s">
        <v>37</v>
      </c>
      <c r="B504" t="s">
        <v>2713</v>
      </c>
      <c r="C504" t="s">
        <v>39</v>
      </c>
      <c r="D504" t="s">
        <v>40</v>
      </c>
      <c r="E504" t="s">
        <v>41</v>
      </c>
      <c r="F504" s="1">
        <v>46077.467442129629</v>
      </c>
      <c r="G504" t="s">
        <v>42</v>
      </c>
      <c r="H504" t="s">
        <v>43</v>
      </c>
      <c r="I504" t="s">
        <v>2714</v>
      </c>
      <c r="J504" t="s">
        <v>45</v>
      </c>
      <c r="K504" t="s">
        <v>46</v>
      </c>
      <c r="M504" t="s">
        <v>47</v>
      </c>
      <c r="O504" t="s">
        <v>48</v>
      </c>
      <c r="P504" t="s">
        <v>49</v>
      </c>
      <c r="Q504" t="s">
        <v>50</v>
      </c>
      <c r="R504" t="s">
        <v>51</v>
      </c>
      <c r="S504" t="s">
        <v>52</v>
      </c>
      <c r="T504" t="s">
        <v>53</v>
      </c>
      <c r="U504" s="1">
        <v>46077.468668981484</v>
      </c>
      <c r="V504" t="s">
        <v>54</v>
      </c>
      <c r="W504" t="s">
        <v>55</v>
      </c>
      <c r="X504" t="s">
        <v>56</v>
      </c>
      <c r="Y504" t="s">
        <v>65</v>
      </c>
      <c r="Z504" t="s">
        <v>58</v>
      </c>
      <c r="AA504" t="s">
        <v>54</v>
      </c>
      <c r="AB504" t="s">
        <v>59</v>
      </c>
      <c r="AC504" t="s">
        <v>60</v>
      </c>
      <c r="AD504" t="s">
        <v>51</v>
      </c>
      <c r="AE504" t="s">
        <v>52</v>
      </c>
      <c r="AF504" t="s">
        <v>53</v>
      </c>
      <c r="AG504" t="s">
        <v>58</v>
      </c>
      <c r="AK504">
        <v>0</v>
      </c>
      <c r="AL504" t="s">
        <v>61</v>
      </c>
      <c r="AM504" t="s">
        <v>59</v>
      </c>
      <c r="AN504" t="s">
        <v>62</v>
      </c>
    </row>
    <row r="505" spans="1:40" x14ac:dyDescent="0.35">
      <c r="A505" t="s">
        <v>37</v>
      </c>
      <c r="B505" t="s">
        <v>2715</v>
      </c>
      <c r="C505" t="s">
        <v>102</v>
      </c>
      <c r="D505" t="s">
        <v>2716</v>
      </c>
      <c r="E505" t="s">
        <v>1158</v>
      </c>
      <c r="F505" s="1">
        <v>46077.474247685182</v>
      </c>
      <c r="G505" t="s">
        <v>771</v>
      </c>
      <c r="H505" t="s">
        <v>92</v>
      </c>
      <c r="I505" t="s">
        <v>2717</v>
      </c>
      <c r="J505" t="s">
        <v>2718</v>
      </c>
      <c r="K505" t="s">
        <v>951</v>
      </c>
      <c r="M505" t="s">
        <v>76</v>
      </c>
      <c r="O505" t="s">
        <v>1501</v>
      </c>
      <c r="P505" t="s">
        <v>1502</v>
      </c>
      <c r="Q505" t="s">
        <v>50</v>
      </c>
      <c r="R505" t="s">
        <v>79</v>
      </c>
      <c r="S505" t="s">
        <v>642</v>
      </c>
      <c r="T505" t="s">
        <v>2719</v>
      </c>
      <c r="U505" s="1">
        <v>46077.48746527778</v>
      </c>
      <c r="V505" t="s">
        <v>54</v>
      </c>
      <c r="W505" t="s">
        <v>55</v>
      </c>
      <c r="X505" t="s">
        <v>82</v>
      </c>
      <c r="Y505" t="s">
        <v>2720</v>
      </c>
      <c r="Z505" t="s">
        <v>58</v>
      </c>
      <c r="AA505" t="s">
        <v>54</v>
      </c>
      <c r="AB505" t="s">
        <v>2721</v>
      </c>
      <c r="AC505" t="s">
        <v>1504</v>
      </c>
      <c r="AD505" t="s">
        <v>79</v>
      </c>
      <c r="AE505" t="s">
        <v>642</v>
      </c>
      <c r="AF505" t="s">
        <v>2719</v>
      </c>
      <c r="AG505" t="s">
        <v>58</v>
      </c>
      <c r="AH505">
        <v>14164</v>
      </c>
      <c r="AK505">
        <v>1</v>
      </c>
      <c r="AL505" t="s">
        <v>61</v>
      </c>
      <c r="AM505" t="s">
        <v>2722</v>
      </c>
      <c r="AN505" t="s">
        <v>2723</v>
      </c>
    </row>
    <row r="506" spans="1:40" x14ac:dyDescent="0.35">
      <c r="A506" t="s">
        <v>37</v>
      </c>
      <c r="B506" t="s">
        <v>2724</v>
      </c>
      <c r="C506" t="s">
        <v>39</v>
      </c>
      <c r="D506" t="s">
        <v>302</v>
      </c>
      <c r="E506" t="s">
        <v>2725</v>
      </c>
      <c r="F506" s="1">
        <v>46077.467245370368</v>
      </c>
      <c r="G506" t="s">
        <v>826</v>
      </c>
      <c r="H506" t="s">
        <v>356</v>
      </c>
      <c r="I506" t="s">
        <v>205</v>
      </c>
      <c r="J506" t="s">
        <v>741</v>
      </c>
      <c r="K506" t="s">
        <v>207</v>
      </c>
      <c r="M506" t="s">
        <v>131</v>
      </c>
      <c r="O506" t="s">
        <v>77</v>
      </c>
      <c r="P506" t="s">
        <v>78</v>
      </c>
      <c r="Q506" t="s">
        <v>50</v>
      </c>
      <c r="R506" t="s">
        <v>208</v>
      </c>
      <c r="S506" t="s">
        <v>209</v>
      </c>
      <c r="T506" t="s">
        <v>210</v>
      </c>
      <c r="U506" s="1">
        <v>46077.55672453704</v>
      </c>
      <c r="V506" t="s">
        <v>54</v>
      </c>
      <c r="W506" t="s">
        <v>55</v>
      </c>
      <c r="X506" t="s">
        <v>211</v>
      </c>
      <c r="Y506" t="s">
        <v>2726</v>
      </c>
      <c r="Z506" t="s">
        <v>58</v>
      </c>
      <c r="AA506" t="s">
        <v>54</v>
      </c>
      <c r="AB506" t="s">
        <v>213</v>
      </c>
      <c r="AC506" t="s">
        <v>85</v>
      </c>
      <c r="AD506" t="s">
        <v>214</v>
      </c>
      <c r="AE506" t="s">
        <v>215</v>
      </c>
      <c r="AF506" t="s">
        <v>216</v>
      </c>
      <c r="AG506" t="s">
        <v>58</v>
      </c>
      <c r="AH506">
        <v>15153</v>
      </c>
      <c r="AK506">
        <v>1</v>
      </c>
      <c r="AL506" t="s">
        <v>61</v>
      </c>
      <c r="AM506" t="s">
        <v>2727</v>
      </c>
      <c r="AN506" t="s">
        <v>2728</v>
      </c>
    </row>
    <row r="507" spans="1:40" x14ac:dyDescent="0.35">
      <c r="A507" t="s">
        <v>37</v>
      </c>
      <c r="B507" t="s">
        <v>2729</v>
      </c>
      <c r="C507" t="s">
        <v>102</v>
      </c>
      <c r="D507" t="s">
        <v>469</v>
      </c>
      <c r="E507" t="s">
        <v>2730</v>
      </c>
      <c r="F507" s="1">
        <v>46077.466273148151</v>
      </c>
      <c r="G507" t="s">
        <v>464</v>
      </c>
      <c r="H507" t="s">
        <v>287</v>
      </c>
      <c r="I507" t="s">
        <v>2731</v>
      </c>
      <c r="J507" t="s">
        <v>548</v>
      </c>
      <c r="K507" t="s">
        <v>610</v>
      </c>
      <c r="M507" t="s">
        <v>47</v>
      </c>
      <c r="O507" t="s">
        <v>237</v>
      </c>
      <c r="P507" t="s">
        <v>238</v>
      </c>
      <c r="Q507" t="s">
        <v>50</v>
      </c>
      <c r="R507" t="s">
        <v>51</v>
      </c>
      <c r="S507" t="s">
        <v>52</v>
      </c>
      <c r="T507" t="s">
        <v>240</v>
      </c>
      <c r="U507" s="1">
        <v>46077.47457175926</v>
      </c>
      <c r="V507" t="s">
        <v>54</v>
      </c>
      <c r="W507" t="s">
        <v>55</v>
      </c>
      <c r="X507" t="s">
        <v>134</v>
      </c>
      <c r="Y507" t="s">
        <v>2732</v>
      </c>
      <c r="Z507" t="s">
        <v>58</v>
      </c>
      <c r="AA507" t="s">
        <v>54</v>
      </c>
      <c r="AB507" t="s">
        <v>612</v>
      </c>
      <c r="AC507" t="s">
        <v>242</v>
      </c>
      <c r="AD507" t="s">
        <v>52</v>
      </c>
      <c r="AE507" t="s">
        <v>243</v>
      </c>
      <c r="AF507" t="s">
        <v>2533</v>
      </c>
      <c r="AG507" t="s">
        <v>58</v>
      </c>
      <c r="AH507">
        <v>14525</v>
      </c>
      <c r="AK507">
        <v>1</v>
      </c>
      <c r="AL507" t="s">
        <v>61</v>
      </c>
      <c r="AM507" t="s">
        <v>2733</v>
      </c>
      <c r="AN507" t="s">
        <v>2734</v>
      </c>
    </row>
    <row r="508" spans="1:40" x14ac:dyDescent="0.35">
      <c r="A508" t="s">
        <v>37</v>
      </c>
      <c r="B508" t="s">
        <v>2735</v>
      </c>
      <c r="C508" t="s">
        <v>102</v>
      </c>
      <c r="D508" t="s">
        <v>568</v>
      </c>
      <c r="E508" t="s">
        <v>569</v>
      </c>
      <c r="F508" s="1">
        <v>46077.464421296296</v>
      </c>
      <c r="G508" t="s">
        <v>105</v>
      </c>
      <c r="H508" t="s">
        <v>106</v>
      </c>
      <c r="I508" t="s">
        <v>2736</v>
      </c>
      <c r="J508" t="s">
        <v>108</v>
      </c>
      <c r="K508" t="s">
        <v>571</v>
      </c>
      <c r="M508" t="s">
        <v>76</v>
      </c>
      <c r="O508" t="s">
        <v>77</v>
      </c>
      <c r="P508" t="s">
        <v>78</v>
      </c>
      <c r="Q508" t="s">
        <v>448</v>
      </c>
      <c r="R508" t="s">
        <v>111</v>
      </c>
      <c r="S508" t="s">
        <v>51</v>
      </c>
      <c r="T508" t="s">
        <v>112</v>
      </c>
      <c r="U508" s="1">
        <v>46078.702627314815</v>
      </c>
      <c r="V508" t="s">
        <v>54</v>
      </c>
      <c r="W508" t="s">
        <v>55</v>
      </c>
      <c r="X508" t="s">
        <v>113</v>
      </c>
      <c r="Y508" t="s">
        <v>2737</v>
      </c>
      <c r="Z508" t="s">
        <v>58</v>
      </c>
      <c r="AA508" t="s">
        <v>54</v>
      </c>
      <c r="AB508" t="s">
        <v>1212</v>
      </c>
      <c r="AC508" t="s">
        <v>85</v>
      </c>
      <c r="AD508" t="s">
        <v>116</v>
      </c>
      <c r="AE508" t="s">
        <v>1541</v>
      </c>
      <c r="AF508" t="s">
        <v>2738</v>
      </c>
      <c r="AG508" t="s">
        <v>58</v>
      </c>
      <c r="AK508">
        <v>1</v>
      </c>
      <c r="AL508" t="s">
        <v>61</v>
      </c>
      <c r="AM508" t="s">
        <v>576</v>
      </c>
      <c r="AN508" t="s">
        <v>577</v>
      </c>
    </row>
    <row r="509" spans="1:40" x14ac:dyDescent="0.35">
      <c r="A509" t="s">
        <v>37</v>
      </c>
      <c r="B509" t="s">
        <v>2739</v>
      </c>
      <c r="C509" t="s">
        <v>102</v>
      </c>
      <c r="D509" t="s">
        <v>225</v>
      </c>
      <c r="E509" t="s">
        <v>2740</v>
      </c>
      <c r="F509" s="1">
        <v>46077.464305555557</v>
      </c>
      <c r="G509" t="s">
        <v>71</v>
      </c>
      <c r="H509" t="s">
        <v>72</v>
      </c>
      <c r="I509" t="s">
        <v>2651</v>
      </c>
      <c r="J509" t="s">
        <v>289</v>
      </c>
      <c r="K509" t="s">
        <v>130</v>
      </c>
      <c r="M509" t="s">
        <v>150</v>
      </c>
      <c r="O509" t="s">
        <v>237</v>
      </c>
      <c r="P509" t="s">
        <v>238</v>
      </c>
      <c r="Q509" t="s">
        <v>50</v>
      </c>
      <c r="R509" t="s">
        <v>51</v>
      </c>
      <c r="S509" t="s">
        <v>52</v>
      </c>
      <c r="T509" t="s">
        <v>240</v>
      </c>
      <c r="U509" s="1">
        <v>46077.485185185185</v>
      </c>
      <c r="V509" t="s">
        <v>54</v>
      </c>
      <c r="W509" t="s">
        <v>55</v>
      </c>
      <c r="X509" t="s">
        <v>134</v>
      </c>
      <c r="Y509" t="s">
        <v>2741</v>
      </c>
      <c r="Z509" t="s">
        <v>58</v>
      </c>
      <c r="AA509" t="s">
        <v>54</v>
      </c>
      <c r="AB509" t="s">
        <v>612</v>
      </c>
      <c r="AC509" t="s">
        <v>242</v>
      </c>
      <c r="AD509" t="s">
        <v>51</v>
      </c>
      <c r="AE509" t="s">
        <v>52</v>
      </c>
      <c r="AF509" t="s">
        <v>240</v>
      </c>
      <c r="AG509" t="s">
        <v>58</v>
      </c>
      <c r="AH509">
        <v>12326</v>
      </c>
      <c r="AK509">
        <v>1</v>
      </c>
      <c r="AL509" t="s">
        <v>61</v>
      </c>
      <c r="AM509" t="s">
        <v>2742</v>
      </c>
      <c r="AN509" t="s">
        <v>2743</v>
      </c>
    </row>
    <row r="510" spans="1:40" x14ac:dyDescent="0.35">
      <c r="A510" t="s">
        <v>37</v>
      </c>
      <c r="B510" t="s">
        <v>2744</v>
      </c>
      <c r="C510" t="s">
        <v>39</v>
      </c>
      <c r="D510" t="s">
        <v>127</v>
      </c>
      <c r="E510" t="s">
        <v>2745</v>
      </c>
      <c r="F510" s="1">
        <v>46077.457685185182</v>
      </c>
      <c r="G510" t="s">
        <v>71</v>
      </c>
      <c r="H510" t="s">
        <v>72</v>
      </c>
      <c r="I510" t="s">
        <v>2746</v>
      </c>
      <c r="J510" t="s">
        <v>1015</v>
      </c>
      <c r="K510" t="s">
        <v>75</v>
      </c>
      <c r="M510" t="s">
        <v>76</v>
      </c>
      <c r="O510" t="s">
        <v>77</v>
      </c>
      <c r="P510" t="s">
        <v>78</v>
      </c>
      <c r="R510" t="s">
        <v>305</v>
      </c>
      <c r="S510" t="s">
        <v>306</v>
      </c>
      <c r="T510" t="s">
        <v>307</v>
      </c>
      <c r="U510" s="1">
        <v>46077.532060185185</v>
      </c>
      <c r="V510" t="s">
        <v>54</v>
      </c>
      <c r="W510" t="s">
        <v>55</v>
      </c>
      <c r="X510" t="s">
        <v>211</v>
      </c>
      <c r="Y510" t="s">
        <v>2747</v>
      </c>
      <c r="Z510" t="s">
        <v>58</v>
      </c>
      <c r="AA510" t="s">
        <v>54</v>
      </c>
      <c r="AB510" t="s">
        <v>213</v>
      </c>
      <c r="AC510" t="s">
        <v>85</v>
      </c>
      <c r="AD510" t="s">
        <v>79</v>
      </c>
      <c r="AE510" t="s">
        <v>2748</v>
      </c>
      <c r="AF510" t="s">
        <v>2746</v>
      </c>
      <c r="AG510" t="s">
        <v>58</v>
      </c>
      <c r="AH510" t="s">
        <v>2749</v>
      </c>
      <c r="AK510">
        <v>3</v>
      </c>
      <c r="AL510" t="s">
        <v>61</v>
      </c>
      <c r="AM510" t="s">
        <v>2750</v>
      </c>
      <c r="AN510" t="s">
        <v>2751</v>
      </c>
    </row>
    <row r="511" spans="1:40" x14ac:dyDescent="0.35">
      <c r="A511" t="s">
        <v>37</v>
      </c>
      <c r="B511" t="s">
        <v>2752</v>
      </c>
      <c r="C511" t="s">
        <v>102</v>
      </c>
      <c r="D511" t="s">
        <v>824</v>
      </c>
      <c r="E511" t="s">
        <v>825</v>
      </c>
      <c r="F511" s="1">
        <v>46077.456574074073</v>
      </c>
      <c r="G511" t="s">
        <v>826</v>
      </c>
      <c r="H511" t="s">
        <v>356</v>
      </c>
      <c r="I511" t="s">
        <v>2753</v>
      </c>
      <c r="J511" t="s">
        <v>828</v>
      </c>
      <c r="K511" t="s">
        <v>829</v>
      </c>
      <c r="M511" t="s">
        <v>150</v>
      </c>
      <c r="O511" t="s">
        <v>237</v>
      </c>
      <c r="P511" t="s">
        <v>238</v>
      </c>
      <c r="Q511" t="s">
        <v>50</v>
      </c>
      <c r="R511" t="s">
        <v>51</v>
      </c>
      <c r="S511" t="s">
        <v>831</v>
      </c>
      <c r="T511" t="s">
        <v>829</v>
      </c>
      <c r="U511" s="1">
        <v>46077.468101851853</v>
      </c>
      <c r="V511" t="s">
        <v>54</v>
      </c>
      <c r="W511" t="s">
        <v>55</v>
      </c>
      <c r="X511" t="s">
        <v>134</v>
      </c>
      <c r="Y511" t="s">
        <v>2754</v>
      </c>
      <c r="Z511" t="s">
        <v>58</v>
      </c>
      <c r="AA511" t="s">
        <v>54</v>
      </c>
      <c r="AB511" t="s">
        <v>833</v>
      </c>
      <c r="AC511" t="s">
        <v>242</v>
      </c>
      <c r="AD511" t="s">
        <v>51</v>
      </c>
      <c r="AE511" t="s">
        <v>834</v>
      </c>
      <c r="AF511" t="s">
        <v>834</v>
      </c>
      <c r="AG511" t="s">
        <v>58</v>
      </c>
      <c r="AH511">
        <v>12697</v>
      </c>
      <c r="AK511">
        <v>0</v>
      </c>
      <c r="AL511" t="s">
        <v>61</v>
      </c>
      <c r="AM511" t="s">
        <v>833</v>
      </c>
      <c r="AN511" t="s">
        <v>835</v>
      </c>
    </row>
    <row r="512" spans="1:40" x14ac:dyDescent="0.35">
      <c r="A512" t="s">
        <v>37</v>
      </c>
      <c r="B512" t="s">
        <v>2755</v>
      </c>
      <c r="C512" t="s">
        <v>102</v>
      </c>
      <c r="D512" t="s">
        <v>617</v>
      </c>
      <c r="E512" t="s">
        <v>618</v>
      </c>
      <c r="F512" s="1">
        <v>46077.454560185186</v>
      </c>
      <c r="G512" t="s">
        <v>286</v>
      </c>
      <c r="H512" t="s">
        <v>287</v>
      </c>
      <c r="I512" t="s">
        <v>2756</v>
      </c>
      <c r="J512" t="s">
        <v>620</v>
      </c>
      <c r="K512" t="s">
        <v>130</v>
      </c>
      <c r="M512" t="s">
        <v>131</v>
      </c>
      <c r="O512" t="s">
        <v>77</v>
      </c>
      <c r="P512" t="s">
        <v>78</v>
      </c>
      <c r="Q512" t="s">
        <v>50</v>
      </c>
      <c r="R512" t="s">
        <v>132</v>
      </c>
      <c r="S512" t="s">
        <v>133</v>
      </c>
      <c r="T512" t="s">
        <v>133</v>
      </c>
      <c r="U512" s="1">
        <v>46077.531354166669</v>
      </c>
      <c r="V512" t="s">
        <v>54</v>
      </c>
      <c r="W512" t="s">
        <v>55</v>
      </c>
      <c r="X512" t="s">
        <v>134</v>
      </c>
      <c r="Y512" t="s">
        <v>2757</v>
      </c>
      <c r="Z512" t="s">
        <v>58</v>
      </c>
      <c r="AA512" t="s">
        <v>54</v>
      </c>
      <c r="AB512" t="s">
        <v>622</v>
      </c>
      <c r="AC512" t="s">
        <v>85</v>
      </c>
      <c r="AD512" t="s">
        <v>132</v>
      </c>
      <c r="AE512" t="s">
        <v>133</v>
      </c>
      <c r="AF512" t="s">
        <v>133</v>
      </c>
      <c r="AG512" t="s">
        <v>58</v>
      </c>
      <c r="AH512" t="s">
        <v>623</v>
      </c>
      <c r="AK512">
        <v>1</v>
      </c>
      <c r="AL512" t="s">
        <v>61</v>
      </c>
      <c r="AM512" t="s">
        <v>622</v>
      </c>
      <c r="AN512" t="s">
        <v>624</v>
      </c>
    </row>
    <row r="513" spans="1:40" x14ac:dyDescent="0.35">
      <c r="A513" t="s">
        <v>37</v>
      </c>
      <c r="B513" t="s">
        <v>2758</v>
      </c>
      <c r="C513" t="s">
        <v>39</v>
      </c>
      <c r="D513" t="s">
        <v>303</v>
      </c>
      <c r="E513" t="s">
        <v>325</v>
      </c>
      <c r="F513" s="1">
        <v>46077.446666666663</v>
      </c>
      <c r="G513" t="s">
        <v>250</v>
      </c>
      <c r="H513" t="s">
        <v>106</v>
      </c>
      <c r="I513" t="s">
        <v>2759</v>
      </c>
      <c r="J513" t="s">
        <v>707</v>
      </c>
      <c r="K513" t="s">
        <v>75</v>
      </c>
      <c r="M513" t="s">
        <v>76</v>
      </c>
      <c r="O513" t="s">
        <v>77</v>
      </c>
      <c r="P513" t="s">
        <v>78</v>
      </c>
      <c r="R513" t="s">
        <v>79</v>
      </c>
      <c r="S513" t="s">
        <v>1016</v>
      </c>
      <c r="T513" t="s">
        <v>2760</v>
      </c>
      <c r="U513" s="1">
        <v>46077.447395833333</v>
      </c>
      <c r="V513" t="s">
        <v>54</v>
      </c>
      <c r="W513" t="s">
        <v>55</v>
      </c>
      <c r="X513" t="s">
        <v>82</v>
      </c>
      <c r="Y513" t="s">
        <v>2761</v>
      </c>
      <c r="Z513" t="s">
        <v>58</v>
      </c>
      <c r="AA513" t="s">
        <v>54</v>
      </c>
      <c r="AB513" t="s">
        <v>709</v>
      </c>
      <c r="AC513" t="s">
        <v>85</v>
      </c>
      <c r="AD513" t="s">
        <v>79</v>
      </c>
      <c r="AE513" t="s">
        <v>1016</v>
      </c>
      <c r="AF513" t="s">
        <v>1266</v>
      </c>
      <c r="AG513" t="s">
        <v>58</v>
      </c>
      <c r="AH513">
        <v>14969</v>
      </c>
      <c r="AK513">
        <v>0</v>
      </c>
      <c r="AL513" t="s">
        <v>61</v>
      </c>
      <c r="AM513" t="s">
        <v>2762</v>
      </c>
      <c r="AN513" t="s">
        <v>2763</v>
      </c>
    </row>
    <row r="514" spans="1:40" x14ac:dyDescent="0.35">
      <c r="A514" t="s">
        <v>37</v>
      </c>
      <c r="B514" t="s">
        <v>2764</v>
      </c>
      <c r="C514" t="s">
        <v>39</v>
      </c>
      <c r="D514" t="s">
        <v>2765</v>
      </c>
      <c r="E514" t="s">
        <v>2766</v>
      </c>
      <c r="F514" s="1">
        <v>46077.440648148149</v>
      </c>
      <c r="G514" t="s">
        <v>540</v>
      </c>
      <c r="H514" t="s">
        <v>447</v>
      </c>
      <c r="I514" t="s">
        <v>205</v>
      </c>
      <c r="J514" t="s">
        <v>741</v>
      </c>
      <c r="K514" t="s">
        <v>207</v>
      </c>
      <c r="M514" t="s">
        <v>131</v>
      </c>
      <c r="O514" t="s">
        <v>77</v>
      </c>
      <c r="P514" t="s">
        <v>78</v>
      </c>
      <c r="Q514" t="s">
        <v>1102</v>
      </c>
      <c r="R514" t="s">
        <v>208</v>
      </c>
      <c r="S514" t="s">
        <v>209</v>
      </c>
      <c r="T514" t="s">
        <v>210</v>
      </c>
      <c r="U514" s="1">
        <v>46077.554502314815</v>
      </c>
      <c r="V514" t="s">
        <v>54</v>
      </c>
      <c r="W514" t="s">
        <v>55</v>
      </c>
      <c r="X514" t="s">
        <v>211</v>
      </c>
      <c r="Y514" t="s">
        <v>2767</v>
      </c>
      <c r="Z514" t="s">
        <v>58</v>
      </c>
      <c r="AA514" t="s">
        <v>54</v>
      </c>
      <c r="AB514" t="s">
        <v>213</v>
      </c>
      <c r="AC514" t="s">
        <v>85</v>
      </c>
      <c r="AD514" t="s">
        <v>214</v>
      </c>
      <c r="AE514" t="s">
        <v>215</v>
      </c>
      <c r="AF514" t="s">
        <v>216</v>
      </c>
      <c r="AG514" t="s">
        <v>58</v>
      </c>
      <c r="AH514">
        <v>6886</v>
      </c>
      <c r="AK514">
        <v>1</v>
      </c>
      <c r="AL514" t="s">
        <v>61</v>
      </c>
      <c r="AM514" t="s">
        <v>2768</v>
      </c>
      <c r="AN514" t="s">
        <v>2769</v>
      </c>
    </row>
    <row r="515" spans="1:40" x14ac:dyDescent="0.35">
      <c r="A515" t="s">
        <v>37</v>
      </c>
      <c r="B515" t="s">
        <v>2770</v>
      </c>
      <c r="C515" t="s">
        <v>39</v>
      </c>
      <c r="D515" t="s">
        <v>853</v>
      </c>
      <c r="E515" t="s">
        <v>2542</v>
      </c>
      <c r="F515" s="1">
        <v>46077.441180555557</v>
      </c>
      <c r="G515" t="s">
        <v>402</v>
      </c>
      <c r="H515" t="s">
        <v>72</v>
      </c>
      <c r="I515" t="s">
        <v>2771</v>
      </c>
      <c r="J515" t="s">
        <v>2772</v>
      </c>
      <c r="K515" t="s">
        <v>2773</v>
      </c>
      <c r="M515" t="s">
        <v>131</v>
      </c>
      <c r="O515" t="s">
        <v>77</v>
      </c>
      <c r="P515" t="s">
        <v>78</v>
      </c>
      <c r="R515" t="s">
        <v>51</v>
      </c>
      <c r="S515" t="s">
        <v>52</v>
      </c>
      <c r="T515" t="s">
        <v>240</v>
      </c>
      <c r="U515" s="1">
        <v>46077.449733796297</v>
      </c>
      <c r="V515" t="s">
        <v>54</v>
      </c>
      <c r="W515" t="s">
        <v>55</v>
      </c>
      <c r="X515" t="s">
        <v>134</v>
      </c>
      <c r="Y515" t="s">
        <v>2774</v>
      </c>
      <c r="Z515" t="s">
        <v>58</v>
      </c>
      <c r="AA515" t="s">
        <v>54</v>
      </c>
      <c r="AB515" t="s">
        <v>2775</v>
      </c>
      <c r="AC515" t="s">
        <v>85</v>
      </c>
      <c r="AD515" t="s">
        <v>52</v>
      </c>
      <c r="AE515" t="s">
        <v>243</v>
      </c>
      <c r="AF515" t="s">
        <v>244</v>
      </c>
      <c r="AG515" t="s">
        <v>58</v>
      </c>
      <c r="AH515">
        <v>15955</v>
      </c>
      <c r="AK515">
        <v>0</v>
      </c>
      <c r="AL515" t="s">
        <v>61</v>
      </c>
      <c r="AM515" t="s">
        <v>2545</v>
      </c>
      <c r="AN515" t="s">
        <v>2546</v>
      </c>
    </row>
    <row r="516" spans="1:40" x14ac:dyDescent="0.35">
      <c r="A516" t="s">
        <v>37</v>
      </c>
      <c r="B516" t="s">
        <v>2776</v>
      </c>
      <c r="C516" t="s">
        <v>39</v>
      </c>
      <c r="D516" t="s">
        <v>853</v>
      </c>
      <c r="E516" t="s">
        <v>2542</v>
      </c>
      <c r="F516" s="1">
        <v>46077.440474537034</v>
      </c>
      <c r="G516" t="s">
        <v>402</v>
      </c>
      <c r="H516" t="s">
        <v>72</v>
      </c>
      <c r="I516" t="s">
        <v>2777</v>
      </c>
      <c r="J516" t="s">
        <v>2772</v>
      </c>
      <c r="K516" t="s">
        <v>2773</v>
      </c>
      <c r="M516" t="s">
        <v>131</v>
      </c>
      <c r="O516" t="s">
        <v>77</v>
      </c>
      <c r="P516" t="s">
        <v>78</v>
      </c>
      <c r="R516" t="s">
        <v>51</v>
      </c>
      <c r="S516" t="s">
        <v>52</v>
      </c>
      <c r="T516" t="s">
        <v>240</v>
      </c>
      <c r="U516" s="1">
        <v>46077.448773148149</v>
      </c>
      <c r="V516" t="s">
        <v>54</v>
      </c>
      <c r="W516" t="s">
        <v>55</v>
      </c>
      <c r="X516" t="s">
        <v>134</v>
      </c>
      <c r="Y516" t="s">
        <v>2778</v>
      </c>
      <c r="Z516" t="s">
        <v>58</v>
      </c>
      <c r="AA516" t="s">
        <v>54</v>
      </c>
      <c r="AB516" t="s">
        <v>2775</v>
      </c>
      <c r="AC516" t="s">
        <v>85</v>
      </c>
      <c r="AD516" t="s">
        <v>52</v>
      </c>
      <c r="AE516" t="s">
        <v>243</v>
      </c>
      <c r="AF516" t="s">
        <v>244</v>
      </c>
      <c r="AG516" t="s">
        <v>58</v>
      </c>
      <c r="AH516">
        <v>15955</v>
      </c>
      <c r="AK516">
        <v>0</v>
      </c>
      <c r="AL516" t="s">
        <v>61</v>
      </c>
      <c r="AM516" t="s">
        <v>2545</v>
      </c>
      <c r="AN516" t="s">
        <v>2546</v>
      </c>
    </row>
    <row r="517" spans="1:40" x14ac:dyDescent="0.35">
      <c r="A517" t="s">
        <v>37</v>
      </c>
      <c r="B517" t="s">
        <v>2779</v>
      </c>
      <c r="C517" t="s">
        <v>39</v>
      </c>
      <c r="D517" t="s">
        <v>2780</v>
      </c>
      <c r="E517" t="s">
        <v>2781</v>
      </c>
      <c r="F517" s="1">
        <v>46077.440358796295</v>
      </c>
      <c r="G517" t="s">
        <v>464</v>
      </c>
      <c r="H517" t="s">
        <v>287</v>
      </c>
      <c r="I517" t="s">
        <v>2782</v>
      </c>
      <c r="J517" t="s">
        <v>2531</v>
      </c>
      <c r="K517" t="s">
        <v>2532</v>
      </c>
      <c r="M517" t="s">
        <v>76</v>
      </c>
      <c r="O517" t="s">
        <v>77</v>
      </c>
      <c r="P517" t="s">
        <v>78</v>
      </c>
      <c r="Q517" t="s">
        <v>50</v>
      </c>
      <c r="R517" t="s">
        <v>51</v>
      </c>
      <c r="S517" t="s">
        <v>52</v>
      </c>
      <c r="T517" t="s">
        <v>240</v>
      </c>
      <c r="U517" s="1">
        <v>46077.495891203704</v>
      </c>
      <c r="V517" t="s">
        <v>54</v>
      </c>
      <c r="W517" t="s">
        <v>55</v>
      </c>
      <c r="X517" t="s">
        <v>82</v>
      </c>
      <c r="Y517" t="e">
        <f>- Please note that, your username has been whitelisted now. kindly ensure that you are using only one device to punch.</f>
        <v>#NAME?</v>
      </c>
      <c r="Z517" t="s">
        <v>58</v>
      </c>
      <c r="AA517" t="s">
        <v>54</v>
      </c>
      <c r="AB517" t="s">
        <v>709</v>
      </c>
      <c r="AC517" t="s">
        <v>85</v>
      </c>
      <c r="AD517" t="s">
        <v>52</v>
      </c>
      <c r="AE517" t="s">
        <v>243</v>
      </c>
      <c r="AF517" t="s">
        <v>2533</v>
      </c>
      <c r="AG517" t="s">
        <v>58</v>
      </c>
      <c r="AH517">
        <v>12179</v>
      </c>
      <c r="AK517">
        <v>1</v>
      </c>
      <c r="AL517" t="s">
        <v>61</v>
      </c>
      <c r="AM517" t="s">
        <v>2783</v>
      </c>
      <c r="AN517" t="s">
        <v>2784</v>
      </c>
    </row>
    <row r="518" spans="1:40" x14ac:dyDescent="0.35">
      <c r="A518" t="s">
        <v>37</v>
      </c>
      <c r="B518" t="s">
        <v>2785</v>
      </c>
      <c r="C518" t="s">
        <v>39</v>
      </c>
      <c r="D518" t="s">
        <v>2786</v>
      </c>
      <c r="E518" t="s">
        <v>2787</v>
      </c>
      <c r="F518" s="1">
        <v>46077.439189814817</v>
      </c>
      <c r="G518" t="s">
        <v>1249</v>
      </c>
      <c r="H518" t="s">
        <v>233</v>
      </c>
      <c r="I518" t="s">
        <v>205</v>
      </c>
      <c r="J518" t="s">
        <v>741</v>
      </c>
      <c r="K518" t="s">
        <v>207</v>
      </c>
      <c r="M518" t="s">
        <v>131</v>
      </c>
      <c r="O518" t="s">
        <v>77</v>
      </c>
      <c r="P518" t="s">
        <v>78</v>
      </c>
      <c r="Q518" t="s">
        <v>50</v>
      </c>
      <c r="R518" t="s">
        <v>208</v>
      </c>
      <c r="S518" t="s">
        <v>209</v>
      </c>
      <c r="T518" t="s">
        <v>210</v>
      </c>
      <c r="U518" s="1">
        <v>46077.553067129629</v>
      </c>
      <c r="V518" t="s">
        <v>54</v>
      </c>
      <c r="W518" t="s">
        <v>55</v>
      </c>
      <c r="X518" t="s">
        <v>211</v>
      </c>
      <c r="Y518" t="s">
        <v>2788</v>
      </c>
      <c r="Z518" t="s">
        <v>58</v>
      </c>
      <c r="AA518" t="s">
        <v>54</v>
      </c>
      <c r="AB518" t="s">
        <v>213</v>
      </c>
      <c r="AC518" t="s">
        <v>85</v>
      </c>
      <c r="AD518" t="s">
        <v>214</v>
      </c>
      <c r="AE518" t="s">
        <v>215</v>
      </c>
      <c r="AF518" t="s">
        <v>216</v>
      </c>
      <c r="AG518" t="s">
        <v>58</v>
      </c>
      <c r="AH518">
        <v>15282</v>
      </c>
      <c r="AK518">
        <v>1</v>
      </c>
      <c r="AL518" t="s">
        <v>61</v>
      </c>
      <c r="AM518" t="s">
        <v>2789</v>
      </c>
      <c r="AN518" t="s">
        <v>2790</v>
      </c>
    </row>
    <row r="519" spans="1:40" x14ac:dyDescent="0.35">
      <c r="A519" t="s">
        <v>37</v>
      </c>
      <c r="B519" t="s">
        <v>2791</v>
      </c>
      <c r="C519" t="s">
        <v>39</v>
      </c>
      <c r="D519" t="s">
        <v>853</v>
      </c>
      <c r="E519" t="s">
        <v>2542</v>
      </c>
      <c r="F519" s="1">
        <v>46077.439745370371</v>
      </c>
      <c r="G519" t="s">
        <v>402</v>
      </c>
      <c r="H519" t="s">
        <v>72</v>
      </c>
      <c r="I519" t="s">
        <v>2792</v>
      </c>
      <c r="J519" t="s">
        <v>2772</v>
      </c>
      <c r="K519" t="s">
        <v>2773</v>
      </c>
      <c r="M519" t="s">
        <v>131</v>
      </c>
      <c r="O519" t="s">
        <v>77</v>
      </c>
      <c r="P519" t="s">
        <v>78</v>
      </c>
      <c r="R519" t="s">
        <v>51</v>
      </c>
      <c r="S519" t="s">
        <v>52</v>
      </c>
      <c r="T519" t="s">
        <v>240</v>
      </c>
      <c r="U519" s="1">
        <v>46077.448425925926</v>
      </c>
      <c r="V519" t="s">
        <v>54</v>
      </c>
      <c r="W519" t="s">
        <v>55</v>
      </c>
      <c r="X519" t="s">
        <v>134</v>
      </c>
      <c r="Y519" t="s">
        <v>2793</v>
      </c>
      <c r="Z519" t="s">
        <v>58</v>
      </c>
      <c r="AA519" t="s">
        <v>54</v>
      </c>
      <c r="AB519" t="s">
        <v>2775</v>
      </c>
      <c r="AC519" t="s">
        <v>85</v>
      </c>
      <c r="AD519" t="s">
        <v>52</v>
      </c>
      <c r="AE519" t="s">
        <v>243</v>
      </c>
      <c r="AF519" t="s">
        <v>244</v>
      </c>
      <c r="AG519" t="s">
        <v>58</v>
      </c>
      <c r="AH519">
        <v>15955</v>
      </c>
      <c r="AK519">
        <v>0</v>
      </c>
      <c r="AL519" t="s">
        <v>61</v>
      </c>
      <c r="AM519" t="s">
        <v>2545</v>
      </c>
      <c r="AN519" t="s">
        <v>2546</v>
      </c>
    </row>
    <row r="520" spans="1:40" x14ac:dyDescent="0.35">
      <c r="A520" t="s">
        <v>37</v>
      </c>
      <c r="B520" t="s">
        <v>2794</v>
      </c>
      <c r="C520" t="s">
        <v>39</v>
      </c>
      <c r="D520" t="s">
        <v>853</v>
      </c>
      <c r="E520" t="s">
        <v>2542</v>
      </c>
      <c r="F520" s="1">
        <v>46077.438854166663</v>
      </c>
      <c r="G520" t="s">
        <v>402</v>
      </c>
      <c r="H520" t="s">
        <v>72</v>
      </c>
      <c r="I520" t="s">
        <v>2795</v>
      </c>
      <c r="J520" t="s">
        <v>2772</v>
      </c>
      <c r="K520" t="s">
        <v>2773</v>
      </c>
      <c r="M520" t="s">
        <v>131</v>
      </c>
      <c r="O520" t="s">
        <v>77</v>
      </c>
      <c r="P520" t="s">
        <v>78</v>
      </c>
      <c r="R520" t="s">
        <v>51</v>
      </c>
      <c r="S520" t="s">
        <v>52</v>
      </c>
      <c r="T520" t="s">
        <v>240</v>
      </c>
      <c r="U520" s="1">
        <v>46077.447916666664</v>
      </c>
      <c r="V520" t="s">
        <v>54</v>
      </c>
      <c r="W520" t="s">
        <v>55</v>
      </c>
      <c r="X520" t="s">
        <v>134</v>
      </c>
      <c r="Y520" t="s">
        <v>2796</v>
      </c>
      <c r="Z520" t="s">
        <v>58</v>
      </c>
      <c r="AA520" t="s">
        <v>54</v>
      </c>
      <c r="AB520" t="s">
        <v>2775</v>
      </c>
      <c r="AC520" t="s">
        <v>85</v>
      </c>
      <c r="AD520" t="s">
        <v>52</v>
      </c>
      <c r="AE520" t="s">
        <v>243</v>
      </c>
      <c r="AF520" t="s">
        <v>244</v>
      </c>
      <c r="AG520" t="s">
        <v>58</v>
      </c>
      <c r="AH520">
        <v>15955</v>
      </c>
      <c r="AK520">
        <v>0</v>
      </c>
      <c r="AL520" t="s">
        <v>61</v>
      </c>
      <c r="AM520" t="s">
        <v>2545</v>
      </c>
      <c r="AN520" t="s">
        <v>2546</v>
      </c>
    </row>
    <row r="521" spans="1:40" x14ac:dyDescent="0.35">
      <c r="A521" t="s">
        <v>37</v>
      </c>
      <c r="B521" t="s">
        <v>2797</v>
      </c>
      <c r="C521" t="s">
        <v>39</v>
      </c>
      <c r="D521" t="s">
        <v>469</v>
      </c>
      <c r="E521" t="s">
        <v>2798</v>
      </c>
      <c r="F521" s="1">
        <v>46077.43891203704</v>
      </c>
      <c r="G521" t="s">
        <v>497</v>
      </c>
      <c r="H521" t="s">
        <v>72</v>
      </c>
      <c r="I521" t="s">
        <v>2799</v>
      </c>
      <c r="J521" t="s">
        <v>2800</v>
      </c>
      <c r="K521" t="s">
        <v>2801</v>
      </c>
      <c r="M521" t="s">
        <v>131</v>
      </c>
      <c r="O521" t="s">
        <v>77</v>
      </c>
      <c r="P521" t="s">
        <v>78</v>
      </c>
      <c r="Q521" t="s">
        <v>1174</v>
      </c>
      <c r="R521" t="s">
        <v>51</v>
      </c>
      <c r="S521" t="s">
        <v>2563</v>
      </c>
      <c r="T521" t="s">
        <v>2563</v>
      </c>
      <c r="U521" s="1">
        <v>46077.468101851853</v>
      </c>
      <c r="V521" t="s">
        <v>54</v>
      </c>
      <c r="W521" t="s">
        <v>55</v>
      </c>
      <c r="X521" t="s">
        <v>134</v>
      </c>
      <c r="Y521" t="s">
        <v>2802</v>
      </c>
      <c r="Z521" t="s">
        <v>58</v>
      </c>
      <c r="AA521" t="s">
        <v>54</v>
      </c>
      <c r="AB521" t="s">
        <v>408</v>
      </c>
      <c r="AC521" t="s">
        <v>85</v>
      </c>
      <c r="AD521" t="s">
        <v>51</v>
      </c>
      <c r="AE521" t="s">
        <v>2563</v>
      </c>
      <c r="AF521" t="s">
        <v>2563</v>
      </c>
      <c r="AG521" t="s">
        <v>58</v>
      </c>
      <c r="AH521" t="s">
        <v>2803</v>
      </c>
      <c r="AK521">
        <v>1</v>
      </c>
      <c r="AL521" t="s">
        <v>61</v>
      </c>
      <c r="AM521" t="s">
        <v>2804</v>
      </c>
      <c r="AN521" t="s">
        <v>2805</v>
      </c>
    </row>
    <row r="522" spans="1:40" x14ac:dyDescent="0.35">
      <c r="A522" t="s">
        <v>37</v>
      </c>
      <c r="B522" t="s">
        <v>2806</v>
      </c>
      <c r="C522" t="s">
        <v>102</v>
      </c>
      <c r="D522" t="s">
        <v>220</v>
      </c>
      <c r="E522" t="s">
        <v>2807</v>
      </c>
      <c r="F522" s="1">
        <v>46077.438194444447</v>
      </c>
      <c r="G522" t="s">
        <v>1117</v>
      </c>
      <c r="H522" t="s">
        <v>92</v>
      </c>
      <c r="I522" t="s">
        <v>2460</v>
      </c>
      <c r="J522" t="s">
        <v>1015</v>
      </c>
      <c r="K522" t="s">
        <v>75</v>
      </c>
      <c r="M522" t="s">
        <v>76</v>
      </c>
      <c r="O522" t="s">
        <v>237</v>
      </c>
      <c r="P522" t="s">
        <v>238</v>
      </c>
      <c r="Q522" t="s">
        <v>818</v>
      </c>
      <c r="R522" t="s">
        <v>79</v>
      </c>
      <c r="S522" t="s">
        <v>955</v>
      </c>
      <c r="T522" t="s">
        <v>2460</v>
      </c>
      <c r="U522" s="1">
        <v>46077.449965277781</v>
      </c>
      <c r="V522" t="s">
        <v>54</v>
      </c>
      <c r="W522" t="s">
        <v>55</v>
      </c>
      <c r="X522" t="s">
        <v>82</v>
      </c>
      <c r="Y522" t="s">
        <v>2808</v>
      </c>
      <c r="Z522" t="s">
        <v>58</v>
      </c>
      <c r="AA522" t="s">
        <v>54</v>
      </c>
      <c r="AB522" t="s">
        <v>954</v>
      </c>
      <c r="AC522" t="s">
        <v>242</v>
      </c>
      <c r="AD522" t="s">
        <v>79</v>
      </c>
      <c r="AE522" t="s">
        <v>955</v>
      </c>
      <c r="AF522" t="s">
        <v>2460</v>
      </c>
      <c r="AG522" t="s">
        <v>58</v>
      </c>
      <c r="AH522">
        <v>6650</v>
      </c>
      <c r="AK522">
        <v>0</v>
      </c>
      <c r="AL522" t="s">
        <v>410</v>
      </c>
      <c r="AM522" t="s">
        <v>2809</v>
      </c>
      <c r="AN522" t="s">
        <v>2810</v>
      </c>
    </row>
    <row r="523" spans="1:40" x14ac:dyDescent="0.35">
      <c r="A523" t="s">
        <v>37</v>
      </c>
      <c r="B523" t="s">
        <v>2811</v>
      </c>
      <c r="C523" t="s">
        <v>39</v>
      </c>
      <c r="D523" t="s">
        <v>853</v>
      </c>
      <c r="E523" t="s">
        <v>2542</v>
      </c>
      <c r="F523" s="1">
        <v>46077.438252314816</v>
      </c>
      <c r="G523" t="s">
        <v>402</v>
      </c>
      <c r="H523" t="s">
        <v>72</v>
      </c>
      <c r="I523" t="s">
        <v>2812</v>
      </c>
      <c r="J523" t="s">
        <v>2772</v>
      </c>
      <c r="K523" t="s">
        <v>2773</v>
      </c>
      <c r="M523" t="s">
        <v>131</v>
      </c>
      <c r="O523" t="s">
        <v>77</v>
      </c>
      <c r="P523" t="s">
        <v>78</v>
      </c>
      <c r="R523" t="s">
        <v>51</v>
      </c>
      <c r="S523" t="s">
        <v>52</v>
      </c>
      <c r="T523" t="s">
        <v>240</v>
      </c>
      <c r="U523" s="1">
        <v>46077.447546296295</v>
      </c>
      <c r="V523" t="s">
        <v>54</v>
      </c>
      <c r="W523" t="s">
        <v>55</v>
      </c>
      <c r="X523" t="s">
        <v>134</v>
      </c>
      <c r="Y523" t="s">
        <v>2813</v>
      </c>
      <c r="Z523" t="s">
        <v>58</v>
      </c>
      <c r="AA523" t="s">
        <v>54</v>
      </c>
      <c r="AB523" t="s">
        <v>2775</v>
      </c>
      <c r="AC523" t="s">
        <v>85</v>
      </c>
      <c r="AD523" t="s">
        <v>52</v>
      </c>
      <c r="AE523" t="s">
        <v>243</v>
      </c>
      <c r="AF523" t="s">
        <v>244</v>
      </c>
      <c r="AG523" t="s">
        <v>58</v>
      </c>
      <c r="AH523">
        <v>15955</v>
      </c>
      <c r="AK523">
        <v>0</v>
      </c>
      <c r="AL523" t="s">
        <v>61</v>
      </c>
      <c r="AM523" t="s">
        <v>2545</v>
      </c>
      <c r="AN523" t="s">
        <v>2546</v>
      </c>
    </row>
    <row r="524" spans="1:40" x14ac:dyDescent="0.35">
      <c r="A524" t="s">
        <v>37</v>
      </c>
      <c r="B524" t="s">
        <v>2814</v>
      </c>
      <c r="C524" t="s">
        <v>39</v>
      </c>
      <c r="D524" t="s">
        <v>853</v>
      </c>
      <c r="E524" t="s">
        <v>2542</v>
      </c>
      <c r="F524" s="1">
        <v>46077.437407407408</v>
      </c>
      <c r="G524" t="s">
        <v>402</v>
      </c>
      <c r="H524" t="s">
        <v>72</v>
      </c>
      <c r="I524" t="s">
        <v>2812</v>
      </c>
      <c r="J524" t="s">
        <v>2772</v>
      </c>
      <c r="K524" t="s">
        <v>2773</v>
      </c>
      <c r="M524" t="s">
        <v>131</v>
      </c>
      <c r="O524" t="s">
        <v>77</v>
      </c>
      <c r="P524" t="s">
        <v>78</v>
      </c>
      <c r="Q524" t="s">
        <v>50</v>
      </c>
      <c r="R524" t="s">
        <v>51</v>
      </c>
      <c r="S524" t="s">
        <v>52</v>
      </c>
      <c r="T524" t="s">
        <v>240</v>
      </c>
      <c r="U524" s="1">
        <v>46077.446608796294</v>
      </c>
      <c r="V524" t="s">
        <v>54</v>
      </c>
      <c r="W524" t="s">
        <v>55</v>
      </c>
      <c r="X524" t="s">
        <v>134</v>
      </c>
      <c r="Y524" t="s">
        <v>2813</v>
      </c>
      <c r="Z524" t="s">
        <v>58</v>
      </c>
      <c r="AA524" t="s">
        <v>54</v>
      </c>
      <c r="AB524" t="s">
        <v>2775</v>
      </c>
      <c r="AC524" t="s">
        <v>85</v>
      </c>
      <c r="AD524" t="s">
        <v>52</v>
      </c>
      <c r="AE524" t="s">
        <v>243</v>
      </c>
      <c r="AF524" t="s">
        <v>244</v>
      </c>
      <c r="AG524" t="s">
        <v>58</v>
      </c>
      <c r="AH524">
        <v>15955</v>
      </c>
      <c r="AK524">
        <v>0</v>
      </c>
      <c r="AL524" t="s">
        <v>61</v>
      </c>
      <c r="AM524" t="s">
        <v>2545</v>
      </c>
      <c r="AN524" t="s">
        <v>2546</v>
      </c>
    </row>
    <row r="525" spans="1:40" x14ac:dyDescent="0.35">
      <c r="A525" t="s">
        <v>37</v>
      </c>
      <c r="B525" t="s">
        <v>2815</v>
      </c>
      <c r="C525" t="s">
        <v>39</v>
      </c>
      <c r="D525" t="s">
        <v>933</v>
      </c>
      <c r="E525" t="s">
        <v>2020</v>
      </c>
      <c r="F525" s="1">
        <v>46077.43478009259</v>
      </c>
      <c r="G525" t="s">
        <v>402</v>
      </c>
      <c r="H525" t="s">
        <v>72</v>
      </c>
      <c r="I525" t="s">
        <v>2816</v>
      </c>
      <c r="J525" t="s">
        <v>2772</v>
      </c>
      <c r="K525" t="s">
        <v>2773</v>
      </c>
      <c r="M525" t="s">
        <v>131</v>
      </c>
      <c r="O525" t="s">
        <v>77</v>
      </c>
      <c r="P525" t="s">
        <v>78</v>
      </c>
      <c r="Q525" t="s">
        <v>50</v>
      </c>
      <c r="R525" t="s">
        <v>51</v>
      </c>
      <c r="S525" t="s">
        <v>52</v>
      </c>
      <c r="T525" t="s">
        <v>240</v>
      </c>
      <c r="U525" s="1">
        <v>46077.446331018517</v>
      </c>
      <c r="V525" t="s">
        <v>54</v>
      </c>
      <c r="W525" t="s">
        <v>55</v>
      </c>
      <c r="X525" t="s">
        <v>134</v>
      </c>
      <c r="Y525" t="s">
        <v>2813</v>
      </c>
      <c r="Z525" t="s">
        <v>58</v>
      </c>
      <c r="AA525" t="s">
        <v>54</v>
      </c>
      <c r="AB525" t="s">
        <v>2775</v>
      </c>
      <c r="AC525" t="s">
        <v>85</v>
      </c>
      <c r="AD525" t="s">
        <v>52</v>
      </c>
      <c r="AE525" t="s">
        <v>243</v>
      </c>
      <c r="AF525" t="s">
        <v>244</v>
      </c>
      <c r="AG525" t="s">
        <v>58</v>
      </c>
      <c r="AH525">
        <v>15551</v>
      </c>
      <c r="AK525">
        <v>0</v>
      </c>
      <c r="AL525" t="s">
        <v>61</v>
      </c>
      <c r="AM525" t="s">
        <v>2021</v>
      </c>
      <c r="AN525" t="s">
        <v>2022</v>
      </c>
    </row>
    <row r="526" spans="1:40" x14ac:dyDescent="0.35">
      <c r="A526" t="s">
        <v>37</v>
      </c>
      <c r="B526" t="s">
        <v>2817</v>
      </c>
      <c r="C526" t="s">
        <v>102</v>
      </c>
      <c r="D526" t="s">
        <v>617</v>
      </c>
      <c r="E526" t="s">
        <v>618</v>
      </c>
      <c r="F526" s="1">
        <v>46077.434212962966</v>
      </c>
      <c r="G526" t="s">
        <v>286</v>
      </c>
      <c r="H526" t="s">
        <v>287</v>
      </c>
      <c r="I526" t="s">
        <v>2818</v>
      </c>
      <c r="J526" t="s">
        <v>620</v>
      </c>
      <c r="K526" t="s">
        <v>130</v>
      </c>
      <c r="M526" t="s">
        <v>150</v>
      </c>
      <c r="O526" t="s">
        <v>77</v>
      </c>
      <c r="P526" t="s">
        <v>78</v>
      </c>
      <c r="Q526" t="s">
        <v>50</v>
      </c>
      <c r="R526" t="s">
        <v>132</v>
      </c>
      <c r="S526" t="s">
        <v>133</v>
      </c>
      <c r="T526" t="s">
        <v>133</v>
      </c>
      <c r="U526" s="1">
        <v>46078.342719907407</v>
      </c>
      <c r="V526" t="s">
        <v>54</v>
      </c>
      <c r="W526" t="s">
        <v>55</v>
      </c>
      <c r="X526" t="s">
        <v>134</v>
      </c>
      <c r="Y526" t="s">
        <v>2819</v>
      </c>
      <c r="Z526" t="s">
        <v>58</v>
      </c>
      <c r="AA526" t="s">
        <v>54</v>
      </c>
      <c r="AB526" t="s">
        <v>622</v>
      </c>
      <c r="AC526" t="s">
        <v>85</v>
      </c>
      <c r="AD526" t="s">
        <v>132</v>
      </c>
      <c r="AE526" t="s">
        <v>133</v>
      </c>
      <c r="AF526" t="s">
        <v>133</v>
      </c>
      <c r="AG526" t="s">
        <v>58</v>
      </c>
      <c r="AH526" t="s">
        <v>623</v>
      </c>
      <c r="AK526">
        <v>1</v>
      </c>
      <c r="AL526" t="s">
        <v>61</v>
      </c>
      <c r="AM526" t="s">
        <v>622</v>
      </c>
      <c r="AN526" t="s">
        <v>624</v>
      </c>
    </row>
    <row r="527" spans="1:40" x14ac:dyDescent="0.35">
      <c r="A527" t="s">
        <v>37</v>
      </c>
      <c r="B527" t="s">
        <v>2820</v>
      </c>
      <c r="C527" t="s">
        <v>39</v>
      </c>
      <c r="D527" t="s">
        <v>1429</v>
      </c>
      <c r="E527" t="s">
        <v>220</v>
      </c>
      <c r="F527" s="1">
        <v>46077.432523148149</v>
      </c>
      <c r="G527" t="s">
        <v>487</v>
      </c>
      <c r="H527" t="s">
        <v>447</v>
      </c>
      <c r="I527" t="s">
        <v>2821</v>
      </c>
      <c r="J527" t="s">
        <v>557</v>
      </c>
      <c r="K527" t="s">
        <v>75</v>
      </c>
      <c r="M527" t="s">
        <v>76</v>
      </c>
      <c r="O527" t="s">
        <v>77</v>
      </c>
      <c r="P527" t="s">
        <v>78</v>
      </c>
      <c r="R527" t="s">
        <v>79</v>
      </c>
      <c r="S527" t="s">
        <v>967</v>
      </c>
      <c r="T527" t="s">
        <v>1072</v>
      </c>
      <c r="U527" s="1">
        <v>46077.602592592593</v>
      </c>
      <c r="V527" t="s">
        <v>54</v>
      </c>
      <c r="W527" t="s">
        <v>55</v>
      </c>
      <c r="X527" t="s">
        <v>82</v>
      </c>
      <c r="Y527" t="s">
        <v>2822</v>
      </c>
      <c r="Z527" t="s">
        <v>58</v>
      </c>
      <c r="AA527" t="s">
        <v>54</v>
      </c>
      <c r="AB527" t="s">
        <v>645</v>
      </c>
      <c r="AC527" t="s">
        <v>85</v>
      </c>
      <c r="AD527" t="s">
        <v>79</v>
      </c>
      <c r="AE527" t="s">
        <v>967</v>
      </c>
      <c r="AF527" t="s">
        <v>1072</v>
      </c>
      <c r="AG527" t="s">
        <v>58</v>
      </c>
      <c r="AH527">
        <v>15523</v>
      </c>
      <c r="AK527">
        <v>0</v>
      </c>
      <c r="AL527" t="s">
        <v>61</v>
      </c>
      <c r="AM527" t="s">
        <v>1431</v>
      </c>
      <c r="AN527" t="s">
        <v>1432</v>
      </c>
    </row>
    <row r="528" spans="1:40" x14ac:dyDescent="0.35">
      <c r="A528" t="s">
        <v>37</v>
      </c>
      <c r="B528" t="s">
        <v>2823</v>
      </c>
      <c r="C528" t="s">
        <v>39</v>
      </c>
      <c r="D528" t="s">
        <v>2824</v>
      </c>
      <c r="E528" t="s">
        <v>2825</v>
      </c>
      <c r="F528" s="1">
        <v>46077.431006944447</v>
      </c>
      <c r="G528" t="s">
        <v>355</v>
      </c>
      <c r="H528" t="s">
        <v>356</v>
      </c>
      <c r="I528" t="s">
        <v>1185</v>
      </c>
      <c r="J528" t="s">
        <v>2406</v>
      </c>
      <c r="K528" t="s">
        <v>1187</v>
      </c>
      <c r="M528" t="s">
        <v>131</v>
      </c>
      <c r="O528" t="s">
        <v>77</v>
      </c>
      <c r="P528" t="s">
        <v>78</v>
      </c>
      <c r="Q528" t="s">
        <v>50</v>
      </c>
      <c r="R528" t="s">
        <v>305</v>
      </c>
      <c r="S528" t="s">
        <v>306</v>
      </c>
      <c r="T528" t="s">
        <v>307</v>
      </c>
      <c r="U528" s="1">
        <v>46077.591203703705</v>
      </c>
      <c r="V528" t="s">
        <v>54</v>
      </c>
      <c r="W528" t="s">
        <v>55</v>
      </c>
      <c r="X528" t="s">
        <v>211</v>
      </c>
      <c r="Y528" t="s">
        <v>2826</v>
      </c>
      <c r="Z528" t="s">
        <v>58</v>
      </c>
      <c r="AA528" t="s">
        <v>54</v>
      </c>
      <c r="AB528" t="s">
        <v>213</v>
      </c>
      <c r="AC528" t="s">
        <v>85</v>
      </c>
      <c r="AD528" t="s">
        <v>1189</v>
      </c>
      <c r="AE528" t="s">
        <v>1190</v>
      </c>
      <c r="AF528" t="s">
        <v>1191</v>
      </c>
      <c r="AG528" t="s">
        <v>58</v>
      </c>
      <c r="AH528" t="s">
        <v>2827</v>
      </c>
      <c r="AK528">
        <v>3</v>
      </c>
      <c r="AL528" t="s">
        <v>61</v>
      </c>
      <c r="AM528" t="s">
        <v>2828</v>
      </c>
      <c r="AN528" t="s">
        <v>2829</v>
      </c>
    </row>
    <row r="529" spans="1:40" x14ac:dyDescent="0.35">
      <c r="A529" t="s">
        <v>37</v>
      </c>
      <c r="B529" t="s">
        <v>2830</v>
      </c>
      <c r="C529" t="s">
        <v>102</v>
      </c>
      <c r="D529" t="s">
        <v>555</v>
      </c>
      <c r="E529" t="s">
        <v>757</v>
      </c>
      <c r="F529" s="1">
        <v>46077.424988425926</v>
      </c>
      <c r="G529" t="s">
        <v>913</v>
      </c>
      <c r="H529" t="s">
        <v>72</v>
      </c>
      <c r="I529" t="s">
        <v>2831</v>
      </c>
      <c r="J529" t="s">
        <v>557</v>
      </c>
      <c r="K529" t="s">
        <v>75</v>
      </c>
      <c r="M529" t="s">
        <v>76</v>
      </c>
      <c r="O529" t="s">
        <v>237</v>
      </c>
      <c r="P529" t="s">
        <v>238</v>
      </c>
      <c r="R529" t="s">
        <v>79</v>
      </c>
      <c r="S529" t="s">
        <v>781</v>
      </c>
      <c r="T529" t="s">
        <v>1984</v>
      </c>
      <c r="U529" s="1">
        <v>46077.602233796293</v>
      </c>
      <c r="V529" t="s">
        <v>54</v>
      </c>
      <c r="W529" t="s">
        <v>55</v>
      </c>
      <c r="X529" t="s">
        <v>82</v>
      </c>
      <c r="Y529" t="s">
        <v>2832</v>
      </c>
      <c r="Z529" t="s">
        <v>58</v>
      </c>
      <c r="AA529" t="s">
        <v>54</v>
      </c>
      <c r="AB529" t="s">
        <v>645</v>
      </c>
      <c r="AC529" t="s">
        <v>242</v>
      </c>
      <c r="AD529" t="s">
        <v>79</v>
      </c>
      <c r="AE529" t="s">
        <v>784</v>
      </c>
      <c r="AF529" t="s">
        <v>1985</v>
      </c>
      <c r="AG529" t="s">
        <v>58</v>
      </c>
      <c r="AH529">
        <v>11503</v>
      </c>
      <c r="AK529">
        <v>0</v>
      </c>
      <c r="AL529" t="s">
        <v>61</v>
      </c>
      <c r="AM529" t="s">
        <v>2833</v>
      </c>
      <c r="AN529" t="s">
        <v>2834</v>
      </c>
    </row>
    <row r="530" spans="1:40" x14ac:dyDescent="0.35">
      <c r="A530" t="s">
        <v>37</v>
      </c>
      <c r="B530" t="s">
        <v>2835</v>
      </c>
      <c r="C530" t="s">
        <v>102</v>
      </c>
      <c r="D530" t="s">
        <v>651</v>
      </c>
      <c r="E530" t="s">
        <v>1465</v>
      </c>
      <c r="F530" s="1">
        <v>46077.424293981479</v>
      </c>
      <c r="G530" t="s">
        <v>722</v>
      </c>
      <c r="H530" t="s">
        <v>356</v>
      </c>
      <c r="I530" t="s">
        <v>2836</v>
      </c>
      <c r="J530" t="s">
        <v>1467</v>
      </c>
      <c r="K530" t="s">
        <v>1468</v>
      </c>
      <c r="M530" t="s">
        <v>131</v>
      </c>
      <c r="O530" t="s">
        <v>237</v>
      </c>
      <c r="P530" t="s">
        <v>238</v>
      </c>
      <c r="Q530" t="s">
        <v>50</v>
      </c>
      <c r="R530" t="s">
        <v>51</v>
      </c>
      <c r="S530" t="s">
        <v>52</v>
      </c>
      <c r="T530" t="s">
        <v>240</v>
      </c>
      <c r="U530" s="1">
        <v>46077.570347222223</v>
      </c>
      <c r="V530" t="s">
        <v>54</v>
      </c>
      <c r="W530" t="s">
        <v>55</v>
      </c>
      <c r="X530" t="s">
        <v>211</v>
      </c>
      <c r="Y530" t="s">
        <v>2596</v>
      </c>
      <c r="Z530" t="s">
        <v>58</v>
      </c>
      <c r="AA530" t="s">
        <v>54</v>
      </c>
      <c r="AB530" t="s">
        <v>213</v>
      </c>
      <c r="AC530" t="s">
        <v>242</v>
      </c>
      <c r="AD530" t="s">
        <v>52</v>
      </c>
      <c r="AE530" t="s">
        <v>243</v>
      </c>
      <c r="AF530" t="s">
        <v>1470</v>
      </c>
      <c r="AG530" t="s">
        <v>58</v>
      </c>
      <c r="AH530">
        <v>12396</v>
      </c>
      <c r="AK530">
        <v>1</v>
      </c>
      <c r="AL530" t="s">
        <v>61</v>
      </c>
      <c r="AM530" t="s">
        <v>1471</v>
      </c>
      <c r="AN530" t="s">
        <v>1472</v>
      </c>
    </row>
    <row r="531" spans="1:40" x14ac:dyDescent="0.35">
      <c r="A531" t="s">
        <v>37</v>
      </c>
      <c r="B531" t="s">
        <v>2837</v>
      </c>
      <c r="C531" t="s">
        <v>39</v>
      </c>
      <c r="D531" t="s">
        <v>2838</v>
      </c>
      <c r="E531" t="s">
        <v>2839</v>
      </c>
      <c r="F531" s="1">
        <v>46077.423657407409</v>
      </c>
      <c r="G531" t="s">
        <v>446</v>
      </c>
      <c r="H531" t="s">
        <v>447</v>
      </c>
      <c r="I531" t="s">
        <v>1014</v>
      </c>
      <c r="J531" t="s">
        <v>1015</v>
      </c>
      <c r="K531" t="s">
        <v>75</v>
      </c>
      <c r="M531" t="s">
        <v>76</v>
      </c>
      <c r="O531" t="s">
        <v>77</v>
      </c>
      <c r="P531" t="s">
        <v>78</v>
      </c>
      <c r="Q531" t="s">
        <v>50</v>
      </c>
      <c r="R531" t="s">
        <v>79</v>
      </c>
      <c r="S531" t="s">
        <v>1016</v>
      </c>
      <c r="T531" t="s">
        <v>1017</v>
      </c>
      <c r="U531" s="1">
        <v>46077.430844907409</v>
      </c>
      <c r="V531" t="s">
        <v>54</v>
      </c>
      <c r="W531" t="s">
        <v>55</v>
      </c>
      <c r="X531" t="s">
        <v>82</v>
      </c>
      <c r="Y531" t="s">
        <v>2840</v>
      </c>
      <c r="Z531" t="s">
        <v>58</v>
      </c>
      <c r="AA531" t="s">
        <v>54</v>
      </c>
      <c r="AB531" t="s">
        <v>954</v>
      </c>
      <c r="AC531" t="s">
        <v>85</v>
      </c>
      <c r="AD531" t="s">
        <v>79</v>
      </c>
      <c r="AE531" t="s">
        <v>1016</v>
      </c>
      <c r="AF531" t="s">
        <v>1019</v>
      </c>
      <c r="AG531" t="s">
        <v>58</v>
      </c>
      <c r="AH531">
        <v>12716</v>
      </c>
      <c r="AK531">
        <v>0</v>
      </c>
      <c r="AL531" t="s">
        <v>61</v>
      </c>
      <c r="AM531" t="s">
        <v>2841</v>
      </c>
      <c r="AN531" t="s">
        <v>2842</v>
      </c>
    </row>
    <row r="532" spans="1:40" x14ac:dyDescent="0.35">
      <c r="A532" t="s">
        <v>37</v>
      </c>
      <c r="B532" t="s">
        <v>2843</v>
      </c>
      <c r="C532" t="s">
        <v>102</v>
      </c>
      <c r="D532" t="s">
        <v>1216</v>
      </c>
      <c r="E532" t="s">
        <v>2844</v>
      </c>
      <c r="F532" s="1">
        <v>46077.423807870371</v>
      </c>
      <c r="G532" t="s">
        <v>722</v>
      </c>
      <c r="H532" t="s">
        <v>356</v>
      </c>
      <c r="I532" t="s">
        <v>2845</v>
      </c>
      <c r="J532" t="s">
        <v>557</v>
      </c>
      <c r="K532" t="s">
        <v>75</v>
      </c>
      <c r="M532" t="s">
        <v>76</v>
      </c>
      <c r="O532" t="s">
        <v>237</v>
      </c>
      <c r="P532" t="s">
        <v>238</v>
      </c>
      <c r="Q532" t="s">
        <v>50</v>
      </c>
      <c r="R532" t="s">
        <v>79</v>
      </c>
      <c r="S532" t="s">
        <v>558</v>
      </c>
      <c r="T532" t="s">
        <v>559</v>
      </c>
      <c r="U532" s="1">
        <v>46077.498043981483</v>
      </c>
      <c r="V532" t="s">
        <v>54</v>
      </c>
      <c r="W532" t="s">
        <v>55</v>
      </c>
      <c r="X532" t="s">
        <v>82</v>
      </c>
      <c r="Y532" t="s">
        <v>560</v>
      </c>
      <c r="Z532" t="s">
        <v>58</v>
      </c>
      <c r="AA532" t="s">
        <v>54</v>
      </c>
      <c r="AB532" t="s">
        <v>645</v>
      </c>
      <c r="AC532" t="s">
        <v>242</v>
      </c>
      <c r="AD532" t="s">
        <v>79</v>
      </c>
      <c r="AE532" t="s">
        <v>558</v>
      </c>
      <c r="AF532" t="s">
        <v>559</v>
      </c>
      <c r="AG532" t="s">
        <v>58</v>
      </c>
      <c r="AH532">
        <v>11806</v>
      </c>
      <c r="AK532">
        <v>0</v>
      </c>
      <c r="AL532" t="s">
        <v>61</v>
      </c>
      <c r="AM532" t="s">
        <v>2846</v>
      </c>
      <c r="AN532" t="s">
        <v>2847</v>
      </c>
    </row>
    <row r="533" spans="1:40" x14ac:dyDescent="0.35">
      <c r="A533" t="s">
        <v>37</v>
      </c>
      <c r="B533" t="s">
        <v>2848</v>
      </c>
      <c r="C533" t="s">
        <v>102</v>
      </c>
      <c r="D533" t="s">
        <v>2849</v>
      </c>
      <c r="E533" t="s">
        <v>2850</v>
      </c>
      <c r="F533" s="1">
        <v>46077.421342592592</v>
      </c>
      <c r="G533" t="s">
        <v>688</v>
      </c>
      <c r="H533" t="s">
        <v>106</v>
      </c>
      <c r="I533" t="s">
        <v>2851</v>
      </c>
      <c r="J533" t="s">
        <v>707</v>
      </c>
      <c r="K533" t="s">
        <v>75</v>
      </c>
      <c r="M533" t="s">
        <v>76</v>
      </c>
      <c r="O533" t="s">
        <v>237</v>
      </c>
      <c r="P533" t="s">
        <v>238</v>
      </c>
      <c r="Q533" t="s">
        <v>50</v>
      </c>
      <c r="R533" t="s">
        <v>305</v>
      </c>
      <c r="S533" t="s">
        <v>306</v>
      </c>
      <c r="T533" t="s">
        <v>307</v>
      </c>
      <c r="U533" s="1">
        <v>46078.391273148147</v>
      </c>
      <c r="V533" t="s">
        <v>54</v>
      </c>
      <c r="W533" t="s">
        <v>55</v>
      </c>
      <c r="X533" t="s">
        <v>211</v>
      </c>
      <c r="Y533" t="e">
        <f>- cleared credential manager for old password. - Removed unwanted PDF Architect software as per user confirmation.</f>
        <v>#NAME?</v>
      </c>
      <c r="Z533" t="s">
        <v>58</v>
      </c>
      <c r="AA533" t="s">
        <v>54</v>
      </c>
      <c r="AB533" t="s">
        <v>213</v>
      </c>
      <c r="AC533" t="s">
        <v>242</v>
      </c>
      <c r="AD533" t="s">
        <v>79</v>
      </c>
      <c r="AE533" t="s">
        <v>696</v>
      </c>
      <c r="AF533" t="s">
        <v>1266</v>
      </c>
      <c r="AG533" t="s">
        <v>58</v>
      </c>
      <c r="AH533">
        <v>14755</v>
      </c>
      <c r="AK533">
        <v>4</v>
      </c>
      <c r="AL533" t="s">
        <v>61</v>
      </c>
      <c r="AM533" t="s">
        <v>2852</v>
      </c>
      <c r="AN533" t="s">
        <v>2853</v>
      </c>
    </row>
    <row r="534" spans="1:40" x14ac:dyDescent="0.35">
      <c r="A534" t="s">
        <v>37</v>
      </c>
      <c r="B534" t="s">
        <v>2854</v>
      </c>
      <c r="C534" t="s">
        <v>39</v>
      </c>
      <c r="D534" t="s">
        <v>2855</v>
      </c>
      <c r="E534" t="s">
        <v>2856</v>
      </c>
      <c r="F534" s="1">
        <v>46077.421736111108</v>
      </c>
      <c r="G534" t="s">
        <v>355</v>
      </c>
      <c r="H534" t="s">
        <v>356</v>
      </c>
      <c r="I534" t="s">
        <v>2857</v>
      </c>
      <c r="J534" t="s">
        <v>2858</v>
      </c>
      <c r="K534" t="s">
        <v>46</v>
      </c>
      <c r="M534" t="s">
        <v>47</v>
      </c>
      <c r="O534" t="s">
        <v>77</v>
      </c>
      <c r="P534" t="s">
        <v>78</v>
      </c>
      <c r="Q534" t="s">
        <v>50</v>
      </c>
      <c r="R534" t="s">
        <v>208</v>
      </c>
      <c r="S534" t="s">
        <v>209</v>
      </c>
      <c r="T534" t="s">
        <v>2859</v>
      </c>
      <c r="U534" s="1">
        <v>46077.939259259256</v>
      </c>
      <c r="V534" t="s">
        <v>54</v>
      </c>
      <c r="W534" t="s">
        <v>55</v>
      </c>
      <c r="X534" t="s">
        <v>134</v>
      </c>
      <c r="Y534" t="s">
        <v>2860</v>
      </c>
      <c r="Z534" t="s">
        <v>58</v>
      </c>
      <c r="AA534" t="s">
        <v>54</v>
      </c>
      <c r="AB534" t="s">
        <v>408</v>
      </c>
      <c r="AC534" t="s">
        <v>85</v>
      </c>
      <c r="AD534" t="s">
        <v>214</v>
      </c>
      <c r="AE534" t="s">
        <v>2861</v>
      </c>
      <c r="AF534" t="s">
        <v>2862</v>
      </c>
      <c r="AG534" t="s">
        <v>58</v>
      </c>
      <c r="AH534" t="s">
        <v>2863</v>
      </c>
      <c r="AK534">
        <v>1</v>
      </c>
      <c r="AL534" t="s">
        <v>61</v>
      </c>
      <c r="AM534" t="s">
        <v>2864</v>
      </c>
      <c r="AN534" t="s">
        <v>2865</v>
      </c>
    </row>
    <row r="535" spans="1:40" x14ac:dyDescent="0.35">
      <c r="A535" t="s">
        <v>37</v>
      </c>
      <c r="B535" t="s">
        <v>2866</v>
      </c>
      <c r="C535" t="s">
        <v>39</v>
      </c>
      <c r="D535" t="s">
        <v>2396</v>
      </c>
      <c r="E535" t="s">
        <v>2867</v>
      </c>
      <c r="F535" s="1">
        <v>46077.420497685183</v>
      </c>
      <c r="G535" t="s">
        <v>1264</v>
      </c>
      <c r="H535" t="s">
        <v>43</v>
      </c>
      <c r="I535" t="s">
        <v>1071</v>
      </c>
      <c r="J535" t="s">
        <v>707</v>
      </c>
      <c r="K535" t="s">
        <v>75</v>
      </c>
      <c r="M535" t="s">
        <v>76</v>
      </c>
      <c r="O535" t="s">
        <v>77</v>
      </c>
      <c r="P535" t="s">
        <v>78</v>
      </c>
      <c r="Q535" t="s">
        <v>50</v>
      </c>
      <c r="R535" t="s">
        <v>79</v>
      </c>
      <c r="S535" t="s">
        <v>967</v>
      </c>
      <c r="T535" t="s">
        <v>1072</v>
      </c>
      <c r="U535" s="1">
        <v>46077.420902777776</v>
      </c>
      <c r="V535" t="s">
        <v>54</v>
      </c>
      <c r="W535" t="s">
        <v>55</v>
      </c>
      <c r="X535" t="s">
        <v>82</v>
      </c>
      <c r="Y535" t="s">
        <v>2868</v>
      </c>
      <c r="Z535" t="s">
        <v>58</v>
      </c>
      <c r="AA535" t="s">
        <v>54</v>
      </c>
      <c r="AB535" t="s">
        <v>709</v>
      </c>
      <c r="AC535" t="s">
        <v>85</v>
      </c>
      <c r="AD535" t="s">
        <v>79</v>
      </c>
      <c r="AE535" t="s">
        <v>967</v>
      </c>
      <c r="AF535" t="s">
        <v>1072</v>
      </c>
      <c r="AG535" t="s">
        <v>58</v>
      </c>
      <c r="AH535">
        <v>14633</v>
      </c>
      <c r="AK535">
        <v>0</v>
      </c>
      <c r="AL535" t="s">
        <v>61</v>
      </c>
      <c r="AM535" t="s">
        <v>2869</v>
      </c>
      <c r="AN535" t="s">
        <v>2870</v>
      </c>
    </row>
    <row r="536" spans="1:40" x14ac:dyDescent="0.35">
      <c r="A536" t="s">
        <v>37</v>
      </c>
      <c r="B536" t="s">
        <v>2871</v>
      </c>
      <c r="C536" t="s">
        <v>102</v>
      </c>
      <c r="D536" t="s">
        <v>617</v>
      </c>
      <c r="E536" t="s">
        <v>618</v>
      </c>
      <c r="F536" s="1">
        <v>46077.420960648145</v>
      </c>
      <c r="G536" t="s">
        <v>286</v>
      </c>
      <c r="H536" t="s">
        <v>287</v>
      </c>
      <c r="I536" t="s">
        <v>2872</v>
      </c>
      <c r="J536" t="s">
        <v>620</v>
      </c>
      <c r="K536" t="s">
        <v>130</v>
      </c>
      <c r="M536" t="s">
        <v>131</v>
      </c>
      <c r="O536" t="s">
        <v>77</v>
      </c>
      <c r="P536" t="s">
        <v>78</v>
      </c>
      <c r="Q536" t="s">
        <v>50</v>
      </c>
      <c r="R536" t="s">
        <v>132</v>
      </c>
      <c r="S536" t="s">
        <v>133</v>
      </c>
      <c r="T536" t="s">
        <v>133</v>
      </c>
      <c r="U536" s="1">
        <v>46077.532395833332</v>
      </c>
      <c r="V536" t="s">
        <v>54</v>
      </c>
      <c r="W536" t="s">
        <v>55</v>
      </c>
      <c r="X536" t="s">
        <v>134</v>
      </c>
      <c r="Y536" t="s">
        <v>2873</v>
      </c>
      <c r="Z536" t="s">
        <v>58</v>
      </c>
      <c r="AA536" t="s">
        <v>54</v>
      </c>
      <c r="AB536" t="s">
        <v>622</v>
      </c>
      <c r="AC536" t="s">
        <v>85</v>
      </c>
      <c r="AD536" t="s">
        <v>132</v>
      </c>
      <c r="AE536" t="s">
        <v>133</v>
      </c>
      <c r="AF536" t="s">
        <v>133</v>
      </c>
      <c r="AG536" t="s">
        <v>58</v>
      </c>
      <c r="AH536" t="s">
        <v>623</v>
      </c>
      <c r="AK536">
        <v>1</v>
      </c>
      <c r="AL536" t="s">
        <v>61</v>
      </c>
      <c r="AM536" t="s">
        <v>622</v>
      </c>
      <c r="AN536" t="s">
        <v>624</v>
      </c>
    </row>
    <row r="537" spans="1:40" x14ac:dyDescent="0.35">
      <c r="A537" t="s">
        <v>37</v>
      </c>
      <c r="B537" t="s">
        <v>2874</v>
      </c>
      <c r="C537" t="s">
        <v>39</v>
      </c>
      <c r="D537" t="s">
        <v>220</v>
      </c>
      <c r="E537" t="s">
        <v>2807</v>
      </c>
      <c r="F537" s="1">
        <v>46077.420856481483</v>
      </c>
      <c r="G537" t="s">
        <v>1117</v>
      </c>
      <c r="H537" t="s">
        <v>92</v>
      </c>
      <c r="I537" t="s">
        <v>171</v>
      </c>
      <c r="J537" t="s">
        <v>394</v>
      </c>
      <c r="K537" t="s">
        <v>75</v>
      </c>
      <c r="M537" t="s">
        <v>76</v>
      </c>
      <c r="O537" t="s">
        <v>77</v>
      </c>
      <c r="P537" t="s">
        <v>78</v>
      </c>
      <c r="Q537" t="s">
        <v>818</v>
      </c>
      <c r="R537" t="s">
        <v>79</v>
      </c>
      <c r="S537" t="s">
        <v>172</v>
      </c>
      <c r="T537" t="s">
        <v>173</v>
      </c>
      <c r="U537" s="1">
        <v>46077.421076388891</v>
      </c>
      <c r="V537" t="s">
        <v>54</v>
      </c>
      <c r="W537" t="s">
        <v>55</v>
      </c>
      <c r="X537" t="s">
        <v>82</v>
      </c>
      <c r="Y537" t="s">
        <v>1251</v>
      </c>
      <c r="Z537" t="s">
        <v>58</v>
      </c>
      <c r="AA537" t="s">
        <v>54</v>
      </c>
      <c r="AB537" t="s">
        <v>396</v>
      </c>
      <c r="AC537" t="s">
        <v>85</v>
      </c>
      <c r="AD537" t="s">
        <v>79</v>
      </c>
      <c r="AE537" t="s">
        <v>172</v>
      </c>
      <c r="AF537" t="s">
        <v>173</v>
      </c>
      <c r="AG537" t="s">
        <v>58</v>
      </c>
      <c r="AH537">
        <v>6650</v>
      </c>
      <c r="AK537">
        <v>0</v>
      </c>
      <c r="AL537" t="s">
        <v>410</v>
      </c>
      <c r="AM537" t="s">
        <v>2809</v>
      </c>
      <c r="AN537" t="s">
        <v>2810</v>
      </c>
    </row>
    <row r="538" spans="1:40" x14ac:dyDescent="0.35">
      <c r="A538" t="s">
        <v>37</v>
      </c>
      <c r="B538" t="s">
        <v>2875</v>
      </c>
      <c r="C538" t="s">
        <v>102</v>
      </c>
      <c r="D538" t="s">
        <v>761</v>
      </c>
      <c r="E538" t="s">
        <v>762</v>
      </c>
      <c r="F538" s="1">
        <v>46077.415358796294</v>
      </c>
      <c r="G538" t="s">
        <v>105</v>
      </c>
      <c r="H538" t="s">
        <v>106</v>
      </c>
      <c r="I538" t="s">
        <v>2876</v>
      </c>
      <c r="J538" t="s">
        <v>108</v>
      </c>
      <c r="K538" t="s">
        <v>109</v>
      </c>
      <c r="M538" t="s">
        <v>76</v>
      </c>
      <c r="O538" t="s">
        <v>77</v>
      </c>
      <c r="P538" t="s">
        <v>78</v>
      </c>
      <c r="Q538" t="s">
        <v>50</v>
      </c>
      <c r="R538" t="s">
        <v>111</v>
      </c>
      <c r="S538" t="s">
        <v>51</v>
      </c>
      <c r="T538" t="s">
        <v>112</v>
      </c>
      <c r="U538" s="1">
        <v>46077.735682870371</v>
      </c>
      <c r="V538" t="s">
        <v>54</v>
      </c>
      <c r="W538" t="s">
        <v>55</v>
      </c>
      <c r="X538" t="s">
        <v>113</v>
      </c>
      <c r="Y538" t="s">
        <v>2877</v>
      </c>
      <c r="Z538" t="s">
        <v>58</v>
      </c>
      <c r="AA538" t="s">
        <v>54</v>
      </c>
      <c r="AB538" t="s">
        <v>115</v>
      </c>
      <c r="AC538" t="s">
        <v>85</v>
      </c>
      <c r="AD538" t="s">
        <v>116</v>
      </c>
      <c r="AE538" t="s">
        <v>117</v>
      </c>
      <c r="AF538" t="s">
        <v>1377</v>
      </c>
      <c r="AG538" t="s">
        <v>58</v>
      </c>
      <c r="AH538" t="s">
        <v>765</v>
      </c>
      <c r="AK538">
        <v>0</v>
      </c>
      <c r="AL538" t="s">
        <v>61</v>
      </c>
      <c r="AM538" t="s">
        <v>766</v>
      </c>
      <c r="AN538" t="s">
        <v>767</v>
      </c>
    </row>
    <row r="539" spans="1:40" x14ac:dyDescent="0.35">
      <c r="A539" t="s">
        <v>37</v>
      </c>
      <c r="B539" t="s">
        <v>2878</v>
      </c>
      <c r="C539" t="s">
        <v>39</v>
      </c>
      <c r="D539" t="s">
        <v>2879</v>
      </c>
      <c r="E539" t="s">
        <v>2880</v>
      </c>
      <c r="F539" s="1">
        <v>46077.413854166669</v>
      </c>
      <c r="G539" t="s">
        <v>297</v>
      </c>
      <c r="H539" t="s">
        <v>287</v>
      </c>
      <c r="I539" t="s">
        <v>2881</v>
      </c>
      <c r="J539" t="s">
        <v>1454</v>
      </c>
      <c r="K539" t="s">
        <v>75</v>
      </c>
      <c r="M539" t="s">
        <v>76</v>
      </c>
      <c r="O539" t="s">
        <v>77</v>
      </c>
      <c r="P539" t="s">
        <v>78</v>
      </c>
      <c r="Q539" t="s">
        <v>2882</v>
      </c>
      <c r="R539" t="s">
        <v>79</v>
      </c>
      <c r="S539" t="s">
        <v>967</v>
      </c>
      <c r="T539" t="s">
        <v>1072</v>
      </c>
      <c r="U539" s="1">
        <v>46077.419895833336</v>
      </c>
      <c r="V539" t="s">
        <v>54</v>
      </c>
      <c r="W539" t="s">
        <v>55</v>
      </c>
      <c r="X539" t="s">
        <v>82</v>
      </c>
      <c r="Y539" t="s">
        <v>2883</v>
      </c>
      <c r="Z539" t="s">
        <v>58</v>
      </c>
      <c r="AA539" t="s">
        <v>54</v>
      </c>
      <c r="AB539" t="s">
        <v>2721</v>
      </c>
      <c r="AC539" t="s">
        <v>85</v>
      </c>
      <c r="AD539" t="s">
        <v>79</v>
      </c>
      <c r="AE539" t="s">
        <v>967</v>
      </c>
      <c r="AF539" t="s">
        <v>1072</v>
      </c>
      <c r="AG539" t="s">
        <v>58</v>
      </c>
      <c r="AH539">
        <v>5505</v>
      </c>
      <c r="AK539">
        <v>0</v>
      </c>
      <c r="AL539" t="s">
        <v>61</v>
      </c>
      <c r="AM539" t="s">
        <v>2884</v>
      </c>
      <c r="AN539" t="s">
        <v>2885</v>
      </c>
    </row>
    <row r="540" spans="1:40" x14ac:dyDescent="0.35">
      <c r="A540" t="s">
        <v>37</v>
      </c>
      <c r="B540" t="s">
        <v>2886</v>
      </c>
      <c r="C540" t="s">
        <v>102</v>
      </c>
      <c r="D540" t="s">
        <v>1407</v>
      </c>
      <c r="E540" t="s">
        <v>2887</v>
      </c>
      <c r="F540" s="1">
        <v>46077.419247685182</v>
      </c>
      <c r="G540" t="s">
        <v>1363</v>
      </c>
      <c r="H540" t="s">
        <v>106</v>
      </c>
      <c r="I540" t="s">
        <v>2590</v>
      </c>
      <c r="J540" t="s">
        <v>2117</v>
      </c>
      <c r="K540" t="s">
        <v>2109</v>
      </c>
      <c r="M540" t="s">
        <v>131</v>
      </c>
      <c r="O540" t="s">
        <v>237</v>
      </c>
      <c r="P540" t="s">
        <v>238</v>
      </c>
      <c r="Q540" t="s">
        <v>50</v>
      </c>
      <c r="R540" t="s">
        <v>51</v>
      </c>
      <c r="S540" t="s">
        <v>52</v>
      </c>
      <c r="T540" t="s">
        <v>240</v>
      </c>
      <c r="U540" s="1">
        <v>46077.472002314818</v>
      </c>
      <c r="V540" t="s">
        <v>54</v>
      </c>
      <c r="W540" t="s">
        <v>55</v>
      </c>
      <c r="X540" t="s">
        <v>134</v>
      </c>
      <c r="Y540" t="s">
        <v>2119</v>
      </c>
      <c r="Z540" t="s">
        <v>58</v>
      </c>
      <c r="AA540" t="s">
        <v>54</v>
      </c>
      <c r="AB540" t="s">
        <v>408</v>
      </c>
      <c r="AC540" t="s">
        <v>242</v>
      </c>
      <c r="AD540" t="s">
        <v>52</v>
      </c>
      <c r="AE540" t="s">
        <v>243</v>
      </c>
      <c r="AF540" t="s">
        <v>1470</v>
      </c>
      <c r="AG540" t="s">
        <v>58</v>
      </c>
      <c r="AH540">
        <v>15738</v>
      </c>
      <c r="AK540">
        <v>1</v>
      </c>
      <c r="AL540" t="s">
        <v>61</v>
      </c>
      <c r="AM540" t="s">
        <v>2888</v>
      </c>
      <c r="AN540" t="s">
        <v>2889</v>
      </c>
    </row>
    <row r="541" spans="1:40" x14ac:dyDescent="0.35">
      <c r="A541" t="s">
        <v>37</v>
      </c>
      <c r="B541" t="s">
        <v>2890</v>
      </c>
      <c r="C541" t="s">
        <v>102</v>
      </c>
      <c r="D541" t="s">
        <v>2891</v>
      </c>
      <c r="E541" t="s">
        <v>2892</v>
      </c>
      <c r="F541" s="1">
        <v>46077.410104166665</v>
      </c>
      <c r="G541" t="s">
        <v>631</v>
      </c>
      <c r="H541" t="s">
        <v>447</v>
      </c>
      <c r="I541" t="s">
        <v>2893</v>
      </c>
      <c r="J541" t="s">
        <v>2894</v>
      </c>
      <c r="K541" t="s">
        <v>951</v>
      </c>
      <c r="M541" t="s">
        <v>131</v>
      </c>
      <c r="O541" t="s">
        <v>237</v>
      </c>
      <c r="P541" t="s">
        <v>238</v>
      </c>
      <c r="Q541" t="s">
        <v>2895</v>
      </c>
      <c r="R541" t="s">
        <v>305</v>
      </c>
      <c r="S541" t="s">
        <v>306</v>
      </c>
      <c r="T541" t="s">
        <v>307</v>
      </c>
      <c r="U541" s="1">
        <v>46077.480324074073</v>
      </c>
      <c r="V541" t="s">
        <v>54</v>
      </c>
      <c r="W541" t="s">
        <v>55</v>
      </c>
      <c r="X541" t="s">
        <v>211</v>
      </c>
      <c r="Y541" t="s">
        <v>2896</v>
      </c>
      <c r="Z541" t="s">
        <v>58</v>
      </c>
      <c r="AA541" t="s">
        <v>54</v>
      </c>
      <c r="AB541" t="s">
        <v>213</v>
      </c>
      <c r="AC541" t="s">
        <v>242</v>
      </c>
      <c r="AD541" t="s">
        <v>79</v>
      </c>
      <c r="AE541" t="s">
        <v>172</v>
      </c>
      <c r="AF541" t="s">
        <v>2897</v>
      </c>
      <c r="AG541" t="s">
        <v>58</v>
      </c>
      <c r="AH541">
        <v>4497</v>
      </c>
      <c r="AK541">
        <v>2</v>
      </c>
      <c r="AL541" t="s">
        <v>61</v>
      </c>
      <c r="AM541" t="s">
        <v>2898</v>
      </c>
      <c r="AN541" t="s">
        <v>2899</v>
      </c>
    </row>
    <row r="542" spans="1:40" x14ac:dyDescent="0.35">
      <c r="A542" t="s">
        <v>37</v>
      </c>
      <c r="B542" t="s">
        <v>2900</v>
      </c>
      <c r="C542" t="s">
        <v>39</v>
      </c>
      <c r="D542" t="s">
        <v>2780</v>
      </c>
      <c r="E542" t="s">
        <v>1231</v>
      </c>
      <c r="F542" s="1">
        <v>46077.409884259258</v>
      </c>
      <c r="G542" t="s">
        <v>2015</v>
      </c>
      <c r="H542" t="s">
        <v>447</v>
      </c>
      <c r="I542" t="s">
        <v>171</v>
      </c>
      <c r="J542" t="s">
        <v>695</v>
      </c>
      <c r="K542" t="s">
        <v>75</v>
      </c>
      <c r="M542" t="s">
        <v>76</v>
      </c>
      <c r="O542" t="s">
        <v>77</v>
      </c>
      <c r="P542" t="s">
        <v>78</v>
      </c>
      <c r="R542" t="s">
        <v>79</v>
      </c>
      <c r="S542" t="s">
        <v>172</v>
      </c>
      <c r="T542" t="s">
        <v>173</v>
      </c>
      <c r="U542" s="1">
        <v>46077.410405092596</v>
      </c>
      <c r="V542" t="s">
        <v>54</v>
      </c>
      <c r="W542" t="s">
        <v>55</v>
      </c>
      <c r="X542" t="s">
        <v>82</v>
      </c>
      <c r="Y542" t="s">
        <v>2901</v>
      </c>
      <c r="Z542" t="s">
        <v>58</v>
      </c>
      <c r="AA542" t="s">
        <v>54</v>
      </c>
      <c r="AB542" t="s">
        <v>698</v>
      </c>
      <c r="AC542" t="s">
        <v>85</v>
      </c>
      <c r="AD542" t="s">
        <v>79</v>
      </c>
      <c r="AE542" t="s">
        <v>172</v>
      </c>
      <c r="AF542" t="s">
        <v>173</v>
      </c>
      <c r="AG542" t="s">
        <v>58</v>
      </c>
      <c r="AH542">
        <v>11680</v>
      </c>
      <c r="AK542">
        <v>0</v>
      </c>
      <c r="AL542" t="s">
        <v>61</v>
      </c>
      <c r="AM542" t="s">
        <v>2902</v>
      </c>
      <c r="AN542" t="s">
        <v>2903</v>
      </c>
    </row>
    <row r="543" spans="1:40" x14ac:dyDescent="0.35">
      <c r="A543" t="s">
        <v>37</v>
      </c>
      <c r="B543" t="s">
        <v>2904</v>
      </c>
      <c r="C543" t="s">
        <v>102</v>
      </c>
      <c r="D543" t="s">
        <v>761</v>
      </c>
      <c r="E543" t="s">
        <v>762</v>
      </c>
      <c r="F543" s="1">
        <v>46077.408726851849</v>
      </c>
      <c r="G543" t="s">
        <v>105</v>
      </c>
      <c r="H543" t="s">
        <v>106</v>
      </c>
      <c r="I543" t="s">
        <v>2905</v>
      </c>
      <c r="J543" t="s">
        <v>108</v>
      </c>
      <c r="K543" t="s">
        <v>571</v>
      </c>
      <c r="M543" t="s">
        <v>76</v>
      </c>
      <c r="O543" t="s">
        <v>77</v>
      </c>
      <c r="P543" t="s">
        <v>78</v>
      </c>
      <c r="Q543" t="s">
        <v>50</v>
      </c>
      <c r="R543" t="s">
        <v>111</v>
      </c>
      <c r="S543" t="s">
        <v>51</v>
      </c>
      <c r="T543" t="s">
        <v>112</v>
      </c>
      <c r="U543" s="1">
        <v>46077.715196759258</v>
      </c>
      <c r="V543" t="s">
        <v>54</v>
      </c>
      <c r="W543" t="s">
        <v>55</v>
      </c>
      <c r="X543" t="s">
        <v>113</v>
      </c>
      <c r="Y543" t="s">
        <v>2906</v>
      </c>
      <c r="Z543" t="s">
        <v>58</v>
      </c>
      <c r="AA543" t="s">
        <v>54</v>
      </c>
      <c r="AB543" t="s">
        <v>115</v>
      </c>
      <c r="AC543" t="s">
        <v>85</v>
      </c>
      <c r="AD543" t="s">
        <v>116</v>
      </c>
      <c r="AE543" t="s">
        <v>574</v>
      </c>
      <c r="AF543" t="s">
        <v>1377</v>
      </c>
      <c r="AG543" t="s">
        <v>58</v>
      </c>
      <c r="AH543" t="s">
        <v>765</v>
      </c>
      <c r="AK543">
        <v>1</v>
      </c>
      <c r="AL543" t="s">
        <v>61</v>
      </c>
      <c r="AM543" t="s">
        <v>766</v>
      </c>
      <c r="AN543" t="s">
        <v>767</v>
      </c>
    </row>
    <row r="544" spans="1:40" x14ac:dyDescent="0.35">
      <c r="A544" t="s">
        <v>37</v>
      </c>
      <c r="B544" t="s">
        <v>2907</v>
      </c>
      <c r="C544" t="s">
        <v>39</v>
      </c>
      <c r="D544" t="s">
        <v>2780</v>
      </c>
      <c r="E544" t="s">
        <v>1231</v>
      </c>
      <c r="F544" s="1">
        <v>46077.408680555556</v>
      </c>
      <c r="G544" t="s">
        <v>2015</v>
      </c>
      <c r="H544" t="s">
        <v>447</v>
      </c>
      <c r="I544" t="s">
        <v>2908</v>
      </c>
      <c r="J544" t="s">
        <v>435</v>
      </c>
      <c r="K544" t="s">
        <v>436</v>
      </c>
      <c r="M544" t="s">
        <v>76</v>
      </c>
      <c r="O544" t="s">
        <v>237</v>
      </c>
      <c r="P544" t="s">
        <v>238</v>
      </c>
      <c r="R544" t="s">
        <v>51</v>
      </c>
      <c r="S544" t="s">
        <v>52</v>
      </c>
      <c r="T544" t="s">
        <v>240</v>
      </c>
      <c r="U544" s="1">
        <v>46077.620520833334</v>
      </c>
      <c r="V544" t="s">
        <v>54</v>
      </c>
      <c r="W544" t="s">
        <v>55</v>
      </c>
      <c r="X544" t="s">
        <v>82</v>
      </c>
      <c r="Y544" t="s">
        <v>2909</v>
      </c>
      <c r="Z544" t="s">
        <v>58</v>
      </c>
      <c r="AA544" t="s">
        <v>54</v>
      </c>
      <c r="AB544" t="s">
        <v>698</v>
      </c>
      <c r="AC544" t="s">
        <v>242</v>
      </c>
      <c r="AD544" t="s">
        <v>52</v>
      </c>
      <c r="AE544" t="s">
        <v>438</v>
      </c>
      <c r="AF544" t="s">
        <v>775</v>
      </c>
      <c r="AG544" t="s">
        <v>58</v>
      </c>
      <c r="AH544">
        <v>11680</v>
      </c>
      <c r="AK544">
        <v>1</v>
      </c>
      <c r="AL544" t="s">
        <v>61</v>
      </c>
      <c r="AM544" t="s">
        <v>2902</v>
      </c>
      <c r="AN544" t="s">
        <v>2903</v>
      </c>
    </row>
    <row r="545" spans="1:40" x14ac:dyDescent="0.35">
      <c r="A545" t="s">
        <v>37</v>
      </c>
      <c r="B545" t="s">
        <v>2910</v>
      </c>
      <c r="C545" t="s">
        <v>39</v>
      </c>
      <c r="D545" t="s">
        <v>320</v>
      </c>
      <c r="E545" t="s">
        <v>948</v>
      </c>
      <c r="F545" s="1">
        <v>46077.401597222219</v>
      </c>
      <c r="G545" t="s">
        <v>71</v>
      </c>
      <c r="H545" t="s">
        <v>72</v>
      </c>
      <c r="I545" t="s">
        <v>2911</v>
      </c>
      <c r="J545" t="s">
        <v>404</v>
      </c>
      <c r="K545" t="s">
        <v>405</v>
      </c>
      <c r="M545" t="s">
        <v>76</v>
      </c>
      <c r="O545" t="s">
        <v>237</v>
      </c>
      <c r="P545" t="s">
        <v>238</v>
      </c>
      <c r="Q545" t="s">
        <v>50</v>
      </c>
      <c r="R545" t="s">
        <v>51</v>
      </c>
      <c r="S545" t="s">
        <v>52</v>
      </c>
      <c r="T545" t="s">
        <v>240</v>
      </c>
      <c r="U545" s="1">
        <v>46077.548703703702</v>
      </c>
      <c r="V545" t="s">
        <v>54</v>
      </c>
      <c r="W545" t="s">
        <v>55</v>
      </c>
      <c r="X545" t="s">
        <v>211</v>
      </c>
      <c r="Y545" t="s">
        <v>2912</v>
      </c>
      <c r="Z545" t="s">
        <v>58</v>
      </c>
      <c r="AA545" t="s">
        <v>54</v>
      </c>
      <c r="AB545" t="s">
        <v>213</v>
      </c>
      <c r="AC545" t="s">
        <v>242</v>
      </c>
      <c r="AD545" t="s">
        <v>52</v>
      </c>
      <c r="AE545" t="s">
        <v>243</v>
      </c>
      <c r="AF545" t="s">
        <v>2913</v>
      </c>
      <c r="AG545" t="s">
        <v>58</v>
      </c>
      <c r="AH545">
        <v>15978</v>
      </c>
      <c r="AK545">
        <v>1</v>
      </c>
      <c r="AL545" t="s">
        <v>61</v>
      </c>
      <c r="AM545" t="s">
        <v>957</v>
      </c>
      <c r="AN545" t="s">
        <v>958</v>
      </c>
    </row>
    <row r="546" spans="1:40" x14ac:dyDescent="0.35">
      <c r="A546" t="s">
        <v>37</v>
      </c>
      <c r="B546" t="s">
        <v>2914</v>
      </c>
      <c r="C546" t="s">
        <v>39</v>
      </c>
      <c r="D546" t="s">
        <v>2915</v>
      </c>
      <c r="E546" t="s">
        <v>2916</v>
      </c>
      <c r="F546" s="1">
        <v>46077.402106481481</v>
      </c>
      <c r="G546" t="s">
        <v>327</v>
      </c>
      <c r="H546" t="s">
        <v>72</v>
      </c>
      <c r="I546" t="s">
        <v>2917</v>
      </c>
      <c r="J546" t="s">
        <v>2117</v>
      </c>
      <c r="K546" t="s">
        <v>2118</v>
      </c>
      <c r="M546" t="s">
        <v>131</v>
      </c>
      <c r="O546" t="s">
        <v>77</v>
      </c>
      <c r="P546" t="s">
        <v>78</v>
      </c>
      <c r="Q546" t="s">
        <v>50</v>
      </c>
      <c r="R546" t="s">
        <v>51</v>
      </c>
      <c r="S546" t="s">
        <v>52</v>
      </c>
      <c r="T546" t="s">
        <v>240</v>
      </c>
      <c r="U546" s="1">
        <v>46077.412210648145</v>
      </c>
      <c r="V546" t="s">
        <v>54</v>
      </c>
      <c r="W546" t="s">
        <v>55</v>
      </c>
      <c r="X546" t="s">
        <v>82</v>
      </c>
      <c r="Y546" t="s">
        <v>2918</v>
      </c>
      <c r="Z546" t="s">
        <v>58</v>
      </c>
      <c r="AA546" t="s">
        <v>54</v>
      </c>
      <c r="AB546" t="s">
        <v>727</v>
      </c>
      <c r="AC546" t="s">
        <v>85</v>
      </c>
      <c r="AD546" t="s">
        <v>52</v>
      </c>
      <c r="AE546" t="s">
        <v>438</v>
      </c>
      <c r="AF546" t="s">
        <v>2111</v>
      </c>
      <c r="AG546" t="s">
        <v>58</v>
      </c>
      <c r="AH546" t="s">
        <v>2919</v>
      </c>
      <c r="AK546">
        <v>1</v>
      </c>
      <c r="AL546" t="s">
        <v>61</v>
      </c>
      <c r="AM546" t="s">
        <v>2920</v>
      </c>
      <c r="AN546" t="s">
        <v>2921</v>
      </c>
    </row>
    <row r="547" spans="1:40" x14ac:dyDescent="0.35">
      <c r="A547" t="s">
        <v>37</v>
      </c>
      <c r="B547" t="s">
        <v>2922</v>
      </c>
      <c r="C547" t="s">
        <v>102</v>
      </c>
      <c r="D547" t="s">
        <v>2923</v>
      </c>
      <c r="E547" t="s">
        <v>1407</v>
      </c>
      <c r="F547" s="1">
        <v>46077.40829861111</v>
      </c>
      <c r="G547" t="s">
        <v>297</v>
      </c>
      <c r="H547" t="s">
        <v>287</v>
      </c>
      <c r="I547" t="s">
        <v>2924</v>
      </c>
      <c r="J547" t="s">
        <v>707</v>
      </c>
      <c r="K547" t="s">
        <v>75</v>
      </c>
      <c r="M547" t="s">
        <v>76</v>
      </c>
      <c r="O547" t="s">
        <v>237</v>
      </c>
      <c r="P547" t="s">
        <v>238</v>
      </c>
      <c r="Q547" t="s">
        <v>50</v>
      </c>
      <c r="R547" t="s">
        <v>79</v>
      </c>
      <c r="S547" t="s">
        <v>781</v>
      </c>
      <c r="T547" t="s">
        <v>782</v>
      </c>
      <c r="U547" s="1">
        <v>46077.409074074072</v>
      </c>
      <c r="V547" t="s">
        <v>54</v>
      </c>
      <c r="W547" t="s">
        <v>55</v>
      </c>
      <c r="X547" t="s">
        <v>82</v>
      </c>
      <c r="Y547" t="s">
        <v>783</v>
      </c>
      <c r="Z547" t="s">
        <v>58</v>
      </c>
      <c r="AA547" t="s">
        <v>54</v>
      </c>
      <c r="AB547" t="s">
        <v>709</v>
      </c>
      <c r="AC547" t="s">
        <v>242</v>
      </c>
      <c r="AD547" t="s">
        <v>79</v>
      </c>
      <c r="AE547" t="s">
        <v>784</v>
      </c>
      <c r="AF547" t="s">
        <v>785</v>
      </c>
      <c r="AG547" t="s">
        <v>58</v>
      </c>
      <c r="AH547">
        <v>13359</v>
      </c>
      <c r="AK547">
        <v>0</v>
      </c>
      <c r="AL547" t="s">
        <v>61</v>
      </c>
      <c r="AM547" t="s">
        <v>2925</v>
      </c>
      <c r="AN547" t="s">
        <v>2926</v>
      </c>
    </row>
    <row r="548" spans="1:40" x14ac:dyDescent="0.35">
      <c r="A548" t="s">
        <v>37</v>
      </c>
      <c r="B548" t="s">
        <v>2927</v>
      </c>
      <c r="C548" t="s">
        <v>39</v>
      </c>
      <c r="D548" t="s">
        <v>608</v>
      </c>
      <c r="E548" t="s">
        <v>609</v>
      </c>
      <c r="F548" s="1">
        <v>46077.402800925927</v>
      </c>
      <c r="G548" t="s">
        <v>42</v>
      </c>
      <c r="H548" t="s">
        <v>43</v>
      </c>
      <c r="I548" t="s">
        <v>2928</v>
      </c>
      <c r="J548" t="s">
        <v>548</v>
      </c>
      <c r="K548" t="s">
        <v>610</v>
      </c>
      <c r="M548" t="s">
        <v>47</v>
      </c>
      <c r="O548" t="s">
        <v>77</v>
      </c>
      <c r="P548" t="s">
        <v>78</v>
      </c>
      <c r="Q548" t="s">
        <v>50</v>
      </c>
      <c r="R548" t="s">
        <v>51</v>
      </c>
      <c r="S548" t="s">
        <v>52</v>
      </c>
      <c r="T548" t="s">
        <v>240</v>
      </c>
      <c r="U548" s="1">
        <v>46077.422743055555</v>
      </c>
      <c r="V548" t="s">
        <v>54</v>
      </c>
      <c r="W548" t="s">
        <v>55</v>
      </c>
      <c r="X548" t="s">
        <v>134</v>
      </c>
      <c r="Y548" t="s">
        <v>2929</v>
      </c>
      <c r="Z548" t="s">
        <v>58</v>
      </c>
      <c r="AA548" t="s">
        <v>54</v>
      </c>
      <c r="AB548" t="s">
        <v>458</v>
      </c>
      <c r="AC548" t="s">
        <v>85</v>
      </c>
      <c r="AD548" t="s">
        <v>52</v>
      </c>
      <c r="AE548" t="s">
        <v>438</v>
      </c>
      <c r="AF548" t="s">
        <v>775</v>
      </c>
      <c r="AG548" t="s">
        <v>58</v>
      </c>
      <c r="AH548" t="s">
        <v>613</v>
      </c>
      <c r="AK548">
        <v>1</v>
      </c>
      <c r="AL548" t="s">
        <v>61</v>
      </c>
      <c r="AM548" t="s">
        <v>614</v>
      </c>
      <c r="AN548" t="s">
        <v>615</v>
      </c>
    </row>
    <row r="549" spans="1:40" x14ac:dyDescent="0.35">
      <c r="A549" t="s">
        <v>37</v>
      </c>
      <c r="B549" t="s">
        <v>2930</v>
      </c>
      <c r="C549" t="s">
        <v>39</v>
      </c>
      <c r="D549" t="s">
        <v>2931</v>
      </c>
      <c r="E549" t="s">
        <v>2932</v>
      </c>
      <c r="F549" s="1">
        <v>46077.400289351855</v>
      </c>
      <c r="G549" t="s">
        <v>631</v>
      </c>
      <c r="H549" t="s">
        <v>447</v>
      </c>
      <c r="I549" t="s">
        <v>2933</v>
      </c>
      <c r="J549" t="s">
        <v>695</v>
      </c>
      <c r="K549" t="s">
        <v>75</v>
      </c>
      <c r="M549" t="s">
        <v>76</v>
      </c>
      <c r="O549" t="s">
        <v>77</v>
      </c>
      <c r="P549" t="s">
        <v>78</v>
      </c>
      <c r="Q549" t="s">
        <v>50</v>
      </c>
      <c r="R549" t="s">
        <v>79</v>
      </c>
      <c r="S549" t="s">
        <v>967</v>
      </c>
      <c r="T549" t="s">
        <v>1072</v>
      </c>
      <c r="U549" s="1">
        <v>46077.491261574076</v>
      </c>
      <c r="V549" t="s">
        <v>54</v>
      </c>
      <c r="W549" t="s">
        <v>55</v>
      </c>
      <c r="X549" t="s">
        <v>82</v>
      </c>
      <c r="Y549" t="s">
        <v>2934</v>
      </c>
      <c r="Z549" t="s">
        <v>58</v>
      </c>
      <c r="AA549" t="s">
        <v>54</v>
      </c>
      <c r="AB549" t="s">
        <v>698</v>
      </c>
      <c r="AC549" t="s">
        <v>85</v>
      </c>
      <c r="AD549" t="s">
        <v>79</v>
      </c>
      <c r="AE549" t="s">
        <v>967</v>
      </c>
      <c r="AF549" t="s">
        <v>1072</v>
      </c>
      <c r="AG549" t="s">
        <v>58</v>
      </c>
      <c r="AH549">
        <v>15874</v>
      </c>
      <c r="AK549">
        <v>2</v>
      </c>
      <c r="AL549" t="s">
        <v>61</v>
      </c>
      <c r="AM549" t="s">
        <v>2935</v>
      </c>
      <c r="AN549" t="s">
        <v>2936</v>
      </c>
    </row>
    <row r="550" spans="1:40" x14ac:dyDescent="0.35">
      <c r="A550" t="s">
        <v>37</v>
      </c>
      <c r="B550" t="s">
        <v>2937</v>
      </c>
      <c r="C550" t="s">
        <v>39</v>
      </c>
      <c r="D550" t="s">
        <v>40</v>
      </c>
      <c r="E550" t="s">
        <v>41</v>
      </c>
      <c r="F550" s="1">
        <v>46077.398900462962</v>
      </c>
      <c r="G550" t="s">
        <v>42</v>
      </c>
      <c r="H550" t="s">
        <v>43</v>
      </c>
      <c r="I550" t="s">
        <v>2938</v>
      </c>
      <c r="J550" t="s">
        <v>45</v>
      </c>
      <c r="K550" t="s">
        <v>46</v>
      </c>
      <c r="M550" t="s">
        <v>47</v>
      </c>
      <c r="O550" t="s">
        <v>48</v>
      </c>
      <c r="P550" t="s">
        <v>49</v>
      </c>
      <c r="Q550" t="s">
        <v>50</v>
      </c>
      <c r="R550" t="s">
        <v>51</v>
      </c>
      <c r="S550" t="s">
        <v>52</v>
      </c>
      <c r="T550" t="s">
        <v>53</v>
      </c>
      <c r="U550" s="1">
        <v>46077.399722222224</v>
      </c>
      <c r="V550" t="s">
        <v>54</v>
      </c>
      <c r="W550" t="s">
        <v>55</v>
      </c>
      <c r="X550" t="s">
        <v>56</v>
      </c>
      <c r="Y550" t="s">
        <v>57</v>
      </c>
      <c r="Z550" t="s">
        <v>58</v>
      </c>
      <c r="AA550" t="s">
        <v>54</v>
      </c>
      <c r="AB550" t="s">
        <v>59</v>
      </c>
      <c r="AC550" t="s">
        <v>60</v>
      </c>
      <c r="AD550" t="s">
        <v>51</v>
      </c>
      <c r="AE550" t="s">
        <v>52</v>
      </c>
      <c r="AF550" t="s">
        <v>53</v>
      </c>
      <c r="AG550" t="s">
        <v>58</v>
      </c>
      <c r="AK550">
        <v>0</v>
      </c>
      <c r="AL550" t="s">
        <v>61</v>
      </c>
      <c r="AM550" t="s">
        <v>59</v>
      </c>
      <c r="AN550" t="s">
        <v>62</v>
      </c>
    </row>
    <row r="551" spans="1:40" x14ac:dyDescent="0.35">
      <c r="A551" t="s">
        <v>37</v>
      </c>
      <c r="B551" t="s">
        <v>2939</v>
      </c>
      <c r="C551" t="s">
        <v>39</v>
      </c>
      <c r="D551" t="s">
        <v>2940</v>
      </c>
      <c r="E551" t="s">
        <v>2941</v>
      </c>
      <c r="F551" s="1">
        <v>46077.397164351853</v>
      </c>
      <c r="G551" t="s">
        <v>355</v>
      </c>
      <c r="H551" t="s">
        <v>356</v>
      </c>
      <c r="I551" t="s">
        <v>2942</v>
      </c>
      <c r="J551" t="s">
        <v>1823</v>
      </c>
      <c r="K551" t="s">
        <v>1824</v>
      </c>
      <c r="M551" t="s">
        <v>131</v>
      </c>
      <c r="O551" t="s">
        <v>77</v>
      </c>
      <c r="P551" t="s">
        <v>78</v>
      </c>
      <c r="Q551" t="s">
        <v>50</v>
      </c>
      <c r="R551" t="s">
        <v>51</v>
      </c>
      <c r="S551" t="s">
        <v>52</v>
      </c>
      <c r="T551" t="s">
        <v>240</v>
      </c>
      <c r="U551" s="1">
        <v>46077.516863425924</v>
      </c>
      <c r="V551" t="s">
        <v>54</v>
      </c>
      <c r="W551" t="s">
        <v>55</v>
      </c>
      <c r="X551" t="s">
        <v>113</v>
      </c>
      <c r="Y551" t="s">
        <v>2943</v>
      </c>
      <c r="Z551" t="s">
        <v>58</v>
      </c>
      <c r="AA551" t="s">
        <v>54</v>
      </c>
      <c r="AB551" t="s">
        <v>1826</v>
      </c>
      <c r="AC551" t="s">
        <v>85</v>
      </c>
      <c r="AD551" t="s">
        <v>52</v>
      </c>
      <c r="AE551" t="s">
        <v>2140</v>
      </c>
      <c r="AF551" t="s">
        <v>2944</v>
      </c>
      <c r="AG551" t="s">
        <v>58</v>
      </c>
      <c r="AH551" t="s">
        <v>2945</v>
      </c>
      <c r="AK551">
        <v>0</v>
      </c>
      <c r="AL551" t="s">
        <v>61</v>
      </c>
      <c r="AM551" t="s">
        <v>2946</v>
      </c>
      <c r="AN551" t="s">
        <v>2947</v>
      </c>
    </row>
    <row r="552" spans="1:40" x14ac:dyDescent="0.35">
      <c r="A552" t="s">
        <v>37</v>
      </c>
      <c r="B552" t="s">
        <v>2948</v>
      </c>
      <c r="C552" t="s">
        <v>39</v>
      </c>
      <c r="D552" t="s">
        <v>225</v>
      </c>
      <c r="E552" t="s">
        <v>226</v>
      </c>
      <c r="F552" s="1">
        <v>46077.397187499999</v>
      </c>
      <c r="G552" t="s">
        <v>204</v>
      </c>
      <c r="H552" t="s">
        <v>92</v>
      </c>
      <c r="I552" t="s">
        <v>2949</v>
      </c>
      <c r="J552" t="s">
        <v>404</v>
      </c>
      <c r="K552" t="s">
        <v>405</v>
      </c>
      <c r="M552" t="s">
        <v>76</v>
      </c>
      <c r="O552" t="s">
        <v>77</v>
      </c>
      <c r="P552" t="s">
        <v>78</v>
      </c>
      <c r="R552" t="s">
        <v>51</v>
      </c>
      <c r="S552" t="s">
        <v>52</v>
      </c>
      <c r="T552" t="s">
        <v>240</v>
      </c>
      <c r="U552" s="1">
        <v>46077.430706018517</v>
      </c>
      <c r="V552" t="s">
        <v>54</v>
      </c>
      <c r="W552" t="s">
        <v>55</v>
      </c>
      <c r="X552" t="s">
        <v>82</v>
      </c>
      <c r="Y552" t="s">
        <v>2950</v>
      </c>
      <c r="Z552" t="s">
        <v>58</v>
      </c>
      <c r="AA552" t="s">
        <v>54</v>
      </c>
      <c r="AB552" t="s">
        <v>396</v>
      </c>
      <c r="AC552" t="s">
        <v>85</v>
      </c>
      <c r="AD552" t="s">
        <v>52</v>
      </c>
      <c r="AE552" t="s">
        <v>243</v>
      </c>
      <c r="AF552" t="s">
        <v>2533</v>
      </c>
      <c r="AG552" t="s">
        <v>58</v>
      </c>
      <c r="AH552">
        <v>15016</v>
      </c>
      <c r="AK552">
        <v>1</v>
      </c>
      <c r="AL552" t="s">
        <v>61</v>
      </c>
      <c r="AM552" t="s">
        <v>227</v>
      </c>
      <c r="AN552" t="s">
        <v>228</v>
      </c>
    </row>
    <row r="553" spans="1:40" x14ac:dyDescent="0.35">
      <c r="A553" t="s">
        <v>37</v>
      </c>
      <c r="B553" t="s">
        <v>2951</v>
      </c>
      <c r="C553" t="s">
        <v>102</v>
      </c>
      <c r="D553" t="s">
        <v>89</v>
      </c>
      <c r="E553" t="s">
        <v>2458</v>
      </c>
      <c r="F553" s="1">
        <v>46077.394907407404</v>
      </c>
      <c r="G553" t="s">
        <v>261</v>
      </c>
      <c r="H553" t="s">
        <v>72</v>
      </c>
      <c r="I553" t="s">
        <v>2952</v>
      </c>
      <c r="J553" t="s">
        <v>1015</v>
      </c>
      <c r="K553" t="s">
        <v>75</v>
      </c>
      <c r="M553" t="s">
        <v>76</v>
      </c>
      <c r="O553" t="s">
        <v>237</v>
      </c>
      <c r="P553" t="s">
        <v>238</v>
      </c>
      <c r="Q553" t="s">
        <v>50</v>
      </c>
      <c r="R553" t="s">
        <v>79</v>
      </c>
      <c r="S553" t="s">
        <v>696</v>
      </c>
      <c r="T553" t="s">
        <v>1266</v>
      </c>
      <c r="U553" s="1">
        <v>46077.417071759257</v>
      </c>
      <c r="V553" t="s">
        <v>54</v>
      </c>
      <c r="W553" t="s">
        <v>55</v>
      </c>
      <c r="X553" t="s">
        <v>82</v>
      </c>
      <c r="Y553" t="s">
        <v>2953</v>
      </c>
      <c r="Z553" t="s">
        <v>58</v>
      </c>
      <c r="AA553" t="s">
        <v>54</v>
      </c>
      <c r="AB553" t="s">
        <v>954</v>
      </c>
      <c r="AC553" t="s">
        <v>242</v>
      </c>
      <c r="AD553" t="s">
        <v>79</v>
      </c>
      <c r="AE553" t="s">
        <v>696</v>
      </c>
      <c r="AF553" t="s">
        <v>1266</v>
      </c>
      <c r="AG553" t="s">
        <v>58</v>
      </c>
      <c r="AH553">
        <v>11990</v>
      </c>
      <c r="AK553">
        <v>0</v>
      </c>
      <c r="AL553" t="s">
        <v>61</v>
      </c>
      <c r="AM553" t="s">
        <v>2954</v>
      </c>
      <c r="AN553" t="s">
        <v>2955</v>
      </c>
    </row>
    <row r="554" spans="1:40" x14ac:dyDescent="0.35">
      <c r="A554" t="s">
        <v>37</v>
      </c>
      <c r="B554" t="s">
        <v>2956</v>
      </c>
      <c r="C554" t="s">
        <v>39</v>
      </c>
      <c r="D554" t="s">
        <v>2957</v>
      </c>
      <c r="E554" t="s">
        <v>2958</v>
      </c>
      <c r="F554" s="1">
        <v>46077.396643518521</v>
      </c>
      <c r="G554" t="s">
        <v>327</v>
      </c>
      <c r="H554" t="s">
        <v>72</v>
      </c>
      <c r="I554" t="s">
        <v>2641</v>
      </c>
      <c r="J554" t="s">
        <v>1833</v>
      </c>
      <c r="K554" t="s">
        <v>1834</v>
      </c>
      <c r="M554" t="s">
        <v>76</v>
      </c>
      <c r="O554" t="s">
        <v>77</v>
      </c>
      <c r="P554" t="s">
        <v>78</v>
      </c>
      <c r="Q554" t="s">
        <v>818</v>
      </c>
      <c r="R554" t="s">
        <v>51</v>
      </c>
      <c r="S554" t="s">
        <v>52</v>
      </c>
      <c r="T554" t="s">
        <v>773</v>
      </c>
      <c r="U554" s="1">
        <v>46077.523206018515</v>
      </c>
      <c r="V554" t="s">
        <v>54</v>
      </c>
      <c r="W554" t="s">
        <v>55</v>
      </c>
      <c r="X554" t="s">
        <v>134</v>
      </c>
      <c r="Y554" t="s">
        <v>2959</v>
      </c>
      <c r="Z554" t="s">
        <v>58</v>
      </c>
      <c r="AA554" t="s">
        <v>54</v>
      </c>
      <c r="AB554" t="s">
        <v>458</v>
      </c>
      <c r="AC554" t="s">
        <v>85</v>
      </c>
      <c r="AD554" t="s">
        <v>52</v>
      </c>
      <c r="AE554" t="s">
        <v>243</v>
      </c>
      <c r="AF554" t="s">
        <v>1470</v>
      </c>
      <c r="AG554" t="s">
        <v>58</v>
      </c>
      <c r="AH554">
        <v>2812</v>
      </c>
      <c r="AK554">
        <v>2</v>
      </c>
      <c r="AL554" t="s">
        <v>61</v>
      </c>
      <c r="AM554" t="s">
        <v>2960</v>
      </c>
      <c r="AN554" t="s">
        <v>2961</v>
      </c>
    </row>
    <row r="555" spans="1:40" x14ac:dyDescent="0.35">
      <c r="A555" t="s">
        <v>37</v>
      </c>
      <c r="B555" t="s">
        <v>2962</v>
      </c>
      <c r="C555" t="s">
        <v>39</v>
      </c>
      <c r="D555" t="s">
        <v>40</v>
      </c>
      <c r="E555" t="s">
        <v>41</v>
      </c>
      <c r="F555" s="1">
        <v>46077.390810185185</v>
      </c>
      <c r="G555" t="s">
        <v>42</v>
      </c>
      <c r="H555" t="s">
        <v>43</v>
      </c>
      <c r="I555" t="s">
        <v>2963</v>
      </c>
      <c r="J555" t="s">
        <v>45</v>
      </c>
      <c r="K555" t="s">
        <v>46</v>
      </c>
      <c r="M555" t="s">
        <v>47</v>
      </c>
      <c r="O555" t="s">
        <v>48</v>
      </c>
      <c r="P555" t="s">
        <v>49</v>
      </c>
      <c r="Q555" t="s">
        <v>50</v>
      </c>
      <c r="R555" t="s">
        <v>51</v>
      </c>
      <c r="S555" t="s">
        <v>52</v>
      </c>
      <c r="T555" t="s">
        <v>53</v>
      </c>
      <c r="U555" s="1">
        <v>46077.391840277778</v>
      </c>
      <c r="V555" t="s">
        <v>54</v>
      </c>
      <c r="W555" t="s">
        <v>55</v>
      </c>
      <c r="X555" t="s">
        <v>56</v>
      </c>
      <c r="Y555" t="s">
        <v>57</v>
      </c>
      <c r="Z555" t="s">
        <v>58</v>
      </c>
      <c r="AA555" t="s">
        <v>54</v>
      </c>
      <c r="AB555" t="s">
        <v>59</v>
      </c>
      <c r="AC555" t="s">
        <v>60</v>
      </c>
      <c r="AD555" t="s">
        <v>51</v>
      </c>
      <c r="AE555" t="s">
        <v>52</v>
      </c>
      <c r="AF555" t="s">
        <v>53</v>
      </c>
      <c r="AG555" t="s">
        <v>58</v>
      </c>
      <c r="AK555">
        <v>0</v>
      </c>
      <c r="AL555" t="s">
        <v>61</v>
      </c>
      <c r="AM555" t="s">
        <v>59</v>
      </c>
      <c r="AN555" t="s">
        <v>62</v>
      </c>
    </row>
    <row r="556" spans="1:40" x14ac:dyDescent="0.35">
      <c r="A556" t="s">
        <v>37</v>
      </c>
      <c r="B556" t="s">
        <v>2964</v>
      </c>
      <c r="C556" t="s">
        <v>39</v>
      </c>
      <c r="D556" t="s">
        <v>40</v>
      </c>
      <c r="E556" t="s">
        <v>41</v>
      </c>
      <c r="F556" s="1">
        <v>46077.390625</v>
      </c>
      <c r="G556" t="s">
        <v>42</v>
      </c>
      <c r="H556" t="s">
        <v>43</v>
      </c>
      <c r="I556" t="s">
        <v>2965</v>
      </c>
      <c r="J556" t="s">
        <v>45</v>
      </c>
      <c r="K556" t="s">
        <v>46</v>
      </c>
      <c r="M556" t="s">
        <v>47</v>
      </c>
      <c r="O556" t="s">
        <v>48</v>
      </c>
      <c r="P556" t="s">
        <v>49</v>
      </c>
      <c r="Q556" t="s">
        <v>50</v>
      </c>
      <c r="R556" t="s">
        <v>51</v>
      </c>
      <c r="S556" t="s">
        <v>52</v>
      </c>
      <c r="T556" t="s">
        <v>53</v>
      </c>
      <c r="U556" s="1">
        <v>46077.391828703701</v>
      </c>
      <c r="V556" t="s">
        <v>54</v>
      </c>
      <c r="W556" t="s">
        <v>55</v>
      </c>
      <c r="X556" t="s">
        <v>56</v>
      </c>
      <c r="Y556" t="s">
        <v>57</v>
      </c>
      <c r="Z556" t="s">
        <v>58</v>
      </c>
      <c r="AA556" t="s">
        <v>54</v>
      </c>
      <c r="AB556" t="s">
        <v>59</v>
      </c>
      <c r="AC556" t="s">
        <v>60</v>
      </c>
      <c r="AD556" t="s">
        <v>51</v>
      </c>
      <c r="AE556" t="s">
        <v>52</v>
      </c>
      <c r="AF556" t="s">
        <v>53</v>
      </c>
      <c r="AG556" t="s">
        <v>58</v>
      </c>
      <c r="AK556">
        <v>0</v>
      </c>
      <c r="AL556" t="s">
        <v>61</v>
      </c>
      <c r="AM556" t="s">
        <v>59</v>
      </c>
      <c r="AN556" t="s">
        <v>62</v>
      </c>
    </row>
    <row r="557" spans="1:40" x14ac:dyDescent="0.35">
      <c r="A557" t="s">
        <v>37</v>
      </c>
      <c r="B557" t="s">
        <v>2966</v>
      </c>
      <c r="C557" t="s">
        <v>102</v>
      </c>
      <c r="D557" t="s">
        <v>617</v>
      </c>
      <c r="E557" t="s">
        <v>618</v>
      </c>
      <c r="F557" s="1">
        <v>46077.392384259256</v>
      </c>
      <c r="G557" t="s">
        <v>286</v>
      </c>
      <c r="H557" t="s">
        <v>287</v>
      </c>
      <c r="I557" t="s">
        <v>2967</v>
      </c>
      <c r="J557" t="s">
        <v>620</v>
      </c>
      <c r="K557" t="s">
        <v>130</v>
      </c>
      <c r="M557" t="s">
        <v>131</v>
      </c>
      <c r="O557" t="s">
        <v>77</v>
      </c>
      <c r="P557" t="s">
        <v>78</v>
      </c>
      <c r="Q557" t="s">
        <v>50</v>
      </c>
      <c r="R557" t="s">
        <v>132</v>
      </c>
      <c r="S557" t="s">
        <v>133</v>
      </c>
      <c r="T557" t="s">
        <v>133</v>
      </c>
      <c r="U557" s="1">
        <v>46078.34306712963</v>
      </c>
      <c r="V557" t="s">
        <v>54</v>
      </c>
      <c r="W557" t="s">
        <v>55</v>
      </c>
      <c r="X557" t="s">
        <v>134</v>
      </c>
      <c r="Y557" t="s">
        <v>2819</v>
      </c>
      <c r="Z557" t="s">
        <v>58</v>
      </c>
      <c r="AA557" t="s">
        <v>54</v>
      </c>
      <c r="AB557" t="s">
        <v>622</v>
      </c>
      <c r="AC557" t="s">
        <v>85</v>
      </c>
      <c r="AD557" t="s">
        <v>132</v>
      </c>
      <c r="AE557" t="s">
        <v>133</v>
      </c>
      <c r="AF557" t="s">
        <v>133</v>
      </c>
      <c r="AG557" t="s">
        <v>58</v>
      </c>
      <c r="AH557" t="s">
        <v>623</v>
      </c>
      <c r="AK557">
        <v>1</v>
      </c>
      <c r="AL557" t="s">
        <v>61</v>
      </c>
      <c r="AM557" t="s">
        <v>622</v>
      </c>
      <c r="AN557" t="s">
        <v>624</v>
      </c>
    </row>
    <row r="558" spans="1:40" x14ac:dyDescent="0.35">
      <c r="A558" t="s">
        <v>37</v>
      </c>
      <c r="B558" t="s">
        <v>2968</v>
      </c>
      <c r="C558" t="s">
        <v>39</v>
      </c>
      <c r="D558" t="s">
        <v>853</v>
      </c>
      <c r="E558" t="s">
        <v>2542</v>
      </c>
      <c r="F558" s="1">
        <v>46077.392627314817</v>
      </c>
      <c r="G558" t="s">
        <v>402</v>
      </c>
      <c r="H558" t="s">
        <v>72</v>
      </c>
      <c r="I558" t="s">
        <v>2543</v>
      </c>
      <c r="J558" t="s">
        <v>2256</v>
      </c>
      <c r="K558" t="s">
        <v>2257</v>
      </c>
      <c r="M558" t="s">
        <v>131</v>
      </c>
      <c r="O558" t="s">
        <v>77</v>
      </c>
      <c r="P558" t="s">
        <v>78</v>
      </c>
      <c r="Q558" t="s">
        <v>50</v>
      </c>
      <c r="R558" t="s">
        <v>51</v>
      </c>
      <c r="S558" t="s">
        <v>52</v>
      </c>
      <c r="T558" t="s">
        <v>773</v>
      </c>
      <c r="U558" s="1">
        <v>46077.46125</v>
      </c>
      <c r="V558" t="s">
        <v>54</v>
      </c>
      <c r="W558" t="s">
        <v>55</v>
      </c>
      <c r="X558" t="s">
        <v>134</v>
      </c>
      <c r="Y558" t="s">
        <v>2969</v>
      </c>
      <c r="Z558" t="s">
        <v>58</v>
      </c>
      <c r="AA558" t="s">
        <v>54</v>
      </c>
      <c r="AB558" t="s">
        <v>458</v>
      </c>
      <c r="AC558" t="s">
        <v>85</v>
      </c>
      <c r="AD558" t="s">
        <v>52</v>
      </c>
      <c r="AE558" t="s">
        <v>438</v>
      </c>
      <c r="AF558" t="s">
        <v>2204</v>
      </c>
      <c r="AG558" t="s">
        <v>58</v>
      </c>
      <c r="AH558">
        <v>15955</v>
      </c>
      <c r="AK558">
        <v>1</v>
      </c>
      <c r="AL558" t="s">
        <v>61</v>
      </c>
      <c r="AM558" t="s">
        <v>2545</v>
      </c>
      <c r="AN558" t="s">
        <v>2546</v>
      </c>
    </row>
    <row r="559" spans="1:40" x14ac:dyDescent="0.35">
      <c r="A559" t="s">
        <v>37</v>
      </c>
      <c r="B559" t="s">
        <v>2970</v>
      </c>
      <c r="C559" t="s">
        <v>39</v>
      </c>
      <c r="D559" t="s">
        <v>2971</v>
      </c>
      <c r="E559" t="s">
        <v>799</v>
      </c>
      <c r="F559" s="1">
        <v>46077.388553240744</v>
      </c>
      <c r="G559" t="s">
        <v>355</v>
      </c>
      <c r="H559" t="s">
        <v>356</v>
      </c>
      <c r="I559" t="s">
        <v>2972</v>
      </c>
      <c r="J559" t="s">
        <v>1865</v>
      </c>
      <c r="K559" t="s">
        <v>1824</v>
      </c>
      <c r="M559" t="s">
        <v>131</v>
      </c>
      <c r="O559" t="s">
        <v>237</v>
      </c>
      <c r="P559" t="s">
        <v>238</v>
      </c>
      <c r="Q559" t="s">
        <v>50</v>
      </c>
      <c r="R559" t="s">
        <v>51</v>
      </c>
      <c r="S559" t="s">
        <v>52</v>
      </c>
      <c r="T559" t="s">
        <v>2973</v>
      </c>
      <c r="U559" s="1">
        <v>46077.447881944441</v>
      </c>
      <c r="V559" t="s">
        <v>54</v>
      </c>
      <c r="W559" t="s">
        <v>55</v>
      </c>
      <c r="X559" t="s">
        <v>211</v>
      </c>
      <c r="Y559" t="s">
        <v>2974</v>
      </c>
      <c r="Z559" t="s">
        <v>58</v>
      </c>
      <c r="AA559" t="s">
        <v>54</v>
      </c>
      <c r="AB559" t="s">
        <v>213</v>
      </c>
      <c r="AC559" t="s">
        <v>242</v>
      </c>
      <c r="AD559" t="s">
        <v>52</v>
      </c>
      <c r="AE559" t="s">
        <v>2575</v>
      </c>
      <c r="AF559" t="s">
        <v>2576</v>
      </c>
      <c r="AG559" t="s">
        <v>58</v>
      </c>
      <c r="AH559" t="s">
        <v>2975</v>
      </c>
      <c r="AK559">
        <v>1</v>
      </c>
      <c r="AL559" t="s">
        <v>61</v>
      </c>
      <c r="AM559" t="s">
        <v>2976</v>
      </c>
      <c r="AN559" t="s">
        <v>2977</v>
      </c>
    </row>
    <row r="560" spans="1:40" x14ac:dyDescent="0.35">
      <c r="A560" t="s">
        <v>37</v>
      </c>
      <c r="B560" t="s">
        <v>2978</v>
      </c>
      <c r="C560" t="s">
        <v>102</v>
      </c>
      <c r="D560" t="s">
        <v>277</v>
      </c>
      <c r="E560" t="s">
        <v>2979</v>
      </c>
      <c r="F560" s="1">
        <v>46077.387233796297</v>
      </c>
      <c r="G560" t="s">
        <v>170</v>
      </c>
      <c r="H560" t="s">
        <v>92</v>
      </c>
      <c r="I560" t="s">
        <v>2980</v>
      </c>
      <c r="J560" t="s">
        <v>2531</v>
      </c>
      <c r="K560" t="s">
        <v>2532</v>
      </c>
      <c r="M560" t="s">
        <v>76</v>
      </c>
      <c r="O560" t="s">
        <v>237</v>
      </c>
      <c r="P560" t="s">
        <v>238</v>
      </c>
      <c r="Q560" t="s">
        <v>50</v>
      </c>
      <c r="R560" t="s">
        <v>51</v>
      </c>
      <c r="S560" t="s">
        <v>52</v>
      </c>
      <c r="T560" t="s">
        <v>240</v>
      </c>
      <c r="U560" s="1">
        <v>46077.496122685188</v>
      </c>
      <c r="V560" t="s">
        <v>54</v>
      </c>
      <c r="W560" t="s">
        <v>55</v>
      </c>
      <c r="X560" t="s">
        <v>211</v>
      </c>
      <c r="Y560" t="e">
        <f>- Please note that, your username has been whitelisted now. kindly ensure that you are using only one device to punch.</f>
        <v>#NAME?</v>
      </c>
      <c r="Z560" t="s">
        <v>58</v>
      </c>
      <c r="AA560" t="s">
        <v>54</v>
      </c>
      <c r="AB560" t="s">
        <v>213</v>
      </c>
      <c r="AC560" t="s">
        <v>242</v>
      </c>
      <c r="AD560" t="s">
        <v>52</v>
      </c>
      <c r="AE560" t="s">
        <v>243</v>
      </c>
      <c r="AF560" t="s">
        <v>2533</v>
      </c>
      <c r="AG560" t="s">
        <v>58</v>
      </c>
      <c r="AH560">
        <v>13066</v>
      </c>
      <c r="AK560">
        <v>1</v>
      </c>
      <c r="AL560" t="s">
        <v>61</v>
      </c>
      <c r="AM560" t="s">
        <v>2981</v>
      </c>
      <c r="AN560" t="s">
        <v>2982</v>
      </c>
    </row>
    <row r="561" spans="1:40" x14ac:dyDescent="0.35">
      <c r="A561" t="s">
        <v>37</v>
      </c>
      <c r="B561" t="s">
        <v>2983</v>
      </c>
      <c r="C561" t="s">
        <v>656</v>
      </c>
      <c r="D561" t="s">
        <v>2984</v>
      </c>
      <c r="E561" t="s">
        <v>2985</v>
      </c>
      <c r="F561" s="1">
        <v>46077.386087962965</v>
      </c>
      <c r="G561" t="s">
        <v>355</v>
      </c>
      <c r="H561" t="s">
        <v>356</v>
      </c>
      <c r="I561" t="s">
        <v>2986</v>
      </c>
      <c r="J561" t="s">
        <v>2987</v>
      </c>
      <c r="K561" t="s">
        <v>2988</v>
      </c>
      <c r="M561" t="s">
        <v>76</v>
      </c>
      <c r="O561" t="s">
        <v>77</v>
      </c>
      <c r="P561" t="s">
        <v>78</v>
      </c>
      <c r="Q561" t="s">
        <v>50</v>
      </c>
      <c r="R561" t="s">
        <v>2989</v>
      </c>
      <c r="S561" t="s">
        <v>2990</v>
      </c>
      <c r="T561" t="s">
        <v>2991</v>
      </c>
      <c r="U561" s="1">
        <v>46077.386388888888</v>
      </c>
      <c r="V561" t="s">
        <v>54</v>
      </c>
      <c r="W561" t="s">
        <v>55</v>
      </c>
      <c r="X561" t="s">
        <v>56</v>
      </c>
      <c r="Y561" t="s">
        <v>2992</v>
      </c>
      <c r="Z561" t="s">
        <v>58</v>
      </c>
      <c r="AA561" t="s">
        <v>54</v>
      </c>
      <c r="AB561" t="s">
        <v>2993</v>
      </c>
      <c r="AC561" t="s">
        <v>85</v>
      </c>
      <c r="AD561" t="s">
        <v>2989</v>
      </c>
      <c r="AE561" t="s">
        <v>2990</v>
      </c>
      <c r="AF561" t="s">
        <v>2991</v>
      </c>
      <c r="AG561" t="s">
        <v>58</v>
      </c>
      <c r="AH561" t="s">
        <v>2994</v>
      </c>
      <c r="AK561">
        <v>0</v>
      </c>
      <c r="AL561" t="s">
        <v>61</v>
      </c>
      <c r="AM561" t="s">
        <v>2993</v>
      </c>
      <c r="AN561" t="s">
        <v>2995</v>
      </c>
    </row>
    <row r="562" spans="1:40" x14ac:dyDescent="0.35">
      <c r="A562" t="s">
        <v>37</v>
      </c>
      <c r="B562" t="s">
        <v>2996</v>
      </c>
      <c r="C562" t="s">
        <v>39</v>
      </c>
      <c r="D562" t="s">
        <v>2997</v>
      </c>
      <c r="E562" t="s">
        <v>2998</v>
      </c>
      <c r="F562" s="1">
        <v>46077.383564814816</v>
      </c>
      <c r="G562" t="s">
        <v>261</v>
      </c>
      <c r="H562" t="s">
        <v>72</v>
      </c>
      <c r="I562" t="s">
        <v>2999</v>
      </c>
      <c r="J562" t="s">
        <v>2333</v>
      </c>
      <c r="K562" t="s">
        <v>1187</v>
      </c>
      <c r="M562" t="s">
        <v>76</v>
      </c>
      <c r="O562" t="s">
        <v>77</v>
      </c>
      <c r="P562" t="s">
        <v>78</v>
      </c>
      <c r="Q562" t="s">
        <v>50</v>
      </c>
      <c r="R562" t="s">
        <v>305</v>
      </c>
      <c r="S562" t="s">
        <v>306</v>
      </c>
      <c r="T562" t="s">
        <v>307</v>
      </c>
      <c r="U562" s="1">
        <v>46077.426631944443</v>
      </c>
      <c r="V562" t="s">
        <v>54</v>
      </c>
      <c r="W562" t="s">
        <v>55</v>
      </c>
      <c r="X562" t="s">
        <v>211</v>
      </c>
      <c r="Y562" t="s">
        <v>3000</v>
      </c>
      <c r="Z562" t="s">
        <v>58</v>
      </c>
      <c r="AA562" t="s">
        <v>54</v>
      </c>
      <c r="AB562" t="s">
        <v>213</v>
      </c>
      <c r="AC562" t="s">
        <v>85</v>
      </c>
      <c r="AD562" t="s">
        <v>1189</v>
      </c>
      <c r="AE562" t="s">
        <v>1190</v>
      </c>
      <c r="AF562" t="s">
        <v>3001</v>
      </c>
      <c r="AG562" t="s">
        <v>58</v>
      </c>
      <c r="AH562" t="s">
        <v>3002</v>
      </c>
      <c r="AK562">
        <v>3</v>
      </c>
      <c r="AL562" t="s">
        <v>61</v>
      </c>
      <c r="AM562" t="s">
        <v>3003</v>
      </c>
      <c r="AN562" t="s">
        <v>3004</v>
      </c>
    </row>
    <row r="563" spans="1:40" x14ac:dyDescent="0.35">
      <c r="A563" t="s">
        <v>37</v>
      </c>
      <c r="B563" t="s">
        <v>3005</v>
      </c>
      <c r="C563" t="s">
        <v>39</v>
      </c>
      <c r="D563" t="s">
        <v>2038</v>
      </c>
      <c r="E563" t="s">
        <v>3006</v>
      </c>
      <c r="F563" s="1">
        <v>46077.38417824074</v>
      </c>
      <c r="G563" t="s">
        <v>1117</v>
      </c>
      <c r="H563" t="s">
        <v>371</v>
      </c>
      <c r="I563" t="s">
        <v>1196</v>
      </c>
      <c r="J563" t="s">
        <v>394</v>
      </c>
      <c r="K563" t="s">
        <v>75</v>
      </c>
      <c r="M563" t="s">
        <v>76</v>
      </c>
      <c r="O563" t="s">
        <v>77</v>
      </c>
      <c r="P563" t="s">
        <v>78</v>
      </c>
      <c r="Q563" t="s">
        <v>50</v>
      </c>
      <c r="R563" t="s">
        <v>79</v>
      </c>
      <c r="S563" t="s">
        <v>1078</v>
      </c>
      <c r="T563" t="s">
        <v>1078</v>
      </c>
      <c r="U563" s="1">
        <v>46077.387048611112</v>
      </c>
      <c r="V563" t="s">
        <v>54</v>
      </c>
      <c r="W563" t="s">
        <v>55</v>
      </c>
      <c r="X563" t="s">
        <v>82</v>
      </c>
      <c r="Y563" t="s">
        <v>1197</v>
      </c>
      <c r="Z563" t="s">
        <v>58</v>
      </c>
      <c r="AA563" t="s">
        <v>54</v>
      </c>
      <c r="AB563" t="s">
        <v>396</v>
      </c>
      <c r="AC563" t="s">
        <v>85</v>
      </c>
      <c r="AD563" t="s">
        <v>79</v>
      </c>
      <c r="AE563" t="s">
        <v>1078</v>
      </c>
      <c r="AF563" t="s">
        <v>1078</v>
      </c>
      <c r="AG563" t="s">
        <v>58</v>
      </c>
      <c r="AH563">
        <v>15935</v>
      </c>
      <c r="AK563">
        <v>0</v>
      </c>
      <c r="AL563" t="s">
        <v>61</v>
      </c>
      <c r="AM563" t="s">
        <v>3007</v>
      </c>
      <c r="AN563" t="s">
        <v>3008</v>
      </c>
    </row>
    <row r="564" spans="1:40" x14ac:dyDescent="0.35">
      <c r="A564" t="s">
        <v>37</v>
      </c>
      <c r="B564" t="s">
        <v>3009</v>
      </c>
      <c r="C564" t="s">
        <v>102</v>
      </c>
      <c r="D564" t="s">
        <v>3010</v>
      </c>
      <c r="E564" t="s">
        <v>3011</v>
      </c>
      <c r="F564" s="1">
        <v>46077.382141203707</v>
      </c>
      <c r="G564" t="s">
        <v>913</v>
      </c>
      <c r="H564" t="s">
        <v>72</v>
      </c>
      <c r="I564" t="s">
        <v>3012</v>
      </c>
      <c r="J564" t="s">
        <v>724</v>
      </c>
      <c r="K564" t="s">
        <v>75</v>
      </c>
      <c r="M564" t="s">
        <v>76</v>
      </c>
      <c r="O564" t="s">
        <v>237</v>
      </c>
      <c r="P564" t="s">
        <v>238</v>
      </c>
      <c r="Q564" t="s">
        <v>3013</v>
      </c>
      <c r="R564" t="s">
        <v>79</v>
      </c>
      <c r="S564" t="s">
        <v>696</v>
      </c>
      <c r="T564" t="s">
        <v>1266</v>
      </c>
      <c r="U564" s="1">
        <v>46077.384004629632</v>
      </c>
      <c r="V564" t="s">
        <v>54</v>
      </c>
      <c r="W564" t="s">
        <v>55</v>
      </c>
      <c r="X564" t="s">
        <v>82</v>
      </c>
      <c r="Y564" t="s">
        <v>3014</v>
      </c>
      <c r="Z564" t="s">
        <v>58</v>
      </c>
      <c r="AA564" t="s">
        <v>54</v>
      </c>
      <c r="AB564" t="s">
        <v>727</v>
      </c>
      <c r="AC564" t="s">
        <v>242</v>
      </c>
      <c r="AD564" t="s">
        <v>79</v>
      </c>
      <c r="AE564" t="s">
        <v>696</v>
      </c>
      <c r="AF564" t="s">
        <v>1266</v>
      </c>
      <c r="AG564" t="s">
        <v>58</v>
      </c>
      <c r="AH564">
        <v>5679</v>
      </c>
      <c r="AK564">
        <v>0</v>
      </c>
      <c r="AL564" t="s">
        <v>61</v>
      </c>
      <c r="AM564" t="s">
        <v>3015</v>
      </c>
      <c r="AN564" t="s">
        <v>3016</v>
      </c>
    </row>
    <row r="565" spans="1:40" x14ac:dyDescent="0.35">
      <c r="A565" t="s">
        <v>37</v>
      </c>
      <c r="B565" t="s">
        <v>3017</v>
      </c>
      <c r="C565" t="s">
        <v>102</v>
      </c>
      <c r="D565" t="s">
        <v>513</v>
      </c>
      <c r="E565" t="s">
        <v>3018</v>
      </c>
      <c r="F565" s="1">
        <v>46077.38144675926</v>
      </c>
      <c r="G565" t="s">
        <v>327</v>
      </c>
      <c r="H565" t="s">
        <v>72</v>
      </c>
      <c r="I565" t="s">
        <v>3019</v>
      </c>
      <c r="J565" t="s">
        <v>695</v>
      </c>
      <c r="K565" t="s">
        <v>75</v>
      </c>
      <c r="M565" t="s">
        <v>76</v>
      </c>
      <c r="O565" t="s">
        <v>237</v>
      </c>
      <c r="P565" t="s">
        <v>238</v>
      </c>
      <c r="Q565" t="s">
        <v>50</v>
      </c>
      <c r="R565" t="s">
        <v>79</v>
      </c>
      <c r="S565" t="s">
        <v>1124</v>
      </c>
      <c r="T565" t="s">
        <v>81</v>
      </c>
      <c r="U565" s="1">
        <v>46077.382708333331</v>
      </c>
      <c r="V565" t="s">
        <v>54</v>
      </c>
      <c r="W565" t="s">
        <v>55</v>
      </c>
      <c r="X565" t="s">
        <v>82</v>
      </c>
      <c r="Y565" t="s">
        <v>3020</v>
      </c>
      <c r="Z565" t="s">
        <v>58</v>
      </c>
      <c r="AA565" t="s">
        <v>54</v>
      </c>
      <c r="AB565" t="s">
        <v>698</v>
      </c>
      <c r="AC565" t="s">
        <v>242</v>
      </c>
      <c r="AD565" t="s">
        <v>79</v>
      </c>
      <c r="AE565" t="s">
        <v>1124</v>
      </c>
      <c r="AF565" t="s">
        <v>81</v>
      </c>
      <c r="AG565" t="s">
        <v>58</v>
      </c>
      <c r="AH565">
        <v>14077</v>
      </c>
      <c r="AK565">
        <v>0</v>
      </c>
      <c r="AL565" t="s">
        <v>61</v>
      </c>
      <c r="AM565" t="s">
        <v>3021</v>
      </c>
      <c r="AN565" t="s">
        <v>3022</v>
      </c>
    </row>
    <row r="566" spans="1:40" x14ac:dyDescent="0.35">
      <c r="A566" t="s">
        <v>37</v>
      </c>
      <c r="B566" t="s">
        <v>3023</v>
      </c>
      <c r="C566" t="s">
        <v>39</v>
      </c>
      <c r="D566" t="s">
        <v>40</v>
      </c>
      <c r="E566" t="s">
        <v>41</v>
      </c>
      <c r="F566" s="1">
        <v>46077.378379629627</v>
      </c>
      <c r="G566" t="s">
        <v>42</v>
      </c>
      <c r="H566" t="s">
        <v>43</v>
      </c>
      <c r="I566" t="s">
        <v>3024</v>
      </c>
      <c r="J566" t="s">
        <v>45</v>
      </c>
      <c r="K566" t="s">
        <v>46</v>
      </c>
      <c r="M566" t="s">
        <v>47</v>
      </c>
      <c r="O566" t="s">
        <v>48</v>
      </c>
      <c r="P566" t="s">
        <v>49</v>
      </c>
      <c r="Q566" t="s">
        <v>50</v>
      </c>
      <c r="R566" t="s">
        <v>51</v>
      </c>
      <c r="S566" t="s">
        <v>52</v>
      </c>
      <c r="T566" t="s">
        <v>53</v>
      </c>
      <c r="U566" s="1">
        <v>46077.379548611112</v>
      </c>
      <c r="V566" t="s">
        <v>54</v>
      </c>
      <c r="W566" t="s">
        <v>55</v>
      </c>
      <c r="X566" t="s">
        <v>56</v>
      </c>
      <c r="Y566" t="s">
        <v>57</v>
      </c>
      <c r="Z566" t="s">
        <v>58</v>
      </c>
      <c r="AA566" t="s">
        <v>54</v>
      </c>
      <c r="AB566" t="s">
        <v>59</v>
      </c>
      <c r="AC566" t="s">
        <v>60</v>
      </c>
      <c r="AD566" t="s">
        <v>51</v>
      </c>
      <c r="AE566" t="s">
        <v>52</v>
      </c>
      <c r="AF566" t="s">
        <v>53</v>
      </c>
      <c r="AG566" t="s">
        <v>58</v>
      </c>
      <c r="AK566">
        <v>0</v>
      </c>
      <c r="AL566" t="s">
        <v>61</v>
      </c>
      <c r="AM566" t="s">
        <v>59</v>
      </c>
      <c r="AN566" t="s">
        <v>62</v>
      </c>
    </row>
    <row r="567" spans="1:40" x14ac:dyDescent="0.35">
      <c r="A567" t="s">
        <v>37</v>
      </c>
      <c r="B567" t="s">
        <v>3025</v>
      </c>
      <c r="C567" t="s">
        <v>39</v>
      </c>
      <c r="D567" t="s">
        <v>40</v>
      </c>
      <c r="E567" t="s">
        <v>41</v>
      </c>
      <c r="F567" s="1">
        <v>46077.378136574072</v>
      </c>
      <c r="G567" t="s">
        <v>42</v>
      </c>
      <c r="H567" t="s">
        <v>43</v>
      </c>
      <c r="I567" t="s">
        <v>3026</v>
      </c>
      <c r="J567" t="s">
        <v>45</v>
      </c>
      <c r="K567" t="s">
        <v>46</v>
      </c>
      <c r="M567" t="s">
        <v>47</v>
      </c>
      <c r="O567" t="s">
        <v>48</v>
      </c>
      <c r="P567" t="s">
        <v>49</v>
      </c>
      <c r="Q567" t="s">
        <v>50</v>
      </c>
      <c r="R567" t="s">
        <v>51</v>
      </c>
      <c r="S567" t="s">
        <v>52</v>
      </c>
      <c r="T567" t="s">
        <v>53</v>
      </c>
      <c r="U567" s="1">
        <v>46077.379548611112</v>
      </c>
      <c r="V567" t="s">
        <v>54</v>
      </c>
      <c r="W567" t="s">
        <v>55</v>
      </c>
      <c r="X567" t="s">
        <v>56</v>
      </c>
      <c r="Y567" t="s">
        <v>57</v>
      </c>
      <c r="Z567" t="s">
        <v>58</v>
      </c>
      <c r="AA567" t="s">
        <v>54</v>
      </c>
      <c r="AB567" t="s">
        <v>59</v>
      </c>
      <c r="AC567" t="s">
        <v>60</v>
      </c>
      <c r="AD567" t="s">
        <v>51</v>
      </c>
      <c r="AE567" t="s">
        <v>52</v>
      </c>
      <c r="AF567" t="s">
        <v>53</v>
      </c>
      <c r="AG567" t="s">
        <v>58</v>
      </c>
      <c r="AK567">
        <v>0</v>
      </c>
      <c r="AL567" t="s">
        <v>61</v>
      </c>
      <c r="AM567" t="s">
        <v>59</v>
      </c>
      <c r="AN567" t="s">
        <v>62</v>
      </c>
    </row>
    <row r="568" spans="1:40" x14ac:dyDescent="0.35">
      <c r="A568" t="s">
        <v>37</v>
      </c>
      <c r="B568" t="s">
        <v>3027</v>
      </c>
      <c r="C568" t="s">
        <v>39</v>
      </c>
      <c r="D568" t="s">
        <v>3028</v>
      </c>
      <c r="E568" t="s">
        <v>3029</v>
      </c>
      <c r="F568" s="1">
        <v>46077.377650462964</v>
      </c>
      <c r="G568" t="s">
        <v>497</v>
      </c>
      <c r="H568" t="s">
        <v>72</v>
      </c>
      <c r="I568" t="s">
        <v>3030</v>
      </c>
      <c r="J568" t="s">
        <v>707</v>
      </c>
      <c r="K568" t="s">
        <v>75</v>
      </c>
      <c r="M568" t="s">
        <v>76</v>
      </c>
      <c r="O568" t="s">
        <v>77</v>
      </c>
      <c r="P568" t="s">
        <v>78</v>
      </c>
      <c r="Q568" t="s">
        <v>2054</v>
      </c>
      <c r="R568" t="s">
        <v>79</v>
      </c>
      <c r="S568" t="s">
        <v>1078</v>
      </c>
      <c r="T568" t="s">
        <v>1078</v>
      </c>
      <c r="U568" s="1">
        <v>46077.377835648149</v>
      </c>
      <c r="V568" t="s">
        <v>1338</v>
      </c>
      <c r="W568" t="s">
        <v>55</v>
      </c>
      <c r="X568" t="s">
        <v>82</v>
      </c>
      <c r="Y568" t="s">
        <v>3031</v>
      </c>
      <c r="Z568" t="s">
        <v>58</v>
      </c>
      <c r="AA568" t="s">
        <v>1338</v>
      </c>
      <c r="AB568" t="s">
        <v>709</v>
      </c>
      <c r="AC568" t="s">
        <v>85</v>
      </c>
      <c r="AD568" t="s">
        <v>79</v>
      </c>
      <c r="AE568" t="s">
        <v>1078</v>
      </c>
      <c r="AF568" t="s">
        <v>1078</v>
      </c>
      <c r="AG568" t="s">
        <v>58</v>
      </c>
      <c r="AH568">
        <v>9946</v>
      </c>
      <c r="AK568">
        <v>0</v>
      </c>
      <c r="AL568" t="s">
        <v>410</v>
      </c>
      <c r="AM568" t="s">
        <v>3032</v>
      </c>
      <c r="AN568" t="s">
        <v>3033</v>
      </c>
    </row>
    <row r="569" spans="1:40" x14ac:dyDescent="0.35">
      <c r="A569" t="s">
        <v>37</v>
      </c>
      <c r="B569" t="s">
        <v>3034</v>
      </c>
      <c r="C569" t="s">
        <v>39</v>
      </c>
      <c r="D569" t="s">
        <v>583</v>
      </c>
      <c r="E569" t="s">
        <v>584</v>
      </c>
      <c r="F569" s="1">
        <v>46077.37872685185</v>
      </c>
      <c r="G569" t="s">
        <v>585</v>
      </c>
      <c r="H569" t="s">
        <v>356</v>
      </c>
      <c r="I569" t="s">
        <v>3035</v>
      </c>
      <c r="J569" t="s">
        <v>3036</v>
      </c>
      <c r="K569" t="s">
        <v>3037</v>
      </c>
      <c r="M569" t="s">
        <v>131</v>
      </c>
      <c r="O569" t="s">
        <v>77</v>
      </c>
      <c r="P569" t="s">
        <v>78</v>
      </c>
      <c r="Q569" t="s">
        <v>50</v>
      </c>
      <c r="R569" t="s">
        <v>51</v>
      </c>
      <c r="S569" t="s">
        <v>52</v>
      </c>
      <c r="T569" t="s">
        <v>240</v>
      </c>
      <c r="U569" s="1">
        <v>46078.486932870372</v>
      </c>
      <c r="V569" t="s">
        <v>54</v>
      </c>
      <c r="W569" t="s">
        <v>55</v>
      </c>
      <c r="X569" t="s">
        <v>134</v>
      </c>
      <c r="Y569" t="s">
        <v>3038</v>
      </c>
      <c r="Z569" t="s">
        <v>58</v>
      </c>
      <c r="AA569" t="s">
        <v>54</v>
      </c>
      <c r="AB569" t="s">
        <v>458</v>
      </c>
      <c r="AC569" t="s">
        <v>85</v>
      </c>
      <c r="AD569" t="s">
        <v>52</v>
      </c>
      <c r="AE569" t="s">
        <v>243</v>
      </c>
      <c r="AF569" t="s">
        <v>2533</v>
      </c>
      <c r="AG569" t="s">
        <v>58</v>
      </c>
      <c r="AK569">
        <v>1</v>
      </c>
      <c r="AL569" t="s">
        <v>61</v>
      </c>
      <c r="AM569" t="s">
        <v>593</v>
      </c>
      <c r="AN569" t="s">
        <v>594</v>
      </c>
    </row>
    <row r="570" spans="1:40" x14ac:dyDescent="0.35">
      <c r="A570" t="s">
        <v>37</v>
      </c>
      <c r="B570" t="s">
        <v>3039</v>
      </c>
      <c r="C570" t="s">
        <v>39</v>
      </c>
      <c r="D570" t="s">
        <v>3040</v>
      </c>
      <c r="E570" t="s">
        <v>431</v>
      </c>
      <c r="F570" s="1">
        <v>46077.3827662037</v>
      </c>
      <c r="G570" t="s">
        <v>1117</v>
      </c>
      <c r="H570" t="s">
        <v>92</v>
      </c>
      <c r="I570" t="s">
        <v>1250</v>
      </c>
      <c r="J570" t="s">
        <v>394</v>
      </c>
      <c r="K570" t="s">
        <v>75</v>
      </c>
      <c r="M570" t="s">
        <v>76</v>
      </c>
      <c r="O570" t="s">
        <v>77</v>
      </c>
      <c r="P570" t="s">
        <v>78</v>
      </c>
      <c r="Q570" t="s">
        <v>50</v>
      </c>
      <c r="R570" t="s">
        <v>79</v>
      </c>
      <c r="S570" t="s">
        <v>1078</v>
      </c>
      <c r="T570" t="s">
        <v>1078</v>
      </c>
      <c r="U570" s="1">
        <v>46077.382997685185</v>
      </c>
      <c r="V570" t="s">
        <v>54</v>
      </c>
      <c r="W570" t="s">
        <v>55</v>
      </c>
      <c r="X570" t="s">
        <v>82</v>
      </c>
      <c r="Y570" t="s">
        <v>1251</v>
      </c>
      <c r="Z570" t="s">
        <v>58</v>
      </c>
      <c r="AA570" t="s">
        <v>54</v>
      </c>
      <c r="AB570" t="s">
        <v>396</v>
      </c>
      <c r="AC570" t="s">
        <v>85</v>
      </c>
      <c r="AD570" t="s">
        <v>79</v>
      </c>
      <c r="AE570" t="s">
        <v>1078</v>
      </c>
      <c r="AF570" t="s">
        <v>1078</v>
      </c>
      <c r="AG570" t="s">
        <v>58</v>
      </c>
      <c r="AH570">
        <v>12083</v>
      </c>
      <c r="AK570">
        <v>0</v>
      </c>
      <c r="AL570" t="s">
        <v>61</v>
      </c>
      <c r="AM570" t="s">
        <v>3041</v>
      </c>
      <c r="AN570" t="s">
        <v>3042</v>
      </c>
    </row>
    <row r="571" spans="1:40" x14ac:dyDescent="0.35">
      <c r="A571" t="s">
        <v>37</v>
      </c>
      <c r="B571" t="s">
        <v>3043</v>
      </c>
      <c r="C571" t="s">
        <v>102</v>
      </c>
      <c r="D571" t="s">
        <v>3044</v>
      </c>
      <c r="E571" t="s">
        <v>3045</v>
      </c>
      <c r="F571" s="1">
        <v>46077.371921296297</v>
      </c>
      <c r="G571" t="s">
        <v>597</v>
      </c>
      <c r="H571" t="s">
        <v>287</v>
      </c>
      <c r="I571" t="s">
        <v>3046</v>
      </c>
      <c r="J571" t="s">
        <v>2531</v>
      </c>
      <c r="K571" t="s">
        <v>2532</v>
      </c>
      <c r="M571" t="s">
        <v>76</v>
      </c>
      <c r="O571" t="s">
        <v>237</v>
      </c>
      <c r="P571" t="s">
        <v>238</v>
      </c>
      <c r="Q571" t="s">
        <v>50</v>
      </c>
      <c r="R571" t="s">
        <v>51</v>
      </c>
      <c r="S571" t="s">
        <v>52</v>
      </c>
      <c r="T571" t="s">
        <v>240</v>
      </c>
      <c r="U571" s="1">
        <v>46077.496423611112</v>
      </c>
      <c r="V571" t="s">
        <v>54</v>
      </c>
      <c r="W571" t="s">
        <v>55</v>
      </c>
      <c r="X571" t="s">
        <v>82</v>
      </c>
      <c r="Y571" t="e">
        <f>- Please note that, your username has been whitelisted now. kindly ensure that you are using only one device to punch.</f>
        <v>#NAME?</v>
      </c>
      <c r="Z571" t="s">
        <v>58</v>
      </c>
      <c r="AA571" t="s">
        <v>54</v>
      </c>
      <c r="AB571" t="s">
        <v>727</v>
      </c>
      <c r="AC571" t="s">
        <v>242</v>
      </c>
      <c r="AD571" t="s">
        <v>52</v>
      </c>
      <c r="AE571" t="s">
        <v>243</v>
      </c>
      <c r="AF571" t="s">
        <v>2533</v>
      </c>
      <c r="AG571" t="s">
        <v>58</v>
      </c>
      <c r="AH571">
        <v>2422</v>
      </c>
      <c r="AK571">
        <v>3</v>
      </c>
      <c r="AL571" t="s">
        <v>61</v>
      </c>
      <c r="AM571" t="s">
        <v>3047</v>
      </c>
      <c r="AN571" t="s">
        <v>3048</v>
      </c>
    </row>
    <row r="572" spans="1:40" x14ac:dyDescent="0.35">
      <c r="A572" t="s">
        <v>37</v>
      </c>
      <c r="B572" t="s">
        <v>3049</v>
      </c>
      <c r="C572" t="s">
        <v>39</v>
      </c>
      <c r="D572" t="s">
        <v>89</v>
      </c>
      <c r="E572" t="s">
        <v>513</v>
      </c>
      <c r="F572" s="1">
        <v>46077.371377314812</v>
      </c>
      <c r="G572" t="s">
        <v>3050</v>
      </c>
      <c r="H572" t="s">
        <v>233</v>
      </c>
      <c r="I572" t="s">
        <v>1071</v>
      </c>
      <c r="J572" t="s">
        <v>394</v>
      </c>
      <c r="K572" t="s">
        <v>75</v>
      </c>
      <c r="M572" t="s">
        <v>76</v>
      </c>
      <c r="O572" t="s">
        <v>77</v>
      </c>
      <c r="P572" t="s">
        <v>78</v>
      </c>
      <c r="Q572" t="s">
        <v>50</v>
      </c>
      <c r="R572" t="s">
        <v>79</v>
      </c>
      <c r="S572" t="s">
        <v>967</v>
      </c>
      <c r="T572" t="s">
        <v>1072</v>
      </c>
      <c r="U572" s="1">
        <v>46077.371562499997</v>
      </c>
      <c r="V572" t="s">
        <v>54</v>
      </c>
      <c r="W572" t="s">
        <v>55</v>
      </c>
      <c r="X572" t="s">
        <v>82</v>
      </c>
      <c r="Y572" t="s">
        <v>3051</v>
      </c>
      <c r="Z572" t="s">
        <v>58</v>
      </c>
      <c r="AA572" t="s">
        <v>54</v>
      </c>
      <c r="AB572" t="s">
        <v>396</v>
      </c>
      <c r="AC572" t="s">
        <v>85</v>
      </c>
      <c r="AD572" t="s">
        <v>79</v>
      </c>
      <c r="AE572" t="s">
        <v>967</v>
      </c>
      <c r="AF572" t="s">
        <v>1072</v>
      </c>
      <c r="AG572" t="s">
        <v>58</v>
      </c>
      <c r="AH572">
        <v>15926</v>
      </c>
      <c r="AK572">
        <v>0</v>
      </c>
      <c r="AL572" t="s">
        <v>61</v>
      </c>
      <c r="AM572" t="s">
        <v>3052</v>
      </c>
      <c r="AN572" t="s">
        <v>3053</v>
      </c>
    </row>
    <row r="573" spans="1:40" x14ac:dyDescent="0.35">
      <c r="A573" t="s">
        <v>37</v>
      </c>
      <c r="B573" t="s">
        <v>3054</v>
      </c>
      <c r="C573" t="s">
        <v>656</v>
      </c>
      <c r="D573" t="s">
        <v>2470</v>
      </c>
      <c r="E573" t="s">
        <v>2471</v>
      </c>
      <c r="F573" s="1">
        <v>46077.373159722221</v>
      </c>
      <c r="G573" t="s">
        <v>91</v>
      </c>
      <c r="H573" t="s">
        <v>92</v>
      </c>
      <c r="I573" t="s">
        <v>3055</v>
      </c>
      <c r="J573" t="s">
        <v>2357</v>
      </c>
      <c r="K573" t="s">
        <v>2358</v>
      </c>
      <c r="M573" t="s">
        <v>76</v>
      </c>
      <c r="O573" t="s">
        <v>77</v>
      </c>
      <c r="P573" t="s">
        <v>78</v>
      </c>
      <c r="Q573" t="s">
        <v>50</v>
      </c>
      <c r="R573" t="s">
        <v>3056</v>
      </c>
      <c r="S573" t="s">
        <v>3057</v>
      </c>
      <c r="T573" t="s">
        <v>3058</v>
      </c>
      <c r="U573" s="1">
        <v>46078.390497685185</v>
      </c>
      <c r="V573" t="s">
        <v>54</v>
      </c>
      <c r="W573" t="s">
        <v>55</v>
      </c>
      <c r="X573" t="s">
        <v>134</v>
      </c>
      <c r="Y573" t="s">
        <v>3059</v>
      </c>
      <c r="Z573" t="s">
        <v>58</v>
      </c>
      <c r="AA573" t="s">
        <v>54</v>
      </c>
      <c r="AB573" t="s">
        <v>458</v>
      </c>
      <c r="AC573" t="s">
        <v>85</v>
      </c>
      <c r="AD573" t="s">
        <v>662</v>
      </c>
      <c r="AE573" t="s">
        <v>2335</v>
      </c>
      <c r="AF573" t="s">
        <v>2336</v>
      </c>
      <c r="AG573" t="s">
        <v>58</v>
      </c>
      <c r="AH573">
        <v>15205</v>
      </c>
      <c r="AK573">
        <v>1</v>
      </c>
      <c r="AL573" t="s">
        <v>61</v>
      </c>
      <c r="AM573" t="s">
        <v>2474</v>
      </c>
      <c r="AN573" t="s">
        <v>2475</v>
      </c>
    </row>
    <row r="574" spans="1:40" x14ac:dyDescent="0.35">
      <c r="A574" t="s">
        <v>37</v>
      </c>
      <c r="B574" t="s">
        <v>3060</v>
      </c>
      <c r="C574" t="s">
        <v>102</v>
      </c>
      <c r="D574" t="s">
        <v>617</v>
      </c>
      <c r="E574" t="s">
        <v>618</v>
      </c>
      <c r="F574" s="1">
        <v>46077.372673611113</v>
      </c>
      <c r="G574" t="s">
        <v>286</v>
      </c>
      <c r="H574" t="s">
        <v>287</v>
      </c>
      <c r="I574" t="s">
        <v>3061</v>
      </c>
      <c r="J574" t="s">
        <v>620</v>
      </c>
      <c r="K574" t="s">
        <v>130</v>
      </c>
      <c r="M574" t="s">
        <v>131</v>
      </c>
      <c r="O574" t="s">
        <v>77</v>
      </c>
      <c r="P574" t="s">
        <v>78</v>
      </c>
      <c r="Q574" t="s">
        <v>50</v>
      </c>
      <c r="R574" t="s">
        <v>132</v>
      </c>
      <c r="S574" t="s">
        <v>133</v>
      </c>
      <c r="T574" t="s">
        <v>133</v>
      </c>
      <c r="U574" s="1">
        <v>46077.37903935185</v>
      </c>
      <c r="V574" t="s">
        <v>54</v>
      </c>
      <c r="W574" t="s">
        <v>55</v>
      </c>
      <c r="X574" t="s">
        <v>134</v>
      </c>
      <c r="Y574" t="s">
        <v>3062</v>
      </c>
      <c r="Z574" t="s">
        <v>58</v>
      </c>
      <c r="AA574" t="s">
        <v>54</v>
      </c>
      <c r="AB574" t="s">
        <v>622</v>
      </c>
      <c r="AC574" t="s">
        <v>85</v>
      </c>
      <c r="AD574" t="s">
        <v>132</v>
      </c>
      <c r="AE574" t="s">
        <v>133</v>
      </c>
      <c r="AF574" t="s">
        <v>133</v>
      </c>
      <c r="AG574" t="s">
        <v>58</v>
      </c>
      <c r="AH574" t="s">
        <v>623</v>
      </c>
      <c r="AK574">
        <v>1</v>
      </c>
      <c r="AL574" t="s">
        <v>61</v>
      </c>
      <c r="AM574" t="s">
        <v>622</v>
      </c>
      <c r="AN574" t="s">
        <v>624</v>
      </c>
    </row>
    <row r="575" spans="1:40" x14ac:dyDescent="0.35">
      <c r="A575" t="s">
        <v>37</v>
      </c>
      <c r="B575" t="s">
        <v>3063</v>
      </c>
      <c r="C575" t="s">
        <v>102</v>
      </c>
      <c r="D575" t="s">
        <v>761</v>
      </c>
      <c r="E575" t="s">
        <v>762</v>
      </c>
      <c r="F575" s="1">
        <v>46077.371122685188</v>
      </c>
      <c r="G575" t="s">
        <v>105</v>
      </c>
      <c r="H575" t="s">
        <v>106</v>
      </c>
      <c r="I575" t="s">
        <v>1579</v>
      </c>
      <c r="J575" t="s">
        <v>108</v>
      </c>
      <c r="K575" t="s">
        <v>571</v>
      </c>
      <c r="M575" t="s">
        <v>76</v>
      </c>
      <c r="O575" t="s">
        <v>77</v>
      </c>
      <c r="P575" t="s">
        <v>78</v>
      </c>
      <c r="Q575" t="s">
        <v>50</v>
      </c>
      <c r="R575" t="s">
        <v>111</v>
      </c>
      <c r="S575" t="s">
        <v>51</v>
      </c>
      <c r="T575" t="s">
        <v>112</v>
      </c>
      <c r="U575" s="1">
        <v>46077.439074074071</v>
      </c>
      <c r="V575" t="s">
        <v>54</v>
      </c>
      <c r="W575" t="s">
        <v>55</v>
      </c>
      <c r="X575" t="s">
        <v>113</v>
      </c>
      <c r="Y575" t="s">
        <v>3064</v>
      </c>
      <c r="Z575" t="s">
        <v>58</v>
      </c>
      <c r="AA575" t="s">
        <v>54</v>
      </c>
      <c r="AB575" t="s">
        <v>115</v>
      </c>
      <c r="AC575" t="s">
        <v>85</v>
      </c>
      <c r="AD575" t="s">
        <v>116</v>
      </c>
      <c r="AE575" t="s">
        <v>574</v>
      </c>
      <c r="AF575" t="s">
        <v>1377</v>
      </c>
      <c r="AG575" t="s">
        <v>58</v>
      </c>
      <c r="AH575" t="s">
        <v>765</v>
      </c>
      <c r="AK575">
        <v>1</v>
      </c>
      <c r="AL575" t="s">
        <v>61</v>
      </c>
      <c r="AM575" t="s">
        <v>766</v>
      </c>
      <c r="AN575" t="s">
        <v>767</v>
      </c>
    </row>
    <row r="576" spans="1:40" x14ac:dyDescent="0.35">
      <c r="A576" t="s">
        <v>37</v>
      </c>
      <c r="B576" t="s">
        <v>3065</v>
      </c>
      <c r="C576" t="s">
        <v>656</v>
      </c>
      <c r="D576" t="s">
        <v>2984</v>
      </c>
      <c r="E576" t="s">
        <v>2985</v>
      </c>
      <c r="F576" s="1">
        <v>46077.370613425926</v>
      </c>
      <c r="G576" t="s">
        <v>355</v>
      </c>
      <c r="H576" t="s">
        <v>356</v>
      </c>
      <c r="I576" t="s">
        <v>3066</v>
      </c>
      <c r="J576" t="s">
        <v>2987</v>
      </c>
      <c r="K576" t="s">
        <v>2988</v>
      </c>
      <c r="M576" t="s">
        <v>76</v>
      </c>
      <c r="O576" t="s">
        <v>77</v>
      </c>
      <c r="P576" t="s">
        <v>78</v>
      </c>
      <c r="Q576" t="s">
        <v>50</v>
      </c>
      <c r="R576" t="s">
        <v>2989</v>
      </c>
      <c r="S576" t="s">
        <v>2990</v>
      </c>
      <c r="T576" t="s">
        <v>3067</v>
      </c>
      <c r="U576" s="1">
        <v>46077.377835648149</v>
      </c>
      <c r="V576" t="s">
        <v>54</v>
      </c>
      <c r="W576" t="s">
        <v>55</v>
      </c>
      <c r="X576" t="s">
        <v>56</v>
      </c>
      <c r="Y576" t="s">
        <v>3068</v>
      </c>
      <c r="Z576" t="s">
        <v>58</v>
      </c>
      <c r="AA576" t="s">
        <v>54</v>
      </c>
      <c r="AB576" t="s">
        <v>2993</v>
      </c>
      <c r="AC576" t="s">
        <v>85</v>
      </c>
      <c r="AD576" t="s">
        <v>2989</v>
      </c>
      <c r="AE576" t="s">
        <v>2990</v>
      </c>
      <c r="AF576" t="s">
        <v>664</v>
      </c>
      <c r="AG576" t="s">
        <v>58</v>
      </c>
      <c r="AH576" t="s">
        <v>2994</v>
      </c>
      <c r="AK576">
        <v>0</v>
      </c>
      <c r="AL576" t="s">
        <v>61</v>
      </c>
      <c r="AM576" t="s">
        <v>2993</v>
      </c>
      <c r="AN576" t="s">
        <v>2995</v>
      </c>
    </row>
    <row r="577" spans="1:40" x14ac:dyDescent="0.35">
      <c r="A577" t="s">
        <v>37</v>
      </c>
      <c r="B577" t="s">
        <v>3069</v>
      </c>
      <c r="C577" t="s">
        <v>39</v>
      </c>
      <c r="D577" t="s">
        <v>3070</v>
      </c>
      <c r="E577" t="s">
        <v>3071</v>
      </c>
      <c r="F577" s="1">
        <v>46077.367638888885</v>
      </c>
      <c r="G577" t="s">
        <v>297</v>
      </c>
      <c r="H577" t="s">
        <v>287</v>
      </c>
      <c r="I577" t="s">
        <v>3072</v>
      </c>
      <c r="J577" t="s">
        <v>695</v>
      </c>
      <c r="K577" t="s">
        <v>75</v>
      </c>
      <c r="M577" t="s">
        <v>76</v>
      </c>
      <c r="O577" t="s">
        <v>77</v>
      </c>
      <c r="P577" t="s">
        <v>78</v>
      </c>
      <c r="Q577" t="s">
        <v>50</v>
      </c>
      <c r="R577" t="s">
        <v>79</v>
      </c>
      <c r="S577" t="s">
        <v>967</v>
      </c>
      <c r="T577" t="s">
        <v>1072</v>
      </c>
      <c r="U577" s="1">
        <v>46077.368425925924</v>
      </c>
      <c r="V577" t="s">
        <v>54</v>
      </c>
      <c r="W577" t="s">
        <v>55</v>
      </c>
      <c r="X577" t="s">
        <v>82</v>
      </c>
      <c r="Y577" t="s">
        <v>3073</v>
      </c>
      <c r="Z577" t="s">
        <v>58</v>
      </c>
      <c r="AA577" t="s">
        <v>54</v>
      </c>
      <c r="AB577" t="s">
        <v>698</v>
      </c>
      <c r="AC577" t="s">
        <v>85</v>
      </c>
      <c r="AD577" t="s">
        <v>79</v>
      </c>
      <c r="AE577" t="s">
        <v>967</v>
      </c>
      <c r="AF577" t="s">
        <v>1072</v>
      </c>
      <c r="AG577" t="s">
        <v>58</v>
      </c>
      <c r="AH577">
        <v>15903</v>
      </c>
      <c r="AK577">
        <v>0</v>
      </c>
      <c r="AL577" t="s">
        <v>61</v>
      </c>
      <c r="AM577" t="s">
        <v>3074</v>
      </c>
      <c r="AN577" t="s">
        <v>3075</v>
      </c>
    </row>
    <row r="578" spans="1:40" x14ac:dyDescent="0.35">
      <c r="A578" t="s">
        <v>37</v>
      </c>
      <c r="B578" t="s">
        <v>3076</v>
      </c>
      <c r="C578" t="s">
        <v>102</v>
      </c>
      <c r="D578" t="s">
        <v>3077</v>
      </c>
      <c r="E578" t="s">
        <v>1421</v>
      </c>
      <c r="F578" s="1">
        <v>46077.366226851853</v>
      </c>
      <c r="G578" t="s">
        <v>2031</v>
      </c>
      <c r="H578" t="s">
        <v>106</v>
      </c>
      <c r="I578" t="s">
        <v>3078</v>
      </c>
      <c r="J578" t="s">
        <v>1626</v>
      </c>
      <c r="K578" t="s">
        <v>1627</v>
      </c>
      <c r="M578" t="s">
        <v>131</v>
      </c>
      <c r="O578" t="s">
        <v>1501</v>
      </c>
      <c r="P578" t="s">
        <v>1502</v>
      </c>
      <c r="Q578" t="s">
        <v>50</v>
      </c>
      <c r="R578" t="s">
        <v>79</v>
      </c>
      <c r="S578" t="s">
        <v>952</v>
      </c>
      <c r="T578" t="s">
        <v>953</v>
      </c>
      <c r="U578" s="1">
        <v>46077.550162037034</v>
      </c>
      <c r="V578" t="s">
        <v>1338</v>
      </c>
      <c r="W578" t="s">
        <v>55</v>
      </c>
      <c r="X578" t="s">
        <v>82</v>
      </c>
      <c r="Y578" t="s">
        <v>3079</v>
      </c>
      <c r="Z578" t="s">
        <v>58</v>
      </c>
      <c r="AA578" t="s">
        <v>1338</v>
      </c>
      <c r="AB578" t="s">
        <v>709</v>
      </c>
      <c r="AC578" t="s">
        <v>1504</v>
      </c>
      <c r="AD578" t="s">
        <v>79</v>
      </c>
      <c r="AE578" t="s">
        <v>952</v>
      </c>
      <c r="AF578" t="s">
        <v>3080</v>
      </c>
      <c r="AG578" t="s">
        <v>58</v>
      </c>
      <c r="AH578">
        <v>14485</v>
      </c>
      <c r="AK578">
        <v>2</v>
      </c>
      <c r="AL578" t="s">
        <v>61</v>
      </c>
      <c r="AM578" t="s">
        <v>3081</v>
      </c>
      <c r="AN578" t="s">
        <v>3082</v>
      </c>
    </row>
    <row r="579" spans="1:40" x14ac:dyDescent="0.35">
      <c r="A579" t="s">
        <v>37</v>
      </c>
      <c r="B579" t="s">
        <v>3083</v>
      </c>
      <c r="C579" t="s">
        <v>39</v>
      </c>
      <c r="D579" t="s">
        <v>3084</v>
      </c>
      <c r="E579" t="s">
        <v>3084</v>
      </c>
      <c r="F579" s="1">
        <v>46077.36991898148</v>
      </c>
      <c r="G579" t="s">
        <v>42</v>
      </c>
      <c r="H579" t="s">
        <v>43</v>
      </c>
      <c r="I579" t="s">
        <v>3085</v>
      </c>
      <c r="J579" t="s">
        <v>394</v>
      </c>
      <c r="K579" t="s">
        <v>75</v>
      </c>
      <c r="M579" t="s">
        <v>76</v>
      </c>
      <c r="O579" t="s">
        <v>237</v>
      </c>
      <c r="P579" t="s">
        <v>78</v>
      </c>
      <c r="Q579" t="s">
        <v>50</v>
      </c>
      <c r="R579" t="s">
        <v>79</v>
      </c>
      <c r="S579" t="s">
        <v>1016</v>
      </c>
      <c r="T579" t="s">
        <v>697</v>
      </c>
      <c r="U579" s="1">
        <v>46077.370775462965</v>
      </c>
      <c r="V579" t="s">
        <v>54</v>
      </c>
      <c r="W579" t="s">
        <v>55</v>
      </c>
      <c r="X579" t="s">
        <v>82</v>
      </c>
      <c r="Y579" t="s">
        <v>3086</v>
      </c>
      <c r="Z579" t="s">
        <v>58</v>
      </c>
      <c r="AA579" t="s">
        <v>54</v>
      </c>
      <c r="AB579" t="s">
        <v>396</v>
      </c>
      <c r="AC579" t="s">
        <v>85</v>
      </c>
      <c r="AD579" t="s">
        <v>79</v>
      </c>
      <c r="AE579" t="s">
        <v>1016</v>
      </c>
      <c r="AF579" t="s">
        <v>697</v>
      </c>
      <c r="AG579" t="s">
        <v>58</v>
      </c>
      <c r="AH579" t="s">
        <v>3087</v>
      </c>
      <c r="AK579">
        <v>0</v>
      </c>
      <c r="AL579" t="s">
        <v>61</v>
      </c>
      <c r="AM579" t="s">
        <v>3088</v>
      </c>
      <c r="AN579" t="s">
        <v>3089</v>
      </c>
    </row>
    <row r="580" spans="1:40" x14ac:dyDescent="0.35">
      <c r="A580" t="s">
        <v>37</v>
      </c>
      <c r="B580" t="s">
        <v>3090</v>
      </c>
      <c r="C580" t="s">
        <v>39</v>
      </c>
      <c r="D580" t="s">
        <v>127</v>
      </c>
      <c r="E580" t="s">
        <v>303</v>
      </c>
      <c r="F580" s="1">
        <v>46077.363668981481</v>
      </c>
      <c r="G580" t="s">
        <v>402</v>
      </c>
      <c r="H580" t="s">
        <v>72</v>
      </c>
      <c r="I580" t="s">
        <v>1408</v>
      </c>
      <c r="J580" t="s">
        <v>707</v>
      </c>
      <c r="K580" t="s">
        <v>75</v>
      </c>
      <c r="M580" t="s">
        <v>76</v>
      </c>
      <c r="O580" t="s">
        <v>77</v>
      </c>
      <c r="P580" t="s">
        <v>78</v>
      </c>
      <c r="Q580" t="s">
        <v>50</v>
      </c>
      <c r="R580" t="s">
        <v>79</v>
      </c>
      <c r="S580" t="s">
        <v>1078</v>
      </c>
      <c r="T580" t="s">
        <v>1078</v>
      </c>
      <c r="U580" s="1">
        <v>46077.363749999997</v>
      </c>
      <c r="V580" t="s">
        <v>54</v>
      </c>
      <c r="W580" t="s">
        <v>55</v>
      </c>
      <c r="X580" t="s">
        <v>82</v>
      </c>
      <c r="Y580" t="s">
        <v>1409</v>
      </c>
      <c r="Z580" t="s">
        <v>58</v>
      </c>
      <c r="AA580" t="s">
        <v>54</v>
      </c>
      <c r="AB580" t="s">
        <v>709</v>
      </c>
      <c r="AC580" t="s">
        <v>85</v>
      </c>
      <c r="AD580" t="s">
        <v>79</v>
      </c>
      <c r="AE580" t="s">
        <v>1078</v>
      </c>
      <c r="AF580" t="s">
        <v>1078</v>
      </c>
      <c r="AG580" t="s">
        <v>58</v>
      </c>
      <c r="AH580">
        <v>15741</v>
      </c>
      <c r="AK580">
        <v>0</v>
      </c>
      <c r="AL580" t="s">
        <v>61</v>
      </c>
      <c r="AM580" t="s">
        <v>3091</v>
      </c>
      <c r="AN580" t="s">
        <v>3092</v>
      </c>
    </row>
    <row r="581" spans="1:40" x14ac:dyDescent="0.35">
      <c r="A581" t="s">
        <v>37</v>
      </c>
      <c r="B581" t="s">
        <v>3093</v>
      </c>
      <c r="C581" t="s">
        <v>39</v>
      </c>
      <c r="D581" t="s">
        <v>532</v>
      </c>
      <c r="E581" t="s">
        <v>3094</v>
      </c>
      <c r="F581" s="1">
        <v>46077.362384259257</v>
      </c>
      <c r="G581" t="s">
        <v>464</v>
      </c>
      <c r="H581" t="s">
        <v>287</v>
      </c>
      <c r="I581" t="s">
        <v>1196</v>
      </c>
      <c r="J581" t="s">
        <v>707</v>
      </c>
      <c r="K581" t="s">
        <v>75</v>
      </c>
      <c r="M581" t="s">
        <v>76</v>
      </c>
      <c r="O581" t="s">
        <v>77</v>
      </c>
      <c r="P581" t="s">
        <v>78</v>
      </c>
      <c r="Q581" t="s">
        <v>465</v>
      </c>
      <c r="R581" t="s">
        <v>79</v>
      </c>
      <c r="S581" t="s">
        <v>1078</v>
      </c>
      <c r="T581" t="s">
        <v>1078</v>
      </c>
      <c r="U581" s="1">
        <v>46077.362743055557</v>
      </c>
      <c r="V581" t="s">
        <v>54</v>
      </c>
      <c r="W581" t="s">
        <v>55</v>
      </c>
      <c r="X581" t="s">
        <v>82</v>
      </c>
      <c r="Y581" t="s">
        <v>3095</v>
      </c>
      <c r="Z581" t="s">
        <v>58</v>
      </c>
      <c r="AA581" t="s">
        <v>54</v>
      </c>
      <c r="AB581" t="s">
        <v>709</v>
      </c>
      <c r="AC581" t="s">
        <v>85</v>
      </c>
      <c r="AD581" t="s">
        <v>79</v>
      </c>
      <c r="AE581" t="s">
        <v>1078</v>
      </c>
      <c r="AF581" t="s">
        <v>1078</v>
      </c>
      <c r="AG581" t="s">
        <v>58</v>
      </c>
      <c r="AH581">
        <v>10568</v>
      </c>
      <c r="AK581">
        <v>0</v>
      </c>
      <c r="AL581" t="s">
        <v>61</v>
      </c>
      <c r="AM581" t="s">
        <v>3096</v>
      </c>
      <c r="AN581" t="s">
        <v>3097</v>
      </c>
    </row>
    <row r="582" spans="1:40" x14ac:dyDescent="0.35">
      <c r="A582" t="s">
        <v>37</v>
      </c>
      <c r="B582" t="s">
        <v>3098</v>
      </c>
      <c r="C582" t="s">
        <v>39</v>
      </c>
      <c r="D582" t="s">
        <v>320</v>
      </c>
      <c r="E582" t="s">
        <v>3099</v>
      </c>
      <c r="F582" s="1">
        <v>46077.360023148147</v>
      </c>
      <c r="G582" t="s">
        <v>2031</v>
      </c>
      <c r="H582" t="s">
        <v>106</v>
      </c>
      <c r="I582" t="s">
        <v>205</v>
      </c>
      <c r="J582" t="s">
        <v>741</v>
      </c>
      <c r="K582" t="s">
        <v>207</v>
      </c>
      <c r="M582" t="s">
        <v>131</v>
      </c>
      <c r="O582" t="s">
        <v>77</v>
      </c>
      <c r="P582" t="s">
        <v>78</v>
      </c>
      <c r="R582" t="s">
        <v>208</v>
      </c>
      <c r="S582" t="s">
        <v>209</v>
      </c>
      <c r="T582" t="s">
        <v>210</v>
      </c>
      <c r="U582" s="1">
        <v>46077.551678240743</v>
      </c>
      <c r="V582" t="s">
        <v>54</v>
      </c>
      <c r="W582" t="s">
        <v>55</v>
      </c>
      <c r="X582" t="s">
        <v>211</v>
      </c>
      <c r="Y582" t="s">
        <v>3100</v>
      </c>
      <c r="Z582" t="s">
        <v>58</v>
      </c>
      <c r="AA582" t="s">
        <v>54</v>
      </c>
      <c r="AB582" t="s">
        <v>213</v>
      </c>
      <c r="AC582" t="s">
        <v>85</v>
      </c>
      <c r="AD582" t="s">
        <v>214</v>
      </c>
      <c r="AE582" t="s">
        <v>215</v>
      </c>
      <c r="AF582" t="s">
        <v>216</v>
      </c>
      <c r="AG582" t="s">
        <v>58</v>
      </c>
      <c r="AH582">
        <v>14837</v>
      </c>
      <c r="AK582">
        <v>1</v>
      </c>
      <c r="AL582" t="s">
        <v>61</v>
      </c>
      <c r="AM582" t="s">
        <v>3101</v>
      </c>
      <c r="AN582" t="s">
        <v>3102</v>
      </c>
    </row>
    <row r="583" spans="1:40" x14ac:dyDescent="0.35">
      <c r="A583" t="s">
        <v>37</v>
      </c>
      <c r="B583" t="s">
        <v>3103</v>
      </c>
      <c r="C583" t="s">
        <v>39</v>
      </c>
      <c r="D583" t="s">
        <v>40</v>
      </c>
      <c r="E583" t="s">
        <v>41</v>
      </c>
      <c r="F583" s="1">
        <v>46077.357199074075</v>
      </c>
      <c r="G583" t="s">
        <v>42</v>
      </c>
      <c r="H583" t="s">
        <v>43</v>
      </c>
      <c r="I583" t="s">
        <v>3104</v>
      </c>
      <c r="J583" t="s">
        <v>45</v>
      </c>
      <c r="K583" t="s">
        <v>46</v>
      </c>
      <c r="M583" t="s">
        <v>47</v>
      </c>
      <c r="O583" t="s">
        <v>48</v>
      </c>
      <c r="P583" t="s">
        <v>49</v>
      </c>
      <c r="Q583" t="s">
        <v>50</v>
      </c>
      <c r="R583" t="s">
        <v>51</v>
      </c>
      <c r="S583" t="s">
        <v>52</v>
      </c>
      <c r="T583" t="s">
        <v>53</v>
      </c>
      <c r="U583" s="1">
        <v>46077.358159722222</v>
      </c>
      <c r="V583" t="s">
        <v>54</v>
      </c>
      <c r="W583" t="s">
        <v>55</v>
      </c>
      <c r="X583" t="s">
        <v>56</v>
      </c>
      <c r="Y583" t="s">
        <v>57</v>
      </c>
      <c r="Z583" t="s">
        <v>58</v>
      </c>
      <c r="AA583" t="s">
        <v>54</v>
      </c>
      <c r="AB583" t="s">
        <v>59</v>
      </c>
      <c r="AC583" t="s">
        <v>60</v>
      </c>
      <c r="AD583" t="s">
        <v>51</v>
      </c>
      <c r="AE583" t="s">
        <v>52</v>
      </c>
      <c r="AF583" t="s">
        <v>53</v>
      </c>
      <c r="AG583" t="s">
        <v>58</v>
      </c>
      <c r="AK583">
        <v>0</v>
      </c>
      <c r="AL583" t="s">
        <v>61</v>
      </c>
      <c r="AM583" t="s">
        <v>59</v>
      </c>
      <c r="AN583" t="s">
        <v>62</v>
      </c>
    </row>
    <row r="584" spans="1:40" x14ac:dyDescent="0.35">
      <c r="A584" t="s">
        <v>37</v>
      </c>
      <c r="B584" t="s">
        <v>3105</v>
      </c>
      <c r="C584" t="s">
        <v>102</v>
      </c>
      <c r="D584" t="s">
        <v>3106</v>
      </c>
      <c r="E584" t="s">
        <v>3107</v>
      </c>
      <c r="F584" s="1">
        <v>46077.355300925927</v>
      </c>
      <c r="G584" t="s">
        <v>105</v>
      </c>
      <c r="H584" t="s">
        <v>106</v>
      </c>
      <c r="I584" t="s">
        <v>3108</v>
      </c>
      <c r="J584" t="s">
        <v>108</v>
      </c>
      <c r="K584" t="s">
        <v>109</v>
      </c>
      <c r="M584" t="s">
        <v>76</v>
      </c>
      <c r="O584" t="s">
        <v>77</v>
      </c>
      <c r="P584" t="s">
        <v>78</v>
      </c>
      <c r="Q584" t="s">
        <v>50</v>
      </c>
      <c r="R584" t="s">
        <v>111</v>
      </c>
      <c r="S584" t="s">
        <v>51</v>
      </c>
      <c r="T584" t="s">
        <v>1583</v>
      </c>
      <c r="U584" s="1">
        <v>46077.442395833335</v>
      </c>
      <c r="V584" t="s">
        <v>54</v>
      </c>
      <c r="W584" t="s">
        <v>55</v>
      </c>
      <c r="X584" t="s">
        <v>113</v>
      </c>
      <c r="Y584" t="s">
        <v>3109</v>
      </c>
      <c r="Z584" t="s">
        <v>58</v>
      </c>
      <c r="AA584" t="s">
        <v>54</v>
      </c>
      <c r="AB584" t="s">
        <v>115</v>
      </c>
      <c r="AC584" t="s">
        <v>85</v>
      </c>
      <c r="AD584" t="s">
        <v>116</v>
      </c>
      <c r="AE584" t="s">
        <v>1586</v>
      </c>
      <c r="AF584" t="s">
        <v>3110</v>
      </c>
      <c r="AG584" t="s">
        <v>58</v>
      </c>
      <c r="AH584" t="s">
        <v>3111</v>
      </c>
      <c r="AK584">
        <v>1</v>
      </c>
      <c r="AL584" t="s">
        <v>61</v>
      </c>
      <c r="AM584" t="s">
        <v>3112</v>
      </c>
      <c r="AN584" t="s">
        <v>3113</v>
      </c>
    </row>
    <row r="585" spans="1:40" x14ac:dyDescent="0.35">
      <c r="A585" t="s">
        <v>37</v>
      </c>
      <c r="B585" t="s">
        <v>3114</v>
      </c>
      <c r="C585" t="s">
        <v>102</v>
      </c>
      <c r="D585" t="s">
        <v>1429</v>
      </c>
      <c r="E585" t="s">
        <v>3115</v>
      </c>
      <c r="F585" s="1">
        <v>46077.35528935185</v>
      </c>
      <c r="G585" t="s">
        <v>688</v>
      </c>
      <c r="H585" t="s">
        <v>106</v>
      </c>
      <c r="I585" t="s">
        <v>3116</v>
      </c>
      <c r="J585" t="s">
        <v>3117</v>
      </c>
      <c r="K585" t="s">
        <v>2551</v>
      </c>
      <c r="M585" t="s">
        <v>76</v>
      </c>
      <c r="O585" t="s">
        <v>48</v>
      </c>
      <c r="P585" t="s">
        <v>49</v>
      </c>
      <c r="Q585" t="s">
        <v>50</v>
      </c>
      <c r="R585" t="s">
        <v>79</v>
      </c>
      <c r="S585" t="s">
        <v>955</v>
      </c>
      <c r="T585" t="s">
        <v>1500</v>
      </c>
      <c r="U585" s="1">
        <v>46078.686724537038</v>
      </c>
      <c r="V585" t="s">
        <v>54</v>
      </c>
      <c r="W585" t="s">
        <v>55</v>
      </c>
      <c r="X585" t="s">
        <v>82</v>
      </c>
      <c r="Y585" t="s">
        <v>3118</v>
      </c>
      <c r="Z585" t="s">
        <v>58</v>
      </c>
      <c r="AA585" t="s">
        <v>54</v>
      </c>
      <c r="AB585" t="s">
        <v>727</v>
      </c>
      <c r="AC585" t="s">
        <v>60</v>
      </c>
      <c r="AD585" t="s">
        <v>208</v>
      </c>
      <c r="AE585" t="s">
        <v>3119</v>
      </c>
      <c r="AF585" t="s">
        <v>3120</v>
      </c>
      <c r="AG585" t="s">
        <v>58</v>
      </c>
      <c r="AH585">
        <v>15347</v>
      </c>
      <c r="AK585">
        <v>6</v>
      </c>
      <c r="AL585" t="s">
        <v>61</v>
      </c>
      <c r="AM585" t="s">
        <v>3121</v>
      </c>
      <c r="AN585" t="s">
        <v>3122</v>
      </c>
    </row>
    <row r="586" spans="1:40" x14ac:dyDescent="0.35">
      <c r="A586" t="s">
        <v>37</v>
      </c>
      <c r="B586" t="s">
        <v>3123</v>
      </c>
      <c r="C586" t="s">
        <v>102</v>
      </c>
      <c r="D586" t="s">
        <v>3106</v>
      </c>
      <c r="E586" t="s">
        <v>3107</v>
      </c>
      <c r="F586" s="1">
        <v>46077.353773148148</v>
      </c>
      <c r="G586" t="s">
        <v>105</v>
      </c>
      <c r="H586" t="s">
        <v>106</v>
      </c>
      <c r="I586" t="s">
        <v>3124</v>
      </c>
      <c r="J586" t="s">
        <v>108</v>
      </c>
      <c r="K586" t="s">
        <v>109</v>
      </c>
      <c r="M586" t="s">
        <v>76</v>
      </c>
      <c r="O586" t="s">
        <v>77</v>
      </c>
      <c r="P586" t="s">
        <v>78</v>
      </c>
      <c r="Q586" t="s">
        <v>50</v>
      </c>
      <c r="R586" t="s">
        <v>111</v>
      </c>
      <c r="S586" t="s">
        <v>51</v>
      </c>
      <c r="T586" t="s">
        <v>1583</v>
      </c>
      <c r="U586" s="1">
        <v>46077.440995370373</v>
      </c>
      <c r="V586" t="s">
        <v>54</v>
      </c>
      <c r="W586" t="s">
        <v>55</v>
      </c>
      <c r="X586" t="s">
        <v>113</v>
      </c>
      <c r="Y586" t="s">
        <v>3125</v>
      </c>
      <c r="Z586" t="s">
        <v>58</v>
      </c>
      <c r="AA586" t="s">
        <v>54</v>
      </c>
      <c r="AB586" t="s">
        <v>115</v>
      </c>
      <c r="AC586" t="s">
        <v>85</v>
      </c>
      <c r="AD586" t="s">
        <v>116</v>
      </c>
      <c r="AE586" t="s">
        <v>1586</v>
      </c>
      <c r="AF586" t="s">
        <v>3126</v>
      </c>
      <c r="AG586" t="s">
        <v>58</v>
      </c>
      <c r="AH586" t="s">
        <v>3111</v>
      </c>
      <c r="AK586">
        <v>1</v>
      </c>
      <c r="AL586" t="s">
        <v>61</v>
      </c>
      <c r="AM586" t="s">
        <v>3112</v>
      </c>
      <c r="AN586" t="s">
        <v>3113</v>
      </c>
    </row>
    <row r="587" spans="1:40" x14ac:dyDescent="0.35">
      <c r="A587" t="s">
        <v>37</v>
      </c>
      <c r="B587" t="s">
        <v>3127</v>
      </c>
      <c r="C587" t="s">
        <v>102</v>
      </c>
      <c r="D587" t="s">
        <v>3128</v>
      </c>
      <c r="E587" t="s">
        <v>3129</v>
      </c>
      <c r="F587" s="1">
        <v>46077.353437500002</v>
      </c>
      <c r="G587" t="s">
        <v>913</v>
      </c>
      <c r="H587" t="s">
        <v>72</v>
      </c>
      <c r="I587" t="s">
        <v>2279</v>
      </c>
      <c r="J587" t="s">
        <v>695</v>
      </c>
      <c r="K587" t="s">
        <v>75</v>
      </c>
      <c r="M587" t="s">
        <v>76</v>
      </c>
      <c r="O587" t="s">
        <v>237</v>
      </c>
      <c r="P587" t="s">
        <v>238</v>
      </c>
      <c r="Q587" t="s">
        <v>50</v>
      </c>
      <c r="R587" t="s">
        <v>79</v>
      </c>
      <c r="S587" t="s">
        <v>975</v>
      </c>
      <c r="T587" t="s">
        <v>2280</v>
      </c>
      <c r="U587" s="1">
        <v>46077.354548611111</v>
      </c>
      <c r="V587" t="s">
        <v>54</v>
      </c>
      <c r="W587" t="s">
        <v>55</v>
      </c>
      <c r="X587" t="s">
        <v>82</v>
      </c>
      <c r="Y587" t="e">
        <f>- EV has been reinstalled - issue has been resolved</f>
        <v>#NAME?</v>
      </c>
      <c r="Z587" t="s">
        <v>58</v>
      </c>
      <c r="AA587" t="s">
        <v>54</v>
      </c>
      <c r="AB587" t="s">
        <v>698</v>
      </c>
      <c r="AC587" t="s">
        <v>242</v>
      </c>
      <c r="AD587" t="s">
        <v>79</v>
      </c>
      <c r="AE587" t="s">
        <v>936</v>
      </c>
      <c r="AF587" t="s">
        <v>937</v>
      </c>
      <c r="AG587" t="s">
        <v>58</v>
      </c>
      <c r="AH587" t="s">
        <v>3130</v>
      </c>
      <c r="AK587">
        <v>0</v>
      </c>
      <c r="AL587" t="s">
        <v>61</v>
      </c>
      <c r="AM587" t="s">
        <v>3131</v>
      </c>
      <c r="AN587" t="s">
        <v>3132</v>
      </c>
    </row>
    <row r="588" spans="1:40" x14ac:dyDescent="0.35">
      <c r="A588" t="s">
        <v>37</v>
      </c>
      <c r="B588" t="s">
        <v>3133</v>
      </c>
      <c r="C588" t="s">
        <v>39</v>
      </c>
      <c r="D588" t="s">
        <v>3134</v>
      </c>
      <c r="E588" t="s">
        <v>3135</v>
      </c>
      <c r="F588" s="1">
        <v>46077.35056712963</v>
      </c>
      <c r="G588" t="s">
        <v>688</v>
      </c>
      <c r="H588" t="s">
        <v>106</v>
      </c>
      <c r="I588" t="s">
        <v>205</v>
      </c>
      <c r="J588" t="s">
        <v>741</v>
      </c>
      <c r="K588" t="s">
        <v>207</v>
      </c>
      <c r="M588" t="s">
        <v>131</v>
      </c>
      <c r="O588" t="s">
        <v>77</v>
      </c>
      <c r="P588" t="s">
        <v>78</v>
      </c>
      <c r="Q588" t="s">
        <v>50</v>
      </c>
      <c r="R588" t="s">
        <v>208</v>
      </c>
      <c r="S588" t="s">
        <v>209</v>
      </c>
      <c r="T588" t="s">
        <v>210</v>
      </c>
      <c r="U588" s="1">
        <v>46077.548981481479</v>
      </c>
      <c r="V588" t="s">
        <v>54</v>
      </c>
      <c r="W588" t="s">
        <v>55</v>
      </c>
      <c r="X588" t="s">
        <v>211</v>
      </c>
      <c r="Y588" t="s">
        <v>3136</v>
      </c>
      <c r="Z588" t="s">
        <v>58</v>
      </c>
      <c r="AA588" t="s">
        <v>54</v>
      </c>
      <c r="AB588" t="s">
        <v>213</v>
      </c>
      <c r="AC588" t="s">
        <v>85</v>
      </c>
      <c r="AD588" t="s">
        <v>214</v>
      </c>
      <c r="AE588" t="s">
        <v>215</v>
      </c>
      <c r="AF588" t="s">
        <v>216</v>
      </c>
      <c r="AG588" t="s">
        <v>58</v>
      </c>
      <c r="AH588">
        <v>15340</v>
      </c>
      <c r="AK588">
        <v>1</v>
      </c>
      <c r="AL588" t="s">
        <v>61</v>
      </c>
      <c r="AM588" t="s">
        <v>3137</v>
      </c>
      <c r="AN588" t="s">
        <v>3138</v>
      </c>
    </row>
    <row r="589" spans="1:40" x14ac:dyDescent="0.35">
      <c r="A589" t="s">
        <v>37</v>
      </c>
      <c r="B589" t="s">
        <v>3139</v>
      </c>
      <c r="C589" t="s">
        <v>39</v>
      </c>
      <c r="D589" t="s">
        <v>3140</v>
      </c>
      <c r="E589" t="s">
        <v>3141</v>
      </c>
      <c r="F589" s="1">
        <v>46077.349039351851</v>
      </c>
      <c r="G589" t="s">
        <v>2015</v>
      </c>
      <c r="H589" t="s">
        <v>447</v>
      </c>
      <c r="I589" t="s">
        <v>205</v>
      </c>
      <c r="J589" t="s">
        <v>741</v>
      </c>
      <c r="K589" t="s">
        <v>207</v>
      </c>
      <c r="M589" t="s">
        <v>131</v>
      </c>
      <c r="O589" t="s">
        <v>77</v>
      </c>
      <c r="P589" t="s">
        <v>78</v>
      </c>
      <c r="Q589" t="s">
        <v>50</v>
      </c>
      <c r="R589" t="s">
        <v>208</v>
      </c>
      <c r="S589" t="s">
        <v>209</v>
      </c>
      <c r="T589" t="s">
        <v>210</v>
      </c>
      <c r="U589" s="1">
        <v>46077.547592592593</v>
      </c>
      <c r="V589" t="s">
        <v>54</v>
      </c>
      <c r="W589" t="s">
        <v>55</v>
      </c>
      <c r="X589" t="s">
        <v>211</v>
      </c>
      <c r="Y589" t="s">
        <v>3142</v>
      </c>
      <c r="Z589" t="s">
        <v>58</v>
      </c>
      <c r="AA589" t="s">
        <v>54</v>
      </c>
      <c r="AB589" t="s">
        <v>213</v>
      </c>
      <c r="AC589" t="s">
        <v>85</v>
      </c>
      <c r="AD589" t="s">
        <v>214</v>
      </c>
      <c r="AE589" t="s">
        <v>215</v>
      </c>
      <c r="AF589" t="s">
        <v>216</v>
      </c>
      <c r="AG589" t="s">
        <v>58</v>
      </c>
      <c r="AH589">
        <v>12809</v>
      </c>
      <c r="AK589">
        <v>1</v>
      </c>
      <c r="AL589" t="s">
        <v>61</v>
      </c>
      <c r="AM589" t="s">
        <v>3143</v>
      </c>
      <c r="AN589" t="s">
        <v>3144</v>
      </c>
    </row>
    <row r="590" spans="1:40" x14ac:dyDescent="0.35">
      <c r="A590" t="s">
        <v>37</v>
      </c>
      <c r="B590" t="s">
        <v>3145</v>
      </c>
      <c r="C590" t="s">
        <v>39</v>
      </c>
      <c r="D590" t="s">
        <v>40</v>
      </c>
      <c r="E590" t="s">
        <v>41</v>
      </c>
      <c r="F590" s="1">
        <v>46077.34883101852</v>
      </c>
      <c r="G590" t="s">
        <v>42</v>
      </c>
      <c r="H590" t="s">
        <v>43</v>
      </c>
      <c r="I590" t="s">
        <v>3146</v>
      </c>
      <c r="J590" t="s">
        <v>45</v>
      </c>
      <c r="K590" t="s">
        <v>46</v>
      </c>
      <c r="M590" t="s">
        <v>47</v>
      </c>
      <c r="O590" t="s">
        <v>48</v>
      </c>
      <c r="P590" t="s">
        <v>49</v>
      </c>
      <c r="Q590" t="s">
        <v>50</v>
      </c>
      <c r="R590" t="s">
        <v>51</v>
      </c>
      <c r="S590" t="s">
        <v>52</v>
      </c>
      <c r="T590" t="s">
        <v>53</v>
      </c>
      <c r="U590" s="1">
        <v>46077.349606481483</v>
      </c>
      <c r="V590" t="s">
        <v>54</v>
      </c>
      <c r="W590" t="s">
        <v>55</v>
      </c>
      <c r="X590" t="s">
        <v>56</v>
      </c>
      <c r="Y590" t="s">
        <v>57</v>
      </c>
      <c r="Z590" t="s">
        <v>58</v>
      </c>
      <c r="AA590" t="s">
        <v>54</v>
      </c>
      <c r="AB590" t="s">
        <v>59</v>
      </c>
      <c r="AC590" t="s">
        <v>60</v>
      </c>
      <c r="AD590" t="s">
        <v>51</v>
      </c>
      <c r="AE590" t="s">
        <v>52</v>
      </c>
      <c r="AF590" t="s">
        <v>53</v>
      </c>
      <c r="AG590" t="s">
        <v>58</v>
      </c>
      <c r="AK590">
        <v>0</v>
      </c>
      <c r="AL590" t="s">
        <v>61</v>
      </c>
      <c r="AM590" t="s">
        <v>59</v>
      </c>
      <c r="AN590" t="s">
        <v>62</v>
      </c>
    </row>
    <row r="591" spans="1:40" x14ac:dyDescent="0.35">
      <c r="A591" t="s">
        <v>37</v>
      </c>
      <c r="B591" t="s">
        <v>3147</v>
      </c>
      <c r="C591" t="s">
        <v>39</v>
      </c>
      <c r="D591" t="s">
        <v>1481</v>
      </c>
      <c r="E591" t="s">
        <v>1316</v>
      </c>
      <c r="F591" s="1">
        <v>46077.347592592596</v>
      </c>
      <c r="G591" t="s">
        <v>286</v>
      </c>
      <c r="H591" t="s">
        <v>287</v>
      </c>
      <c r="I591" t="s">
        <v>3148</v>
      </c>
      <c r="J591" t="s">
        <v>1483</v>
      </c>
      <c r="K591" t="s">
        <v>1484</v>
      </c>
      <c r="M591" t="s">
        <v>131</v>
      </c>
      <c r="O591" t="s">
        <v>77</v>
      </c>
      <c r="P591" t="s">
        <v>78</v>
      </c>
      <c r="Q591" t="s">
        <v>50</v>
      </c>
      <c r="R591" t="s">
        <v>51</v>
      </c>
      <c r="S591" t="s">
        <v>52</v>
      </c>
      <c r="T591" t="s">
        <v>240</v>
      </c>
      <c r="U591" s="1">
        <v>46078.259583333333</v>
      </c>
      <c r="V591" t="s">
        <v>54</v>
      </c>
      <c r="W591" t="s">
        <v>55</v>
      </c>
      <c r="X591" t="s">
        <v>134</v>
      </c>
      <c r="Y591" t="s">
        <v>1485</v>
      </c>
      <c r="Z591" t="s">
        <v>58</v>
      </c>
      <c r="AA591" t="s">
        <v>54</v>
      </c>
      <c r="AB591" t="s">
        <v>1486</v>
      </c>
      <c r="AC591" t="s">
        <v>85</v>
      </c>
      <c r="AD591" t="s">
        <v>52</v>
      </c>
      <c r="AE591" t="s">
        <v>243</v>
      </c>
      <c r="AF591" t="s">
        <v>409</v>
      </c>
      <c r="AG591" t="s">
        <v>58</v>
      </c>
      <c r="AK591">
        <v>1</v>
      </c>
      <c r="AL591" t="s">
        <v>61</v>
      </c>
      <c r="AM591" t="s">
        <v>1487</v>
      </c>
      <c r="AN591" t="s">
        <v>1488</v>
      </c>
    </row>
    <row r="592" spans="1:40" x14ac:dyDescent="0.35">
      <c r="A592" t="s">
        <v>37</v>
      </c>
      <c r="B592" t="s">
        <v>3149</v>
      </c>
      <c r="C592" t="s">
        <v>102</v>
      </c>
      <c r="D592" t="s">
        <v>1698</v>
      </c>
      <c r="E592" t="s">
        <v>584</v>
      </c>
      <c r="F592" s="1">
        <v>46077.753738425927</v>
      </c>
      <c r="G592" t="s">
        <v>105</v>
      </c>
      <c r="H592" t="s">
        <v>106</v>
      </c>
      <c r="I592" t="s">
        <v>3150</v>
      </c>
      <c r="J592" t="s">
        <v>108</v>
      </c>
      <c r="K592" t="s">
        <v>571</v>
      </c>
      <c r="M592" t="s">
        <v>150</v>
      </c>
      <c r="O592" t="s">
        <v>77</v>
      </c>
      <c r="P592" t="s">
        <v>78</v>
      </c>
      <c r="Q592" t="s">
        <v>50</v>
      </c>
      <c r="R592" t="s">
        <v>111</v>
      </c>
      <c r="S592" t="s">
        <v>51</v>
      </c>
      <c r="T592" t="s">
        <v>112</v>
      </c>
      <c r="U592" s="1">
        <v>46077.822523148148</v>
      </c>
      <c r="V592" t="s">
        <v>54</v>
      </c>
      <c r="W592" t="s">
        <v>55</v>
      </c>
      <c r="X592" t="s">
        <v>134</v>
      </c>
      <c r="Y592" t="s">
        <v>3151</v>
      </c>
      <c r="Z592" t="s">
        <v>58</v>
      </c>
      <c r="AA592" t="s">
        <v>54</v>
      </c>
      <c r="AB592" t="s">
        <v>1701</v>
      </c>
      <c r="AC592" t="s">
        <v>85</v>
      </c>
      <c r="AD592" t="s">
        <v>116</v>
      </c>
      <c r="AE592" t="s">
        <v>574</v>
      </c>
      <c r="AF592" t="s">
        <v>161</v>
      </c>
      <c r="AG592" t="s">
        <v>58</v>
      </c>
      <c r="AK592">
        <v>1</v>
      </c>
      <c r="AL592" t="s">
        <v>61</v>
      </c>
      <c r="AM592" t="s">
        <v>1701</v>
      </c>
      <c r="AN592" t="s">
        <v>1702</v>
      </c>
    </row>
    <row r="593" spans="1:40" x14ac:dyDescent="0.35">
      <c r="A593" t="s">
        <v>37</v>
      </c>
      <c r="B593" t="s">
        <v>3152</v>
      </c>
      <c r="C593" t="s">
        <v>102</v>
      </c>
      <c r="D593" t="s">
        <v>1698</v>
      </c>
      <c r="E593" t="s">
        <v>584</v>
      </c>
      <c r="F593" s="1">
        <v>46077.753738425927</v>
      </c>
      <c r="G593" t="s">
        <v>105</v>
      </c>
      <c r="H593" t="s">
        <v>106</v>
      </c>
      <c r="I593" t="s">
        <v>3150</v>
      </c>
      <c r="J593" t="s">
        <v>108</v>
      </c>
      <c r="K593" t="s">
        <v>571</v>
      </c>
      <c r="M593" t="s">
        <v>150</v>
      </c>
      <c r="O593" t="s">
        <v>77</v>
      </c>
      <c r="P593" t="s">
        <v>78</v>
      </c>
      <c r="Q593" t="s">
        <v>50</v>
      </c>
      <c r="R593" t="s">
        <v>111</v>
      </c>
      <c r="S593" t="s">
        <v>51</v>
      </c>
      <c r="T593" t="s">
        <v>112</v>
      </c>
      <c r="U593" s="1">
        <v>46077.822233796294</v>
      </c>
      <c r="V593" t="s">
        <v>54</v>
      </c>
      <c r="W593" t="s">
        <v>55</v>
      </c>
      <c r="X593" t="s">
        <v>134</v>
      </c>
      <c r="Y593" t="s">
        <v>3151</v>
      </c>
      <c r="Z593" t="s">
        <v>58</v>
      </c>
      <c r="AA593" t="s">
        <v>54</v>
      </c>
      <c r="AB593" t="s">
        <v>1701</v>
      </c>
      <c r="AC593" t="s">
        <v>85</v>
      </c>
      <c r="AD593" t="s">
        <v>116</v>
      </c>
      <c r="AE593" t="s">
        <v>574</v>
      </c>
      <c r="AF593" t="s">
        <v>161</v>
      </c>
      <c r="AG593" t="s">
        <v>58</v>
      </c>
      <c r="AK593">
        <v>1</v>
      </c>
      <c r="AL593" t="s">
        <v>61</v>
      </c>
      <c r="AM593" t="s">
        <v>1701</v>
      </c>
      <c r="AN593" t="s">
        <v>1702</v>
      </c>
    </row>
    <row r="594" spans="1:40" x14ac:dyDescent="0.35">
      <c r="A594" t="s">
        <v>37</v>
      </c>
      <c r="B594" t="s">
        <v>3153</v>
      </c>
      <c r="C594" t="s">
        <v>102</v>
      </c>
      <c r="D594" t="s">
        <v>1698</v>
      </c>
      <c r="E594" t="s">
        <v>584</v>
      </c>
      <c r="F594" s="1">
        <v>46077.723124999997</v>
      </c>
      <c r="G594" t="s">
        <v>105</v>
      </c>
      <c r="H594" t="s">
        <v>106</v>
      </c>
      <c r="I594" t="s">
        <v>1848</v>
      </c>
      <c r="J594" t="s">
        <v>108</v>
      </c>
      <c r="K594" t="s">
        <v>109</v>
      </c>
      <c r="M594" t="s">
        <v>76</v>
      </c>
      <c r="O594" t="s">
        <v>77</v>
      </c>
      <c r="P594" t="s">
        <v>78</v>
      </c>
      <c r="Q594" t="s">
        <v>50</v>
      </c>
      <c r="R594" t="s">
        <v>111</v>
      </c>
      <c r="S594" t="s">
        <v>51</v>
      </c>
      <c r="T594" t="s">
        <v>112</v>
      </c>
      <c r="U594" s="1">
        <v>46077.820706018516</v>
      </c>
      <c r="V594" t="s">
        <v>54</v>
      </c>
      <c r="W594" t="s">
        <v>55</v>
      </c>
      <c r="X594" t="s">
        <v>134</v>
      </c>
      <c r="Y594" t="s">
        <v>3154</v>
      </c>
      <c r="Z594" t="s">
        <v>58</v>
      </c>
      <c r="AA594" t="s">
        <v>54</v>
      </c>
      <c r="AB594" t="s">
        <v>1701</v>
      </c>
      <c r="AC594" t="s">
        <v>85</v>
      </c>
      <c r="AD594" t="s">
        <v>116</v>
      </c>
      <c r="AE594" t="s">
        <v>117</v>
      </c>
      <c r="AF594" t="s">
        <v>3155</v>
      </c>
      <c r="AG594" t="s">
        <v>58</v>
      </c>
      <c r="AK594">
        <v>1</v>
      </c>
      <c r="AL594" t="s">
        <v>61</v>
      </c>
      <c r="AM594" t="s">
        <v>1701</v>
      </c>
      <c r="AN594" t="s">
        <v>1702</v>
      </c>
    </row>
    <row r="595" spans="1:40" x14ac:dyDescent="0.35">
      <c r="A595" t="s">
        <v>37</v>
      </c>
      <c r="B595" t="s">
        <v>3156</v>
      </c>
      <c r="C595" t="s">
        <v>102</v>
      </c>
      <c r="D595" t="s">
        <v>1698</v>
      </c>
      <c r="E595" t="s">
        <v>584</v>
      </c>
      <c r="F595" s="1">
        <v>46077.711516203701</v>
      </c>
      <c r="G595" t="s">
        <v>105</v>
      </c>
      <c r="H595" t="s">
        <v>106</v>
      </c>
      <c r="I595" t="s">
        <v>1941</v>
      </c>
      <c r="J595" t="s">
        <v>108</v>
      </c>
      <c r="K595" t="s">
        <v>109</v>
      </c>
      <c r="M595" t="s">
        <v>76</v>
      </c>
      <c r="O595" t="s">
        <v>77</v>
      </c>
      <c r="P595" t="s">
        <v>78</v>
      </c>
      <c r="Q595" t="s">
        <v>50</v>
      </c>
      <c r="R595" t="s">
        <v>111</v>
      </c>
      <c r="S595" t="s">
        <v>51</v>
      </c>
      <c r="T595" t="s">
        <v>112</v>
      </c>
      <c r="U595" s="1">
        <v>46077.870891203704</v>
      </c>
      <c r="V595" t="s">
        <v>54</v>
      </c>
      <c r="W595" t="s">
        <v>55</v>
      </c>
      <c r="X595" t="s">
        <v>134</v>
      </c>
      <c r="Y595" t="s">
        <v>3157</v>
      </c>
      <c r="Z595" t="s">
        <v>58</v>
      </c>
      <c r="AA595" t="s">
        <v>54</v>
      </c>
      <c r="AB595" t="s">
        <v>1701</v>
      </c>
      <c r="AC595" t="s">
        <v>85</v>
      </c>
      <c r="AD595" t="s">
        <v>116</v>
      </c>
      <c r="AE595" t="s">
        <v>117</v>
      </c>
      <c r="AF595" t="s">
        <v>1706</v>
      </c>
      <c r="AG595" t="s">
        <v>58</v>
      </c>
      <c r="AK595">
        <v>1</v>
      </c>
      <c r="AL595" t="s">
        <v>61</v>
      </c>
      <c r="AM595" t="s">
        <v>1701</v>
      </c>
      <c r="AN595" t="s">
        <v>1702</v>
      </c>
    </row>
    <row r="596" spans="1:40" x14ac:dyDescent="0.35">
      <c r="A596" t="s">
        <v>37</v>
      </c>
      <c r="B596" t="s">
        <v>3158</v>
      </c>
      <c r="C596" t="s">
        <v>102</v>
      </c>
      <c r="D596" t="s">
        <v>1698</v>
      </c>
      <c r="E596" t="s">
        <v>584</v>
      </c>
      <c r="F596" s="1">
        <v>46077.694745370369</v>
      </c>
      <c r="G596" t="s">
        <v>105</v>
      </c>
      <c r="H596" t="s">
        <v>106</v>
      </c>
      <c r="I596" t="s">
        <v>3159</v>
      </c>
      <c r="J596" t="s">
        <v>108</v>
      </c>
      <c r="K596" t="s">
        <v>571</v>
      </c>
      <c r="M596" t="s">
        <v>76</v>
      </c>
      <c r="O596" t="s">
        <v>77</v>
      </c>
      <c r="P596" t="s">
        <v>78</v>
      </c>
      <c r="Q596" t="s">
        <v>50</v>
      </c>
      <c r="R596" t="s">
        <v>111</v>
      </c>
      <c r="S596" t="s">
        <v>51</v>
      </c>
      <c r="T596" t="s">
        <v>112</v>
      </c>
      <c r="U596" s="1">
        <v>46077.823263888888</v>
      </c>
      <c r="V596" t="s">
        <v>54</v>
      </c>
      <c r="W596" t="s">
        <v>55</v>
      </c>
      <c r="X596" t="s">
        <v>134</v>
      </c>
      <c r="Y596" t="s">
        <v>3160</v>
      </c>
      <c r="Z596" t="s">
        <v>58</v>
      </c>
      <c r="AA596" t="s">
        <v>54</v>
      </c>
      <c r="AB596" t="s">
        <v>1701</v>
      </c>
      <c r="AC596" t="s">
        <v>85</v>
      </c>
      <c r="AD596" t="s">
        <v>116</v>
      </c>
      <c r="AE596" t="s">
        <v>574</v>
      </c>
      <c r="AF596" t="s">
        <v>575</v>
      </c>
      <c r="AG596" t="s">
        <v>58</v>
      </c>
      <c r="AK596">
        <v>1</v>
      </c>
      <c r="AL596" t="s">
        <v>61</v>
      </c>
      <c r="AM596" t="s">
        <v>1701</v>
      </c>
      <c r="AN596" t="s">
        <v>1702</v>
      </c>
    </row>
    <row r="597" spans="1:40" x14ac:dyDescent="0.35">
      <c r="A597" t="s">
        <v>37</v>
      </c>
      <c r="B597" t="s">
        <v>3161</v>
      </c>
      <c r="C597" t="s">
        <v>102</v>
      </c>
      <c r="D597" t="s">
        <v>1698</v>
      </c>
      <c r="E597" t="s">
        <v>584</v>
      </c>
      <c r="F597" s="1">
        <v>46077.685613425929</v>
      </c>
      <c r="G597" t="s">
        <v>105</v>
      </c>
      <c r="H597" t="s">
        <v>106</v>
      </c>
      <c r="I597" t="s">
        <v>3162</v>
      </c>
      <c r="J597" t="s">
        <v>108</v>
      </c>
      <c r="K597" t="s">
        <v>109</v>
      </c>
      <c r="M597" t="s">
        <v>76</v>
      </c>
      <c r="O597" t="s">
        <v>77</v>
      </c>
      <c r="P597" t="s">
        <v>78</v>
      </c>
      <c r="Q597" t="s">
        <v>50</v>
      </c>
      <c r="R597" t="s">
        <v>111</v>
      </c>
      <c r="S597" t="s">
        <v>51</v>
      </c>
      <c r="T597" t="s">
        <v>112</v>
      </c>
      <c r="U597" s="1">
        <v>46077.730057870373</v>
      </c>
      <c r="V597" t="s">
        <v>54</v>
      </c>
      <c r="W597" t="s">
        <v>55</v>
      </c>
      <c r="X597" t="s">
        <v>134</v>
      </c>
      <c r="Y597" t="s">
        <v>3163</v>
      </c>
      <c r="Z597" t="s">
        <v>58</v>
      </c>
      <c r="AA597" t="s">
        <v>54</v>
      </c>
      <c r="AB597" t="s">
        <v>1701</v>
      </c>
      <c r="AC597" t="s">
        <v>85</v>
      </c>
      <c r="AD597" t="s">
        <v>116</v>
      </c>
      <c r="AE597" t="s">
        <v>117</v>
      </c>
      <c r="AF597" t="s">
        <v>118</v>
      </c>
      <c r="AG597" t="s">
        <v>58</v>
      </c>
      <c r="AK597">
        <v>1</v>
      </c>
      <c r="AL597" t="s">
        <v>61</v>
      </c>
      <c r="AM597" t="s">
        <v>1701</v>
      </c>
      <c r="AN597" t="s">
        <v>1702</v>
      </c>
    </row>
    <row r="598" spans="1:40" x14ac:dyDescent="0.35">
      <c r="A598" t="s">
        <v>37</v>
      </c>
      <c r="B598" t="s">
        <v>3164</v>
      </c>
      <c r="C598" t="s">
        <v>39</v>
      </c>
      <c r="D598" t="s">
        <v>3165</v>
      </c>
      <c r="E598" t="s">
        <v>3166</v>
      </c>
      <c r="F598" s="1">
        <v>46077.657430555555</v>
      </c>
      <c r="G598" t="s">
        <v>508</v>
      </c>
      <c r="H598" t="s">
        <v>72</v>
      </c>
      <c r="I598" t="s">
        <v>3167</v>
      </c>
      <c r="J598" t="s">
        <v>1833</v>
      </c>
      <c r="K598" t="s">
        <v>1834</v>
      </c>
      <c r="M598" t="s">
        <v>76</v>
      </c>
      <c r="O598" t="s">
        <v>77</v>
      </c>
      <c r="P598" t="s">
        <v>78</v>
      </c>
      <c r="Q598" t="s">
        <v>50</v>
      </c>
      <c r="R598" t="s">
        <v>51</v>
      </c>
      <c r="S598" t="s">
        <v>52</v>
      </c>
      <c r="T598" t="s">
        <v>240</v>
      </c>
      <c r="U598" s="1">
        <v>46078.95894675926</v>
      </c>
      <c r="V598" t="s">
        <v>54</v>
      </c>
      <c r="W598" t="s">
        <v>55</v>
      </c>
      <c r="X598" t="s">
        <v>134</v>
      </c>
      <c r="Y598" t="s">
        <v>1835</v>
      </c>
      <c r="Z598" t="s">
        <v>58</v>
      </c>
      <c r="AA598" t="s">
        <v>54</v>
      </c>
      <c r="AB598" t="s">
        <v>1836</v>
      </c>
      <c r="AC598" t="s">
        <v>85</v>
      </c>
      <c r="AD598" t="s">
        <v>52</v>
      </c>
      <c r="AE598" t="s">
        <v>243</v>
      </c>
      <c r="AF598" t="s">
        <v>1470</v>
      </c>
      <c r="AG598" t="s">
        <v>58</v>
      </c>
      <c r="AH598">
        <v>15519</v>
      </c>
      <c r="AK598">
        <v>0</v>
      </c>
      <c r="AL598" t="s">
        <v>61</v>
      </c>
      <c r="AM598" t="s">
        <v>3168</v>
      </c>
      <c r="AN598" t="s">
        <v>3169</v>
      </c>
    </row>
    <row r="599" spans="1:40" x14ac:dyDescent="0.35">
      <c r="A599" t="s">
        <v>37</v>
      </c>
      <c r="B599" t="s">
        <v>3170</v>
      </c>
      <c r="C599" t="s">
        <v>39</v>
      </c>
      <c r="D599" t="s">
        <v>555</v>
      </c>
      <c r="E599" t="s">
        <v>321</v>
      </c>
      <c r="F599" s="1">
        <v>46077.653877314813</v>
      </c>
      <c r="G599" t="s">
        <v>807</v>
      </c>
      <c r="H599" t="s">
        <v>43</v>
      </c>
      <c r="I599" t="s">
        <v>3171</v>
      </c>
      <c r="J599" t="s">
        <v>1833</v>
      </c>
      <c r="K599" t="s">
        <v>1834</v>
      </c>
      <c r="M599" t="s">
        <v>76</v>
      </c>
      <c r="O599" t="s">
        <v>77</v>
      </c>
      <c r="P599" t="s">
        <v>78</v>
      </c>
      <c r="Q599" t="s">
        <v>50</v>
      </c>
      <c r="R599" t="s">
        <v>51</v>
      </c>
      <c r="S599" t="s">
        <v>52</v>
      </c>
      <c r="T599" t="s">
        <v>240</v>
      </c>
      <c r="U599" s="1">
        <v>46078.949699074074</v>
      </c>
      <c r="V599" t="s">
        <v>54</v>
      </c>
      <c r="W599" t="s">
        <v>55</v>
      </c>
      <c r="X599" t="s">
        <v>134</v>
      </c>
      <c r="Y599" t="s">
        <v>1835</v>
      </c>
      <c r="Z599" t="s">
        <v>58</v>
      </c>
      <c r="AA599" t="s">
        <v>54</v>
      </c>
      <c r="AB599" t="s">
        <v>1836</v>
      </c>
      <c r="AC599" t="s">
        <v>85</v>
      </c>
      <c r="AD599" t="s">
        <v>52</v>
      </c>
      <c r="AE599" t="s">
        <v>243</v>
      </c>
      <c r="AF599" t="s">
        <v>1470</v>
      </c>
      <c r="AG599" t="s">
        <v>58</v>
      </c>
      <c r="AH599">
        <v>14599</v>
      </c>
      <c r="AK599">
        <v>0</v>
      </c>
      <c r="AL599" t="s">
        <v>61</v>
      </c>
      <c r="AM599" t="s">
        <v>3172</v>
      </c>
      <c r="AN599" t="s">
        <v>3173</v>
      </c>
    </row>
    <row r="600" spans="1:40" x14ac:dyDescent="0.35">
      <c r="A600" t="s">
        <v>37</v>
      </c>
      <c r="B600" t="s">
        <v>3174</v>
      </c>
      <c r="C600" t="s">
        <v>102</v>
      </c>
      <c r="D600" t="s">
        <v>1698</v>
      </c>
      <c r="E600" t="s">
        <v>584</v>
      </c>
      <c r="F600" s="1">
        <v>46077.627928240741</v>
      </c>
      <c r="G600" t="s">
        <v>105</v>
      </c>
      <c r="H600" t="s">
        <v>106</v>
      </c>
      <c r="I600" t="s">
        <v>1812</v>
      </c>
      <c r="J600" t="s">
        <v>108</v>
      </c>
      <c r="K600" t="s">
        <v>571</v>
      </c>
      <c r="M600" t="s">
        <v>76</v>
      </c>
      <c r="O600" t="s">
        <v>77</v>
      </c>
      <c r="P600" t="s">
        <v>78</v>
      </c>
      <c r="Q600" t="s">
        <v>50</v>
      </c>
      <c r="R600" t="s">
        <v>111</v>
      </c>
      <c r="S600" t="s">
        <v>51</v>
      </c>
      <c r="T600" t="s">
        <v>112</v>
      </c>
      <c r="U600" s="1">
        <v>46077.718217592592</v>
      </c>
      <c r="V600" t="s">
        <v>54</v>
      </c>
      <c r="W600" t="s">
        <v>55</v>
      </c>
      <c r="X600" t="s">
        <v>134</v>
      </c>
      <c r="Y600" t="s">
        <v>3175</v>
      </c>
      <c r="Z600" t="s">
        <v>58</v>
      </c>
      <c r="AA600" t="s">
        <v>54</v>
      </c>
      <c r="AB600" t="s">
        <v>1701</v>
      </c>
      <c r="AC600" t="s">
        <v>85</v>
      </c>
      <c r="AD600" t="s">
        <v>116</v>
      </c>
      <c r="AE600" t="s">
        <v>574</v>
      </c>
      <c r="AF600" t="s">
        <v>144</v>
      </c>
      <c r="AG600" t="s">
        <v>58</v>
      </c>
      <c r="AK600">
        <v>1</v>
      </c>
      <c r="AL600" t="s">
        <v>61</v>
      </c>
      <c r="AM600" t="s">
        <v>1701</v>
      </c>
      <c r="AN600" t="s">
        <v>1702</v>
      </c>
    </row>
    <row r="601" spans="1:40" x14ac:dyDescent="0.35">
      <c r="A601" t="s">
        <v>37</v>
      </c>
      <c r="B601" t="s">
        <v>3176</v>
      </c>
      <c r="C601" t="s">
        <v>39</v>
      </c>
      <c r="D601" t="s">
        <v>3177</v>
      </c>
      <c r="E601" t="s">
        <v>3178</v>
      </c>
      <c r="F601" s="1">
        <v>46077.622974537036</v>
      </c>
      <c r="G601" t="s">
        <v>913</v>
      </c>
      <c r="H601" t="s">
        <v>72</v>
      </c>
      <c r="I601" t="s">
        <v>3179</v>
      </c>
      <c r="J601" t="s">
        <v>1833</v>
      </c>
      <c r="K601" t="s">
        <v>1834</v>
      </c>
      <c r="M601" t="s">
        <v>76</v>
      </c>
      <c r="O601" t="s">
        <v>77</v>
      </c>
      <c r="P601" t="s">
        <v>78</v>
      </c>
      <c r="Q601" t="s">
        <v>818</v>
      </c>
      <c r="R601" t="s">
        <v>51</v>
      </c>
      <c r="S601" t="s">
        <v>52</v>
      </c>
      <c r="T601" t="s">
        <v>240</v>
      </c>
      <c r="U601" s="1">
        <v>46078.931250000001</v>
      </c>
      <c r="V601" t="s">
        <v>54</v>
      </c>
      <c r="W601" t="s">
        <v>55</v>
      </c>
      <c r="X601" t="s">
        <v>134</v>
      </c>
      <c r="Y601" t="s">
        <v>3180</v>
      </c>
      <c r="Z601" t="s">
        <v>58</v>
      </c>
      <c r="AA601" t="s">
        <v>54</v>
      </c>
      <c r="AB601" t="s">
        <v>1836</v>
      </c>
      <c r="AC601" t="s">
        <v>85</v>
      </c>
      <c r="AD601" t="s">
        <v>52</v>
      </c>
      <c r="AE601" t="s">
        <v>2140</v>
      </c>
      <c r="AF601" t="s">
        <v>2710</v>
      </c>
      <c r="AG601" t="s">
        <v>58</v>
      </c>
      <c r="AH601">
        <v>3139</v>
      </c>
      <c r="AK601">
        <v>0</v>
      </c>
      <c r="AL601" t="s">
        <v>61</v>
      </c>
      <c r="AM601" t="s">
        <v>3181</v>
      </c>
      <c r="AN601" t="s">
        <v>3182</v>
      </c>
    </row>
    <row r="602" spans="1:40" x14ac:dyDescent="0.35">
      <c r="A602" t="s">
        <v>37</v>
      </c>
      <c r="B602" t="s">
        <v>3183</v>
      </c>
      <c r="C602" t="s">
        <v>656</v>
      </c>
      <c r="D602" t="s">
        <v>3184</v>
      </c>
      <c r="E602" t="s">
        <v>3185</v>
      </c>
      <c r="F602" s="1">
        <v>46077.622974537036</v>
      </c>
      <c r="G602" t="s">
        <v>355</v>
      </c>
      <c r="H602" t="s">
        <v>356</v>
      </c>
      <c r="I602" t="s">
        <v>3186</v>
      </c>
      <c r="J602" t="s">
        <v>2987</v>
      </c>
      <c r="K602" t="s">
        <v>2988</v>
      </c>
      <c r="M602" t="s">
        <v>76</v>
      </c>
      <c r="O602" t="s">
        <v>77</v>
      </c>
      <c r="P602" t="s">
        <v>78</v>
      </c>
      <c r="Q602" t="s">
        <v>1174</v>
      </c>
      <c r="R602" t="s">
        <v>2989</v>
      </c>
      <c r="S602" t="s">
        <v>2990</v>
      </c>
      <c r="T602" t="s">
        <v>3187</v>
      </c>
      <c r="U602" s="1">
        <v>46077.641527777778</v>
      </c>
      <c r="V602" t="s">
        <v>54</v>
      </c>
      <c r="W602" t="s">
        <v>55</v>
      </c>
      <c r="X602" t="s">
        <v>134</v>
      </c>
      <c r="Y602" t="s">
        <v>3188</v>
      </c>
      <c r="Z602" t="s">
        <v>58</v>
      </c>
      <c r="AA602" t="s">
        <v>54</v>
      </c>
      <c r="AB602" t="s">
        <v>1836</v>
      </c>
      <c r="AC602" t="s">
        <v>85</v>
      </c>
      <c r="AD602" t="s">
        <v>2989</v>
      </c>
      <c r="AE602" t="s">
        <v>2990</v>
      </c>
      <c r="AF602" t="s">
        <v>3187</v>
      </c>
      <c r="AG602" t="s">
        <v>58</v>
      </c>
      <c r="AH602" t="s">
        <v>3189</v>
      </c>
      <c r="AK602">
        <v>0</v>
      </c>
      <c r="AL602" t="s">
        <v>61</v>
      </c>
      <c r="AM602" t="s">
        <v>1836</v>
      </c>
      <c r="AN602" t="s">
        <v>3190</v>
      </c>
    </row>
    <row r="603" spans="1:40" x14ac:dyDescent="0.35">
      <c r="A603" t="s">
        <v>37</v>
      </c>
      <c r="B603" t="s">
        <v>3191</v>
      </c>
      <c r="C603" t="s">
        <v>102</v>
      </c>
      <c r="D603" t="s">
        <v>1698</v>
      </c>
      <c r="E603" t="s">
        <v>584</v>
      </c>
      <c r="F603" s="1">
        <v>46077.619375000002</v>
      </c>
      <c r="G603" t="s">
        <v>105</v>
      </c>
      <c r="H603" t="s">
        <v>106</v>
      </c>
      <c r="I603" t="s">
        <v>3192</v>
      </c>
      <c r="J603" t="s">
        <v>108</v>
      </c>
      <c r="K603" t="s">
        <v>109</v>
      </c>
      <c r="M603" t="s">
        <v>76</v>
      </c>
      <c r="O603" t="s">
        <v>77</v>
      </c>
      <c r="P603" t="s">
        <v>78</v>
      </c>
      <c r="Q603" t="s">
        <v>50</v>
      </c>
      <c r="R603" t="s">
        <v>111</v>
      </c>
      <c r="S603" t="s">
        <v>51</v>
      </c>
      <c r="T603" t="s">
        <v>112</v>
      </c>
      <c r="U603" s="1">
        <v>46077.728842592594</v>
      </c>
      <c r="V603" t="s">
        <v>54</v>
      </c>
      <c r="W603" t="s">
        <v>55</v>
      </c>
      <c r="X603" t="s">
        <v>134</v>
      </c>
      <c r="Y603" t="s">
        <v>3193</v>
      </c>
      <c r="Z603" t="s">
        <v>58</v>
      </c>
      <c r="AA603" t="s">
        <v>54</v>
      </c>
      <c r="AB603" t="s">
        <v>1701</v>
      </c>
      <c r="AC603" t="s">
        <v>85</v>
      </c>
      <c r="AD603" t="s">
        <v>116</v>
      </c>
      <c r="AE603" t="s">
        <v>117</v>
      </c>
      <c r="AF603" t="s">
        <v>1706</v>
      </c>
      <c r="AG603" t="s">
        <v>58</v>
      </c>
      <c r="AK603">
        <v>1</v>
      </c>
      <c r="AL603" t="s">
        <v>61</v>
      </c>
      <c r="AM603" t="s">
        <v>1701</v>
      </c>
      <c r="AN603" t="s">
        <v>1702</v>
      </c>
    </row>
    <row r="604" spans="1:40" x14ac:dyDescent="0.35">
      <c r="A604" t="s">
        <v>37</v>
      </c>
      <c r="B604" t="s">
        <v>3194</v>
      </c>
      <c r="C604" t="s">
        <v>39</v>
      </c>
      <c r="D604" t="s">
        <v>2588</v>
      </c>
      <c r="E604" t="s">
        <v>1429</v>
      </c>
      <c r="F604" s="1">
        <v>46077.611701388887</v>
      </c>
      <c r="G604" t="s">
        <v>913</v>
      </c>
      <c r="H604" t="s">
        <v>72</v>
      </c>
      <c r="I604" t="s">
        <v>3195</v>
      </c>
      <c r="J604" t="s">
        <v>1833</v>
      </c>
      <c r="K604" t="s">
        <v>1834</v>
      </c>
      <c r="M604" t="s">
        <v>76</v>
      </c>
      <c r="O604" t="s">
        <v>77</v>
      </c>
      <c r="P604" t="s">
        <v>78</v>
      </c>
      <c r="Q604" t="s">
        <v>1088</v>
      </c>
      <c r="R604" t="s">
        <v>51</v>
      </c>
      <c r="S604" t="s">
        <v>52</v>
      </c>
      <c r="T604" t="s">
        <v>240</v>
      </c>
      <c r="U604" s="1">
        <v>46078.966412037036</v>
      </c>
      <c r="V604" t="s">
        <v>54</v>
      </c>
      <c r="W604" t="s">
        <v>55</v>
      </c>
      <c r="X604" t="s">
        <v>134</v>
      </c>
      <c r="Y604" t="s">
        <v>3180</v>
      </c>
      <c r="Z604" t="s">
        <v>58</v>
      </c>
      <c r="AA604" t="s">
        <v>54</v>
      </c>
      <c r="AB604" t="s">
        <v>1836</v>
      </c>
      <c r="AC604" t="s">
        <v>85</v>
      </c>
      <c r="AD604" t="s">
        <v>52</v>
      </c>
      <c r="AE604" t="s">
        <v>2140</v>
      </c>
      <c r="AF604" t="s">
        <v>2710</v>
      </c>
      <c r="AG604" t="s">
        <v>58</v>
      </c>
      <c r="AH604">
        <v>11462</v>
      </c>
      <c r="AK604">
        <v>0</v>
      </c>
      <c r="AL604" t="s">
        <v>61</v>
      </c>
      <c r="AM604" t="s">
        <v>3196</v>
      </c>
      <c r="AN604" t="s">
        <v>3197</v>
      </c>
    </row>
    <row r="605" spans="1:40" x14ac:dyDescent="0.35">
      <c r="A605" t="s">
        <v>37</v>
      </c>
      <c r="B605" t="s">
        <v>3198</v>
      </c>
      <c r="C605" t="s">
        <v>656</v>
      </c>
      <c r="D605" t="s">
        <v>3184</v>
      </c>
      <c r="E605" t="s">
        <v>3185</v>
      </c>
      <c r="F605" s="1">
        <v>46077.610914351855</v>
      </c>
      <c r="G605" t="s">
        <v>355</v>
      </c>
      <c r="H605" t="s">
        <v>356</v>
      </c>
      <c r="I605" t="s">
        <v>3199</v>
      </c>
      <c r="J605" t="s">
        <v>2987</v>
      </c>
      <c r="K605" t="s">
        <v>2988</v>
      </c>
      <c r="M605" t="s">
        <v>76</v>
      </c>
      <c r="O605" t="s">
        <v>77</v>
      </c>
      <c r="P605" t="s">
        <v>78</v>
      </c>
      <c r="Q605" t="s">
        <v>1174</v>
      </c>
      <c r="R605" t="s">
        <v>2989</v>
      </c>
      <c r="S605" t="s">
        <v>2990</v>
      </c>
      <c r="T605" t="s">
        <v>3187</v>
      </c>
      <c r="U605" s="1">
        <v>46077.641377314816</v>
      </c>
      <c r="V605" t="s">
        <v>54</v>
      </c>
      <c r="W605" t="s">
        <v>55</v>
      </c>
      <c r="X605" t="s">
        <v>134</v>
      </c>
      <c r="Y605" t="s">
        <v>3188</v>
      </c>
      <c r="Z605" t="s">
        <v>58</v>
      </c>
      <c r="AA605" t="s">
        <v>54</v>
      </c>
      <c r="AB605" t="s">
        <v>1836</v>
      </c>
      <c r="AC605" t="s">
        <v>85</v>
      </c>
      <c r="AD605" t="s">
        <v>2989</v>
      </c>
      <c r="AE605" t="s">
        <v>2990</v>
      </c>
      <c r="AF605" t="s">
        <v>3187</v>
      </c>
      <c r="AG605" t="s">
        <v>58</v>
      </c>
      <c r="AH605" t="s">
        <v>3189</v>
      </c>
      <c r="AK605">
        <v>0</v>
      </c>
      <c r="AL605" t="s">
        <v>61</v>
      </c>
      <c r="AM605" t="s">
        <v>1836</v>
      </c>
      <c r="AN605" t="s">
        <v>3190</v>
      </c>
    </row>
    <row r="606" spans="1:40" x14ac:dyDescent="0.35">
      <c r="A606" t="s">
        <v>37</v>
      </c>
      <c r="B606" t="s">
        <v>3200</v>
      </c>
      <c r="C606" t="s">
        <v>39</v>
      </c>
      <c r="D606" t="s">
        <v>3201</v>
      </c>
      <c r="E606" t="s">
        <v>3202</v>
      </c>
      <c r="F606" s="1">
        <v>46077.60728009259</v>
      </c>
      <c r="G606" t="s">
        <v>261</v>
      </c>
      <c r="H606" t="s">
        <v>72</v>
      </c>
      <c r="I606" t="s">
        <v>3203</v>
      </c>
      <c r="J606" t="s">
        <v>1833</v>
      </c>
      <c r="K606" t="s">
        <v>1834</v>
      </c>
      <c r="M606" t="s">
        <v>76</v>
      </c>
      <c r="O606" t="s">
        <v>77</v>
      </c>
      <c r="P606" t="s">
        <v>78</v>
      </c>
      <c r="Q606" t="s">
        <v>3204</v>
      </c>
      <c r="R606" t="s">
        <v>51</v>
      </c>
      <c r="S606" t="s">
        <v>52</v>
      </c>
      <c r="T606" t="s">
        <v>240</v>
      </c>
      <c r="U606" s="1">
        <v>46078.946851851855</v>
      </c>
      <c r="V606" t="s">
        <v>54</v>
      </c>
      <c r="W606" t="s">
        <v>55</v>
      </c>
      <c r="X606" t="s">
        <v>134</v>
      </c>
      <c r="Y606" t="s">
        <v>1835</v>
      </c>
      <c r="Z606" t="s">
        <v>58</v>
      </c>
      <c r="AA606" t="s">
        <v>54</v>
      </c>
      <c r="AB606" t="s">
        <v>1836</v>
      </c>
      <c r="AC606" t="s">
        <v>85</v>
      </c>
      <c r="AD606" t="s">
        <v>52</v>
      </c>
      <c r="AE606" t="s">
        <v>243</v>
      </c>
      <c r="AF606" t="s">
        <v>1470</v>
      </c>
      <c r="AG606" t="s">
        <v>58</v>
      </c>
      <c r="AH606">
        <v>7614</v>
      </c>
      <c r="AK606">
        <v>0</v>
      </c>
      <c r="AL606" t="s">
        <v>61</v>
      </c>
      <c r="AM606" t="s">
        <v>3205</v>
      </c>
      <c r="AN606" t="s">
        <v>3206</v>
      </c>
    </row>
    <row r="607" spans="1:40" x14ac:dyDescent="0.35">
      <c r="A607" t="s">
        <v>37</v>
      </c>
      <c r="B607" t="s">
        <v>3207</v>
      </c>
      <c r="C607" t="s">
        <v>102</v>
      </c>
      <c r="D607" t="s">
        <v>1698</v>
      </c>
      <c r="E607" t="s">
        <v>584</v>
      </c>
      <c r="F607" s="1">
        <v>46077.600902777776</v>
      </c>
      <c r="G607" t="s">
        <v>105</v>
      </c>
      <c r="H607" t="s">
        <v>106</v>
      </c>
      <c r="I607" t="s">
        <v>1375</v>
      </c>
      <c r="J607" t="s">
        <v>108</v>
      </c>
      <c r="K607" t="s">
        <v>571</v>
      </c>
      <c r="M607" t="s">
        <v>76</v>
      </c>
      <c r="O607" t="s">
        <v>77</v>
      </c>
      <c r="P607" t="s">
        <v>78</v>
      </c>
      <c r="Q607" t="s">
        <v>50</v>
      </c>
      <c r="R607" t="s">
        <v>111</v>
      </c>
      <c r="S607" t="s">
        <v>51</v>
      </c>
      <c r="T607" t="s">
        <v>112</v>
      </c>
      <c r="U607" s="1">
        <v>46077.717499999999</v>
      </c>
      <c r="V607" t="s">
        <v>54</v>
      </c>
      <c r="W607" t="s">
        <v>55</v>
      </c>
      <c r="X607" t="s">
        <v>134</v>
      </c>
      <c r="Y607" t="s">
        <v>1923</v>
      </c>
      <c r="Z607" t="s">
        <v>58</v>
      </c>
      <c r="AA607" t="s">
        <v>54</v>
      </c>
      <c r="AB607" t="s">
        <v>1701</v>
      </c>
      <c r="AC607" t="s">
        <v>85</v>
      </c>
      <c r="AD607" t="s">
        <v>116</v>
      </c>
      <c r="AE607" t="s">
        <v>574</v>
      </c>
      <c r="AF607" t="s">
        <v>1706</v>
      </c>
      <c r="AG607" t="s">
        <v>58</v>
      </c>
      <c r="AK607">
        <v>1</v>
      </c>
      <c r="AL607" t="s">
        <v>61</v>
      </c>
      <c r="AM607" t="s">
        <v>1701</v>
      </c>
      <c r="AN607" t="s">
        <v>1702</v>
      </c>
    </row>
    <row r="608" spans="1:40" x14ac:dyDescent="0.35">
      <c r="A608" t="s">
        <v>37</v>
      </c>
      <c r="B608" t="s">
        <v>3208</v>
      </c>
      <c r="C608" t="s">
        <v>102</v>
      </c>
      <c r="D608" t="s">
        <v>1698</v>
      </c>
      <c r="E608" t="s">
        <v>584</v>
      </c>
      <c r="F608" s="1">
        <v>46077.597384259258</v>
      </c>
      <c r="G608" t="s">
        <v>105</v>
      </c>
      <c r="H608" t="s">
        <v>106</v>
      </c>
      <c r="I608" t="s">
        <v>2480</v>
      </c>
      <c r="J608" t="s">
        <v>108</v>
      </c>
      <c r="K608" t="s">
        <v>571</v>
      </c>
      <c r="M608" t="s">
        <v>150</v>
      </c>
      <c r="O608" t="s">
        <v>77</v>
      </c>
      <c r="P608" t="s">
        <v>78</v>
      </c>
      <c r="Q608" t="s">
        <v>50</v>
      </c>
      <c r="R608" t="s">
        <v>111</v>
      </c>
      <c r="S608" t="s">
        <v>51</v>
      </c>
      <c r="T608" t="s">
        <v>112</v>
      </c>
      <c r="U608" s="1">
        <v>46077.716481481482</v>
      </c>
      <c r="V608" t="s">
        <v>54</v>
      </c>
      <c r="W608" t="s">
        <v>55</v>
      </c>
      <c r="X608" t="s">
        <v>134</v>
      </c>
      <c r="Y608" t="s">
        <v>3209</v>
      </c>
      <c r="Z608" t="s">
        <v>58</v>
      </c>
      <c r="AA608" t="s">
        <v>54</v>
      </c>
      <c r="AB608" t="s">
        <v>1701</v>
      </c>
      <c r="AC608" t="s">
        <v>85</v>
      </c>
      <c r="AD608" t="s">
        <v>116</v>
      </c>
      <c r="AE608" t="s">
        <v>574</v>
      </c>
      <c r="AF608" t="s">
        <v>575</v>
      </c>
      <c r="AG608" t="s">
        <v>58</v>
      </c>
      <c r="AK608">
        <v>1</v>
      </c>
      <c r="AL608" t="s">
        <v>61</v>
      </c>
      <c r="AM608" t="s">
        <v>1701</v>
      </c>
      <c r="AN608" t="s">
        <v>1702</v>
      </c>
    </row>
    <row r="609" spans="1:40" x14ac:dyDescent="0.35">
      <c r="A609" t="s">
        <v>37</v>
      </c>
      <c r="B609" t="s">
        <v>3210</v>
      </c>
      <c r="C609" t="s">
        <v>39</v>
      </c>
      <c r="D609" t="s">
        <v>3211</v>
      </c>
      <c r="E609" t="s">
        <v>3212</v>
      </c>
      <c r="F609" s="1">
        <v>46077.589548611111</v>
      </c>
      <c r="G609" t="s">
        <v>355</v>
      </c>
      <c r="H609" t="s">
        <v>356</v>
      </c>
      <c r="I609" t="s">
        <v>3213</v>
      </c>
      <c r="J609" t="s">
        <v>358</v>
      </c>
      <c r="K609" t="s">
        <v>359</v>
      </c>
      <c r="M609" t="s">
        <v>131</v>
      </c>
      <c r="O609" t="s">
        <v>77</v>
      </c>
      <c r="P609" t="s">
        <v>78</v>
      </c>
      <c r="Q609" t="s">
        <v>50</v>
      </c>
      <c r="R609" t="s">
        <v>51</v>
      </c>
      <c r="S609" t="s">
        <v>52</v>
      </c>
      <c r="T609" t="s">
        <v>53</v>
      </c>
      <c r="U609" s="1">
        <v>46078.427129629628</v>
      </c>
      <c r="V609" t="s">
        <v>54</v>
      </c>
      <c r="W609" t="s">
        <v>55</v>
      </c>
      <c r="X609" t="s">
        <v>113</v>
      </c>
      <c r="Y609" t="s">
        <v>3214</v>
      </c>
      <c r="Z609" t="s">
        <v>58</v>
      </c>
      <c r="AA609" t="s">
        <v>54</v>
      </c>
      <c r="AB609" t="s">
        <v>361</v>
      </c>
      <c r="AC609" t="s">
        <v>85</v>
      </c>
      <c r="AD609" t="s">
        <v>52</v>
      </c>
      <c r="AE609" t="s">
        <v>999</v>
      </c>
      <c r="AF609" t="s">
        <v>1770</v>
      </c>
      <c r="AG609" t="s">
        <v>58</v>
      </c>
      <c r="AH609" t="s">
        <v>3215</v>
      </c>
      <c r="AK609">
        <v>0</v>
      </c>
      <c r="AL609" t="s">
        <v>61</v>
      </c>
      <c r="AM609" t="s">
        <v>3216</v>
      </c>
      <c r="AN609" t="s">
        <v>3217</v>
      </c>
    </row>
    <row r="610" spans="1:40" x14ac:dyDescent="0.35">
      <c r="A610" t="s">
        <v>37</v>
      </c>
      <c r="B610" t="s">
        <v>3218</v>
      </c>
      <c r="C610" t="s">
        <v>39</v>
      </c>
      <c r="D610" t="s">
        <v>422</v>
      </c>
      <c r="E610" t="s">
        <v>423</v>
      </c>
      <c r="F610" s="1">
        <v>46077.587511574071</v>
      </c>
      <c r="G610" t="s">
        <v>355</v>
      </c>
      <c r="H610" t="s">
        <v>356</v>
      </c>
      <c r="I610" t="s">
        <v>3219</v>
      </c>
      <c r="J610" t="s">
        <v>358</v>
      </c>
      <c r="K610" t="s">
        <v>359</v>
      </c>
      <c r="M610" t="s">
        <v>131</v>
      </c>
      <c r="O610" t="s">
        <v>77</v>
      </c>
      <c r="P610" t="s">
        <v>78</v>
      </c>
      <c r="Q610" t="s">
        <v>50</v>
      </c>
      <c r="R610" t="s">
        <v>51</v>
      </c>
      <c r="S610" t="s">
        <v>52</v>
      </c>
      <c r="T610" t="s">
        <v>53</v>
      </c>
      <c r="U610" s="1">
        <v>46078.426874999997</v>
      </c>
      <c r="V610" t="s">
        <v>54</v>
      </c>
      <c r="W610" t="s">
        <v>55</v>
      </c>
      <c r="X610" t="s">
        <v>113</v>
      </c>
      <c r="Y610" t="s">
        <v>3220</v>
      </c>
      <c r="Z610" t="s">
        <v>58</v>
      </c>
      <c r="AA610" t="s">
        <v>54</v>
      </c>
      <c r="AB610" t="s">
        <v>361</v>
      </c>
      <c r="AC610" t="s">
        <v>85</v>
      </c>
      <c r="AD610" t="s">
        <v>52</v>
      </c>
      <c r="AE610" t="s">
        <v>999</v>
      </c>
      <c r="AF610" t="s">
        <v>1770</v>
      </c>
      <c r="AG610" t="s">
        <v>58</v>
      </c>
      <c r="AH610" t="s">
        <v>426</v>
      </c>
      <c r="AK610">
        <v>0</v>
      </c>
      <c r="AL610" t="s">
        <v>61</v>
      </c>
      <c r="AM610" t="s">
        <v>427</v>
      </c>
      <c r="AN610" t="s">
        <v>428</v>
      </c>
    </row>
    <row r="611" spans="1:40" x14ac:dyDescent="0.35">
      <c r="A611" t="s">
        <v>37</v>
      </c>
      <c r="B611" t="s">
        <v>3221</v>
      </c>
      <c r="C611" t="s">
        <v>102</v>
      </c>
      <c r="D611" t="s">
        <v>1698</v>
      </c>
      <c r="E611" t="s">
        <v>584</v>
      </c>
      <c r="F611" s="1">
        <v>46077.585462962961</v>
      </c>
      <c r="G611" t="s">
        <v>105</v>
      </c>
      <c r="H611" t="s">
        <v>106</v>
      </c>
      <c r="I611" t="s">
        <v>3222</v>
      </c>
      <c r="J611" t="s">
        <v>108</v>
      </c>
      <c r="K611" t="s">
        <v>109</v>
      </c>
      <c r="M611" t="s">
        <v>76</v>
      </c>
      <c r="O611" t="s">
        <v>77</v>
      </c>
      <c r="P611" t="s">
        <v>78</v>
      </c>
      <c r="Q611" t="s">
        <v>50</v>
      </c>
      <c r="R611" t="s">
        <v>111</v>
      </c>
      <c r="S611" t="s">
        <v>51</v>
      </c>
      <c r="T611" t="s">
        <v>112</v>
      </c>
      <c r="U611" s="1">
        <v>46077.726504629631</v>
      </c>
      <c r="V611" t="s">
        <v>54</v>
      </c>
      <c r="W611" t="s">
        <v>55</v>
      </c>
      <c r="X611" t="s">
        <v>134</v>
      </c>
      <c r="Y611" t="s">
        <v>3223</v>
      </c>
      <c r="Z611" t="s">
        <v>58</v>
      </c>
      <c r="AA611" t="s">
        <v>54</v>
      </c>
      <c r="AB611" t="s">
        <v>1701</v>
      </c>
      <c r="AC611" t="s">
        <v>85</v>
      </c>
      <c r="AD611" t="s">
        <v>116</v>
      </c>
      <c r="AE611" t="s">
        <v>117</v>
      </c>
      <c r="AF611" t="s">
        <v>1896</v>
      </c>
      <c r="AG611" t="s">
        <v>58</v>
      </c>
      <c r="AK611">
        <v>1</v>
      </c>
      <c r="AL611" t="s">
        <v>61</v>
      </c>
      <c r="AM611" t="s">
        <v>1701</v>
      </c>
      <c r="AN611" t="s">
        <v>1702</v>
      </c>
    </row>
    <row r="612" spans="1:40" x14ac:dyDescent="0.35">
      <c r="A612" t="s">
        <v>37</v>
      </c>
      <c r="B612" t="s">
        <v>3224</v>
      </c>
      <c r="C612" t="s">
        <v>39</v>
      </c>
      <c r="D612" t="s">
        <v>1792</v>
      </c>
      <c r="E612" t="s">
        <v>1793</v>
      </c>
      <c r="F612" s="1">
        <v>46077.58394675926</v>
      </c>
      <c r="G612" t="s">
        <v>355</v>
      </c>
      <c r="H612" t="s">
        <v>356</v>
      </c>
      <c r="I612" t="s">
        <v>3225</v>
      </c>
      <c r="J612" t="s">
        <v>358</v>
      </c>
      <c r="K612" t="s">
        <v>359</v>
      </c>
      <c r="M612" t="s">
        <v>131</v>
      </c>
      <c r="O612" t="s">
        <v>77</v>
      </c>
      <c r="P612" t="s">
        <v>78</v>
      </c>
      <c r="Q612" t="s">
        <v>50</v>
      </c>
      <c r="R612" t="s">
        <v>51</v>
      </c>
      <c r="S612" t="s">
        <v>52</v>
      </c>
      <c r="T612" t="s">
        <v>53</v>
      </c>
      <c r="U612" s="1">
        <v>46077.599629629629</v>
      </c>
      <c r="V612" t="s">
        <v>54</v>
      </c>
      <c r="W612" t="s">
        <v>55</v>
      </c>
      <c r="X612" t="s">
        <v>113</v>
      </c>
      <c r="Y612" t="s">
        <v>3226</v>
      </c>
      <c r="Z612" t="s">
        <v>58</v>
      </c>
      <c r="AA612" t="s">
        <v>54</v>
      </c>
      <c r="AB612" t="s">
        <v>361</v>
      </c>
      <c r="AC612" t="s">
        <v>85</v>
      </c>
      <c r="AD612" t="s">
        <v>52</v>
      </c>
      <c r="AE612" t="s">
        <v>999</v>
      </c>
      <c r="AF612" t="s">
        <v>1770</v>
      </c>
      <c r="AG612" t="s">
        <v>58</v>
      </c>
      <c r="AH612" t="s">
        <v>1796</v>
      </c>
      <c r="AK612">
        <v>0</v>
      </c>
      <c r="AL612" t="s">
        <v>61</v>
      </c>
      <c r="AM612" t="s">
        <v>1797</v>
      </c>
      <c r="AN612" t="s">
        <v>1798</v>
      </c>
    </row>
    <row r="613" spans="1:40" x14ac:dyDescent="0.35">
      <c r="A613" t="s">
        <v>37</v>
      </c>
      <c r="B613" t="s">
        <v>3227</v>
      </c>
      <c r="C613" t="s">
        <v>39</v>
      </c>
      <c r="D613" t="s">
        <v>353</v>
      </c>
      <c r="E613" t="s">
        <v>354</v>
      </c>
      <c r="F613" s="1">
        <v>46077.582245370373</v>
      </c>
      <c r="G613" t="s">
        <v>355</v>
      </c>
      <c r="H613" t="s">
        <v>356</v>
      </c>
      <c r="I613" t="s">
        <v>3228</v>
      </c>
      <c r="J613" t="s">
        <v>358</v>
      </c>
      <c r="K613" t="s">
        <v>359</v>
      </c>
      <c r="M613" t="s">
        <v>131</v>
      </c>
      <c r="O613" t="s">
        <v>77</v>
      </c>
      <c r="P613" t="s">
        <v>78</v>
      </c>
      <c r="Q613" t="s">
        <v>50</v>
      </c>
      <c r="R613" t="s">
        <v>51</v>
      </c>
      <c r="S613" t="s">
        <v>52</v>
      </c>
      <c r="T613" t="s">
        <v>53</v>
      </c>
      <c r="U613" s="1">
        <v>46077.599340277775</v>
      </c>
      <c r="V613" t="s">
        <v>54</v>
      </c>
      <c r="W613" t="s">
        <v>55</v>
      </c>
      <c r="X613" t="s">
        <v>113</v>
      </c>
      <c r="Y613" t="s">
        <v>3229</v>
      </c>
      <c r="Z613" t="s">
        <v>58</v>
      </c>
      <c r="AA613" t="s">
        <v>54</v>
      </c>
      <c r="AB613" t="s">
        <v>361</v>
      </c>
      <c r="AC613" t="s">
        <v>85</v>
      </c>
      <c r="AD613" t="s">
        <v>52</v>
      </c>
      <c r="AE613" t="s">
        <v>999</v>
      </c>
      <c r="AF613" t="s">
        <v>1770</v>
      </c>
      <c r="AG613" t="s">
        <v>58</v>
      </c>
      <c r="AH613" t="s">
        <v>364</v>
      </c>
      <c r="AK613">
        <v>0</v>
      </c>
      <c r="AL613" t="s">
        <v>61</v>
      </c>
      <c r="AM613" t="s">
        <v>365</v>
      </c>
      <c r="AN613" t="s">
        <v>366</v>
      </c>
    </row>
    <row r="614" spans="1:40" x14ac:dyDescent="0.35">
      <c r="A614" t="s">
        <v>37</v>
      </c>
      <c r="B614" t="s">
        <v>3230</v>
      </c>
      <c r="C614" t="s">
        <v>39</v>
      </c>
      <c r="D614" t="s">
        <v>1792</v>
      </c>
      <c r="E614" t="s">
        <v>1793</v>
      </c>
      <c r="F614" s="1">
        <v>46077.580694444441</v>
      </c>
      <c r="G614" t="s">
        <v>355</v>
      </c>
      <c r="H614" t="s">
        <v>356</v>
      </c>
      <c r="I614" t="s">
        <v>3231</v>
      </c>
      <c r="J614" t="s">
        <v>358</v>
      </c>
      <c r="K614" t="s">
        <v>359</v>
      </c>
      <c r="M614" t="s">
        <v>131</v>
      </c>
      <c r="O614" t="s">
        <v>77</v>
      </c>
      <c r="P614" t="s">
        <v>78</v>
      </c>
      <c r="Q614" t="s">
        <v>50</v>
      </c>
      <c r="R614" t="s">
        <v>51</v>
      </c>
      <c r="S614" t="s">
        <v>52</v>
      </c>
      <c r="T614" t="s">
        <v>53</v>
      </c>
      <c r="U614" s="1">
        <v>46077.599166666667</v>
      </c>
      <c r="V614" t="s">
        <v>54</v>
      </c>
      <c r="W614" t="s">
        <v>55</v>
      </c>
      <c r="X614" t="s">
        <v>113</v>
      </c>
      <c r="Y614" t="s">
        <v>3232</v>
      </c>
      <c r="Z614" t="s">
        <v>58</v>
      </c>
      <c r="AA614" t="s">
        <v>54</v>
      </c>
      <c r="AB614" t="s">
        <v>361</v>
      </c>
      <c r="AC614" t="s">
        <v>85</v>
      </c>
      <c r="AD614" t="s">
        <v>52</v>
      </c>
      <c r="AE614" t="s">
        <v>999</v>
      </c>
      <c r="AF614" t="s">
        <v>1770</v>
      </c>
      <c r="AG614" t="s">
        <v>58</v>
      </c>
      <c r="AH614" t="s">
        <v>1796</v>
      </c>
      <c r="AK614">
        <v>0</v>
      </c>
      <c r="AL614" t="s">
        <v>61</v>
      </c>
      <c r="AM614" t="s">
        <v>1797</v>
      </c>
      <c r="AN614" t="s">
        <v>1798</v>
      </c>
    </row>
    <row r="615" spans="1:40" x14ac:dyDescent="0.35">
      <c r="A615" t="s">
        <v>37</v>
      </c>
      <c r="B615" t="s">
        <v>3233</v>
      </c>
      <c r="C615" t="s">
        <v>39</v>
      </c>
      <c r="D615" t="s">
        <v>1751</v>
      </c>
      <c r="E615" t="s">
        <v>1316</v>
      </c>
      <c r="F615" s="1">
        <v>46077.578287037039</v>
      </c>
      <c r="G615" t="s">
        <v>1752</v>
      </c>
      <c r="H615" t="s">
        <v>447</v>
      </c>
      <c r="I615" t="s">
        <v>3234</v>
      </c>
      <c r="J615" t="s">
        <v>435</v>
      </c>
      <c r="K615" t="s">
        <v>436</v>
      </c>
      <c r="M615" t="s">
        <v>76</v>
      </c>
      <c r="O615" t="s">
        <v>77</v>
      </c>
      <c r="P615" t="s">
        <v>78</v>
      </c>
      <c r="Q615" t="s">
        <v>50</v>
      </c>
      <c r="R615" t="s">
        <v>51</v>
      </c>
      <c r="S615" t="s">
        <v>52</v>
      </c>
      <c r="T615" t="s">
        <v>773</v>
      </c>
      <c r="U615" s="1">
        <v>46078.477407407408</v>
      </c>
      <c r="V615" t="s">
        <v>54</v>
      </c>
      <c r="W615" t="s">
        <v>55</v>
      </c>
      <c r="X615" t="s">
        <v>134</v>
      </c>
      <c r="Y615" t="s">
        <v>3235</v>
      </c>
      <c r="Z615" t="s">
        <v>58</v>
      </c>
      <c r="AA615" t="s">
        <v>54</v>
      </c>
      <c r="AB615" t="s">
        <v>1757</v>
      </c>
      <c r="AC615" t="s">
        <v>85</v>
      </c>
      <c r="AD615" t="s">
        <v>52</v>
      </c>
      <c r="AE615" t="s">
        <v>438</v>
      </c>
      <c r="AF615" t="s">
        <v>775</v>
      </c>
      <c r="AG615" t="s">
        <v>58</v>
      </c>
      <c r="AK615">
        <v>1</v>
      </c>
      <c r="AL615" t="s">
        <v>61</v>
      </c>
      <c r="AM615" t="s">
        <v>1757</v>
      </c>
      <c r="AN615" t="s">
        <v>1758</v>
      </c>
    </row>
    <row r="616" spans="1:40" x14ac:dyDescent="0.35">
      <c r="A616" t="s">
        <v>37</v>
      </c>
      <c r="B616" t="s">
        <v>3236</v>
      </c>
      <c r="C616" t="s">
        <v>39</v>
      </c>
      <c r="D616" t="s">
        <v>1751</v>
      </c>
      <c r="E616" t="s">
        <v>1316</v>
      </c>
      <c r="F616" s="1">
        <v>46077.578287037039</v>
      </c>
      <c r="G616" t="s">
        <v>1752</v>
      </c>
      <c r="H616" t="s">
        <v>447</v>
      </c>
      <c r="I616" t="s">
        <v>3237</v>
      </c>
      <c r="J616" t="s">
        <v>1754</v>
      </c>
      <c r="K616" t="s">
        <v>1755</v>
      </c>
      <c r="M616" t="s">
        <v>131</v>
      </c>
      <c r="O616" t="s">
        <v>77</v>
      </c>
      <c r="P616" t="s">
        <v>78</v>
      </c>
      <c r="Q616" t="s">
        <v>50</v>
      </c>
      <c r="R616" t="s">
        <v>51</v>
      </c>
      <c r="S616" t="s">
        <v>52</v>
      </c>
      <c r="T616" t="s">
        <v>773</v>
      </c>
      <c r="U616" s="1">
        <v>46078.537731481483</v>
      </c>
      <c r="V616" t="s">
        <v>54</v>
      </c>
      <c r="W616" t="s">
        <v>55</v>
      </c>
      <c r="X616" t="s">
        <v>134</v>
      </c>
      <c r="Y616" t="s">
        <v>3238</v>
      </c>
      <c r="Z616" t="s">
        <v>58</v>
      </c>
      <c r="AA616" t="s">
        <v>54</v>
      </c>
      <c r="AB616" t="s">
        <v>1757</v>
      </c>
      <c r="AC616" t="s">
        <v>85</v>
      </c>
      <c r="AD616" t="s">
        <v>52</v>
      </c>
      <c r="AE616" t="s">
        <v>438</v>
      </c>
      <c r="AF616" t="s">
        <v>2204</v>
      </c>
      <c r="AG616" t="s">
        <v>58</v>
      </c>
      <c r="AK616">
        <v>1</v>
      </c>
      <c r="AL616" t="s">
        <v>61</v>
      </c>
      <c r="AM616" t="s">
        <v>1757</v>
      </c>
      <c r="AN616" t="s">
        <v>1758</v>
      </c>
    </row>
    <row r="617" spans="1:40" x14ac:dyDescent="0.35">
      <c r="A617" t="s">
        <v>37</v>
      </c>
      <c r="B617" t="s">
        <v>3239</v>
      </c>
      <c r="C617" t="s">
        <v>39</v>
      </c>
      <c r="D617" t="s">
        <v>3240</v>
      </c>
      <c r="E617" t="s">
        <v>3241</v>
      </c>
      <c r="F617" s="1">
        <v>46077.576099537036</v>
      </c>
      <c r="G617" t="s">
        <v>355</v>
      </c>
      <c r="H617" t="s">
        <v>356</v>
      </c>
      <c r="I617" t="s">
        <v>3242</v>
      </c>
      <c r="J617" t="s">
        <v>358</v>
      </c>
      <c r="K617" t="s">
        <v>359</v>
      </c>
      <c r="M617" t="s">
        <v>131</v>
      </c>
      <c r="O617" t="s">
        <v>77</v>
      </c>
      <c r="P617" t="s">
        <v>78</v>
      </c>
      <c r="Q617" t="s">
        <v>50</v>
      </c>
      <c r="R617" t="s">
        <v>51</v>
      </c>
      <c r="S617" t="s">
        <v>52</v>
      </c>
      <c r="T617" t="s">
        <v>53</v>
      </c>
      <c r="U617" s="1">
        <v>46077.599016203705</v>
      </c>
      <c r="V617" t="s">
        <v>54</v>
      </c>
      <c r="W617" t="s">
        <v>55</v>
      </c>
      <c r="X617" t="s">
        <v>113</v>
      </c>
      <c r="Y617" t="s">
        <v>3243</v>
      </c>
      <c r="Z617" t="s">
        <v>58</v>
      </c>
      <c r="AA617" t="s">
        <v>54</v>
      </c>
      <c r="AB617" t="s">
        <v>361</v>
      </c>
      <c r="AC617" t="s">
        <v>85</v>
      </c>
      <c r="AD617" t="s">
        <v>52</v>
      </c>
      <c r="AE617" t="s">
        <v>999</v>
      </c>
      <c r="AF617" t="s">
        <v>1770</v>
      </c>
      <c r="AG617" t="s">
        <v>58</v>
      </c>
      <c r="AH617" t="s">
        <v>3244</v>
      </c>
      <c r="AK617">
        <v>0</v>
      </c>
      <c r="AL617" t="s">
        <v>61</v>
      </c>
      <c r="AM617" t="s">
        <v>3245</v>
      </c>
      <c r="AN617" t="s">
        <v>3246</v>
      </c>
    </row>
    <row r="618" spans="1:40" x14ac:dyDescent="0.35">
      <c r="A618" t="s">
        <v>37</v>
      </c>
      <c r="B618" t="s">
        <v>3247</v>
      </c>
      <c r="C618" t="s">
        <v>39</v>
      </c>
      <c r="D618" t="s">
        <v>3248</v>
      </c>
      <c r="E618" t="s">
        <v>3249</v>
      </c>
      <c r="F618" s="1">
        <v>46077.573958333334</v>
      </c>
      <c r="G618" t="s">
        <v>688</v>
      </c>
      <c r="H618" t="s">
        <v>106</v>
      </c>
      <c r="I618" t="s">
        <v>3250</v>
      </c>
      <c r="J618" t="s">
        <v>1833</v>
      </c>
      <c r="K618" t="s">
        <v>1834</v>
      </c>
      <c r="M618" t="s">
        <v>76</v>
      </c>
      <c r="O618" t="s">
        <v>77</v>
      </c>
      <c r="P618" t="s">
        <v>78</v>
      </c>
      <c r="Q618" t="s">
        <v>50</v>
      </c>
      <c r="R618" t="s">
        <v>51</v>
      </c>
      <c r="S618" t="s">
        <v>52</v>
      </c>
      <c r="T618" t="s">
        <v>240</v>
      </c>
      <c r="U618" s="1">
        <v>46078.930289351854</v>
      </c>
      <c r="V618" t="s">
        <v>54</v>
      </c>
      <c r="W618" t="s">
        <v>55</v>
      </c>
      <c r="X618" t="s">
        <v>134</v>
      </c>
      <c r="Y618" t="s">
        <v>1835</v>
      </c>
      <c r="Z618" t="s">
        <v>58</v>
      </c>
      <c r="AA618" t="s">
        <v>54</v>
      </c>
      <c r="AB618" t="s">
        <v>1836</v>
      </c>
      <c r="AC618" t="s">
        <v>85</v>
      </c>
      <c r="AD618" t="s">
        <v>52</v>
      </c>
      <c r="AE618" t="s">
        <v>243</v>
      </c>
      <c r="AF618" t="s">
        <v>1470</v>
      </c>
      <c r="AG618" t="s">
        <v>58</v>
      </c>
      <c r="AH618">
        <v>768</v>
      </c>
      <c r="AK618">
        <v>0</v>
      </c>
      <c r="AL618" t="s">
        <v>61</v>
      </c>
      <c r="AM618" t="s">
        <v>3251</v>
      </c>
      <c r="AN618" t="s">
        <v>3252</v>
      </c>
    </row>
    <row r="619" spans="1:40" x14ac:dyDescent="0.35">
      <c r="A619" t="s">
        <v>37</v>
      </c>
      <c r="B619" t="s">
        <v>3253</v>
      </c>
      <c r="C619" t="s">
        <v>39</v>
      </c>
      <c r="D619" t="s">
        <v>3254</v>
      </c>
      <c r="E619" t="s">
        <v>3255</v>
      </c>
      <c r="F619" s="1">
        <v>46077.559988425928</v>
      </c>
      <c r="G619" t="s">
        <v>327</v>
      </c>
      <c r="H619" t="s">
        <v>72</v>
      </c>
      <c r="I619" t="s">
        <v>3256</v>
      </c>
      <c r="J619" t="s">
        <v>3257</v>
      </c>
      <c r="K619" t="s">
        <v>1834</v>
      </c>
      <c r="M619" t="s">
        <v>76</v>
      </c>
      <c r="O619" t="s">
        <v>77</v>
      </c>
      <c r="P619" t="s">
        <v>78</v>
      </c>
      <c r="Q619" t="s">
        <v>50</v>
      </c>
      <c r="R619" t="s">
        <v>51</v>
      </c>
      <c r="S619" t="s">
        <v>52</v>
      </c>
      <c r="T619" t="s">
        <v>240</v>
      </c>
      <c r="U619" s="1">
        <v>46077.579861111109</v>
      </c>
      <c r="V619" t="s">
        <v>54</v>
      </c>
      <c r="W619" t="s">
        <v>55</v>
      </c>
      <c r="X619" t="s">
        <v>134</v>
      </c>
      <c r="Y619" t="s">
        <v>3258</v>
      </c>
      <c r="Z619" t="s">
        <v>58</v>
      </c>
      <c r="AA619" t="s">
        <v>54</v>
      </c>
      <c r="AB619" t="s">
        <v>3259</v>
      </c>
      <c r="AC619" t="s">
        <v>85</v>
      </c>
      <c r="AD619" t="s">
        <v>52</v>
      </c>
      <c r="AE619" t="s">
        <v>243</v>
      </c>
      <c r="AF619" t="s">
        <v>1470</v>
      </c>
      <c r="AG619" t="s">
        <v>58</v>
      </c>
      <c r="AH619" t="s">
        <v>3260</v>
      </c>
      <c r="AK619">
        <v>0</v>
      </c>
      <c r="AL619" t="s">
        <v>61</v>
      </c>
      <c r="AM619" t="s">
        <v>3261</v>
      </c>
      <c r="AN619" t="s">
        <v>3262</v>
      </c>
    </row>
    <row r="620" spans="1:40" x14ac:dyDescent="0.35">
      <c r="A620" t="s">
        <v>37</v>
      </c>
      <c r="B620" t="s">
        <v>3263</v>
      </c>
      <c r="C620" t="s">
        <v>102</v>
      </c>
      <c r="D620" t="s">
        <v>1698</v>
      </c>
      <c r="E620" t="s">
        <v>584</v>
      </c>
      <c r="F620" s="1">
        <v>46077.559178240743</v>
      </c>
      <c r="G620" t="s">
        <v>105</v>
      </c>
      <c r="H620" t="s">
        <v>106</v>
      </c>
      <c r="I620" t="s">
        <v>1841</v>
      </c>
      <c r="J620" t="s">
        <v>108</v>
      </c>
      <c r="K620" t="s">
        <v>109</v>
      </c>
      <c r="M620" t="s">
        <v>76</v>
      </c>
      <c r="O620" t="s">
        <v>77</v>
      </c>
      <c r="P620" t="s">
        <v>78</v>
      </c>
      <c r="Q620" t="s">
        <v>50</v>
      </c>
      <c r="R620" t="s">
        <v>111</v>
      </c>
      <c r="S620" t="s">
        <v>51</v>
      </c>
      <c r="T620" t="s">
        <v>112</v>
      </c>
      <c r="U620" s="1">
        <v>46077.724548611113</v>
      </c>
      <c r="V620" t="s">
        <v>54</v>
      </c>
      <c r="W620" t="s">
        <v>55</v>
      </c>
      <c r="X620" t="s">
        <v>134</v>
      </c>
      <c r="Y620" t="s">
        <v>3264</v>
      </c>
      <c r="Z620" t="s">
        <v>58</v>
      </c>
      <c r="AA620" t="s">
        <v>54</v>
      </c>
      <c r="AB620" t="s">
        <v>1701</v>
      </c>
      <c r="AC620" t="s">
        <v>85</v>
      </c>
      <c r="AD620" t="s">
        <v>116</v>
      </c>
      <c r="AE620" t="s">
        <v>117</v>
      </c>
      <c r="AF620" t="s">
        <v>1706</v>
      </c>
      <c r="AG620" t="s">
        <v>58</v>
      </c>
      <c r="AK620">
        <v>1</v>
      </c>
      <c r="AL620" t="s">
        <v>61</v>
      </c>
      <c r="AM620" t="s">
        <v>1701</v>
      </c>
      <c r="AN620" t="s">
        <v>1702</v>
      </c>
    </row>
    <row r="621" spans="1:40" x14ac:dyDescent="0.35">
      <c r="A621" t="s">
        <v>37</v>
      </c>
      <c r="B621" t="s">
        <v>3265</v>
      </c>
      <c r="C621" t="s">
        <v>102</v>
      </c>
      <c r="D621" t="s">
        <v>1698</v>
      </c>
      <c r="E621" t="s">
        <v>584</v>
      </c>
      <c r="F621" s="1">
        <v>46077.527037037034</v>
      </c>
      <c r="G621" t="s">
        <v>105</v>
      </c>
      <c r="H621" t="s">
        <v>106</v>
      </c>
      <c r="I621" t="s">
        <v>3266</v>
      </c>
      <c r="J621" t="s">
        <v>108</v>
      </c>
      <c r="K621" t="s">
        <v>109</v>
      </c>
      <c r="M621" t="s">
        <v>76</v>
      </c>
      <c r="O621" t="s">
        <v>77</v>
      </c>
      <c r="P621" t="s">
        <v>78</v>
      </c>
      <c r="Q621" t="s">
        <v>50</v>
      </c>
      <c r="R621" t="s">
        <v>111</v>
      </c>
      <c r="S621" t="s">
        <v>51</v>
      </c>
      <c r="T621" t="s">
        <v>112</v>
      </c>
      <c r="U621" s="1">
        <v>46077.722071759257</v>
      </c>
      <c r="V621" t="s">
        <v>54</v>
      </c>
      <c r="W621" t="s">
        <v>1584</v>
      </c>
      <c r="X621" t="s">
        <v>134</v>
      </c>
      <c r="Y621" t="s">
        <v>3267</v>
      </c>
      <c r="Z621" t="s">
        <v>58</v>
      </c>
      <c r="AA621" t="s">
        <v>54</v>
      </c>
      <c r="AB621" t="s">
        <v>1701</v>
      </c>
      <c r="AC621" t="s">
        <v>85</v>
      </c>
      <c r="AD621" t="s">
        <v>116</v>
      </c>
      <c r="AE621" t="s">
        <v>117</v>
      </c>
      <c r="AF621" t="s">
        <v>1706</v>
      </c>
      <c r="AG621" t="s">
        <v>58</v>
      </c>
      <c r="AK621">
        <v>1</v>
      </c>
      <c r="AL621" t="s">
        <v>61</v>
      </c>
      <c r="AM621" t="s">
        <v>1701</v>
      </c>
      <c r="AN621" t="s">
        <v>1702</v>
      </c>
    </row>
    <row r="622" spans="1:40" x14ac:dyDescent="0.35">
      <c r="A622" t="s">
        <v>37</v>
      </c>
      <c r="B622" t="s">
        <v>3268</v>
      </c>
      <c r="C622" t="s">
        <v>39</v>
      </c>
      <c r="D622" t="s">
        <v>1751</v>
      </c>
      <c r="E622" t="s">
        <v>1316</v>
      </c>
      <c r="F622" s="1">
        <v>46077.521435185183</v>
      </c>
      <c r="G622" t="s">
        <v>1752</v>
      </c>
      <c r="H622" t="s">
        <v>447</v>
      </c>
      <c r="I622" t="s">
        <v>3269</v>
      </c>
      <c r="J622" t="s">
        <v>1754</v>
      </c>
      <c r="K622" t="s">
        <v>1755</v>
      </c>
      <c r="M622" t="s">
        <v>131</v>
      </c>
      <c r="O622" t="s">
        <v>77</v>
      </c>
      <c r="P622" t="s">
        <v>78</v>
      </c>
      <c r="Q622" t="s">
        <v>50</v>
      </c>
      <c r="R622" t="s">
        <v>51</v>
      </c>
      <c r="S622" t="s">
        <v>52</v>
      </c>
      <c r="T622" t="s">
        <v>773</v>
      </c>
      <c r="U622" s="1">
        <v>46078.486608796295</v>
      </c>
      <c r="V622" t="s">
        <v>54</v>
      </c>
      <c r="W622" t="s">
        <v>55</v>
      </c>
      <c r="X622" t="s">
        <v>134</v>
      </c>
      <c r="Y622" t="s">
        <v>3270</v>
      </c>
      <c r="Z622" t="s">
        <v>58</v>
      </c>
      <c r="AA622" t="s">
        <v>54</v>
      </c>
      <c r="AB622" t="s">
        <v>1757</v>
      </c>
      <c r="AC622" t="s">
        <v>85</v>
      </c>
      <c r="AD622" t="s">
        <v>52</v>
      </c>
      <c r="AE622" t="s">
        <v>243</v>
      </c>
      <c r="AF622" t="s">
        <v>409</v>
      </c>
      <c r="AG622" t="s">
        <v>58</v>
      </c>
      <c r="AK622">
        <v>1</v>
      </c>
      <c r="AL622" t="s">
        <v>61</v>
      </c>
      <c r="AM622" t="s">
        <v>1757</v>
      </c>
      <c r="AN622" t="s">
        <v>1758</v>
      </c>
    </row>
    <row r="623" spans="1:40" x14ac:dyDescent="0.35">
      <c r="A623" t="s">
        <v>37</v>
      </c>
      <c r="B623" t="s">
        <v>3271</v>
      </c>
      <c r="C623" t="s">
        <v>102</v>
      </c>
      <c r="D623" t="s">
        <v>1698</v>
      </c>
      <c r="E623" t="s">
        <v>584</v>
      </c>
      <c r="F623" s="1">
        <v>46077.519317129627</v>
      </c>
      <c r="G623" t="s">
        <v>105</v>
      </c>
      <c r="H623" t="s">
        <v>106</v>
      </c>
      <c r="I623" t="s">
        <v>3150</v>
      </c>
      <c r="J623" t="s">
        <v>108</v>
      </c>
      <c r="K623" t="s">
        <v>571</v>
      </c>
      <c r="M623" t="s">
        <v>76</v>
      </c>
      <c r="O623" t="s">
        <v>77</v>
      </c>
      <c r="P623" t="s">
        <v>78</v>
      </c>
      <c r="Q623" t="s">
        <v>50</v>
      </c>
      <c r="R623" t="s">
        <v>111</v>
      </c>
      <c r="S623" t="s">
        <v>51</v>
      </c>
      <c r="T623" t="s">
        <v>112</v>
      </c>
      <c r="U623" s="1">
        <v>46077.822905092595</v>
      </c>
      <c r="V623" t="s">
        <v>54</v>
      </c>
      <c r="W623" t="s">
        <v>55</v>
      </c>
      <c r="X623" t="s">
        <v>134</v>
      </c>
      <c r="Y623" t="s">
        <v>3272</v>
      </c>
      <c r="Z623" t="s">
        <v>58</v>
      </c>
      <c r="AA623" t="s">
        <v>54</v>
      </c>
      <c r="AB623" t="s">
        <v>1701</v>
      </c>
      <c r="AC623" t="s">
        <v>85</v>
      </c>
      <c r="AD623" t="s">
        <v>116</v>
      </c>
      <c r="AE623" t="s">
        <v>574</v>
      </c>
      <c r="AF623" t="s">
        <v>2466</v>
      </c>
      <c r="AG623" t="s">
        <v>58</v>
      </c>
      <c r="AK623">
        <v>1</v>
      </c>
      <c r="AL623" t="s">
        <v>61</v>
      </c>
      <c r="AM623" t="s">
        <v>1701</v>
      </c>
      <c r="AN623" t="s">
        <v>1702</v>
      </c>
    </row>
    <row r="624" spans="1:40" x14ac:dyDescent="0.35">
      <c r="A624" t="s">
        <v>37</v>
      </c>
      <c r="B624" t="s">
        <v>3273</v>
      </c>
      <c r="C624" t="s">
        <v>39</v>
      </c>
      <c r="D624" t="s">
        <v>3274</v>
      </c>
      <c r="E624" t="s">
        <v>469</v>
      </c>
      <c r="F624" s="1">
        <v>46077.516493055555</v>
      </c>
      <c r="G624" t="s">
        <v>273</v>
      </c>
      <c r="H624" t="s">
        <v>233</v>
      </c>
      <c r="I624" t="s">
        <v>3275</v>
      </c>
      <c r="J624" t="s">
        <v>1833</v>
      </c>
      <c r="K624" t="s">
        <v>1834</v>
      </c>
      <c r="M624" t="s">
        <v>76</v>
      </c>
      <c r="O624" t="s">
        <v>77</v>
      </c>
      <c r="P624" t="s">
        <v>78</v>
      </c>
      <c r="Q624" t="s">
        <v>50</v>
      </c>
      <c r="R624" t="s">
        <v>51</v>
      </c>
      <c r="S624" t="s">
        <v>52</v>
      </c>
      <c r="T624" t="s">
        <v>240</v>
      </c>
      <c r="U624" s="1">
        <v>46078.957037037035</v>
      </c>
      <c r="V624" t="s">
        <v>54</v>
      </c>
      <c r="W624" t="s">
        <v>55</v>
      </c>
      <c r="X624" t="s">
        <v>134</v>
      </c>
      <c r="Y624" t="s">
        <v>1835</v>
      </c>
      <c r="Z624" t="s">
        <v>58</v>
      </c>
      <c r="AA624" t="s">
        <v>54</v>
      </c>
      <c r="AB624" t="s">
        <v>1836</v>
      </c>
      <c r="AC624" t="s">
        <v>85</v>
      </c>
      <c r="AD624" t="s">
        <v>52</v>
      </c>
      <c r="AE624" t="s">
        <v>243</v>
      </c>
      <c r="AF624" t="s">
        <v>1470</v>
      </c>
      <c r="AG624" t="s">
        <v>58</v>
      </c>
      <c r="AH624">
        <v>12296</v>
      </c>
      <c r="AK624">
        <v>0</v>
      </c>
      <c r="AL624" t="s">
        <v>61</v>
      </c>
      <c r="AM624" t="s">
        <v>3276</v>
      </c>
      <c r="AN624" t="s">
        <v>3277</v>
      </c>
    </row>
    <row r="625" spans="1:40" x14ac:dyDescent="0.35">
      <c r="A625" t="s">
        <v>37</v>
      </c>
      <c r="B625" t="s">
        <v>3278</v>
      </c>
      <c r="C625" t="s">
        <v>102</v>
      </c>
      <c r="D625" t="s">
        <v>1698</v>
      </c>
      <c r="E625" t="s">
        <v>584</v>
      </c>
      <c r="F625" s="1">
        <v>46077.515752314815</v>
      </c>
      <c r="G625" t="s">
        <v>105</v>
      </c>
      <c r="H625" t="s">
        <v>106</v>
      </c>
      <c r="I625" t="s">
        <v>3150</v>
      </c>
      <c r="J625" t="s">
        <v>108</v>
      </c>
      <c r="K625" t="s">
        <v>571</v>
      </c>
      <c r="M625" t="s">
        <v>150</v>
      </c>
      <c r="O625" t="s">
        <v>77</v>
      </c>
      <c r="P625" t="s">
        <v>78</v>
      </c>
      <c r="Q625" t="s">
        <v>50</v>
      </c>
      <c r="R625" t="s">
        <v>111</v>
      </c>
      <c r="S625" t="s">
        <v>51</v>
      </c>
      <c r="T625" t="s">
        <v>112</v>
      </c>
      <c r="U625" s="1">
        <v>46077.711597222224</v>
      </c>
      <c r="V625" t="s">
        <v>54</v>
      </c>
      <c r="W625" t="s">
        <v>55</v>
      </c>
      <c r="X625" t="s">
        <v>134</v>
      </c>
      <c r="Y625" t="s">
        <v>3279</v>
      </c>
      <c r="Z625" t="s">
        <v>58</v>
      </c>
      <c r="AA625" t="s">
        <v>54</v>
      </c>
      <c r="AB625" t="s">
        <v>1701</v>
      </c>
      <c r="AC625" t="s">
        <v>85</v>
      </c>
      <c r="AD625" t="s">
        <v>116</v>
      </c>
      <c r="AE625" t="s">
        <v>574</v>
      </c>
      <c r="AF625" t="s">
        <v>575</v>
      </c>
      <c r="AG625" t="s">
        <v>58</v>
      </c>
      <c r="AK625">
        <v>1</v>
      </c>
      <c r="AL625" t="s">
        <v>61</v>
      </c>
      <c r="AM625" t="s">
        <v>1701</v>
      </c>
      <c r="AN625" t="s">
        <v>1702</v>
      </c>
    </row>
    <row r="626" spans="1:40" x14ac:dyDescent="0.35">
      <c r="A626" t="s">
        <v>37</v>
      </c>
      <c r="B626" t="s">
        <v>3280</v>
      </c>
      <c r="C626" t="s">
        <v>39</v>
      </c>
      <c r="D626" t="s">
        <v>2957</v>
      </c>
      <c r="E626" t="s">
        <v>2958</v>
      </c>
      <c r="F626" s="1">
        <v>46077.514976851853</v>
      </c>
      <c r="G626" t="s">
        <v>327</v>
      </c>
      <c r="H626" t="s">
        <v>72</v>
      </c>
      <c r="I626" t="s">
        <v>3281</v>
      </c>
      <c r="J626" t="s">
        <v>1833</v>
      </c>
      <c r="K626" t="s">
        <v>1834</v>
      </c>
      <c r="M626" t="s">
        <v>76</v>
      </c>
      <c r="O626" t="s">
        <v>77</v>
      </c>
      <c r="P626" t="s">
        <v>78</v>
      </c>
      <c r="Q626" t="s">
        <v>818</v>
      </c>
      <c r="R626" t="s">
        <v>51</v>
      </c>
      <c r="S626" t="s">
        <v>52</v>
      </c>
      <c r="T626" t="s">
        <v>240</v>
      </c>
      <c r="U626" s="1">
        <v>46078.929328703707</v>
      </c>
      <c r="V626" t="s">
        <v>54</v>
      </c>
      <c r="W626" t="s">
        <v>55</v>
      </c>
      <c r="X626" t="s">
        <v>134</v>
      </c>
      <c r="Y626" t="s">
        <v>1835</v>
      </c>
      <c r="Z626" t="s">
        <v>58</v>
      </c>
      <c r="AA626" t="s">
        <v>54</v>
      </c>
      <c r="AB626" t="s">
        <v>1836</v>
      </c>
      <c r="AC626" t="s">
        <v>85</v>
      </c>
      <c r="AD626" t="s">
        <v>52</v>
      </c>
      <c r="AE626" t="s">
        <v>243</v>
      </c>
      <c r="AF626" t="s">
        <v>1470</v>
      </c>
      <c r="AG626" t="s">
        <v>58</v>
      </c>
      <c r="AH626">
        <v>2812</v>
      </c>
      <c r="AK626">
        <v>0</v>
      </c>
      <c r="AL626" t="s">
        <v>61</v>
      </c>
      <c r="AM626" t="s">
        <v>2960</v>
      </c>
      <c r="AN626" t="s">
        <v>2961</v>
      </c>
    </row>
    <row r="627" spans="1:40" x14ac:dyDescent="0.35">
      <c r="A627" t="s">
        <v>37</v>
      </c>
      <c r="B627" t="s">
        <v>3282</v>
      </c>
      <c r="C627" t="s">
        <v>39</v>
      </c>
      <c r="D627" t="s">
        <v>747</v>
      </c>
      <c r="E627" t="s">
        <v>3283</v>
      </c>
      <c r="F627" s="1">
        <v>46077.512766203705</v>
      </c>
      <c r="G627" t="s">
        <v>913</v>
      </c>
      <c r="H627" t="s">
        <v>72</v>
      </c>
      <c r="I627" t="s">
        <v>3284</v>
      </c>
      <c r="J627" t="s">
        <v>1833</v>
      </c>
      <c r="K627" t="s">
        <v>1834</v>
      </c>
      <c r="M627" t="s">
        <v>76</v>
      </c>
      <c r="O627" t="s">
        <v>77</v>
      </c>
      <c r="P627" t="s">
        <v>78</v>
      </c>
      <c r="Q627" t="s">
        <v>541</v>
      </c>
      <c r="R627" t="s">
        <v>51</v>
      </c>
      <c r="S627" t="s">
        <v>52</v>
      </c>
      <c r="T627" t="s">
        <v>240</v>
      </c>
      <c r="U627" s="1">
        <v>46078.962743055556</v>
      </c>
      <c r="V627" t="s">
        <v>54</v>
      </c>
      <c r="W627" t="s">
        <v>55</v>
      </c>
      <c r="X627" t="s">
        <v>134</v>
      </c>
      <c r="Y627" t="s">
        <v>1835</v>
      </c>
      <c r="Z627" t="s">
        <v>58</v>
      </c>
      <c r="AA627" t="s">
        <v>54</v>
      </c>
      <c r="AB627" t="s">
        <v>1836</v>
      </c>
      <c r="AC627" t="s">
        <v>85</v>
      </c>
      <c r="AD627" t="s">
        <v>52</v>
      </c>
      <c r="AE627" t="s">
        <v>243</v>
      </c>
      <c r="AF627" t="s">
        <v>1470</v>
      </c>
      <c r="AG627" t="s">
        <v>58</v>
      </c>
      <c r="AH627">
        <v>8547</v>
      </c>
      <c r="AK627">
        <v>0</v>
      </c>
      <c r="AL627" t="s">
        <v>61</v>
      </c>
      <c r="AM627" t="s">
        <v>3285</v>
      </c>
      <c r="AN627" t="s">
        <v>3286</v>
      </c>
    </row>
    <row r="628" spans="1:40" x14ac:dyDescent="0.35">
      <c r="A628" t="s">
        <v>37</v>
      </c>
      <c r="B628" t="s">
        <v>3287</v>
      </c>
      <c r="C628" t="s">
        <v>102</v>
      </c>
      <c r="D628" t="s">
        <v>1698</v>
      </c>
      <c r="E628" t="s">
        <v>584</v>
      </c>
      <c r="F628" s="1">
        <v>46077.50922453704</v>
      </c>
      <c r="G628" t="s">
        <v>105</v>
      </c>
      <c r="H628" t="s">
        <v>106</v>
      </c>
      <c r="I628" t="s">
        <v>1729</v>
      </c>
      <c r="J628" t="s">
        <v>108</v>
      </c>
      <c r="K628" t="s">
        <v>341</v>
      </c>
      <c r="M628" t="s">
        <v>76</v>
      </c>
      <c r="O628" t="s">
        <v>77</v>
      </c>
      <c r="P628" t="s">
        <v>78</v>
      </c>
      <c r="Q628" t="s">
        <v>50</v>
      </c>
      <c r="R628" t="s">
        <v>111</v>
      </c>
      <c r="S628" t="s">
        <v>51</v>
      </c>
      <c r="T628" t="s">
        <v>112</v>
      </c>
      <c r="U628" s="1">
        <v>46077.734444444446</v>
      </c>
      <c r="V628" t="s">
        <v>54</v>
      </c>
      <c r="X628" t="s">
        <v>134</v>
      </c>
      <c r="Y628" t="s">
        <v>3288</v>
      </c>
      <c r="Z628" t="s">
        <v>58</v>
      </c>
      <c r="AA628" t="s">
        <v>54</v>
      </c>
      <c r="AB628" t="s">
        <v>1701</v>
      </c>
      <c r="AC628" t="s">
        <v>85</v>
      </c>
      <c r="AD628" t="s">
        <v>116</v>
      </c>
      <c r="AE628" t="s">
        <v>117</v>
      </c>
      <c r="AF628" t="s">
        <v>1740</v>
      </c>
      <c r="AG628" t="s">
        <v>58</v>
      </c>
      <c r="AK628">
        <v>1</v>
      </c>
      <c r="AL628" t="s">
        <v>61</v>
      </c>
      <c r="AM628" t="s">
        <v>1701</v>
      </c>
      <c r="AN628" t="s">
        <v>1702</v>
      </c>
    </row>
    <row r="629" spans="1:40" x14ac:dyDescent="0.35">
      <c r="A629" t="s">
        <v>37</v>
      </c>
      <c r="B629" t="s">
        <v>3289</v>
      </c>
      <c r="C629" t="s">
        <v>102</v>
      </c>
      <c r="D629" t="s">
        <v>1698</v>
      </c>
      <c r="E629" t="s">
        <v>584</v>
      </c>
      <c r="F629" s="1">
        <v>46077.508460648147</v>
      </c>
      <c r="G629" t="s">
        <v>105</v>
      </c>
      <c r="H629" t="s">
        <v>106</v>
      </c>
      <c r="I629" t="s">
        <v>1704</v>
      </c>
      <c r="J629" t="s">
        <v>108</v>
      </c>
      <c r="K629" t="s">
        <v>341</v>
      </c>
      <c r="M629" t="s">
        <v>76</v>
      </c>
      <c r="O629" t="s">
        <v>77</v>
      </c>
      <c r="P629" t="s">
        <v>78</v>
      </c>
      <c r="Q629" t="s">
        <v>50</v>
      </c>
      <c r="R629" t="s">
        <v>111</v>
      </c>
      <c r="S629" t="s">
        <v>51</v>
      </c>
      <c r="T629" t="s">
        <v>112</v>
      </c>
      <c r="U629" s="1">
        <v>46077.733634259261</v>
      </c>
      <c r="V629" t="s">
        <v>54</v>
      </c>
      <c r="X629" t="s">
        <v>134</v>
      </c>
      <c r="Y629" t="s">
        <v>3288</v>
      </c>
      <c r="Z629" t="s">
        <v>58</v>
      </c>
      <c r="AA629" t="s">
        <v>54</v>
      </c>
      <c r="AB629" t="s">
        <v>1701</v>
      </c>
      <c r="AC629" t="s">
        <v>85</v>
      </c>
      <c r="AD629" t="s">
        <v>116</v>
      </c>
      <c r="AE629" t="s">
        <v>574</v>
      </c>
      <c r="AF629" t="s">
        <v>1740</v>
      </c>
      <c r="AG629" t="s">
        <v>58</v>
      </c>
      <c r="AK629">
        <v>1</v>
      </c>
      <c r="AL629" t="s">
        <v>61</v>
      </c>
      <c r="AM629" t="s">
        <v>1701</v>
      </c>
      <c r="AN629" t="s">
        <v>1702</v>
      </c>
    </row>
    <row r="630" spans="1:40" x14ac:dyDescent="0.35">
      <c r="A630" t="s">
        <v>37</v>
      </c>
      <c r="B630" t="s">
        <v>3290</v>
      </c>
      <c r="C630" t="s">
        <v>102</v>
      </c>
      <c r="D630" t="s">
        <v>1698</v>
      </c>
      <c r="E630" t="s">
        <v>584</v>
      </c>
      <c r="F630" s="1">
        <v>46077.505624999998</v>
      </c>
      <c r="G630" t="s">
        <v>105</v>
      </c>
      <c r="H630" t="s">
        <v>106</v>
      </c>
      <c r="I630" t="s">
        <v>1845</v>
      </c>
      <c r="J630" t="s">
        <v>108</v>
      </c>
      <c r="K630" t="s">
        <v>571</v>
      </c>
      <c r="M630" t="s">
        <v>150</v>
      </c>
      <c r="O630" t="s">
        <v>77</v>
      </c>
      <c r="P630" t="s">
        <v>78</v>
      </c>
      <c r="Q630" t="s">
        <v>50</v>
      </c>
      <c r="R630" t="s">
        <v>111</v>
      </c>
      <c r="S630" t="s">
        <v>51</v>
      </c>
      <c r="T630" t="s">
        <v>112</v>
      </c>
      <c r="U630" s="1">
        <v>46077.714699074073</v>
      </c>
      <c r="V630" t="s">
        <v>54</v>
      </c>
      <c r="W630" t="s">
        <v>55</v>
      </c>
      <c r="X630" t="s">
        <v>134</v>
      </c>
      <c r="Y630" t="s">
        <v>3291</v>
      </c>
      <c r="Z630" t="s">
        <v>58</v>
      </c>
      <c r="AA630" t="s">
        <v>54</v>
      </c>
      <c r="AB630" t="s">
        <v>1701</v>
      </c>
      <c r="AC630" t="s">
        <v>85</v>
      </c>
      <c r="AD630" t="s">
        <v>116</v>
      </c>
      <c r="AE630" t="s">
        <v>574</v>
      </c>
      <c r="AF630" t="s">
        <v>575</v>
      </c>
      <c r="AG630" t="s">
        <v>58</v>
      </c>
      <c r="AK630">
        <v>1</v>
      </c>
      <c r="AL630" t="s">
        <v>61</v>
      </c>
      <c r="AM630" t="s">
        <v>1701</v>
      </c>
      <c r="AN630" t="s">
        <v>1702</v>
      </c>
    </row>
    <row r="631" spans="1:40" x14ac:dyDescent="0.35">
      <c r="A631" t="s">
        <v>37</v>
      </c>
      <c r="B631" t="s">
        <v>3292</v>
      </c>
      <c r="C631" t="s">
        <v>39</v>
      </c>
      <c r="D631" t="s">
        <v>1751</v>
      </c>
      <c r="E631" t="s">
        <v>1316</v>
      </c>
      <c r="F631" s="1">
        <v>46077.502650462964</v>
      </c>
      <c r="G631" t="s">
        <v>1752</v>
      </c>
      <c r="H631" t="s">
        <v>447</v>
      </c>
      <c r="I631" t="s">
        <v>3293</v>
      </c>
      <c r="J631" t="s">
        <v>1754</v>
      </c>
      <c r="K631" t="s">
        <v>1755</v>
      </c>
      <c r="M631" t="s">
        <v>131</v>
      </c>
      <c r="O631" t="s">
        <v>77</v>
      </c>
      <c r="P631" t="s">
        <v>78</v>
      </c>
      <c r="Q631" t="s">
        <v>50</v>
      </c>
      <c r="R631" t="s">
        <v>51</v>
      </c>
      <c r="S631" t="s">
        <v>52</v>
      </c>
      <c r="T631" t="s">
        <v>773</v>
      </c>
      <c r="U631" s="1">
        <v>46078.484895833331</v>
      </c>
      <c r="V631" t="s">
        <v>54</v>
      </c>
      <c r="W631" t="s">
        <v>55</v>
      </c>
      <c r="X631" t="s">
        <v>134</v>
      </c>
      <c r="Y631" t="s">
        <v>3294</v>
      </c>
      <c r="Z631" t="s">
        <v>58</v>
      </c>
      <c r="AA631" t="s">
        <v>54</v>
      </c>
      <c r="AB631" t="s">
        <v>1757</v>
      </c>
      <c r="AC631" t="s">
        <v>85</v>
      </c>
      <c r="AD631" t="s">
        <v>52</v>
      </c>
      <c r="AE631" t="s">
        <v>243</v>
      </c>
      <c r="AF631" t="s">
        <v>244</v>
      </c>
      <c r="AG631" t="s">
        <v>58</v>
      </c>
      <c r="AK631">
        <v>1</v>
      </c>
      <c r="AL631" t="s">
        <v>61</v>
      </c>
      <c r="AM631" t="s">
        <v>1757</v>
      </c>
      <c r="AN631" t="s">
        <v>1758</v>
      </c>
    </row>
    <row r="632" spans="1:40" x14ac:dyDescent="0.35">
      <c r="A632" t="s">
        <v>37</v>
      </c>
      <c r="B632" t="s">
        <v>3295</v>
      </c>
      <c r="C632" t="s">
        <v>102</v>
      </c>
      <c r="D632" t="s">
        <v>1698</v>
      </c>
      <c r="E632" t="s">
        <v>584</v>
      </c>
      <c r="F632" s="1">
        <v>46077.49077546296</v>
      </c>
      <c r="G632" t="s">
        <v>105</v>
      </c>
      <c r="H632" t="s">
        <v>106</v>
      </c>
      <c r="I632" t="s">
        <v>2876</v>
      </c>
      <c r="J632" t="s">
        <v>108</v>
      </c>
      <c r="K632" t="s">
        <v>109</v>
      </c>
      <c r="M632" t="s">
        <v>150</v>
      </c>
      <c r="O632" t="s">
        <v>77</v>
      </c>
      <c r="P632" t="s">
        <v>78</v>
      </c>
      <c r="Q632" t="s">
        <v>50</v>
      </c>
      <c r="R632" t="s">
        <v>111</v>
      </c>
      <c r="S632" t="s">
        <v>51</v>
      </c>
      <c r="T632" t="s">
        <v>112</v>
      </c>
      <c r="U632" s="1">
        <v>46077.72</v>
      </c>
      <c r="V632" t="s">
        <v>54</v>
      </c>
      <c r="W632" t="s">
        <v>1584</v>
      </c>
      <c r="X632" t="s">
        <v>134</v>
      </c>
      <c r="Y632" t="s">
        <v>3296</v>
      </c>
      <c r="Z632" t="s">
        <v>58</v>
      </c>
      <c r="AA632" t="s">
        <v>54</v>
      </c>
      <c r="AB632" t="s">
        <v>1701</v>
      </c>
      <c r="AC632" t="s">
        <v>85</v>
      </c>
      <c r="AD632" t="s">
        <v>116</v>
      </c>
      <c r="AE632" t="s">
        <v>117</v>
      </c>
      <c r="AF632" t="s">
        <v>118</v>
      </c>
      <c r="AG632" t="s">
        <v>58</v>
      </c>
      <c r="AK632">
        <v>1</v>
      </c>
      <c r="AL632" t="s">
        <v>61</v>
      </c>
      <c r="AM632" t="s">
        <v>1701</v>
      </c>
      <c r="AN632" t="s">
        <v>1702</v>
      </c>
    </row>
    <row r="633" spans="1:40" x14ac:dyDescent="0.35">
      <c r="A633" t="s">
        <v>37</v>
      </c>
      <c r="B633" t="s">
        <v>3297</v>
      </c>
      <c r="C633" t="s">
        <v>39</v>
      </c>
      <c r="D633" t="s">
        <v>1751</v>
      </c>
      <c r="E633" t="s">
        <v>1316</v>
      </c>
      <c r="F633" s="1">
        <v>46077.488611111112</v>
      </c>
      <c r="G633" t="s">
        <v>1752</v>
      </c>
      <c r="H633" t="s">
        <v>447</v>
      </c>
      <c r="I633" t="s">
        <v>3298</v>
      </c>
      <c r="J633" t="s">
        <v>1754</v>
      </c>
      <c r="K633" t="s">
        <v>1755</v>
      </c>
      <c r="M633" t="s">
        <v>131</v>
      </c>
      <c r="O633" t="s">
        <v>77</v>
      </c>
      <c r="P633" t="s">
        <v>78</v>
      </c>
      <c r="Q633" t="s">
        <v>50</v>
      </c>
      <c r="R633" t="s">
        <v>51</v>
      </c>
      <c r="S633" t="s">
        <v>52</v>
      </c>
      <c r="T633" t="s">
        <v>773</v>
      </c>
      <c r="U633" s="1">
        <v>46078.484305555554</v>
      </c>
      <c r="V633" t="s">
        <v>54</v>
      </c>
      <c r="W633" t="s">
        <v>55</v>
      </c>
      <c r="X633" t="s">
        <v>134</v>
      </c>
      <c r="Y633" t="s">
        <v>3299</v>
      </c>
      <c r="Z633" t="s">
        <v>58</v>
      </c>
      <c r="AA633" t="s">
        <v>54</v>
      </c>
      <c r="AB633" t="s">
        <v>1757</v>
      </c>
      <c r="AC633" t="s">
        <v>85</v>
      </c>
      <c r="AD633" t="s">
        <v>52</v>
      </c>
      <c r="AE633" t="s">
        <v>243</v>
      </c>
      <c r="AF633" t="s">
        <v>409</v>
      </c>
      <c r="AG633" t="s">
        <v>58</v>
      </c>
      <c r="AK633">
        <v>1</v>
      </c>
      <c r="AL633" t="s">
        <v>61</v>
      </c>
      <c r="AM633" t="s">
        <v>1757</v>
      </c>
      <c r="AN633" t="s">
        <v>1758</v>
      </c>
    </row>
    <row r="634" spans="1:40" x14ac:dyDescent="0.35">
      <c r="A634" t="s">
        <v>37</v>
      </c>
      <c r="B634" t="s">
        <v>3300</v>
      </c>
      <c r="C634" t="s">
        <v>39</v>
      </c>
      <c r="D634" t="s">
        <v>1751</v>
      </c>
      <c r="E634" t="s">
        <v>1316</v>
      </c>
      <c r="F634" s="1">
        <v>46077.487627314818</v>
      </c>
      <c r="G634" t="s">
        <v>1752</v>
      </c>
      <c r="H634" t="s">
        <v>447</v>
      </c>
      <c r="I634" t="s">
        <v>3301</v>
      </c>
      <c r="J634" t="s">
        <v>1754</v>
      </c>
      <c r="K634" t="s">
        <v>1755</v>
      </c>
      <c r="M634" t="s">
        <v>131</v>
      </c>
      <c r="O634" t="s">
        <v>77</v>
      </c>
      <c r="P634" t="s">
        <v>78</v>
      </c>
      <c r="Q634" t="s">
        <v>50</v>
      </c>
      <c r="R634" t="s">
        <v>51</v>
      </c>
      <c r="S634" t="s">
        <v>52</v>
      </c>
      <c r="T634" t="s">
        <v>773</v>
      </c>
      <c r="U634" s="1">
        <v>46078.483703703707</v>
      </c>
      <c r="V634" t="s">
        <v>54</v>
      </c>
      <c r="W634" t="s">
        <v>55</v>
      </c>
      <c r="X634" t="s">
        <v>134</v>
      </c>
      <c r="Y634" t="s">
        <v>3302</v>
      </c>
      <c r="Z634" t="s">
        <v>58</v>
      </c>
      <c r="AA634" t="s">
        <v>54</v>
      </c>
      <c r="AB634" t="s">
        <v>1757</v>
      </c>
      <c r="AC634" t="s">
        <v>85</v>
      </c>
      <c r="AD634" t="s">
        <v>52</v>
      </c>
      <c r="AE634" t="s">
        <v>243</v>
      </c>
      <c r="AF634" t="s">
        <v>409</v>
      </c>
      <c r="AG634" t="s">
        <v>58</v>
      </c>
      <c r="AK634">
        <v>1</v>
      </c>
      <c r="AL634" t="s">
        <v>61</v>
      </c>
      <c r="AM634" t="s">
        <v>1757</v>
      </c>
      <c r="AN634" t="s">
        <v>1758</v>
      </c>
    </row>
    <row r="635" spans="1:40" x14ac:dyDescent="0.35">
      <c r="A635" t="s">
        <v>37</v>
      </c>
      <c r="B635" t="s">
        <v>3303</v>
      </c>
      <c r="C635" t="s">
        <v>39</v>
      </c>
      <c r="D635" t="s">
        <v>3304</v>
      </c>
      <c r="E635" t="s">
        <v>3305</v>
      </c>
      <c r="F635" s="1">
        <v>46077.487627314818</v>
      </c>
      <c r="G635" t="s">
        <v>913</v>
      </c>
      <c r="H635" t="s">
        <v>72</v>
      </c>
      <c r="I635" t="s">
        <v>3306</v>
      </c>
      <c r="J635" t="s">
        <v>1833</v>
      </c>
      <c r="K635" t="s">
        <v>1834</v>
      </c>
      <c r="M635" t="s">
        <v>76</v>
      </c>
      <c r="O635" t="s">
        <v>77</v>
      </c>
      <c r="P635" t="s">
        <v>78</v>
      </c>
      <c r="Q635" t="s">
        <v>818</v>
      </c>
      <c r="R635" t="s">
        <v>51</v>
      </c>
      <c r="S635" t="s">
        <v>52</v>
      </c>
      <c r="T635" t="s">
        <v>240</v>
      </c>
      <c r="U635" s="1">
        <v>46078.934120370373</v>
      </c>
      <c r="V635" t="s">
        <v>1338</v>
      </c>
      <c r="W635" t="s">
        <v>55</v>
      </c>
      <c r="X635" t="s">
        <v>134</v>
      </c>
      <c r="Y635" t="s">
        <v>1835</v>
      </c>
      <c r="Z635" t="s">
        <v>58</v>
      </c>
      <c r="AA635" t="s">
        <v>1338</v>
      </c>
      <c r="AB635" t="s">
        <v>1836</v>
      </c>
      <c r="AC635" t="s">
        <v>85</v>
      </c>
      <c r="AD635" t="s">
        <v>52</v>
      </c>
      <c r="AE635" t="s">
        <v>243</v>
      </c>
      <c r="AF635" t="s">
        <v>1470</v>
      </c>
      <c r="AG635" t="s">
        <v>58</v>
      </c>
      <c r="AH635">
        <v>6561</v>
      </c>
      <c r="AK635">
        <v>0</v>
      </c>
      <c r="AL635" t="s">
        <v>410</v>
      </c>
      <c r="AM635" t="s">
        <v>3307</v>
      </c>
      <c r="AN635" t="s">
        <v>3308</v>
      </c>
    </row>
    <row r="636" spans="1:40" x14ac:dyDescent="0.35">
      <c r="A636" t="s">
        <v>37</v>
      </c>
      <c r="B636" t="s">
        <v>3309</v>
      </c>
      <c r="C636" t="s">
        <v>39</v>
      </c>
      <c r="D636" t="s">
        <v>853</v>
      </c>
      <c r="E636" t="s">
        <v>3310</v>
      </c>
      <c r="F636" s="1">
        <v>46077.480474537035</v>
      </c>
      <c r="G636" t="s">
        <v>71</v>
      </c>
      <c r="H636" t="s">
        <v>72</v>
      </c>
      <c r="I636" t="s">
        <v>2661</v>
      </c>
      <c r="J636" t="s">
        <v>1555</v>
      </c>
      <c r="K636" t="s">
        <v>951</v>
      </c>
      <c r="M636" t="s">
        <v>76</v>
      </c>
      <c r="O636" t="s">
        <v>77</v>
      </c>
      <c r="P636" t="s">
        <v>78</v>
      </c>
      <c r="Q636" t="s">
        <v>50</v>
      </c>
      <c r="R636" t="s">
        <v>79</v>
      </c>
      <c r="S636" t="s">
        <v>967</v>
      </c>
      <c r="T636" t="s">
        <v>1028</v>
      </c>
      <c r="U636" s="1">
        <v>46077.495810185188</v>
      </c>
      <c r="V636" t="s">
        <v>54</v>
      </c>
      <c r="W636" t="s">
        <v>55</v>
      </c>
      <c r="X636" t="s">
        <v>113</v>
      </c>
      <c r="Y636" t="s">
        <v>3311</v>
      </c>
      <c r="Z636" t="s">
        <v>58</v>
      </c>
      <c r="AA636" t="s">
        <v>54</v>
      </c>
      <c r="AB636" t="s">
        <v>2654</v>
      </c>
      <c r="AC636" t="s">
        <v>85</v>
      </c>
      <c r="AD636" t="s">
        <v>79</v>
      </c>
      <c r="AE636" t="s">
        <v>967</v>
      </c>
      <c r="AF636" t="s">
        <v>1028</v>
      </c>
      <c r="AG636" t="s">
        <v>58</v>
      </c>
      <c r="AH636">
        <v>11777</v>
      </c>
      <c r="AK636">
        <v>0</v>
      </c>
      <c r="AL636" t="s">
        <v>61</v>
      </c>
      <c r="AM636" t="s">
        <v>3312</v>
      </c>
      <c r="AN636" t="s">
        <v>3313</v>
      </c>
    </row>
    <row r="637" spans="1:40" x14ac:dyDescent="0.35">
      <c r="A637" t="s">
        <v>37</v>
      </c>
      <c r="B637" t="s">
        <v>3314</v>
      </c>
      <c r="C637" t="s">
        <v>39</v>
      </c>
      <c r="D637" t="s">
        <v>1751</v>
      </c>
      <c r="E637" t="s">
        <v>1316</v>
      </c>
      <c r="F637" s="1">
        <v>46077.477002314816</v>
      </c>
      <c r="G637" t="s">
        <v>1752</v>
      </c>
      <c r="H637" t="s">
        <v>447</v>
      </c>
      <c r="I637" t="s">
        <v>3315</v>
      </c>
      <c r="J637" t="s">
        <v>1754</v>
      </c>
      <c r="K637" t="s">
        <v>1755</v>
      </c>
      <c r="M637" t="s">
        <v>131</v>
      </c>
      <c r="O637" t="s">
        <v>77</v>
      </c>
      <c r="P637" t="s">
        <v>78</v>
      </c>
      <c r="Q637" t="s">
        <v>50</v>
      </c>
      <c r="R637" t="s">
        <v>51</v>
      </c>
      <c r="S637" t="s">
        <v>52</v>
      </c>
      <c r="T637" t="s">
        <v>773</v>
      </c>
      <c r="U637" s="1">
        <v>46078.482916666668</v>
      </c>
      <c r="V637" t="s">
        <v>54</v>
      </c>
      <c r="W637" t="s">
        <v>55</v>
      </c>
      <c r="X637" t="s">
        <v>134</v>
      </c>
      <c r="Y637" t="s">
        <v>3316</v>
      </c>
      <c r="Z637" t="s">
        <v>58</v>
      </c>
      <c r="AA637" t="s">
        <v>54</v>
      </c>
      <c r="AB637" t="s">
        <v>1757</v>
      </c>
      <c r="AC637" t="s">
        <v>85</v>
      </c>
      <c r="AD637" t="s">
        <v>52</v>
      </c>
      <c r="AE637" t="s">
        <v>243</v>
      </c>
      <c r="AF637" t="s">
        <v>409</v>
      </c>
      <c r="AG637" t="s">
        <v>58</v>
      </c>
      <c r="AK637">
        <v>1</v>
      </c>
      <c r="AL637" t="s">
        <v>61</v>
      </c>
      <c r="AM637" t="s">
        <v>1757</v>
      </c>
      <c r="AN637" t="s">
        <v>1758</v>
      </c>
    </row>
    <row r="638" spans="1:40" x14ac:dyDescent="0.35">
      <c r="A638" t="s">
        <v>37</v>
      </c>
      <c r="B638" t="s">
        <v>3317</v>
      </c>
      <c r="C638" t="s">
        <v>656</v>
      </c>
      <c r="D638" t="s">
        <v>3318</v>
      </c>
      <c r="E638" t="s">
        <v>3319</v>
      </c>
      <c r="F638" s="1">
        <v>46077.465787037036</v>
      </c>
      <c r="G638" t="s">
        <v>515</v>
      </c>
      <c r="H638" t="s">
        <v>92</v>
      </c>
      <c r="I638" t="s">
        <v>3320</v>
      </c>
      <c r="J638" t="s">
        <v>2987</v>
      </c>
      <c r="K638" t="s">
        <v>2988</v>
      </c>
      <c r="M638" t="s">
        <v>76</v>
      </c>
      <c r="O638" t="s">
        <v>77</v>
      </c>
      <c r="P638" t="s">
        <v>78</v>
      </c>
      <c r="Q638" t="s">
        <v>1174</v>
      </c>
      <c r="R638" t="s">
        <v>2989</v>
      </c>
      <c r="S638" t="s">
        <v>2990</v>
      </c>
      <c r="T638" t="s">
        <v>3187</v>
      </c>
      <c r="U638" s="1">
        <v>46077.641261574077</v>
      </c>
      <c r="V638" t="s">
        <v>54</v>
      </c>
      <c r="W638" t="s">
        <v>55</v>
      </c>
      <c r="X638" t="s">
        <v>134</v>
      </c>
      <c r="Y638" t="s">
        <v>3188</v>
      </c>
      <c r="Z638" t="s">
        <v>58</v>
      </c>
      <c r="AA638" t="s">
        <v>54</v>
      </c>
      <c r="AB638" t="s">
        <v>3259</v>
      </c>
      <c r="AC638" t="s">
        <v>85</v>
      </c>
      <c r="AD638" t="s">
        <v>2989</v>
      </c>
      <c r="AE638" t="s">
        <v>2990</v>
      </c>
      <c r="AF638" t="s">
        <v>3187</v>
      </c>
      <c r="AG638" t="s">
        <v>58</v>
      </c>
      <c r="AH638" t="s">
        <v>3321</v>
      </c>
      <c r="AK638">
        <v>0</v>
      </c>
      <c r="AL638" t="s">
        <v>61</v>
      </c>
      <c r="AM638" t="s">
        <v>3259</v>
      </c>
      <c r="AN638" t="s">
        <v>3322</v>
      </c>
    </row>
    <row r="639" spans="1:40" x14ac:dyDescent="0.35">
      <c r="A639" t="s">
        <v>37</v>
      </c>
      <c r="B639" t="s">
        <v>3323</v>
      </c>
      <c r="C639" t="s">
        <v>39</v>
      </c>
      <c r="D639" t="s">
        <v>1751</v>
      </c>
      <c r="E639" t="s">
        <v>1316</v>
      </c>
      <c r="F639" s="1">
        <v>46077.454398148147</v>
      </c>
      <c r="G639" t="s">
        <v>1752</v>
      </c>
      <c r="H639" t="s">
        <v>447</v>
      </c>
      <c r="I639" t="s">
        <v>3324</v>
      </c>
      <c r="J639" t="s">
        <v>1754</v>
      </c>
      <c r="K639" t="s">
        <v>1755</v>
      </c>
      <c r="M639" t="s">
        <v>131</v>
      </c>
      <c r="O639" t="s">
        <v>77</v>
      </c>
      <c r="P639" t="s">
        <v>78</v>
      </c>
      <c r="Q639" t="s">
        <v>50</v>
      </c>
      <c r="R639" t="s">
        <v>51</v>
      </c>
      <c r="S639" t="s">
        <v>52</v>
      </c>
      <c r="T639" t="s">
        <v>773</v>
      </c>
      <c r="U639" s="1">
        <v>46078.475972222222</v>
      </c>
      <c r="V639" t="s">
        <v>54</v>
      </c>
      <c r="W639" t="s">
        <v>55</v>
      </c>
      <c r="X639" t="s">
        <v>134</v>
      </c>
      <c r="Y639" t="s">
        <v>3325</v>
      </c>
      <c r="Z639" t="s">
        <v>58</v>
      </c>
      <c r="AA639" t="s">
        <v>54</v>
      </c>
      <c r="AB639" t="s">
        <v>1757</v>
      </c>
      <c r="AC639" t="s">
        <v>85</v>
      </c>
      <c r="AD639" t="s">
        <v>52</v>
      </c>
      <c r="AE639" t="s">
        <v>243</v>
      </c>
      <c r="AF639" t="s">
        <v>409</v>
      </c>
      <c r="AG639" t="s">
        <v>58</v>
      </c>
      <c r="AK639">
        <v>1</v>
      </c>
      <c r="AL639" t="s">
        <v>61</v>
      </c>
      <c r="AM639" t="s">
        <v>1757</v>
      </c>
      <c r="AN639" t="s">
        <v>1758</v>
      </c>
    </row>
    <row r="640" spans="1:40" x14ac:dyDescent="0.35">
      <c r="A640" t="s">
        <v>37</v>
      </c>
      <c r="B640" t="s">
        <v>3326</v>
      </c>
      <c r="C640" t="s">
        <v>102</v>
      </c>
      <c r="D640" t="s">
        <v>1698</v>
      </c>
      <c r="E640" t="s">
        <v>584</v>
      </c>
      <c r="F640" s="1">
        <v>46077.450104166666</v>
      </c>
      <c r="G640" t="s">
        <v>105</v>
      </c>
      <c r="H640" t="s">
        <v>106</v>
      </c>
      <c r="I640" t="s">
        <v>1845</v>
      </c>
      <c r="J640" t="s">
        <v>108</v>
      </c>
      <c r="K640" t="s">
        <v>571</v>
      </c>
      <c r="M640" t="s">
        <v>76</v>
      </c>
      <c r="O640" t="s">
        <v>77</v>
      </c>
      <c r="P640" t="s">
        <v>78</v>
      </c>
      <c r="Q640" t="s">
        <v>50</v>
      </c>
      <c r="R640" t="s">
        <v>111</v>
      </c>
      <c r="S640" t="s">
        <v>51</v>
      </c>
      <c r="T640" t="s">
        <v>112</v>
      </c>
      <c r="U640" s="1">
        <v>46077.511724537035</v>
      </c>
      <c r="V640" t="s">
        <v>54</v>
      </c>
      <c r="W640" t="s">
        <v>55</v>
      </c>
      <c r="X640" t="s">
        <v>134</v>
      </c>
      <c r="Y640" t="s">
        <v>1923</v>
      </c>
      <c r="Z640" t="s">
        <v>58</v>
      </c>
      <c r="AA640" t="s">
        <v>54</v>
      </c>
      <c r="AB640" t="s">
        <v>1701</v>
      </c>
      <c r="AC640" t="s">
        <v>85</v>
      </c>
      <c r="AD640" t="s">
        <v>116</v>
      </c>
      <c r="AE640" t="s">
        <v>574</v>
      </c>
      <c r="AF640" t="s">
        <v>144</v>
      </c>
      <c r="AG640" t="s">
        <v>58</v>
      </c>
      <c r="AK640">
        <v>1</v>
      </c>
      <c r="AL640" t="s">
        <v>61</v>
      </c>
      <c r="AM640" t="s">
        <v>1701</v>
      </c>
      <c r="AN640" t="s">
        <v>1702</v>
      </c>
    </row>
    <row r="641" spans="1:40" x14ac:dyDescent="0.35">
      <c r="A641" t="s">
        <v>37</v>
      </c>
      <c r="B641" t="s">
        <v>3327</v>
      </c>
      <c r="C641" t="s">
        <v>102</v>
      </c>
      <c r="D641" t="s">
        <v>1698</v>
      </c>
      <c r="E641" t="s">
        <v>584</v>
      </c>
      <c r="F641" s="1">
        <v>46077.443032407406</v>
      </c>
      <c r="G641" t="s">
        <v>105</v>
      </c>
      <c r="H641" t="s">
        <v>106</v>
      </c>
      <c r="I641" t="s">
        <v>1704</v>
      </c>
      <c r="J641" t="s">
        <v>108</v>
      </c>
      <c r="K641" t="s">
        <v>341</v>
      </c>
      <c r="M641" t="s">
        <v>76</v>
      </c>
      <c r="O641" t="s">
        <v>77</v>
      </c>
      <c r="P641" t="s">
        <v>78</v>
      </c>
      <c r="Q641" t="s">
        <v>50</v>
      </c>
      <c r="R641" t="s">
        <v>111</v>
      </c>
      <c r="S641" t="s">
        <v>51</v>
      </c>
      <c r="T641" t="s">
        <v>112</v>
      </c>
      <c r="U641" s="1">
        <v>46077.732604166667</v>
      </c>
      <c r="V641" t="s">
        <v>54</v>
      </c>
      <c r="X641" t="s">
        <v>134</v>
      </c>
      <c r="Y641" t="s">
        <v>3328</v>
      </c>
      <c r="Z641" t="s">
        <v>58</v>
      </c>
      <c r="AA641" t="s">
        <v>54</v>
      </c>
      <c r="AB641" t="s">
        <v>1701</v>
      </c>
      <c r="AC641" t="s">
        <v>85</v>
      </c>
      <c r="AD641" t="s">
        <v>116</v>
      </c>
      <c r="AE641" t="s">
        <v>574</v>
      </c>
      <c r="AF641" t="s">
        <v>1740</v>
      </c>
      <c r="AG641" t="s">
        <v>58</v>
      </c>
      <c r="AK641">
        <v>1</v>
      </c>
      <c r="AL641" t="s">
        <v>61</v>
      </c>
      <c r="AM641" t="s">
        <v>1701</v>
      </c>
      <c r="AN641" t="s">
        <v>1702</v>
      </c>
    </row>
    <row r="642" spans="1:40" x14ac:dyDescent="0.35">
      <c r="A642" t="s">
        <v>37</v>
      </c>
      <c r="B642" t="s">
        <v>3329</v>
      </c>
      <c r="C642" t="s">
        <v>39</v>
      </c>
      <c r="D642" t="s">
        <v>747</v>
      </c>
      <c r="E642" t="s">
        <v>3330</v>
      </c>
      <c r="F642" s="1">
        <v>46077.443159722221</v>
      </c>
      <c r="G642" t="s">
        <v>170</v>
      </c>
      <c r="H642" t="s">
        <v>92</v>
      </c>
      <c r="I642" t="s">
        <v>3331</v>
      </c>
      <c r="J642" t="s">
        <v>1823</v>
      </c>
      <c r="K642" t="s">
        <v>1824</v>
      </c>
      <c r="M642" t="s">
        <v>131</v>
      </c>
      <c r="O642" t="s">
        <v>77</v>
      </c>
      <c r="P642" t="s">
        <v>78</v>
      </c>
      <c r="Q642" t="s">
        <v>50</v>
      </c>
      <c r="R642" t="s">
        <v>51</v>
      </c>
      <c r="S642" t="s">
        <v>52</v>
      </c>
      <c r="T642" t="s">
        <v>240</v>
      </c>
      <c r="U642" s="1">
        <v>46077.516724537039</v>
      </c>
      <c r="V642" t="s">
        <v>54</v>
      </c>
      <c r="W642" t="s">
        <v>55</v>
      </c>
      <c r="X642" t="s">
        <v>113</v>
      </c>
      <c r="Y642" t="s">
        <v>3332</v>
      </c>
      <c r="Z642" t="s">
        <v>58</v>
      </c>
      <c r="AA642" t="s">
        <v>54</v>
      </c>
      <c r="AB642" t="s">
        <v>1826</v>
      </c>
      <c r="AC642" t="s">
        <v>85</v>
      </c>
      <c r="AD642" t="s">
        <v>52</v>
      </c>
      <c r="AE642" t="s">
        <v>2140</v>
      </c>
      <c r="AF642" t="s">
        <v>3333</v>
      </c>
      <c r="AG642" t="s">
        <v>58</v>
      </c>
      <c r="AH642" t="s">
        <v>3334</v>
      </c>
      <c r="AK642">
        <v>0</v>
      </c>
      <c r="AL642" t="s">
        <v>61</v>
      </c>
      <c r="AM642" t="s">
        <v>592</v>
      </c>
      <c r="AN642" t="s">
        <v>3335</v>
      </c>
    </row>
    <row r="643" spans="1:40" x14ac:dyDescent="0.35">
      <c r="A643" t="s">
        <v>37</v>
      </c>
      <c r="B643" t="s">
        <v>3336</v>
      </c>
      <c r="C643" t="s">
        <v>102</v>
      </c>
      <c r="D643" t="s">
        <v>1698</v>
      </c>
      <c r="E643" t="s">
        <v>584</v>
      </c>
      <c r="F643" s="1">
        <v>46077.437384259261</v>
      </c>
      <c r="G643" t="s">
        <v>105</v>
      </c>
      <c r="H643" t="s">
        <v>106</v>
      </c>
      <c r="I643" t="s">
        <v>3266</v>
      </c>
      <c r="J643" t="s">
        <v>108</v>
      </c>
      <c r="K643" t="s">
        <v>109</v>
      </c>
      <c r="M643" t="s">
        <v>76</v>
      </c>
      <c r="O643" t="s">
        <v>77</v>
      </c>
      <c r="P643" t="s">
        <v>78</v>
      </c>
      <c r="Q643" t="s">
        <v>50</v>
      </c>
      <c r="R643" t="s">
        <v>111</v>
      </c>
      <c r="S643" t="s">
        <v>51</v>
      </c>
      <c r="T643" t="s">
        <v>112</v>
      </c>
      <c r="U643" s="1">
        <v>46077.509386574071</v>
      </c>
      <c r="V643" t="s">
        <v>54</v>
      </c>
      <c r="W643" t="s">
        <v>55</v>
      </c>
      <c r="X643" t="s">
        <v>134</v>
      </c>
      <c r="Y643" t="s">
        <v>3337</v>
      </c>
      <c r="Z643" t="s">
        <v>58</v>
      </c>
      <c r="AA643" t="s">
        <v>54</v>
      </c>
      <c r="AB643" t="s">
        <v>1701</v>
      </c>
      <c r="AC643" t="s">
        <v>85</v>
      </c>
      <c r="AD643" t="s">
        <v>116</v>
      </c>
      <c r="AE643" t="s">
        <v>117</v>
      </c>
      <c r="AF643" t="s">
        <v>1706</v>
      </c>
      <c r="AG643" t="s">
        <v>58</v>
      </c>
      <c r="AK643">
        <v>1</v>
      </c>
      <c r="AL643" t="s">
        <v>61</v>
      </c>
      <c r="AM643" t="s">
        <v>1701</v>
      </c>
      <c r="AN643" t="s">
        <v>1702</v>
      </c>
    </row>
    <row r="644" spans="1:40" x14ac:dyDescent="0.35">
      <c r="A644" t="s">
        <v>37</v>
      </c>
      <c r="B644" t="s">
        <v>3338</v>
      </c>
      <c r="C644" t="s">
        <v>656</v>
      </c>
      <c r="D644" t="s">
        <v>3339</v>
      </c>
      <c r="E644" t="s">
        <v>3340</v>
      </c>
      <c r="F644" s="1">
        <v>46077.430925925924</v>
      </c>
      <c r="G644" t="s">
        <v>355</v>
      </c>
      <c r="H644" t="s">
        <v>356</v>
      </c>
      <c r="I644" t="s">
        <v>3341</v>
      </c>
      <c r="J644" t="s">
        <v>2987</v>
      </c>
      <c r="K644" t="s">
        <v>2988</v>
      </c>
      <c r="M644" t="s">
        <v>76</v>
      </c>
      <c r="O644" t="s">
        <v>77</v>
      </c>
      <c r="P644" t="s">
        <v>78</v>
      </c>
      <c r="Q644" t="s">
        <v>1174</v>
      </c>
      <c r="R644" t="s">
        <v>2989</v>
      </c>
      <c r="S644" t="s">
        <v>2990</v>
      </c>
      <c r="T644" t="s">
        <v>3187</v>
      </c>
      <c r="U644" s="1">
        <v>46077.641643518517</v>
      </c>
      <c r="V644" t="s">
        <v>54</v>
      </c>
      <c r="W644" t="s">
        <v>55</v>
      </c>
      <c r="X644" t="s">
        <v>134</v>
      </c>
      <c r="Y644" t="s">
        <v>3188</v>
      </c>
      <c r="Z644" t="s">
        <v>58</v>
      </c>
      <c r="AA644" t="s">
        <v>54</v>
      </c>
      <c r="AB644" t="s">
        <v>3342</v>
      </c>
      <c r="AC644" t="s">
        <v>85</v>
      </c>
      <c r="AD644" t="s">
        <v>2989</v>
      </c>
      <c r="AE644" t="s">
        <v>2990</v>
      </c>
      <c r="AF644" t="s">
        <v>3187</v>
      </c>
      <c r="AG644" t="s">
        <v>58</v>
      </c>
      <c r="AH644" t="s">
        <v>3343</v>
      </c>
      <c r="AK644">
        <v>0</v>
      </c>
      <c r="AL644" t="s">
        <v>61</v>
      </c>
      <c r="AM644" t="s">
        <v>3342</v>
      </c>
      <c r="AN644" t="s">
        <v>3344</v>
      </c>
    </row>
    <row r="645" spans="1:40" x14ac:dyDescent="0.35">
      <c r="A645" t="s">
        <v>37</v>
      </c>
      <c r="B645" t="s">
        <v>3345</v>
      </c>
      <c r="C645" t="s">
        <v>102</v>
      </c>
      <c r="D645" t="s">
        <v>1698</v>
      </c>
      <c r="E645" t="s">
        <v>584</v>
      </c>
      <c r="F645" s="1">
        <v>46077.423900462964</v>
      </c>
      <c r="G645" t="s">
        <v>105</v>
      </c>
      <c r="H645" t="s">
        <v>106</v>
      </c>
      <c r="I645" t="s">
        <v>3346</v>
      </c>
      <c r="J645" t="s">
        <v>108</v>
      </c>
      <c r="K645" t="s">
        <v>341</v>
      </c>
      <c r="M645" t="s">
        <v>76</v>
      </c>
      <c r="O645" t="s">
        <v>77</v>
      </c>
      <c r="P645" t="s">
        <v>78</v>
      </c>
      <c r="Q645" t="s">
        <v>50</v>
      </c>
      <c r="R645" t="s">
        <v>111</v>
      </c>
      <c r="S645" t="s">
        <v>51</v>
      </c>
      <c r="T645" t="s">
        <v>112</v>
      </c>
      <c r="U645" s="1">
        <v>46077.45653935185</v>
      </c>
      <c r="V645" t="s">
        <v>54</v>
      </c>
      <c r="X645" t="s">
        <v>134</v>
      </c>
      <c r="Y645" t="s">
        <v>3347</v>
      </c>
      <c r="Z645" t="s">
        <v>58</v>
      </c>
      <c r="AA645" t="s">
        <v>54</v>
      </c>
      <c r="AB645" t="s">
        <v>1701</v>
      </c>
      <c r="AC645" t="s">
        <v>85</v>
      </c>
      <c r="AD645" t="s">
        <v>116</v>
      </c>
      <c r="AE645" t="s">
        <v>117</v>
      </c>
      <c r="AF645" t="s">
        <v>1740</v>
      </c>
      <c r="AG645" t="s">
        <v>58</v>
      </c>
      <c r="AK645">
        <v>1</v>
      </c>
      <c r="AL645" t="s">
        <v>61</v>
      </c>
      <c r="AM645" t="s">
        <v>1701</v>
      </c>
      <c r="AN645" t="s">
        <v>1702</v>
      </c>
    </row>
    <row r="646" spans="1:40" x14ac:dyDescent="0.35">
      <c r="A646" t="s">
        <v>37</v>
      </c>
      <c r="B646" t="s">
        <v>3348</v>
      </c>
      <c r="C646" t="s">
        <v>102</v>
      </c>
      <c r="D646" t="s">
        <v>1698</v>
      </c>
      <c r="E646" t="s">
        <v>584</v>
      </c>
      <c r="F646" s="1">
        <v>46077.417592592596</v>
      </c>
      <c r="G646" t="s">
        <v>105</v>
      </c>
      <c r="H646" t="s">
        <v>106</v>
      </c>
      <c r="I646" t="s">
        <v>3349</v>
      </c>
      <c r="J646" t="s">
        <v>108</v>
      </c>
      <c r="K646" t="s">
        <v>109</v>
      </c>
      <c r="M646" t="s">
        <v>76</v>
      </c>
      <c r="O646" t="s">
        <v>77</v>
      </c>
      <c r="P646" t="s">
        <v>78</v>
      </c>
      <c r="Q646" t="s">
        <v>50</v>
      </c>
      <c r="R646" t="s">
        <v>111</v>
      </c>
      <c r="S646" t="s">
        <v>51</v>
      </c>
      <c r="T646" t="s">
        <v>112</v>
      </c>
      <c r="U646" s="1">
        <v>46077.50984953704</v>
      </c>
      <c r="V646" t="s">
        <v>54</v>
      </c>
      <c r="W646" t="s">
        <v>55</v>
      </c>
      <c r="X646" t="s">
        <v>134</v>
      </c>
      <c r="Y646" t="s">
        <v>3350</v>
      </c>
      <c r="Z646" t="s">
        <v>58</v>
      </c>
      <c r="AA646" t="s">
        <v>54</v>
      </c>
      <c r="AB646" t="s">
        <v>1701</v>
      </c>
      <c r="AC646" t="s">
        <v>85</v>
      </c>
      <c r="AD646" t="s">
        <v>116</v>
      </c>
      <c r="AE646" t="s">
        <v>117</v>
      </c>
      <c r="AF646" t="s">
        <v>118</v>
      </c>
      <c r="AG646" t="s">
        <v>58</v>
      </c>
      <c r="AK646">
        <v>1</v>
      </c>
      <c r="AL646" t="s">
        <v>61</v>
      </c>
      <c r="AM646" t="s">
        <v>1701</v>
      </c>
      <c r="AN646" t="s">
        <v>1702</v>
      </c>
    </row>
    <row r="647" spans="1:40" x14ac:dyDescent="0.35">
      <c r="A647" t="s">
        <v>37</v>
      </c>
      <c r="B647" t="s">
        <v>3351</v>
      </c>
      <c r="C647" t="s">
        <v>39</v>
      </c>
      <c r="D647" t="s">
        <v>1751</v>
      </c>
      <c r="E647" t="s">
        <v>1316</v>
      </c>
      <c r="F647" s="1">
        <v>46077.408472222225</v>
      </c>
      <c r="G647" t="s">
        <v>1752</v>
      </c>
      <c r="H647" t="s">
        <v>447</v>
      </c>
      <c r="I647" t="s">
        <v>3352</v>
      </c>
      <c r="J647" t="s">
        <v>1754</v>
      </c>
      <c r="K647" t="s">
        <v>1755</v>
      </c>
      <c r="M647" t="s">
        <v>131</v>
      </c>
      <c r="O647" t="s">
        <v>77</v>
      </c>
      <c r="P647" t="s">
        <v>78</v>
      </c>
      <c r="Q647" t="s">
        <v>50</v>
      </c>
      <c r="R647" t="s">
        <v>51</v>
      </c>
      <c r="S647" t="s">
        <v>52</v>
      </c>
      <c r="T647" t="s">
        <v>773</v>
      </c>
      <c r="U647" s="1">
        <v>46078.475324074076</v>
      </c>
      <c r="V647" t="s">
        <v>54</v>
      </c>
      <c r="W647" t="s">
        <v>55</v>
      </c>
      <c r="X647" t="s">
        <v>134</v>
      </c>
      <c r="Y647" t="s">
        <v>3353</v>
      </c>
      <c r="Z647" t="s">
        <v>58</v>
      </c>
      <c r="AA647" t="s">
        <v>54</v>
      </c>
      <c r="AB647" t="s">
        <v>1757</v>
      </c>
      <c r="AC647" t="s">
        <v>85</v>
      </c>
      <c r="AD647" t="s">
        <v>52</v>
      </c>
      <c r="AE647" t="s">
        <v>243</v>
      </c>
      <c r="AF647" t="s">
        <v>409</v>
      </c>
      <c r="AG647" t="s">
        <v>58</v>
      </c>
      <c r="AK647">
        <v>1</v>
      </c>
      <c r="AL647" t="s">
        <v>61</v>
      </c>
      <c r="AM647" t="s">
        <v>1757</v>
      </c>
      <c r="AN647" t="s">
        <v>1758</v>
      </c>
    </row>
    <row r="648" spans="1:40" x14ac:dyDescent="0.35">
      <c r="A648" t="s">
        <v>37</v>
      </c>
      <c r="B648" t="s">
        <v>3354</v>
      </c>
      <c r="C648" t="s">
        <v>656</v>
      </c>
      <c r="D648" t="s">
        <v>3318</v>
      </c>
      <c r="E648" t="s">
        <v>3319</v>
      </c>
      <c r="F648" s="1">
        <v>46077.404247685183</v>
      </c>
      <c r="G648" t="s">
        <v>515</v>
      </c>
      <c r="H648" t="s">
        <v>92</v>
      </c>
      <c r="I648" t="s">
        <v>3355</v>
      </c>
      <c r="J648" t="s">
        <v>2987</v>
      </c>
      <c r="K648" t="s">
        <v>2988</v>
      </c>
      <c r="M648" t="s">
        <v>76</v>
      </c>
      <c r="O648" t="s">
        <v>77</v>
      </c>
      <c r="P648" t="s">
        <v>78</v>
      </c>
      <c r="Q648" t="s">
        <v>1174</v>
      </c>
      <c r="R648" t="s">
        <v>2989</v>
      </c>
      <c r="S648" t="s">
        <v>2990</v>
      </c>
      <c r="T648" t="s">
        <v>3187</v>
      </c>
      <c r="U648" s="1">
        <v>46077.641134259262</v>
      </c>
      <c r="V648" t="s">
        <v>54</v>
      </c>
      <c r="W648" t="s">
        <v>55</v>
      </c>
      <c r="X648" t="s">
        <v>134</v>
      </c>
      <c r="Y648" t="s">
        <v>3188</v>
      </c>
      <c r="Z648" t="s">
        <v>58</v>
      </c>
      <c r="AA648" t="s">
        <v>54</v>
      </c>
      <c r="AB648" t="s">
        <v>3259</v>
      </c>
      <c r="AC648" t="s">
        <v>85</v>
      </c>
      <c r="AD648" t="s">
        <v>2989</v>
      </c>
      <c r="AE648" t="s">
        <v>2990</v>
      </c>
      <c r="AF648" t="s">
        <v>3187</v>
      </c>
      <c r="AG648" t="s">
        <v>58</v>
      </c>
      <c r="AH648" t="s">
        <v>3321</v>
      </c>
      <c r="AK648">
        <v>0</v>
      </c>
      <c r="AL648" t="s">
        <v>61</v>
      </c>
      <c r="AM648" t="s">
        <v>3259</v>
      </c>
      <c r="AN648" t="s">
        <v>3322</v>
      </c>
    </row>
    <row r="649" spans="1:40" x14ac:dyDescent="0.35">
      <c r="A649" t="s">
        <v>37</v>
      </c>
      <c r="B649" t="s">
        <v>3356</v>
      </c>
      <c r="C649" t="s">
        <v>39</v>
      </c>
      <c r="D649" t="s">
        <v>555</v>
      </c>
      <c r="E649" t="s">
        <v>3357</v>
      </c>
      <c r="F649" s="1">
        <v>46077.402789351851</v>
      </c>
      <c r="G649" t="s">
        <v>327</v>
      </c>
      <c r="H649" t="s">
        <v>72</v>
      </c>
      <c r="I649" t="s">
        <v>3358</v>
      </c>
      <c r="J649" t="s">
        <v>3257</v>
      </c>
      <c r="K649" t="s">
        <v>1834</v>
      </c>
      <c r="M649" t="s">
        <v>76</v>
      </c>
      <c r="O649" t="s">
        <v>77</v>
      </c>
      <c r="P649" t="s">
        <v>78</v>
      </c>
      <c r="Q649" t="s">
        <v>50</v>
      </c>
      <c r="R649" t="s">
        <v>51</v>
      </c>
      <c r="S649" t="s">
        <v>52</v>
      </c>
      <c r="T649" t="s">
        <v>240</v>
      </c>
      <c r="U649" s="1">
        <v>46077.578611111108</v>
      </c>
      <c r="V649" t="s">
        <v>54</v>
      </c>
      <c r="W649" t="s">
        <v>55</v>
      </c>
      <c r="X649" t="s">
        <v>134</v>
      </c>
      <c r="Y649" t="s">
        <v>3258</v>
      </c>
      <c r="Z649" t="s">
        <v>58</v>
      </c>
      <c r="AA649" t="s">
        <v>54</v>
      </c>
      <c r="AB649" t="s">
        <v>3259</v>
      </c>
      <c r="AC649" t="s">
        <v>85</v>
      </c>
      <c r="AD649" t="s">
        <v>52</v>
      </c>
      <c r="AE649" t="s">
        <v>243</v>
      </c>
      <c r="AF649" t="s">
        <v>1470</v>
      </c>
      <c r="AG649" t="s">
        <v>58</v>
      </c>
      <c r="AH649">
        <v>14614</v>
      </c>
      <c r="AK649">
        <v>0</v>
      </c>
      <c r="AL649" t="s">
        <v>61</v>
      </c>
      <c r="AM649" t="s">
        <v>3359</v>
      </c>
      <c r="AN649" t="s">
        <v>3360</v>
      </c>
    </row>
    <row r="650" spans="1:40" x14ac:dyDescent="0.35">
      <c r="A650" t="s">
        <v>37</v>
      </c>
      <c r="B650" t="s">
        <v>3361</v>
      </c>
      <c r="C650" t="s">
        <v>102</v>
      </c>
      <c r="D650" t="s">
        <v>1698</v>
      </c>
      <c r="E650" t="s">
        <v>584</v>
      </c>
      <c r="F650" s="1">
        <v>46077.401979166665</v>
      </c>
      <c r="G650" t="s">
        <v>105</v>
      </c>
      <c r="H650" t="s">
        <v>106</v>
      </c>
      <c r="I650" t="s">
        <v>3362</v>
      </c>
      <c r="J650" t="s">
        <v>108</v>
      </c>
      <c r="K650" t="s">
        <v>109</v>
      </c>
      <c r="M650" t="s">
        <v>76</v>
      </c>
      <c r="O650" t="s">
        <v>77</v>
      </c>
      <c r="P650" t="s">
        <v>78</v>
      </c>
      <c r="Q650" t="s">
        <v>50</v>
      </c>
      <c r="R650" t="s">
        <v>111</v>
      </c>
      <c r="S650" t="s">
        <v>51</v>
      </c>
      <c r="T650" t="s">
        <v>112</v>
      </c>
      <c r="U650" s="1">
        <v>46077.440405092595</v>
      </c>
      <c r="V650" t="s">
        <v>54</v>
      </c>
      <c r="W650" t="s">
        <v>55</v>
      </c>
      <c r="X650" t="s">
        <v>134</v>
      </c>
      <c r="Y650" t="s">
        <v>3363</v>
      </c>
      <c r="Z650" t="s">
        <v>58</v>
      </c>
      <c r="AA650" t="s">
        <v>54</v>
      </c>
      <c r="AB650" t="s">
        <v>1701</v>
      </c>
      <c r="AC650" t="s">
        <v>85</v>
      </c>
      <c r="AD650" t="s">
        <v>116</v>
      </c>
      <c r="AE650" t="s">
        <v>117</v>
      </c>
      <c r="AF650" t="s">
        <v>1724</v>
      </c>
      <c r="AG650" t="s">
        <v>58</v>
      </c>
      <c r="AK650">
        <v>1</v>
      </c>
      <c r="AL650" t="s">
        <v>61</v>
      </c>
      <c r="AM650" t="s">
        <v>1701</v>
      </c>
      <c r="AN650" t="s">
        <v>1702</v>
      </c>
    </row>
    <row r="651" spans="1:40" x14ac:dyDescent="0.35">
      <c r="A651" t="s">
        <v>37</v>
      </c>
      <c r="B651" t="s">
        <v>3364</v>
      </c>
      <c r="C651" t="s">
        <v>39</v>
      </c>
      <c r="D651" t="s">
        <v>469</v>
      </c>
      <c r="E651" t="s">
        <v>1821</v>
      </c>
      <c r="F651" s="1">
        <v>46077.395057870373</v>
      </c>
      <c r="G651" t="s">
        <v>355</v>
      </c>
      <c r="H651" t="s">
        <v>356</v>
      </c>
      <c r="I651" t="s">
        <v>3365</v>
      </c>
      <c r="J651" t="s">
        <v>1823</v>
      </c>
      <c r="K651" t="s">
        <v>1824</v>
      </c>
      <c r="M651" t="s">
        <v>131</v>
      </c>
      <c r="O651" t="s">
        <v>77</v>
      </c>
      <c r="P651" t="s">
        <v>78</v>
      </c>
      <c r="Q651" t="s">
        <v>50</v>
      </c>
      <c r="R651" t="s">
        <v>51</v>
      </c>
      <c r="S651" t="s">
        <v>52</v>
      </c>
      <c r="T651" t="s">
        <v>240</v>
      </c>
      <c r="U651" s="1">
        <v>46077.448287037034</v>
      </c>
      <c r="V651" t="s">
        <v>54</v>
      </c>
      <c r="W651" t="s">
        <v>55</v>
      </c>
      <c r="X651" t="s">
        <v>113</v>
      </c>
      <c r="Y651" t="s">
        <v>3366</v>
      </c>
      <c r="Z651" t="s">
        <v>58</v>
      </c>
      <c r="AA651" t="s">
        <v>54</v>
      </c>
      <c r="AB651" t="s">
        <v>1826</v>
      </c>
      <c r="AC651" t="s">
        <v>85</v>
      </c>
      <c r="AD651" t="s">
        <v>52</v>
      </c>
      <c r="AE651" t="s">
        <v>243</v>
      </c>
      <c r="AF651" t="s">
        <v>1470</v>
      </c>
      <c r="AG651" t="s">
        <v>58</v>
      </c>
      <c r="AH651" t="s">
        <v>1827</v>
      </c>
      <c r="AK651">
        <v>0</v>
      </c>
      <c r="AL651" t="s">
        <v>61</v>
      </c>
      <c r="AM651" t="s">
        <v>1828</v>
      </c>
      <c r="AN651" t="s">
        <v>1829</v>
      </c>
    </row>
    <row r="652" spans="1:40" x14ac:dyDescent="0.35">
      <c r="A652" t="s">
        <v>37</v>
      </c>
      <c r="B652" t="s">
        <v>3367</v>
      </c>
      <c r="C652" t="s">
        <v>102</v>
      </c>
      <c r="D652" t="s">
        <v>1698</v>
      </c>
      <c r="E652" t="s">
        <v>584</v>
      </c>
      <c r="F652" s="1">
        <v>46077.383067129631</v>
      </c>
      <c r="G652" t="s">
        <v>105</v>
      </c>
      <c r="H652" t="s">
        <v>106</v>
      </c>
      <c r="I652" t="s">
        <v>3368</v>
      </c>
      <c r="J652" t="s">
        <v>108</v>
      </c>
      <c r="K652" t="s">
        <v>109</v>
      </c>
      <c r="M652" t="s">
        <v>76</v>
      </c>
      <c r="O652" t="s">
        <v>77</v>
      </c>
      <c r="P652" t="s">
        <v>78</v>
      </c>
      <c r="Q652" t="s">
        <v>50</v>
      </c>
      <c r="R652" t="s">
        <v>111</v>
      </c>
      <c r="S652" t="s">
        <v>51</v>
      </c>
      <c r="T652" t="s">
        <v>112</v>
      </c>
      <c r="U652" s="1">
        <v>46077.509004629632</v>
      </c>
      <c r="V652" t="s">
        <v>54</v>
      </c>
      <c r="W652" t="s">
        <v>55</v>
      </c>
      <c r="X652" t="s">
        <v>134</v>
      </c>
      <c r="Y652" t="s">
        <v>3369</v>
      </c>
      <c r="Z652" t="s">
        <v>58</v>
      </c>
      <c r="AA652" t="s">
        <v>54</v>
      </c>
      <c r="AB652" t="s">
        <v>1701</v>
      </c>
      <c r="AC652" t="s">
        <v>85</v>
      </c>
      <c r="AD652" t="s">
        <v>116</v>
      </c>
      <c r="AE652" t="s">
        <v>117</v>
      </c>
      <c r="AF652" t="s">
        <v>144</v>
      </c>
      <c r="AG652" t="s">
        <v>58</v>
      </c>
      <c r="AK652">
        <v>1</v>
      </c>
      <c r="AL652" t="s">
        <v>61</v>
      </c>
      <c r="AM652" t="s">
        <v>1701</v>
      </c>
      <c r="AN652" t="s">
        <v>1702</v>
      </c>
    </row>
    <row r="653" spans="1:40" x14ac:dyDescent="0.35">
      <c r="A653" t="s">
        <v>37</v>
      </c>
      <c r="B653" t="s">
        <v>3370</v>
      </c>
      <c r="C653" t="s">
        <v>102</v>
      </c>
      <c r="D653" t="s">
        <v>1698</v>
      </c>
      <c r="E653" t="s">
        <v>584</v>
      </c>
      <c r="F653" s="1">
        <v>46077.383067129631</v>
      </c>
      <c r="G653" t="s">
        <v>105</v>
      </c>
      <c r="H653" t="s">
        <v>106</v>
      </c>
      <c r="I653" t="s">
        <v>3371</v>
      </c>
      <c r="J653" t="s">
        <v>108</v>
      </c>
      <c r="K653" t="s">
        <v>571</v>
      </c>
      <c r="M653" t="s">
        <v>76</v>
      </c>
      <c r="O653" t="s">
        <v>77</v>
      </c>
      <c r="P653" t="s">
        <v>78</v>
      </c>
      <c r="Q653" t="s">
        <v>50</v>
      </c>
      <c r="R653" t="s">
        <v>111</v>
      </c>
      <c r="S653" t="s">
        <v>51</v>
      </c>
      <c r="T653" t="s">
        <v>112</v>
      </c>
      <c r="U653" s="1">
        <v>46077.437384259261</v>
      </c>
      <c r="V653" t="s">
        <v>54</v>
      </c>
      <c r="W653" t="s">
        <v>55</v>
      </c>
      <c r="X653" t="s">
        <v>134</v>
      </c>
      <c r="Y653" t="s">
        <v>3372</v>
      </c>
      <c r="Z653" t="s">
        <v>58</v>
      </c>
      <c r="AA653" t="s">
        <v>54</v>
      </c>
      <c r="AB653" t="s">
        <v>1701</v>
      </c>
      <c r="AC653" t="s">
        <v>85</v>
      </c>
      <c r="AD653" t="s">
        <v>116</v>
      </c>
      <c r="AE653" t="s">
        <v>574</v>
      </c>
      <c r="AF653" t="s">
        <v>1706</v>
      </c>
      <c r="AG653" t="s">
        <v>58</v>
      </c>
      <c r="AK653">
        <v>1</v>
      </c>
      <c r="AL653" t="s">
        <v>61</v>
      </c>
      <c r="AM653" t="s">
        <v>1701</v>
      </c>
      <c r="AN653" t="s">
        <v>1702</v>
      </c>
    </row>
    <row r="654" spans="1:40" x14ac:dyDescent="0.35">
      <c r="A654" t="s">
        <v>37</v>
      </c>
      <c r="B654" t="s">
        <v>3373</v>
      </c>
      <c r="C654" t="s">
        <v>102</v>
      </c>
      <c r="D654" t="s">
        <v>1698</v>
      </c>
      <c r="E654" t="s">
        <v>584</v>
      </c>
      <c r="F654" s="1">
        <v>46077.366851851853</v>
      </c>
      <c r="G654" t="s">
        <v>105</v>
      </c>
      <c r="H654" t="s">
        <v>106</v>
      </c>
      <c r="I654" t="s">
        <v>1708</v>
      </c>
      <c r="J654" t="s">
        <v>108</v>
      </c>
      <c r="K654" t="s">
        <v>109</v>
      </c>
      <c r="M654" t="s">
        <v>76</v>
      </c>
      <c r="O654" t="s">
        <v>77</v>
      </c>
      <c r="P654" t="s">
        <v>78</v>
      </c>
      <c r="Q654" t="s">
        <v>50</v>
      </c>
      <c r="R654" t="s">
        <v>111</v>
      </c>
      <c r="S654" t="s">
        <v>51</v>
      </c>
      <c r="T654" t="s">
        <v>112</v>
      </c>
      <c r="U654" s="1">
        <v>46077.44326388889</v>
      </c>
      <c r="V654" t="s">
        <v>54</v>
      </c>
      <c r="W654" t="s">
        <v>55</v>
      </c>
      <c r="X654" t="s">
        <v>134</v>
      </c>
      <c r="Y654" t="s">
        <v>3374</v>
      </c>
      <c r="Z654" t="s">
        <v>58</v>
      </c>
      <c r="AA654" t="s">
        <v>54</v>
      </c>
      <c r="AB654" t="s">
        <v>1701</v>
      </c>
      <c r="AC654" t="s">
        <v>85</v>
      </c>
      <c r="AD654" t="s">
        <v>116</v>
      </c>
      <c r="AE654" t="s">
        <v>117</v>
      </c>
      <c r="AF654" t="s">
        <v>118</v>
      </c>
      <c r="AG654" t="s">
        <v>58</v>
      </c>
      <c r="AK654">
        <v>1</v>
      </c>
      <c r="AL654" t="s">
        <v>61</v>
      </c>
      <c r="AM654" t="s">
        <v>1701</v>
      </c>
      <c r="AN654" t="s">
        <v>1702</v>
      </c>
    </row>
    <row r="655" spans="1:40" x14ac:dyDescent="0.35">
      <c r="A655" t="s">
        <v>37</v>
      </c>
      <c r="B655" t="s">
        <v>3375</v>
      </c>
      <c r="C655" t="s">
        <v>39</v>
      </c>
      <c r="D655" t="s">
        <v>1751</v>
      </c>
      <c r="E655" t="s">
        <v>1316</v>
      </c>
      <c r="F655" s="1">
        <v>46077.355000000003</v>
      </c>
      <c r="G655" t="s">
        <v>1752</v>
      </c>
      <c r="H655" t="s">
        <v>447</v>
      </c>
      <c r="I655" t="s">
        <v>3376</v>
      </c>
      <c r="J655" t="s">
        <v>3377</v>
      </c>
      <c r="K655" t="s">
        <v>1755</v>
      </c>
      <c r="M655" t="s">
        <v>131</v>
      </c>
      <c r="O655" t="s">
        <v>77</v>
      </c>
      <c r="P655" t="s">
        <v>78</v>
      </c>
      <c r="Q655" t="s">
        <v>50</v>
      </c>
      <c r="R655" t="s">
        <v>51</v>
      </c>
      <c r="S655" t="s">
        <v>52</v>
      </c>
      <c r="T655" t="s">
        <v>773</v>
      </c>
      <c r="U655" s="1">
        <v>46078.474456018521</v>
      </c>
      <c r="V655" t="s">
        <v>54</v>
      </c>
      <c r="W655" t="s">
        <v>55</v>
      </c>
      <c r="X655" t="s">
        <v>134</v>
      </c>
      <c r="Y655" t="s">
        <v>3378</v>
      </c>
      <c r="Z655" t="s">
        <v>58</v>
      </c>
      <c r="AA655" t="s">
        <v>54</v>
      </c>
      <c r="AB655" t="s">
        <v>1757</v>
      </c>
      <c r="AC655" t="s">
        <v>85</v>
      </c>
      <c r="AD655" t="s">
        <v>52</v>
      </c>
      <c r="AE655" t="s">
        <v>243</v>
      </c>
      <c r="AF655" t="s">
        <v>409</v>
      </c>
      <c r="AG655" t="s">
        <v>58</v>
      </c>
      <c r="AK655">
        <v>1</v>
      </c>
      <c r="AL655" t="s">
        <v>61</v>
      </c>
      <c r="AM655" t="s">
        <v>1757</v>
      </c>
      <c r="AN655" t="s">
        <v>1758</v>
      </c>
    </row>
    <row r="656" spans="1:40" x14ac:dyDescent="0.35">
      <c r="A656" t="s">
        <v>37</v>
      </c>
      <c r="B656" t="s">
        <v>3379</v>
      </c>
      <c r="C656" t="s">
        <v>102</v>
      </c>
      <c r="D656" t="s">
        <v>1698</v>
      </c>
      <c r="E656" t="s">
        <v>584</v>
      </c>
      <c r="F656" s="1">
        <v>46077.352187500001</v>
      </c>
      <c r="G656" t="s">
        <v>105</v>
      </c>
      <c r="H656" t="s">
        <v>106</v>
      </c>
      <c r="I656" t="s">
        <v>3380</v>
      </c>
      <c r="J656" t="s">
        <v>108</v>
      </c>
      <c r="K656" t="s">
        <v>571</v>
      </c>
      <c r="M656" t="s">
        <v>76</v>
      </c>
      <c r="O656" t="s">
        <v>77</v>
      </c>
      <c r="P656" t="s">
        <v>78</v>
      </c>
      <c r="Q656" t="s">
        <v>50</v>
      </c>
      <c r="R656" t="s">
        <v>111</v>
      </c>
      <c r="S656" t="s">
        <v>51</v>
      </c>
      <c r="T656" t="s">
        <v>112</v>
      </c>
      <c r="U656" s="1">
        <v>46077.4378125</v>
      </c>
      <c r="V656" t="s">
        <v>54</v>
      </c>
      <c r="W656" t="s">
        <v>55</v>
      </c>
      <c r="X656" t="s">
        <v>134</v>
      </c>
      <c r="Y656" t="s">
        <v>3381</v>
      </c>
      <c r="Z656" t="s">
        <v>58</v>
      </c>
      <c r="AA656" t="s">
        <v>54</v>
      </c>
      <c r="AB656" t="s">
        <v>1701</v>
      </c>
      <c r="AC656" t="s">
        <v>85</v>
      </c>
      <c r="AD656" t="s">
        <v>116</v>
      </c>
      <c r="AE656" t="s">
        <v>574</v>
      </c>
      <c r="AF656" t="s">
        <v>1874</v>
      </c>
      <c r="AG656" t="s">
        <v>58</v>
      </c>
      <c r="AK656">
        <v>1</v>
      </c>
      <c r="AL656" t="s">
        <v>61</v>
      </c>
      <c r="AM656" t="s">
        <v>1701</v>
      </c>
      <c r="AN656" t="s">
        <v>1702</v>
      </c>
    </row>
    <row r="657" spans="1:40" x14ac:dyDescent="0.35">
      <c r="A657" t="s">
        <v>37</v>
      </c>
      <c r="B657" t="s">
        <v>3382</v>
      </c>
      <c r="C657" t="s">
        <v>39</v>
      </c>
      <c r="D657" t="s">
        <v>3383</v>
      </c>
      <c r="E657" t="s">
        <v>770</v>
      </c>
      <c r="F657" s="1">
        <v>46077.34170138889</v>
      </c>
      <c r="G657" t="s">
        <v>327</v>
      </c>
      <c r="H657" t="s">
        <v>72</v>
      </c>
      <c r="I657" t="s">
        <v>3384</v>
      </c>
      <c r="J657" t="s">
        <v>3257</v>
      </c>
      <c r="K657" t="s">
        <v>1834</v>
      </c>
      <c r="M657" t="s">
        <v>76</v>
      </c>
      <c r="O657" t="s">
        <v>77</v>
      </c>
      <c r="P657" t="s">
        <v>78</v>
      </c>
      <c r="Q657" t="s">
        <v>818</v>
      </c>
      <c r="R657" t="s">
        <v>51</v>
      </c>
      <c r="S657" t="s">
        <v>52</v>
      </c>
      <c r="T657" t="s">
        <v>240</v>
      </c>
      <c r="U657" s="1">
        <v>46077.578680555554</v>
      </c>
      <c r="V657" t="s">
        <v>54</v>
      </c>
      <c r="W657" t="s">
        <v>55</v>
      </c>
      <c r="X657" t="s">
        <v>134</v>
      </c>
      <c r="Y657" t="s">
        <v>3258</v>
      </c>
      <c r="Z657" t="s">
        <v>58</v>
      </c>
      <c r="AA657" t="s">
        <v>54</v>
      </c>
      <c r="AB657" t="s">
        <v>3259</v>
      </c>
      <c r="AC657" t="s">
        <v>85</v>
      </c>
      <c r="AD657" t="s">
        <v>52</v>
      </c>
      <c r="AE657" t="s">
        <v>243</v>
      </c>
      <c r="AF657" t="s">
        <v>1470</v>
      </c>
      <c r="AG657" t="s">
        <v>58</v>
      </c>
      <c r="AH657">
        <v>8625</v>
      </c>
      <c r="AK657">
        <v>0</v>
      </c>
      <c r="AL657" t="s">
        <v>61</v>
      </c>
      <c r="AM657" t="s">
        <v>3385</v>
      </c>
      <c r="AN657" t="s">
        <v>3386</v>
      </c>
    </row>
    <row r="658" spans="1:40" x14ac:dyDescent="0.35">
      <c r="A658" t="s">
        <v>37</v>
      </c>
      <c r="B658" t="s">
        <v>3387</v>
      </c>
      <c r="C658" t="s">
        <v>102</v>
      </c>
      <c r="D658" t="s">
        <v>1698</v>
      </c>
      <c r="E658" t="s">
        <v>584</v>
      </c>
      <c r="F658" s="1">
        <v>46077.33871527778</v>
      </c>
      <c r="G658" t="s">
        <v>105</v>
      </c>
      <c r="H658" t="s">
        <v>106</v>
      </c>
      <c r="I658" t="s">
        <v>1949</v>
      </c>
      <c r="J658" t="s">
        <v>108</v>
      </c>
      <c r="K658" t="s">
        <v>571</v>
      </c>
      <c r="M658" t="s">
        <v>76</v>
      </c>
      <c r="O658" t="s">
        <v>77</v>
      </c>
      <c r="P658" t="s">
        <v>78</v>
      </c>
      <c r="Q658" t="s">
        <v>50</v>
      </c>
      <c r="R658" t="s">
        <v>111</v>
      </c>
      <c r="S658" t="s">
        <v>51</v>
      </c>
      <c r="T658" t="s">
        <v>112</v>
      </c>
      <c r="U658" s="1">
        <v>46077.362222222226</v>
      </c>
      <c r="V658" t="s">
        <v>54</v>
      </c>
      <c r="W658" t="s">
        <v>55</v>
      </c>
      <c r="X658" t="s">
        <v>134</v>
      </c>
      <c r="Y658" t="s">
        <v>1923</v>
      </c>
      <c r="Z658" t="s">
        <v>58</v>
      </c>
      <c r="AA658" t="s">
        <v>54</v>
      </c>
      <c r="AB658" t="s">
        <v>1701</v>
      </c>
      <c r="AC658" t="s">
        <v>85</v>
      </c>
      <c r="AD658" t="s">
        <v>116</v>
      </c>
      <c r="AE658" t="s">
        <v>574</v>
      </c>
      <c r="AF658" t="s">
        <v>144</v>
      </c>
      <c r="AG658" t="s">
        <v>58</v>
      </c>
      <c r="AK658">
        <v>1</v>
      </c>
      <c r="AL658" t="s">
        <v>61</v>
      </c>
      <c r="AM658" t="s">
        <v>1701</v>
      </c>
      <c r="AN658" t="s">
        <v>1702</v>
      </c>
    </row>
    <row r="659" spans="1:40" x14ac:dyDescent="0.35">
      <c r="A659" t="s">
        <v>37</v>
      </c>
      <c r="B659" t="s">
        <v>3388</v>
      </c>
      <c r="C659" t="s">
        <v>39</v>
      </c>
      <c r="D659" t="s">
        <v>1751</v>
      </c>
      <c r="E659" t="s">
        <v>1316</v>
      </c>
      <c r="F659" s="1">
        <v>46077.33871527778</v>
      </c>
      <c r="G659" t="s">
        <v>1752</v>
      </c>
      <c r="H659" t="s">
        <v>447</v>
      </c>
      <c r="I659" t="s">
        <v>3389</v>
      </c>
      <c r="J659" t="s">
        <v>3377</v>
      </c>
      <c r="K659" t="s">
        <v>1755</v>
      </c>
      <c r="M659" t="s">
        <v>131</v>
      </c>
      <c r="O659" t="s">
        <v>77</v>
      </c>
      <c r="P659" t="s">
        <v>78</v>
      </c>
      <c r="Q659" t="s">
        <v>50</v>
      </c>
      <c r="R659" t="s">
        <v>51</v>
      </c>
      <c r="S659" t="s">
        <v>52</v>
      </c>
      <c r="T659" t="s">
        <v>773</v>
      </c>
      <c r="U659" s="1">
        <v>46078.473692129628</v>
      </c>
      <c r="V659" t="s">
        <v>54</v>
      </c>
      <c r="W659" t="s">
        <v>55</v>
      </c>
      <c r="X659" t="s">
        <v>134</v>
      </c>
      <c r="Y659" t="s">
        <v>3390</v>
      </c>
      <c r="Z659" t="s">
        <v>58</v>
      </c>
      <c r="AA659" t="s">
        <v>54</v>
      </c>
      <c r="AB659" t="s">
        <v>1757</v>
      </c>
      <c r="AC659" t="s">
        <v>85</v>
      </c>
      <c r="AD659" t="s">
        <v>52</v>
      </c>
      <c r="AE659" t="s">
        <v>243</v>
      </c>
      <c r="AF659" t="s">
        <v>244</v>
      </c>
      <c r="AG659" t="s">
        <v>58</v>
      </c>
      <c r="AK659">
        <v>1</v>
      </c>
      <c r="AL659" t="s">
        <v>61</v>
      </c>
      <c r="AM659" t="s">
        <v>1757</v>
      </c>
      <c r="AN659" t="s">
        <v>1758</v>
      </c>
    </row>
    <row r="660" spans="1:40" x14ac:dyDescent="0.35">
      <c r="A660" t="s">
        <v>37</v>
      </c>
      <c r="B660" t="s">
        <v>3391</v>
      </c>
      <c r="C660" t="s">
        <v>102</v>
      </c>
      <c r="D660" t="s">
        <v>1698</v>
      </c>
      <c r="E660" t="s">
        <v>584</v>
      </c>
      <c r="F660" s="1">
        <v>46077.33871527778</v>
      </c>
      <c r="G660" t="s">
        <v>105</v>
      </c>
      <c r="H660" t="s">
        <v>106</v>
      </c>
      <c r="I660" t="s">
        <v>1841</v>
      </c>
      <c r="J660" t="s">
        <v>108</v>
      </c>
      <c r="K660" t="s">
        <v>109</v>
      </c>
      <c r="M660" t="s">
        <v>76</v>
      </c>
      <c r="O660" t="s">
        <v>77</v>
      </c>
      <c r="P660" t="s">
        <v>78</v>
      </c>
      <c r="Q660" t="s">
        <v>50</v>
      </c>
      <c r="R660" t="s">
        <v>111</v>
      </c>
      <c r="S660" t="s">
        <v>51</v>
      </c>
      <c r="T660" t="s">
        <v>112</v>
      </c>
      <c r="U660" s="1">
        <v>46077.362604166665</v>
      </c>
      <c r="V660" t="s">
        <v>54</v>
      </c>
      <c r="W660" t="s">
        <v>55</v>
      </c>
      <c r="X660" t="s">
        <v>134</v>
      </c>
      <c r="Y660" t="s">
        <v>3392</v>
      </c>
      <c r="Z660" t="s">
        <v>58</v>
      </c>
      <c r="AA660" t="s">
        <v>54</v>
      </c>
      <c r="AB660" t="s">
        <v>1701</v>
      </c>
      <c r="AC660" t="s">
        <v>85</v>
      </c>
      <c r="AD660" t="s">
        <v>116</v>
      </c>
      <c r="AE660" t="s">
        <v>117</v>
      </c>
      <c r="AF660" t="s">
        <v>1706</v>
      </c>
      <c r="AG660" t="s">
        <v>58</v>
      </c>
      <c r="AK660">
        <v>1</v>
      </c>
      <c r="AL660" t="s">
        <v>61</v>
      </c>
      <c r="AM660" t="s">
        <v>1701</v>
      </c>
      <c r="AN660" t="s">
        <v>1702</v>
      </c>
    </row>
    <row r="661" spans="1:40" x14ac:dyDescent="0.35">
      <c r="A661" t="s">
        <v>37</v>
      </c>
      <c r="B661" t="s">
        <v>3393</v>
      </c>
      <c r="C661" t="s">
        <v>39</v>
      </c>
      <c r="D661" t="s">
        <v>3394</v>
      </c>
      <c r="E661" t="s">
        <v>3395</v>
      </c>
      <c r="F661" s="1">
        <v>46077.33871527778</v>
      </c>
      <c r="G661" t="s">
        <v>3396</v>
      </c>
      <c r="H661" t="s">
        <v>106</v>
      </c>
      <c r="I661" t="s">
        <v>3397</v>
      </c>
      <c r="J661" t="s">
        <v>3257</v>
      </c>
      <c r="K661" t="s">
        <v>1834</v>
      </c>
      <c r="M661" t="s">
        <v>76</v>
      </c>
      <c r="O661" t="s">
        <v>77</v>
      </c>
      <c r="P661" t="s">
        <v>78</v>
      </c>
      <c r="Q661" t="s">
        <v>3398</v>
      </c>
      <c r="R661" t="s">
        <v>51</v>
      </c>
      <c r="S661" t="s">
        <v>52</v>
      </c>
      <c r="T661" t="s">
        <v>240</v>
      </c>
      <c r="U661" s="1">
        <v>46077.578761574077</v>
      </c>
      <c r="V661" t="s">
        <v>54</v>
      </c>
      <c r="W661" t="s">
        <v>55</v>
      </c>
      <c r="X661" t="s">
        <v>134</v>
      </c>
      <c r="Y661" t="s">
        <v>3258</v>
      </c>
      <c r="Z661" t="s">
        <v>58</v>
      </c>
      <c r="AA661" t="s">
        <v>54</v>
      </c>
      <c r="AB661" t="s">
        <v>3259</v>
      </c>
      <c r="AC661" t="s">
        <v>85</v>
      </c>
      <c r="AD661" t="s">
        <v>52</v>
      </c>
      <c r="AE661" t="s">
        <v>243</v>
      </c>
      <c r="AF661" t="s">
        <v>1470</v>
      </c>
      <c r="AG661" t="s">
        <v>58</v>
      </c>
      <c r="AH661">
        <v>2606</v>
      </c>
      <c r="AK661">
        <v>0</v>
      </c>
      <c r="AL661" t="s">
        <v>61</v>
      </c>
      <c r="AM661" t="s">
        <v>3399</v>
      </c>
      <c r="AN661" t="s">
        <v>3400</v>
      </c>
    </row>
    <row r="662" spans="1:40" x14ac:dyDescent="0.35">
      <c r="A662" t="s">
        <v>37</v>
      </c>
      <c r="B662" t="s">
        <v>3401</v>
      </c>
      <c r="C662" t="s">
        <v>102</v>
      </c>
      <c r="D662" t="s">
        <v>1698</v>
      </c>
      <c r="E662" t="s">
        <v>584</v>
      </c>
      <c r="F662" s="1">
        <v>46077.332418981481</v>
      </c>
      <c r="G662" t="s">
        <v>105</v>
      </c>
      <c r="H662" t="s">
        <v>106</v>
      </c>
      <c r="I662" t="s">
        <v>3402</v>
      </c>
      <c r="J662" t="s">
        <v>108</v>
      </c>
      <c r="K662" t="s">
        <v>341</v>
      </c>
      <c r="M662" t="s">
        <v>76</v>
      </c>
      <c r="O662" t="s">
        <v>77</v>
      </c>
      <c r="P662" t="s">
        <v>78</v>
      </c>
      <c r="Q662" t="s">
        <v>50</v>
      </c>
      <c r="R662" t="s">
        <v>111</v>
      </c>
      <c r="S662" t="s">
        <v>51</v>
      </c>
      <c r="T662" t="s">
        <v>112</v>
      </c>
      <c r="U662" s="1">
        <v>46077.436701388891</v>
      </c>
      <c r="V662" t="s">
        <v>54</v>
      </c>
      <c r="X662" t="s">
        <v>134</v>
      </c>
      <c r="Y662" t="s">
        <v>3403</v>
      </c>
      <c r="Z662" t="s">
        <v>58</v>
      </c>
      <c r="AA662" t="s">
        <v>54</v>
      </c>
      <c r="AB662" t="s">
        <v>1701</v>
      </c>
      <c r="AC662" t="s">
        <v>85</v>
      </c>
      <c r="AD662" t="s">
        <v>116</v>
      </c>
      <c r="AE662" t="s">
        <v>117</v>
      </c>
      <c r="AF662" t="s">
        <v>1740</v>
      </c>
      <c r="AG662" t="s">
        <v>58</v>
      </c>
      <c r="AK662">
        <v>1</v>
      </c>
      <c r="AL662" t="s">
        <v>61</v>
      </c>
      <c r="AM662" t="s">
        <v>1701</v>
      </c>
      <c r="AN662" t="s">
        <v>1702</v>
      </c>
    </row>
    <row r="663" spans="1:40" x14ac:dyDescent="0.35">
      <c r="A663" t="s">
        <v>37</v>
      </c>
      <c r="B663" t="s">
        <v>3404</v>
      </c>
      <c r="C663" t="s">
        <v>102</v>
      </c>
      <c r="D663" t="s">
        <v>1698</v>
      </c>
      <c r="E663" t="s">
        <v>584</v>
      </c>
      <c r="F663" s="1">
        <v>46077.320555555554</v>
      </c>
      <c r="G663" t="s">
        <v>105</v>
      </c>
      <c r="H663" t="s">
        <v>106</v>
      </c>
      <c r="I663" t="s">
        <v>3405</v>
      </c>
      <c r="J663" t="s">
        <v>108</v>
      </c>
      <c r="K663" t="s">
        <v>109</v>
      </c>
      <c r="M663" t="s">
        <v>76</v>
      </c>
      <c r="O663" t="s">
        <v>77</v>
      </c>
      <c r="P663" t="s">
        <v>78</v>
      </c>
      <c r="Q663" t="s">
        <v>50</v>
      </c>
      <c r="R663" t="s">
        <v>111</v>
      </c>
      <c r="S663" t="s">
        <v>51</v>
      </c>
      <c r="T663" t="s">
        <v>112</v>
      </c>
      <c r="U663" s="1">
        <v>46077.442013888889</v>
      </c>
      <c r="V663" t="s">
        <v>54</v>
      </c>
      <c r="W663" t="s">
        <v>55</v>
      </c>
      <c r="X663" t="s">
        <v>134</v>
      </c>
      <c r="Y663" t="s">
        <v>3406</v>
      </c>
      <c r="Z663" t="s">
        <v>58</v>
      </c>
      <c r="AA663" t="s">
        <v>54</v>
      </c>
      <c r="AB663" t="s">
        <v>1701</v>
      </c>
      <c r="AC663" t="s">
        <v>85</v>
      </c>
      <c r="AD663" t="s">
        <v>116</v>
      </c>
      <c r="AE663" t="s">
        <v>117</v>
      </c>
      <c r="AF663" t="s">
        <v>1706</v>
      </c>
      <c r="AG663" t="s">
        <v>58</v>
      </c>
      <c r="AK663">
        <v>1</v>
      </c>
      <c r="AL663" t="s">
        <v>61</v>
      </c>
      <c r="AM663" t="s">
        <v>1701</v>
      </c>
      <c r="AN663" t="s">
        <v>1702</v>
      </c>
    </row>
    <row r="664" spans="1:40" x14ac:dyDescent="0.35">
      <c r="A664" t="s">
        <v>37</v>
      </c>
      <c r="B664" t="s">
        <v>3407</v>
      </c>
      <c r="C664" t="s">
        <v>102</v>
      </c>
      <c r="D664" t="s">
        <v>1698</v>
      </c>
      <c r="E664" t="s">
        <v>584</v>
      </c>
      <c r="F664" s="1">
        <v>46077.314930555556</v>
      </c>
      <c r="G664" t="s">
        <v>105</v>
      </c>
      <c r="H664" t="s">
        <v>106</v>
      </c>
      <c r="I664" t="s">
        <v>340</v>
      </c>
      <c r="J664" t="s">
        <v>108</v>
      </c>
      <c r="K664" t="s">
        <v>341</v>
      </c>
      <c r="M664" t="s">
        <v>76</v>
      </c>
      <c r="O664" t="s">
        <v>77</v>
      </c>
      <c r="P664" t="s">
        <v>78</v>
      </c>
      <c r="Q664" t="s">
        <v>50</v>
      </c>
      <c r="R664" t="s">
        <v>111</v>
      </c>
      <c r="S664" t="s">
        <v>51</v>
      </c>
      <c r="T664" t="s">
        <v>112</v>
      </c>
      <c r="U664" s="1">
        <v>46077.734976851854</v>
      </c>
      <c r="V664" t="s">
        <v>54</v>
      </c>
      <c r="X664" t="s">
        <v>134</v>
      </c>
      <c r="Y664" t="s">
        <v>3408</v>
      </c>
      <c r="Z664" t="s">
        <v>58</v>
      </c>
      <c r="AA664" t="s">
        <v>54</v>
      </c>
      <c r="AB664" t="s">
        <v>1701</v>
      </c>
      <c r="AC664" t="s">
        <v>85</v>
      </c>
      <c r="AD664" t="s">
        <v>116</v>
      </c>
      <c r="AE664" t="s">
        <v>117</v>
      </c>
      <c r="AF664" t="s">
        <v>1740</v>
      </c>
      <c r="AG664" t="s">
        <v>58</v>
      </c>
      <c r="AK664">
        <v>1</v>
      </c>
      <c r="AL664" t="s">
        <v>61</v>
      </c>
      <c r="AM664" t="s">
        <v>1701</v>
      </c>
      <c r="AN664" t="s">
        <v>1702</v>
      </c>
    </row>
    <row r="665" spans="1:40" x14ac:dyDescent="0.35">
      <c r="A665" t="s">
        <v>37</v>
      </c>
      <c r="B665" t="s">
        <v>3409</v>
      </c>
      <c r="C665" t="s">
        <v>102</v>
      </c>
      <c r="D665" t="s">
        <v>1698</v>
      </c>
      <c r="E665" t="s">
        <v>584</v>
      </c>
      <c r="F665" s="1">
        <v>46077.300995370373</v>
      </c>
      <c r="G665" t="s">
        <v>105</v>
      </c>
      <c r="H665" t="s">
        <v>106</v>
      </c>
      <c r="I665" t="s">
        <v>1898</v>
      </c>
      <c r="J665" t="s">
        <v>108</v>
      </c>
      <c r="K665" t="s">
        <v>109</v>
      </c>
      <c r="M665" t="s">
        <v>76</v>
      </c>
      <c r="O665" t="s">
        <v>77</v>
      </c>
      <c r="P665" t="s">
        <v>78</v>
      </c>
      <c r="Q665" t="s">
        <v>50</v>
      </c>
      <c r="R665" t="s">
        <v>111</v>
      </c>
      <c r="S665" t="s">
        <v>51</v>
      </c>
      <c r="T665" t="s">
        <v>112</v>
      </c>
      <c r="U665" s="1">
        <v>46077.439641203702</v>
      </c>
      <c r="V665" t="s">
        <v>54</v>
      </c>
      <c r="W665" t="s">
        <v>55</v>
      </c>
      <c r="X665" t="s">
        <v>134</v>
      </c>
      <c r="Y665" t="s">
        <v>3410</v>
      </c>
      <c r="Z665" t="s">
        <v>58</v>
      </c>
      <c r="AA665" t="s">
        <v>54</v>
      </c>
      <c r="AB665" t="s">
        <v>1701</v>
      </c>
      <c r="AC665" t="s">
        <v>85</v>
      </c>
      <c r="AD665" t="s">
        <v>116</v>
      </c>
      <c r="AE665" t="s">
        <v>117</v>
      </c>
      <c r="AF665" t="s">
        <v>1724</v>
      </c>
      <c r="AG665" t="s">
        <v>58</v>
      </c>
      <c r="AK665">
        <v>1</v>
      </c>
      <c r="AL665" t="s">
        <v>61</v>
      </c>
      <c r="AM665" t="s">
        <v>1701</v>
      </c>
      <c r="AN665" t="s">
        <v>1702</v>
      </c>
    </row>
    <row r="666" spans="1:40" x14ac:dyDescent="0.35">
      <c r="A666" t="s">
        <v>37</v>
      </c>
      <c r="B666" t="s">
        <v>3411</v>
      </c>
      <c r="C666" t="s">
        <v>102</v>
      </c>
      <c r="D666" t="s">
        <v>1698</v>
      </c>
      <c r="E666" t="s">
        <v>584</v>
      </c>
      <c r="F666" s="1">
        <v>46077.298171296294</v>
      </c>
      <c r="G666" t="s">
        <v>105</v>
      </c>
      <c r="H666" t="s">
        <v>106</v>
      </c>
      <c r="I666" t="s">
        <v>3412</v>
      </c>
      <c r="J666" t="s">
        <v>108</v>
      </c>
      <c r="K666" t="s">
        <v>571</v>
      </c>
      <c r="M666" t="s">
        <v>76</v>
      </c>
      <c r="O666" t="s">
        <v>77</v>
      </c>
      <c r="P666" t="s">
        <v>78</v>
      </c>
      <c r="Q666" t="s">
        <v>50</v>
      </c>
      <c r="R666" t="s">
        <v>111</v>
      </c>
      <c r="S666" t="s">
        <v>51</v>
      </c>
      <c r="T666" t="s">
        <v>112</v>
      </c>
      <c r="U666" s="1">
        <v>46077.438680555555</v>
      </c>
      <c r="V666" t="s">
        <v>54</v>
      </c>
      <c r="W666" t="s">
        <v>55</v>
      </c>
      <c r="X666" t="s">
        <v>134</v>
      </c>
      <c r="Y666" t="s">
        <v>1923</v>
      </c>
      <c r="Z666" t="s">
        <v>58</v>
      </c>
      <c r="AA666" t="s">
        <v>54</v>
      </c>
      <c r="AB666" t="s">
        <v>1701</v>
      </c>
      <c r="AC666" t="s">
        <v>85</v>
      </c>
      <c r="AD666" t="s">
        <v>116</v>
      </c>
      <c r="AE666" t="s">
        <v>574</v>
      </c>
      <c r="AF666" t="s">
        <v>144</v>
      </c>
      <c r="AG666" t="s">
        <v>58</v>
      </c>
      <c r="AK666">
        <v>1</v>
      </c>
      <c r="AL666" t="s">
        <v>61</v>
      </c>
      <c r="AM666" t="s">
        <v>1701</v>
      </c>
      <c r="AN666" t="s">
        <v>1702</v>
      </c>
    </row>
    <row r="667" spans="1:40" x14ac:dyDescent="0.35">
      <c r="A667" t="s">
        <v>37</v>
      </c>
      <c r="B667" t="s">
        <v>3413</v>
      </c>
      <c r="C667" t="s">
        <v>102</v>
      </c>
      <c r="D667" t="s">
        <v>1698</v>
      </c>
      <c r="E667" t="s">
        <v>584</v>
      </c>
      <c r="F667" s="1">
        <v>46077.287627314814</v>
      </c>
      <c r="G667" t="s">
        <v>105</v>
      </c>
      <c r="H667" t="s">
        <v>106</v>
      </c>
      <c r="I667" t="s">
        <v>3414</v>
      </c>
      <c r="J667" t="s">
        <v>108</v>
      </c>
      <c r="K667" t="s">
        <v>341</v>
      </c>
      <c r="M667" t="s">
        <v>76</v>
      </c>
      <c r="O667" t="s">
        <v>77</v>
      </c>
      <c r="P667" t="s">
        <v>78</v>
      </c>
      <c r="Q667" t="s">
        <v>50</v>
      </c>
      <c r="R667" t="s">
        <v>111</v>
      </c>
      <c r="S667" t="s">
        <v>51</v>
      </c>
      <c r="T667" t="s">
        <v>112</v>
      </c>
      <c r="U667" s="1">
        <v>46077.51221064815</v>
      </c>
      <c r="V667" t="s">
        <v>54</v>
      </c>
      <c r="X667" t="s">
        <v>134</v>
      </c>
      <c r="Y667" t="s">
        <v>3347</v>
      </c>
      <c r="Z667" t="s">
        <v>58</v>
      </c>
      <c r="AA667" t="s">
        <v>54</v>
      </c>
      <c r="AB667" t="s">
        <v>1701</v>
      </c>
      <c r="AC667" t="s">
        <v>85</v>
      </c>
      <c r="AD667" t="s">
        <v>116</v>
      </c>
      <c r="AE667" t="s">
        <v>117</v>
      </c>
      <c r="AF667" t="s">
        <v>1740</v>
      </c>
      <c r="AG667" t="s">
        <v>58</v>
      </c>
      <c r="AK667">
        <v>1</v>
      </c>
      <c r="AL667" t="s">
        <v>61</v>
      </c>
      <c r="AM667" t="s">
        <v>1701</v>
      </c>
      <c r="AN667" t="s">
        <v>1702</v>
      </c>
    </row>
    <row r="668" spans="1:40" x14ac:dyDescent="0.35">
      <c r="A668" t="s">
        <v>37</v>
      </c>
      <c r="B668" t="s">
        <v>3415</v>
      </c>
      <c r="C668" t="s">
        <v>102</v>
      </c>
      <c r="D668" t="s">
        <v>1698</v>
      </c>
      <c r="E668" t="s">
        <v>584</v>
      </c>
      <c r="F668" s="1">
        <v>46077.230243055557</v>
      </c>
      <c r="G668" t="s">
        <v>105</v>
      </c>
      <c r="H668" t="s">
        <v>106</v>
      </c>
      <c r="I668" t="s">
        <v>1913</v>
      </c>
      <c r="J668" t="s">
        <v>108</v>
      </c>
      <c r="K668" t="s">
        <v>109</v>
      </c>
      <c r="M668" t="s">
        <v>76</v>
      </c>
      <c r="O668" t="s">
        <v>77</v>
      </c>
      <c r="P668" t="s">
        <v>78</v>
      </c>
      <c r="Q668" t="s">
        <v>50</v>
      </c>
      <c r="R668" t="s">
        <v>111</v>
      </c>
      <c r="S668" t="s">
        <v>51</v>
      </c>
      <c r="T668" t="s">
        <v>112</v>
      </c>
      <c r="U668" s="1">
        <v>46077.441504629627</v>
      </c>
      <c r="V668" t="s">
        <v>54</v>
      </c>
      <c r="W668" t="s">
        <v>55</v>
      </c>
      <c r="X668" t="s">
        <v>134</v>
      </c>
      <c r="Y668" t="s">
        <v>3416</v>
      </c>
      <c r="Z668" t="s">
        <v>58</v>
      </c>
      <c r="AA668" t="s">
        <v>54</v>
      </c>
      <c r="AB668" t="s">
        <v>1701</v>
      </c>
      <c r="AC668" t="s">
        <v>85</v>
      </c>
      <c r="AD668" t="s">
        <v>116</v>
      </c>
      <c r="AE668" t="s">
        <v>117</v>
      </c>
      <c r="AF668" t="s">
        <v>1724</v>
      </c>
      <c r="AG668" t="s">
        <v>58</v>
      </c>
      <c r="AK668">
        <v>1</v>
      </c>
      <c r="AL668" t="s">
        <v>61</v>
      </c>
      <c r="AM668" t="s">
        <v>1701</v>
      </c>
      <c r="AN668" t="s">
        <v>1702</v>
      </c>
    </row>
    <row r="669" spans="1:40" x14ac:dyDescent="0.35">
      <c r="A669" t="s">
        <v>37</v>
      </c>
      <c r="B669" t="s">
        <v>3417</v>
      </c>
      <c r="C669" t="s">
        <v>102</v>
      </c>
      <c r="D669" t="s">
        <v>1698</v>
      </c>
      <c r="E669" t="s">
        <v>584</v>
      </c>
      <c r="F669" s="1">
        <v>46077.230243055557</v>
      </c>
      <c r="G669" t="s">
        <v>105</v>
      </c>
      <c r="H669" t="s">
        <v>106</v>
      </c>
      <c r="I669" t="s">
        <v>3418</v>
      </c>
      <c r="J669" t="s">
        <v>108</v>
      </c>
      <c r="K669" t="s">
        <v>109</v>
      </c>
      <c r="M669" t="s">
        <v>76</v>
      </c>
      <c r="O669" t="s">
        <v>77</v>
      </c>
      <c r="P669" t="s">
        <v>78</v>
      </c>
      <c r="Q669" t="s">
        <v>50</v>
      </c>
      <c r="R669" t="s">
        <v>111</v>
      </c>
      <c r="S669" t="s">
        <v>51</v>
      </c>
      <c r="T669" t="s">
        <v>112</v>
      </c>
      <c r="U669" s="1">
        <v>46077.362916666665</v>
      </c>
      <c r="V669" t="s">
        <v>54</v>
      </c>
      <c r="W669" t="s">
        <v>55</v>
      </c>
      <c r="X669" t="s">
        <v>134</v>
      </c>
      <c r="Y669" t="s">
        <v>3419</v>
      </c>
      <c r="Z669" t="s">
        <v>58</v>
      </c>
      <c r="AA669" t="s">
        <v>54</v>
      </c>
      <c r="AB669" t="s">
        <v>1701</v>
      </c>
      <c r="AC669" t="s">
        <v>85</v>
      </c>
      <c r="AD669" t="s">
        <v>116</v>
      </c>
      <c r="AE669" t="s">
        <v>117</v>
      </c>
      <c r="AF669" t="s">
        <v>118</v>
      </c>
      <c r="AG669" t="s">
        <v>58</v>
      </c>
      <c r="AK669">
        <v>1</v>
      </c>
      <c r="AL669" t="s">
        <v>61</v>
      </c>
      <c r="AM669" t="s">
        <v>1701</v>
      </c>
      <c r="AN669" t="s">
        <v>1702</v>
      </c>
    </row>
    <row r="670" spans="1:40" x14ac:dyDescent="0.35">
      <c r="A670" t="s">
        <v>37</v>
      </c>
      <c r="B670" t="s">
        <v>3420</v>
      </c>
      <c r="C670" t="s">
        <v>39</v>
      </c>
      <c r="D670" t="s">
        <v>3421</v>
      </c>
      <c r="E670" t="s">
        <v>3422</v>
      </c>
      <c r="F670" s="1">
        <v>46077.336921296293</v>
      </c>
      <c r="G670" t="s">
        <v>250</v>
      </c>
      <c r="H670" t="s">
        <v>106</v>
      </c>
      <c r="I670" t="s">
        <v>171</v>
      </c>
      <c r="J670" t="s">
        <v>3423</v>
      </c>
      <c r="K670" t="s">
        <v>75</v>
      </c>
      <c r="M670" t="s">
        <v>76</v>
      </c>
      <c r="O670" t="s">
        <v>77</v>
      </c>
      <c r="P670" t="s">
        <v>78</v>
      </c>
      <c r="Q670" t="s">
        <v>50</v>
      </c>
      <c r="R670" t="s">
        <v>79</v>
      </c>
      <c r="S670" t="s">
        <v>172</v>
      </c>
      <c r="T670" t="s">
        <v>173</v>
      </c>
      <c r="U670" s="1">
        <v>46077.337060185186</v>
      </c>
      <c r="V670" t="s">
        <v>54</v>
      </c>
      <c r="W670" t="s">
        <v>55</v>
      </c>
      <c r="X670" t="s">
        <v>82</v>
      </c>
      <c r="Y670" t="s">
        <v>3424</v>
      </c>
      <c r="Z670" t="s">
        <v>58</v>
      </c>
      <c r="AA670" t="s">
        <v>54</v>
      </c>
      <c r="AB670" t="s">
        <v>3425</v>
      </c>
      <c r="AC670" t="s">
        <v>85</v>
      </c>
      <c r="AD670" t="s">
        <v>79</v>
      </c>
      <c r="AE670" t="s">
        <v>172</v>
      </c>
      <c r="AF670" t="s">
        <v>173</v>
      </c>
      <c r="AG670" t="s">
        <v>58</v>
      </c>
      <c r="AK670">
        <v>0</v>
      </c>
      <c r="AL670" t="s">
        <v>61</v>
      </c>
      <c r="AM670" t="s">
        <v>3426</v>
      </c>
      <c r="AN670" t="s">
        <v>3427</v>
      </c>
    </row>
    <row r="671" spans="1:40" x14ac:dyDescent="0.35">
      <c r="A671" t="s">
        <v>37</v>
      </c>
      <c r="B671" t="s">
        <v>3428</v>
      </c>
      <c r="C671" t="s">
        <v>39</v>
      </c>
      <c r="D671" t="s">
        <v>469</v>
      </c>
      <c r="E671" t="s">
        <v>3429</v>
      </c>
      <c r="F671" s="1">
        <v>46077.336365740739</v>
      </c>
      <c r="G671" t="s">
        <v>855</v>
      </c>
      <c r="H671" t="s">
        <v>447</v>
      </c>
      <c r="I671" t="s">
        <v>2746</v>
      </c>
      <c r="J671" t="s">
        <v>1555</v>
      </c>
      <c r="K671" t="s">
        <v>951</v>
      </c>
      <c r="M671" t="s">
        <v>76</v>
      </c>
      <c r="O671" t="s">
        <v>77</v>
      </c>
      <c r="P671" t="s">
        <v>78</v>
      </c>
      <c r="Q671" t="s">
        <v>50</v>
      </c>
      <c r="R671" t="s">
        <v>305</v>
      </c>
      <c r="S671" t="s">
        <v>306</v>
      </c>
      <c r="T671" t="s">
        <v>307</v>
      </c>
      <c r="U671" s="1">
        <v>46078.454710648148</v>
      </c>
      <c r="V671" t="s">
        <v>54</v>
      </c>
      <c r="W671" t="s">
        <v>55</v>
      </c>
      <c r="X671" t="s">
        <v>211</v>
      </c>
      <c r="Y671" t="s">
        <v>3430</v>
      </c>
      <c r="Z671" t="s">
        <v>58</v>
      </c>
      <c r="AA671" t="s">
        <v>54</v>
      </c>
      <c r="AB671" t="s">
        <v>213</v>
      </c>
      <c r="AC671" t="s">
        <v>85</v>
      </c>
      <c r="AD671" t="s">
        <v>79</v>
      </c>
      <c r="AE671" t="s">
        <v>955</v>
      </c>
      <c r="AF671" t="s">
        <v>2460</v>
      </c>
      <c r="AG671" t="s">
        <v>58</v>
      </c>
      <c r="AH671">
        <v>15620</v>
      </c>
      <c r="AK671">
        <v>2</v>
      </c>
      <c r="AL671" t="s">
        <v>61</v>
      </c>
      <c r="AM671" t="s">
        <v>3431</v>
      </c>
      <c r="AN671" t="s">
        <v>3432</v>
      </c>
    </row>
    <row r="672" spans="1:40" x14ac:dyDescent="0.35">
      <c r="A672" t="s">
        <v>37</v>
      </c>
      <c r="B672" t="s">
        <v>3433</v>
      </c>
      <c r="C672" t="s">
        <v>39</v>
      </c>
      <c r="D672" t="s">
        <v>325</v>
      </c>
      <c r="E672" t="s">
        <v>3434</v>
      </c>
      <c r="F672" s="1">
        <v>46077.335347222222</v>
      </c>
      <c r="G672" t="s">
        <v>855</v>
      </c>
      <c r="H672" t="s">
        <v>447</v>
      </c>
      <c r="I672" t="s">
        <v>1446</v>
      </c>
      <c r="J672" t="s">
        <v>1186</v>
      </c>
      <c r="K672" t="s">
        <v>1187</v>
      </c>
      <c r="M672" t="s">
        <v>76</v>
      </c>
      <c r="O672" t="s">
        <v>77</v>
      </c>
      <c r="P672" t="s">
        <v>78</v>
      </c>
      <c r="R672" t="s">
        <v>305</v>
      </c>
      <c r="S672" t="s">
        <v>306</v>
      </c>
      <c r="T672" t="s">
        <v>307</v>
      </c>
      <c r="U672" s="1">
        <v>46078.38621527778</v>
      </c>
      <c r="V672" t="s">
        <v>54</v>
      </c>
      <c r="W672" t="s">
        <v>55</v>
      </c>
      <c r="X672" t="s">
        <v>211</v>
      </c>
      <c r="Y672" t="s">
        <v>3435</v>
      </c>
      <c r="Z672" t="s">
        <v>58</v>
      </c>
      <c r="AA672" t="s">
        <v>54</v>
      </c>
      <c r="AB672" t="s">
        <v>213</v>
      </c>
      <c r="AC672" t="s">
        <v>85</v>
      </c>
      <c r="AD672" t="s">
        <v>1189</v>
      </c>
      <c r="AE672" t="s">
        <v>3436</v>
      </c>
      <c r="AF672" t="s">
        <v>3437</v>
      </c>
      <c r="AG672" t="s">
        <v>58</v>
      </c>
      <c r="AH672" t="s">
        <v>3438</v>
      </c>
      <c r="AK672">
        <v>6</v>
      </c>
      <c r="AL672" t="s">
        <v>61</v>
      </c>
      <c r="AM672" t="s">
        <v>3439</v>
      </c>
      <c r="AN672" t="s">
        <v>3440</v>
      </c>
    </row>
    <row r="673" spans="1:40" x14ac:dyDescent="0.35">
      <c r="A673" t="s">
        <v>37</v>
      </c>
      <c r="B673" t="s">
        <v>3441</v>
      </c>
      <c r="C673" t="s">
        <v>656</v>
      </c>
      <c r="D673" t="s">
        <v>1379</v>
      </c>
      <c r="E673" t="s">
        <v>1380</v>
      </c>
      <c r="F673" s="1">
        <v>46077.336481481485</v>
      </c>
      <c r="G673" t="s">
        <v>355</v>
      </c>
      <c r="H673" t="s">
        <v>356</v>
      </c>
      <c r="I673" t="s">
        <v>3442</v>
      </c>
      <c r="J673" t="s">
        <v>1382</v>
      </c>
      <c r="K673" t="s">
        <v>661</v>
      </c>
      <c r="M673" t="s">
        <v>131</v>
      </c>
      <c r="O673" t="s">
        <v>77</v>
      </c>
      <c r="P673" t="s">
        <v>78</v>
      </c>
      <c r="Q673" t="s">
        <v>50</v>
      </c>
      <c r="R673" t="s">
        <v>662</v>
      </c>
      <c r="S673" t="s">
        <v>663</v>
      </c>
      <c r="T673" t="s">
        <v>1462</v>
      </c>
      <c r="U673" s="1">
        <v>46078.496620370373</v>
      </c>
      <c r="V673" t="s">
        <v>54</v>
      </c>
      <c r="W673" t="s">
        <v>55</v>
      </c>
      <c r="X673" t="s">
        <v>134</v>
      </c>
      <c r="Y673" t="s">
        <v>1463</v>
      </c>
      <c r="Z673" t="s">
        <v>58</v>
      </c>
      <c r="AA673" t="s">
        <v>54</v>
      </c>
      <c r="AB673" t="s">
        <v>1384</v>
      </c>
      <c r="AC673" t="s">
        <v>85</v>
      </c>
      <c r="AD673" t="s">
        <v>667</v>
      </c>
      <c r="AE673" t="s">
        <v>667</v>
      </c>
      <c r="AF673" t="s">
        <v>989</v>
      </c>
      <c r="AG673" t="s">
        <v>58</v>
      </c>
      <c r="AH673" t="s">
        <v>1385</v>
      </c>
      <c r="AK673">
        <v>0</v>
      </c>
      <c r="AL673" t="s">
        <v>61</v>
      </c>
      <c r="AM673" t="s">
        <v>1384</v>
      </c>
      <c r="AN673" t="s">
        <v>1386</v>
      </c>
    </row>
    <row r="674" spans="1:40" x14ac:dyDescent="0.35">
      <c r="A674" t="s">
        <v>37</v>
      </c>
      <c r="B674" t="s">
        <v>3443</v>
      </c>
      <c r="C674" t="s">
        <v>39</v>
      </c>
      <c r="D674" t="s">
        <v>3444</v>
      </c>
      <c r="E674" t="s">
        <v>3445</v>
      </c>
      <c r="F674" s="1">
        <v>46077.333136574074</v>
      </c>
      <c r="G674" t="s">
        <v>688</v>
      </c>
      <c r="H674" t="s">
        <v>106</v>
      </c>
      <c r="I674" t="s">
        <v>205</v>
      </c>
      <c r="J674" t="s">
        <v>741</v>
      </c>
      <c r="K674" t="s">
        <v>207</v>
      </c>
      <c r="M674" t="s">
        <v>131</v>
      </c>
      <c r="O674" t="s">
        <v>77</v>
      </c>
      <c r="P674" t="s">
        <v>78</v>
      </c>
      <c r="Q674" t="s">
        <v>50</v>
      </c>
      <c r="R674" t="s">
        <v>208</v>
      </c>
      <c r="S674" t="s">
        <v>209</v>
      </c>
      <c r="T674" t="s">
        <v>210</v>
      </c>
      <c r="U674" s="1">
        <v>46077.545787037037</v>
      </c>
      <c r="V674" t="s">
        <v>54</v>
      </c>
      <c r="W674" t="s">
        <v>55</v>
      </c>
      <c r="X674" t="s">
        <v>211</v>
      </c>
      <c r="Y674" t="s">
        <v>3446</v>
      </c>
      <c r="Z674" t="s">
        <v>58</v>
      </c>
      <c r="AA674" t="s">
        <v>54</v>
      </c>
      <c r="AB674" t="s">
        <v>213</v>
      </c>
      <c r="AC674" t="s">
        <v>85</v>
      </c>
      <c r="AD674" t="s">
        <v>214</v>
      </c>
      <c r="AE674" t="s">
        <v>215</v>
      </c>
      <c r="AF674" t="s">
        <v>216</v>
      </c>
      <c r="AG674" t="s">
        <v>58</v>
      </c>
      <c r="AH674">
        <v>13975</v>
      </c>
      <c r="AK674">
        <v>1</v>
      </c>
      <c r="AL674" t="s">
        <v>61</v>
      </c>
      <c r="AM674" t="s">
        <v>3447</v>
      </c>
      <c r="AN674" t="s">
        <v>3448</v>
      </c>
    </row>
    <row r="675" spans="1:40" x14ac:dyDescent="0.35">
      <c r="A675" t="s">
        <v>37</v>
      </c>
      <c r="B675" t="s">
        <v>3449</v>
      </c>
      <c r="C675" t="s">
        <v>39</v>
      </c>
      <c r="D675" t="s">
        <v>747</v>
      </c>
      <c r="E675" t="s">
        <v>3450</v>
      </c>
      <c r="F675" s="1">
        <v>46077.329618055555</v>
      </c>
      <c r="G675" t="s">
        <v>855</v>
      </c>
      <c r="H675" t="s">
        <v>447</v>
      </c>
      <c r="I675" t="s">
        <v>3451</v>
      </c>
      <c r="J675" t="s">
        <v>3423</v>
      </c>
      <c r="K675" t="s">
        <v>75</v>
      </c>
      <c r="M675" t="s">
        <v>76</v>
      </c>
      <c r="O675" t="s">
        <v>77</v>
      </c>
      <c r="P675" t="s">
        <v>78</v>
      </c>
      <c r="Q675" t="s">
        <v>856</v>
      </c>
      <c r="R675" t="s">
        <v>79</v>
      </c>
      <c r="S675" t="s">
        <v>1078</v>
      </c>
      <c r="T675" t="s">
        <v>1078</v>
      </c>
      <c r="U675" s="1">
        <v>46077.337372685186</v>
      </c>
      <c r="V675" t="s">
        <v>54</v>
      </c>
      <c r="W675" t="s">
        <v>55</v>
      </c>
      <c r="X675" t="s">
        <v>82</v>
      </c>
      <c r="Y675" t="s">
        <v>3452</v>
      </c>
      <c r="Z675" t="s">
        <v>58</v>
      </c>
      <c r="AA675" t="s">
        <v>54</v>
      </c>
      <c r="AB675" t="s">
        <v>3425</v>
      </c>
      <c r="AC675" t="s">
        <v>85</v>
      </c>
      <c r="AD675" t="s">
        <v>79</v>
      </c>
      <c r="AE675" t="s">
        <v>1078</v>
      </c>
      <c r="AF675" t="s">
        <v>1078</v>
      </c>
      <c r="AG675" t="s">
        <v>58</v>
      </c>
      <c r="AH675">
        <v>5860</v>
      </c>
      <c r="AK675">
        <v>0</v>
      </c>
      <c r="AL675" t="s">
        <v>61</v>
      </c>
      <c r="AM675" t="s">
        <v>3453</v>
      </c>
      <c r="AN675" t="s">
        <v>3454</v>
      </c>
    </row>
    <row r="676" spans="1:40" x14ac:dyDescent="0.35">
      <c r="A676" t="s">
        <v>37</v>
      </c>
      <c r="B676" t="s">
        <v>3455</v>
      </c>
      <c r="C676" t="s">
        <v>39</v>
      </c>
      <c r="D676" t="s">
        <v>40</v>
      </c>
      <c r="E676" t="s">
        <v>41</v>
      </c>
      <c r="F676" s="1">
        <v>46077.327951388892</v>
      </c>
      <c r="G676" t="s">
        <v>42</v>
      </c>
      <c r="H676" t="s">
        <v>43</v>
      </c>
      <c r="I676" t="s">
        <v>3456</v>
      </c>
      <c r="J676" t="s">
        <v>45</v>
      </c>
      <c r="K676" t="s">
        <v>46</v>
      </c>
      <c r="M676" t="s">
        <v>47</v>
      </c>
      <c r="O676" t="s">
        <v>48</v>
      </c>
      <c r="P676" t="s">
        <v>49</v>
      </c>
      <c r="Q676" t="s">
        <v>50</v>
      </c>
      <c r="R676" t="s">
        <v>51</v>
      </c>
      <c r="S676" t="s">
        <v>52</v>
      </c>
      <c r="T676" t="s">
        <v>53</v>
      </c>
      <c r="U676" s="1">
        <v>46077.328599537039</v>
      </c>
      <c r="V676" t="s">
        <v>54</v>
      </c>
      <c r="W676" t="s">
        <v>55</v>
      </c>
      <c r="X676" t="s">
        <v>56</v>
      </c>
      <c r="Y676" t="s">
        <v>57</v>
      </c>
      <c r="Z676" t="s">
        <v>58</v>
      </c>
      <c r="AA676" t="s">
        <v>54</v>
      </c>
      <c r="AB676" t="s">
        <v>59</v>
      </c>
      <c r="AC676" t="s">
        <v>60</v>
      </c>
      <c r="AD676" t="s">
        <v>51</v>
      </c>
      <c r="AE676" t="s">
        <v>52</v>
      </c>
      <c r="AF676" t="s">
        <v>53</v>
      </c>
      <c r="AG676" t="s">
        <v>58</v>
      </c>
      <c r="AK676">
        <v>0</v>
      </c>
      <c r="AL676" t="s">
        <v>61</v>
      </c>
      <c r="AM676" t="s">
        <v>59</v>
      </c>
      <c r="AN676" t="s">
        <v>62</v>
      </c>
    </row>
    <row r="677" spans="1:40" x14ac:dyDescent="0.35">
      <c r="A677" t="s">
        <v>37</v>
      </c>
      <c r="B677" t="s">
        <v>3457</v>
      </c>
      <c r="C677" t="s">
        <v>39</v>
      </c>
      <c r="D677" t="s">
        <v>3458</v>
      </c>
      <c r="E677" t="s">
        <v>3459</v>
      </c>
      <c r="F677" s="1">
        <v>46077.327222222222</v>
      </c>
      <c r="G677" t="s">
        <v>1217</v>
      </c>
      <c r="H677" t="s">
        <v>92</v>
      </c>
      <c r="I677" t="s">
        <v>205</v>
      </c>
      <c r="J677" t="s">
        <v>741</v>
      </c>
      <c r="K677" t="s">
        <v>207</v>
      </c>
      <c r="M677" t="s">
        <v>131</v>
      </c>
      <c r="O677" t="s">
        <v>77</v>
      </c>
      <c r="P677" t="s">
        <v>78</v>
      </c>
      <c r="Q677" t="s">
        <v>2591</v>
      </c>
      <c r="R677" t="s">
        <v>208</v>
      </c>
      <c r="S677" t="s">
        <v>209</v>
      </c>
      <c r="T677" t="s">
        <v>210</v>
      </c>
      <c r="U677" s="1">
        <v>46077.54146990741</v>
      </c>
      <c r="V677" t="s">
        <v>54</v>
      </c>
      <c r="W677" t="s">
        <v>55</v>
      </c>
      <c r="X677" t="s">
        <v>211</v>
      </c>
      <c r="Y677" t="s">
        <v>3460</v>
      </c>
      <c r="Z677" t="s">
        <v>58</v>
      </c>
      <c r="AA677" t="s">
        <v>54</v>
      </c>
      <c r="AB677" t="s">
        <v>213</v>
      </c>
      <c r="AC677" t="s">
        <v>85</v>
      </c>
      <c r="AD677" t="s">
        <v>214</v>
      </c>
      <c r="AE677" t="s">
        <v>215</v>
      </c>
      <c r="AF677" t="s">
        <v>216</v>
      </c>
      <c r="AG677" t="s">
        <v>58</v>
      </c>
      <c r="AH677">
        <v>10127</v>
      </c>
      <c r="AK677">
        <v>1</v>
      </c>
      <c r="AL677" t="s">
        <v>61</v>
      </c>
      <c r="AM677" t="s">
        <v>3461</v>
      </c>
      <c r="AN677" t="s">
        <v>3462</v>
      </c>
    </row>
    <row r="678" spans="1:40" x14ac:dyDescent="0.35">
      <c r="A678" t="s">
        <v>37</v>
      </c>
      <c r="B678" t="s">
        <v>3463</v>
      </c>
      <c r="C678" t="s">
        <v>39</v>
      </c>
      <c r="D678" t="s">
        <v>2503</v>
      </c>
      <c r="E678" t="s">
        <v>3464</v>
      </c>
      <c r="F678" s="1">
        <v>46077.326423611114</v>
      </c>
      <c r="G678" t="s">
        <v>722</v>
      </c>
      <c r="H678" t="s">
        <v>356</v>
      </c>
      <c r="I678" t="s">
        <v>205</v>
      </c>
      <c r="J678" t="s">
        <v>741</v>
      </c>
      <c r="K678" t="s">
        <v>207</v>
      </c>
      <c r="M678" t="s">
        <v>131</v>
      </c>
      <c r="O678" t="s">
        <v>77</v>
      </c>
      <c r="P678" t="s">
        <v>78</v>
      </c>
      <c r="Q678" t="s">
        <v>3465</v>
      </c>
      <c r="R678" t="s">
        <v>208</v>
      </c>
      <c r="S678" t="s">
        <v>209</v>
      </c>
      <c r="T678" t="s">
        <v>210</v>
      </c>
      <c r="U678" s="1">
        <v>46077.538136574076</v>
      </c>
      <c r="V678" t="s">
        <v>54</v>
      </c>
      <c r="W678" t="s">
        <v>55</v>
      </c>
      <c r="X678" t="s">
        <v>211</v>
      </c>
      <c r="Y678" t="s">
        <v>3466</v>
      </c>
      <c r="Z678" t="s">
        <v>58</v>
      </c>
      <c r="AA678" t="s">
        <v>54</v>
      </c>
      <c r="AB678" t="s">
        <v>213</v>
      </c>
      <c r="AC678" t="s">
        <v>85</v>
      </c>
      <c r="AD678" t="s">
        <v>214</v>
      </c>
      <c r="AE678" t="s">
        <v>215</v>
      </c>
      <c r="AF678" t="s">
        <v>216</v>
      </c>
      <c r="AG678" t="s">
        <v>58</v>
      </c>
      <c r="AH678">
        <v>10048</v>
      </c>
      <c r="AK678">
        <v>1</v>
      </c>
      <c r="AL678" t="s">
        <v>410</v>
      </c>
      <c r="AM678" t="s">
        <v>3467</v>
      </c>
      <c r="AN678" t="s">
        <v>3468</v>
      </c>
    </row>
    <row r="679" spans="1:40" x14ac:dyDescent="0.35">
      <c r="A679" t="s">
        <v>37</v>
      </c>
      <c r="B679" t="s">
        <v>3469</v>
      </c>
      <c r="C679" t="s">
        <v>39</v>
      </c>
      <c r="D679" t="s">
        <v>747</v>
      </c>
      <c r="E679" t="s">
        <v>2058</v>
      </c>
      <c r="F679" s="1">
        <v>46077.312303240738</v>
      </c>
      <c r="G679" t="s">
        <v>734</v>
      </c>
      <c r="H679" t="s">
        <v>356</v>
      </c>
      <c r="I679" t="s">
        <v>171</v>
      </c>
      <c r="J679" t="s">
        <v>3423</v>
      </c>
      <c r="K679" t="s">
        <v>75</v>
      </c>
      <c r="M679" t="s">
        <v>76</v>
      </c>
      <c r="O679" t="s">
        <v>77</v>
      </c>
      <c r="P679" t="s">
        <v>78</v>
      </c>
      <c r="Q679" t="s">
        <v>406</v>
      </c>
      <c r="R679" t="s">
        <v>79</v>
      </c>
      <c r="S679" t="s">
        <v>172</v>
      </c>
      <c r="T679" t="s">
        <v>173</v>
      </c>
      <c r="U679" s="1">
        <v>46077.312442129631</v>
      </c>
      <c r="V679" t="s">
        <v>54</v>
      </c>
      <c r="W679" t="s">
        <v>55</v>
      </c>
      <c r="X679" t="s">
        <v>82</v>
      </c>
      <c r="Y679" t="s">
        <v>3424</v>
      </c>
      <c r="Z679" t="s">
        <v>58</v>
      </c>
      <c r="AA679" t="s">
        <v>54</v>
      </c>
      <c r="AB679" t="s">
        <v>3425</v>
      </c>
      <c r="AC679" t="s">
        <v>85</v>
      </c>
      <c r="AD679" t="s">
        <v>79</v>
      </c>
      <c r="AE679" t="s">
        <v>172</v>
      </c>
      <c r="AF679" t="s">
        <v>173</v>
      </c>
      <c r="AG679" t="s">
        <v>58</v>
      </c>
      <c r="AH679">
        <v>5736</v>
      </c>
      <c r="AK679">
        <v>0</v>
      </c>
      <c r="AL679" t="s">
        <v>61</v>
      </c>
      <c r="AM679" t="s">
        <v>2059</v>
      </c>
      <c r="AN679" t="s">
        <v>2060</v>
      </c>
    </row>
    <row r="680" spans="1:40" x14ac:dyDescent="0.35">
      <c r="A680" t="s">
        <v>37</v>
      </c>
      <c r="B680" t="s">
        <v>3470</v>
      </c>
      <c r="C680" t="s">
        <v>39</v>
      </c>
      <c r="D680" t="s">
        <v>1481</v>
      </c>
      <c r="E680" t="s">
        <v>1316</v>
      </c>
      <c r="F680" s="1">
        <v>46077.307060185187</v>
      </c>
      <c r="G680" t="s">
        <v>286</v>
      </c>
      <c r="H680" t="s">
        <v>287</v>
      </c>
      <c r="I680" t="s">
        <v>3471</v>
      </c>
      <c r="J680" t="s">
        <v>1483</v>
      </c>
      <c r="K680" t="s">
        <v>1484</v>
      </c>
      <c r="M680" t="s">
        <v>131</v>
      </c>
      <c r="O680" t="s">
        <v>77</v>
      </c>
      <c r="P680" t="s">
        <v>78</v>
      </c>
      <c r="Q680" t="s">
        <v>50</v>
      </c>
      <c r="R680" t="s">
        <v>51</v>
      </c>
      <c r="S680" t="s">
        <v>52</v>
      </c>
      <c r="T680" t="s">
        <v>240</v>
      </c>
      <c r="U680" s="1">
        <v>46077.417384259257</v>
      </c>
      <c r="V680" t="s">
        <v>54</v>
      </c>
      <c r="W680" t="s">
        <v>55</v>
      </c>
      <c r="X680" t="s">
        <v>134</v>
      </c>
      <c r="Y680" t="s">
        <v>1485</v>
      </c>
      <c r="Z680" t="s">
        <v>58</v>
      </c>
      <c r="AA680" t="s">
        <v>54</v>
      </c>
      <c r="AB680" t="s">
        <v>1486</v>
      </c>
      <c r="AC680" t="s">
        <v>85</v>
      </c>
      <c r="AD680" t="s">
        <v>52</v>
      </c>
      <c r="AE680" t="s">
        <v>243</v>
      </c>
      <c r="AF680" t="s">
        <v>409</v>
      </c>
      <c r="AG680" t="s">
        <v>58</v>
      </c>
      <c r="AK680">
        <v>1</v>
      </c>
      <c r="AL680" t="s">
        <v>61</v>
      </c>
      <c r="AM680" t="s">
        <v>1487</v>
      </c>
      <c r="AN680" t="s">
        <v>1488</v>
      </c>
    </row>
    <row r="681" spans="1:40" x14ac:dyDescent="0.35">
      <c r="A681" t="s">
        <v>37</v>
      </c>
      <c r="B681" t="s">
        <v>3472</v>
      </c>
      <c r="C681" t="s">
        <v>39</v>
      </c>
      <c r="D681" t="s">
        <v>225</v>
      </c>
      <c r="E681" t="s">
        <v>226</v>
      </c>
      <c r="F681" s="1">
        <v>46077.300023148149</v>
      </c>
      <c r="G681" t="s">
        <v>204</v>
      </c>
      <c r="H681" t="s">
        <v>92</v>
      </c>
      <c r="I681" t="s">
        <v>3451</v>
      </c>
      <c r="J681" t="s">
        <v>3423</v>
      </c>
      <c r="K681" t="s">
        <v>75</v>
      </c>
      <c r="M681" t="s">
        <v>76</v>
      </c>
      <c r="O681" t="s">
        <v>77</v>
      </c>
      <c r="P681" t="s">
        <v>78</v>
      </c>
      <c r="R681" t="s">
        <v>79</v>
      </c>
      <c r="S681" t="s">
        <v>1078</v>
      </c>
      <c r="T681" t="s">
        <v>1078</v>
      </c>
      <c r="U681" s="1">
        <v>46077.30064814815</v>
      </c>
      <c r="V681" t="s">
        <v>54</v>
      </c>
      <c r="W681" t="s">
        <v>55</v>
      </c>
      <c r="X681" t="s">
        <v>82</v>
      </c>
      <c r="Y681" t="s">
        <v>3452</v>
      </c>
      <c r="Z681" t="s">
        <v>58</v>
      </c>
      <c r="AA681" t="s">
        <v>54</v>
      </c>
      <c r="AB681" t="s">
        <v>3425</v>
      </c>
      <c r="AC681" t="s">
        <v>85</v>
      </c>
      <c r="AD681" t="s">
        <v>79</v>
      </c>
      <c r="AE681" t="s">
        <v>1078</v>
      </c>
      <c r="AF681" t="s">
        <v>1078</v>
      </c>
      <c r="AG681" t="s">
        <v>58</v>
      </c>
      <c r="AH681">
        <v>15016</v>
      </c>
      <c r="AK681">
        <v>0</v>
      </c>
      <c r="AL681" t="s">
        <v>61</v>
      </c>
      <c r="AM681" t="s">
        <v>227</v>
      </c>
      <c r="AN681" t="s">
        <v>228</v>
      </c>
    </row>
    <row r="682" spans="1:40" x14ac:dyDescent="0.35">
      <c r="A682" t="s">
        <v>37</v>
      </c>
      <c r="B682" t="s">
        <v>3473</v>
      </c>
      <c r="C682" t="s">
        <v>102</v>
      </c>
      <c r="D682" t="s">
        <v>761</v>
      </c>
      <c r="E682" t="s">
        <v>762</v>
      </c>
      <c r="F682" s="1">
        <v>46077.301099537035</v>
      </c>
      <c r="G682" t="s">
        <v>105</v>
      </c>
      <c r="H682" t="s">
        <v>106</v>
      </c>
      <c r="I682" t="s">
        <v>1679</v>
      </c>
      <c r="J682" t="s">
        <v>108</v>
      </c>
      <c r="K682" t="s">
        <v>571</v>
      </c>
      <c r="M682" t="s">
        <v>76</v>
      </c>
      <c r="O682" t="s">
        <v>77</v>
      </c>
      <c r="P682" t="s">
        <v>78</v>
      </c>
      <c r="Q682" t="s">
        <v>50</v>
      </c>
      <c r="R682" t="s">
        <v>111</v>
      </c>
      <c r="S682" t="s">
        <v>51</v>
      </c>
      <c r="T682" t="s">
        <v>112</v>
      </c>
      <c r="U682" s="1">
        <v>46077.438298611109</v>
      </c>
      <c r="V682" t="s">
        <v>54</v>
      </c>
      <c r="W682" t="s">
        <v>55</v>
      </c>
      <c r="X682" t="s">
        <v>82</v>
      </c>
      <c r="Y682" t="s">
        <v>3474</v>
      </c>
      <c r="Z682" t="s">
        <v>58</v>
      </c>
      <c r="AA682" t="s">
        <v>54</v>
      </c>
      <c r="AB682" t="s">
        <v>115</v>
      </c>
      <c r="AC682" t="s">
        <v>85</v>
      </c>
      <c r="AD682" t="s">
        <v>116</v>
      </c>
      <c r="AE682" t="s">
        <v>574</v>
      </c>
      <c r="AF682" t="s">
        <v>3475</v>
      </c>
      <c r="AG682" t="s">
        <v>58</v>
      </c>
      <c r="AH682" t="s">
        <v>765</v>
      </c>
      <c r="AK682">
        <v>1</v>
      </c>
      <c r="AL682" t="s">
        <v>61</v>
      </c>
      <c r="AM682" t="s">
        <v>766</v>
      </c>
      <c r="AN682" t="s">
        <v>767</v>
      </c>
    </row>
    <row r="683" spans="1:40" x14ac:dyDescent="0.35">
      <c r="A683" t="s">
        <v>37</v>
      </c>
      <c r="B683" t="s">
        <v>3476</v>
      </c>
      <c r="C683" t="s">
        <v>39</v>
      </c>
      <c r="D683" t="s">
        <v>2268</v>
      </c>
      <c r="E683" t="s">
        <v>770</v>
      </c>
      <c r="F683" s="1">
        <v>46077.299317129633</v>
      </c>
      <c r="G683" t="s">
        <v>355</v>
      </c>
      <c r="H683" t="s">
        <v>356</v>
      </c>
      <c r="I683" t="s">
        <v>171</v>
      </c>
      <c r="J683" t="s">
        <v>3423</v>
      </c>
      <c r="K683" t="s">
        <v>75</v>
      </c>
      <c r="M683" t="s">
        <v>76</v>
      </c>
      <c r="O683" t="s">
        <v>77</v>
      </c>
      <c r="P683" t="s">
        <v>78</v>
      </c>
      <c r="Q683" t="s">
        <v>50</v>
      </c>
      <c r="R683" t="s">
        <v>79</v>
      </c>
      <c r="S683" t="s">
        <v>172</v>
      </c>
      <c r="T683" t="s">
        <v>173</v>
      </c>
      <c r="U683" s="1">
        <v>46077.30028935185</v>
      </c>
      <c r="V683" t="s">
        <v>54</v>
      </c>
      <c r="W683" t="s">
        <v>55</v>
      </c>
      <c r="X683" t="s">
        <v>82</v>
      </c>
      <c r="Y683" t="s">
        <v>3424</v>
      </c>
      <c r="Z683" t="s">
        <v>58</v>
      </c>
      <c r="AA683" t="s">
        <v>54</v>
      </c>
      <c r="AB683" t="s">
        <v>3425</v>
      </c>
      <c r="AC683" t="s">
        <v>85</v>
      </c>
      <c r="AD683" t="s">
        <v>79</v>
      </c>
      <c r="AE683" t="s">
        <v>172</v>
      </c>
      <c r="AF683" t="s">
        <v>173</v>
      </c>
      <c r="AG683" t="s">
        <v>58</v>
      </c>
      <c r="AH683" t="s">
        <v>3477</v>
      </c>
      <c r="AK683">
        <v>0</v>
      </c>
      <c r="AL683" t="s">
        <v>61</v>
      </c>
      <c r="AM683" t="s">
        <v>3478</v>
      </c>
      <c r="AN683" t="s">
        <v>3479</v>
      </c>
    </row>
    <row r="684" spans="1:40" x14ac:dyDescent="0.35">
      <c r="A684" t="s">
        <v>37</v>
      </c>
      <c r="B684" t="s">
        <v>3480</v>
      </c>
      <c r="C684" t="s">
        <v>39</v>
      </c>
      <c r="D684" t="s">
        <v>3481</v>
      </c>
      <c r="E684" t="s">
        <v>3482</v>
      </c>
      <c r="F684" s="1">
        <v>46077.286874999998</v>
      </c>
      <c r="G684" t="s">
        <v>597</v>
      </c>
      <c r="H684" t="s">
        <v>287</v>
      </c>
      <c r="I684" t="s">
        <v>171</v>
      </c>
      <c r="J684" t="s">
        <v>3423</v>
      </c>
      <c r="K684" t="s">
        <v>75</v>
      </c>
      <c r="M684" t="s">
        <v>76</v>
      </c>
      <c r="O684" t="s">
        <v>77</v>
      </c>
      <c r="P684" t="s">
        <v>78</v>
      </c>
      <c r="Q684" t="s">
        <v>2054</v>
      </c>
      <c r="R684" t="s">
        <v>79</v>
      </c>
      <c r="S684" t="s">
        <v>172</v>
      </c>
      <c r="T684" t="s">
        <v>173</v>
      </c>
      <c r="U684" s="1">
        <v>46077.294571759259</v>
      </c>
      <c r="V684" t="s">
        <v>54</v>
      </c>
      <c r="W684" t="s">
        <v>55</v>
      </c>
      <c r="X684" t="s">
        <v>82</v>
      </c>
      <c r="Y684" t="s">
        <v>3424</v>
      </c>
      <c r="Z684" t="s">
        <v>58</v>
      </c>
      <c r="AA684" t="s">
        <v>54</v>
      </c>
      <c r="AB684" t="s">
        <v>3425</v>
      </c>
      <c r="AC684" t="s">
        <v>85</v>
      </c>
      <c r="AD684" t="s">
        <v>79</v>
      </c>
      <c r="AE684" t="s">
        <v>172</v>
      </c>
      <c r="AF684" t="s">
        <v>173</v>
      </c>
      <c r="AG684" t="s">
        <v>58</v>
      </c>
      <c r="AH684">
        <v>6231</v>
      </c>
      <c r="AK684">
        <v>0</v>
      </c>
      <c r="AL684" t="s">
        <v>61</v>
      </c>
      <c r="AM684" t="s">
        <v>3483</v>
      </c>
      <c r="AN684" t="s">
        <v>3484</v>
      </c>
    </row>
    <row r="685" spans="1:40" x14ac:dyDescent="0.35">
      <c r="A685" t="s">
        <v>37</v>
      </c>
      <c r="B685" t="s">
        <v>3485</v>
      </c>
      <c r="C685" t="s">
        <v>102</v>
      </c>
      <c r="D685" t="s">
        <v>3486</v>
      </c>
      <c r="E685" t="s">
        <v>3487</v>
      </c>
      <c r="F685" s="1">
        <v>46077.274733796294</v>
      </c>
      <c r="G685" t="s">
        <v>105</v>
      </c>
      <c r="H685" t="s">
        <v>106</v>
      </c>
      <c r="I685" t="s">
        <v>3488</v>
      </c>
      <c r="J685" t="s">
        <v>108</v>
      </c>
      <c r="K685" t="s">
        <v>341</v>
      </c>
      <c r="M685" t="s">
        <v>76</v>
      </c>
      <c r="O685" t="s">
        <v>77</v>
      </c>
      <c r="P685" t="s">
        <v>78</v>
      </c>
      <c r="Q685" t="s">
        <v>50</v>
      </c>
      <c r="R685" t="s">
        <v>111</v>
      </c>
      <c r="S685" t="s">
        <v>51</v>
      </c>
      <c r="T685" t="s">
        <v>112</v>
      </c>
      <c r="U685" s="1">
        <v>46077.455879629626</v>
      </c>
      <c r="V685" t="s">
        <v>54</v>
      </c>
      <c r="X685" t="s">
        <v>134</v>
      </c>
      <c r="Y685" t="s">
        <v>3489</v>
      </c>
      <c r="Z685" t="s">
        <v>58</v>
      </c>
      <c r="AA685" t="s">
        <v>54</v>
      </c>
      <c r="AB685" t="s">
        <v>115</v>
      </c>
      <c r="AC685" t="s">
        <v>85</v>
      </c>
      <c r="AD685" t="s">
        <v>116</v>
      </c>
      <c r="AE685" t="s">
        <v>574</v>
      </c>
      <c r="AF685" t="s">
        <v>3490</v>
      </c>
      <c r="AG685" t="s">
        <v>58</v>
      </c>
      <c r="AH685" t="s">
        <v>3491</v>
      </c>
      <c r="AK685">
        <v>1</v>
      </c>
      <c r="AL685" t="s">
        <v>61</v>
      </c>
      <c r="AM685" t="s">
        <v>3492</v>
      </c>
      <c r="AN685" t="s">
        <v>3493</v>
      </c>
    </row>
    <row r="686" spans="1:40" x14ac:dyDescent="0.35">
      <c r="A686" t="s">
        <v>37</v>
      </c>
      <c r="B686" t="s">
        <v>3494</v>
      </c>
      <c r="C686" t="s">
        <v>39</v>
      </c>
      <c r="D686" t="s">
        <v>3495</v>
      </c>
      <c r="E686" t="s">
        <v>3496</v>
      </c>
      <c r="F686" s="1">
        <v>46077.228564814817</v>
      </c>
      <c r="G686" t="s">
        <v>355</v>
      </c>
      <c r="H686" t="s">
        <v>356</v>
      </c>
      <c r="I686" t="s">
        <v>3497</v>
      </c>
      <c r="J686" t="s">
        <v>1626</v>
      </c>
      <c r="K686" t="s">
        <v>1627</v>
      </c>
      <c r="M686" t="s">
        <v>131</v>
      </c>
      <c r="O686" t="s">
        <v>77</v>
      </c>
      <c r="P686" t="s">
        <v>78</v>
      </c>
      <c r="R686" t="s">
        <v>79</v>
      </c>
      <c r="S686" t="s">
        <v>952</v>
      </c>
      <c r="T686" t="s">
        <v>1628</v>
      </c>
      <c r="U686" s="1">
        <v>46077.579050925924</v>
      </c>
      <c r="V686" t="s">
        <v>54</v>
      </c>
      <c r="W686" t="s">
        <v>55</v>
      </c>
      <c r="X686" t="s">
        <v>134</v>
      </c>
      <c r="Y686" t="s">
        <v>3498</v>
      </c>
      <c r="Z686" t="s">
        <v>58</v>
      </c>
      <c r="AA686" t="s">
        <v>54</v>
      </c>
      <c r="AB686" t="s">
        <v>3425</v>
      </c>
      <c r="AC686" t="s">
        <v>85</v>
      </c>
      <c r="AD686" t="s">
        <v>79</v>
      </c>
      <c r="AE686" t="s">
        <v>952</v>
      </c>
      <c r="AF686" t="s">
        <v>1630</v>
      </c>
      <c r="AG686" t="s">
        <v>58</v>
      </c>
      <c r="AH686" t="s">
        <v>3499</v>
      </c>
      <c r="AK686">
        <v>0</v>
      </c>
      <c r="AL686" t="s">
        <v>61</v>
      </c>
      <c r="AM686" t="s">
        <v>3500</v>
      </c>
      <c r="AN686" t="s">
        <v>3501</v>
      </c>
    </row>
    <row r="687" spans="1:40" x14ac:dyDescent="0.35">
      <c r="A687" t="s">
        <v>37</v>
      </c>
      <c r="B687" t="s">
        <v>3502</v>
      </c>
      <c r="C687" t="s">
        <v>39</v>
      </c>
      <c r="D687" t="s">
        <v>3495</v>
      </c>
      <c r="E687" t="s">
        <v>3496</v>
      </c>
      <c r="F687" s="1">
        <v>46077.22797453704</v>
      </c>
      <c r="G687" t="s">
        <v>355</v>
      </c>
      <c r="H687" t="s">
        <v>356</v>
      </c>
      <c r="I687" t="s">
        <v>3503</v>
      </c>
      <c r="J687" t="s">
        <v>1626</v>
      </c>
      <c r="K687" t="s">
        <v>1627</v>
      </c>
      <c r="M687" t="s">
        <v>131</v>
      </c>
      <c r="O687" t="s">
        <v>77</v>
      </c>
      <c r="P687" t="s">
        <v>78</v>
      </c>
      <c r="R687" t="s">
        <v>79</v>
      </c>
      <c r="S687" t="s">
        <v>952</v>
      </c>
      <c r="T687" t="s">
        <v>1628</v>
      </c>
      <c r="U687" s="1">
        <v>46077.577685185184</v>
      </c>
      <c r="V687" t="s">
        <v>54</v>
      </c>
      <c r="W687" t="s">
        <v>55</v>
      </c>
      <c r="X687" t="s">
        <v>134</v>
      </c>
      <c r="Y687" t="s">
        <v>3504</v>
      </c>
      <c r="Z687" t="s">
        <v>58</v>
      </c>
      <c r="AA687" t="s">
        <v>54</v>
      </c>
      <c r="AB687" t="s">
        <v>3425</v>
      </c>
      <c r="AC687" t="s">
        <v>85</v>
      </c>
      <c r="AD687" t="s">
        <v>79</v>
      </c>
      <c r="AE687" t="s">
        <v>952</v>
      </c>
      <c r="AF687" t="s">
        <v>1630</v>
      </c>
      <c r="AG687" t="s">
        <v>58</v>
      </c>
      <c r="AH687" t="s">
        <v>3499</v>
      </c>
      <c r="AK687">
        <v>0</v>
      </c>
      <c r="AL687" t="s">
        <v>61</v>
      </c>
      <c r="AM687" t="s">
        <v>3500</v>
      </c>
      <c r="AN687" t="s">
        <v>3501</v>
      </c>
    </row>
    <row r="688" spans="1:40" x14ac:dyDescent="0.35">
      <c r="A688" t="s">
        <v>37</v>
      </c>
      <c r="B688" t="s">
        <v>3505</v>
      </c>
      <c r="C688" t="s">
        <v>39</v>
      </c>
      <c r="D688" t="s">
        <v>3495</v>
      </c>
      <c r="E688" t="s">
        <v>3496</v>
      </c>
      <c r="F688" s="1">
        <v>46077.227719907409</v>
      </c>
      <c r="G688" t="s">
        <v>355</v>
      </c>
      <c r="H688" t="s">
        <v>356</v>
      </c>
      <c r="I688" t="s">
        <v>3506</v>
      </c>
      <c r="J688" t="s">
        <v>1626</v>
      </c>
      <c r="K688" t="s">
        <v>1627</v>
      </c>
      <c r="M688" t="s">
        <v>131</v>
      </c>
      <c r="O688" t="s">
        <v>77</v>
      </c>
      <c r="P688" t="s">
        <v>78</v>
      </c>
      <c r="R688" t="s">
        <v>79</v>
      </c>
      <c r="S688" t="s">
        <v>952</v>
      </c>
      <c r="T688" t="s">
        <v>1628</v>
      </c>
      <c r="U688" s="1">
        <v>46077.577118055553</v>
      </c>
      <c r="V688" t="s">
        <v>54</v>
      </c>
      <c r="W688" t="s">
        <v>55</v>
      </c>
      <c r="X688" t="s">
        <v>134</v>
      </c>
      <c r="Y688" t="s">
        <v>3507</v>
      </c>
      <c r="Z688" t="s">
        <v>58</v>
      </c>
      <c r="AA688" t="s">
        <v>54</v>
      </c>
      <c r="AB688" t="s">
        <v>3425</v>
      </c>
      <c r="AC688" t="s">
        <v>85</v>
      </c>
      <c r="AD688" t="s">
        <v>79</v>
      </c>
      <c r="AE688" t="s">
        <v>952</v>
      </c>
      <c r="AF688" t="s">
        <v>1630</v>
      </c>
      <c r="AG688" t="s">
        <v>58</v>
      </c>
      <c r="AH688" t="s">
        <v>3499</v>
      </c>
      <c r="AK688">
        <v>0</v>
      </c>
      <c r="AL688" t="s">
        <v>61</v>
      </c>
      <c r="AM688" t="s">
        <v>3500</v>
      </c>
      <c r="AN688" t="s">
        <v>3501</v>
      </c>
    </row>
    <row r="689" spans="1:40" x14ac:dyDescent="0.35">
      <c r="A689" t="s">
        <v>37</v>
      </c>
      <c r="B689" t="s">
        <v>3508</v>
      </c>
      <c r="C689" t="s">
        <v>39</v>
      </c>
      <c r="D689" t="s">
        <v>3495</v>
      </c>
      <c r="E689" t="s">
        <v>3496</v>
      </c>
      <c r="F689" s="1">
        <v>46077.22724537037</v>
      </c>
      <c r="G689" t="s">
        <v>355</v>
      </c>
      <c r="H689" t="s">
        <v>356</v>
      </c>
      <c r="I689" t="s">
        <v>3509</v>
      </c>
      <c r="J689" t="s">
        <v>1626</v>
      </c>
      <c r="K689" t="s">
        <v>1627</v>
      </c>
      <c r="M689" t="s">
        <v>131</v>
      </c>
      <c r="O689" t="s">
        <v>77</v>
      </c>
      <c r="P689" t="s">
        <v>78</v>
      </c>
      <c r="Q689" t="s">
        <v>50</v>
      </c>
      <c r="R689" t="s">
        <v>79</v>
      </c>
      <c r="S689" t="s">
        <v>952</v>
      </c>
      <c r="T689" t="s">
        <v>1628</v>
      </c>
      <c r="U689" s="1">
        <v>46077.576504629629</v>
      </c>
      <c r="V689" t="s">
        <v>54</v>
      </c>
      <c r="W689" t="s">
        <v>55</v>
      </c>
      <c r="X689" t="s">
        <v>134</v>
      </c>
      <c r="Y689" t="s">
        <v>3510</v>
      </c>
      <c r="Z689" t="s">
        <v>58</v>
      </c>
      <c r="AA689" t="s">
        <v>54</v>
      </c>
      <c r="AB689" t="s">
        <v>3425</v>
      </c>
      <c r="AC689" t="s">
        <v>85</v>
      </c>
      <c r="AD689" t="s">
        <v>79</v>
      </c>
      <c r="AE689" t="s">
        <v>952</v>
      </c>
      <c r="AF689" t="s">
        <v>1630</v>
      </c>
      <c r="AG689" t="s">
        <v>58</v>
      </c>
      <c r="AH689" t="s">
        <v>3499</v>
      </c>
      <c r="AK689">
        <v>0</v>
      </c>
      <c r="AL689" t="s">
        <v>61</v>
      </c>
      <c r="AM689" t="s">
        <v>3500</v>
      </c>
      <c r="AN689" t="s">
        <v>3501</v>
      </c>
    </row>
    <row r="690" spans="1:40" x14ac:dyDescent="0.35">
      <c r="A690" t="s">
        <v>37</v>
      </c>
      <c r="B690" t="s">
        <v>3511</v>
      </c>
      <c r="C690" t="s">
        <v>39</v>
      </c>
      <c r="D690" t="s">
        <v>40</v>
      </c>
      <c r="E690" t="s">
        <v>41</v>
      </c>
      <c r="F690" s="1">
        <v>46077.223981481482</v>
      </c>
      <c r="G690" t="s">
        <v>42</v>
      </c>
      <c r="H690" t="s">
        <v>43</v>
      </c>
      <c r="I690" t="s">
        <v>3512</v>
      </c>
      <c r="J690" t="s">
        <v>45</v>
      </c>
      <c r="K690" t="s">
        <v>46</v>
      </c>
      <c r="M690" t="s">
        <v>47</v>
      </c>
      <c r="O690" t="s">
        <v>48</v>
      </c>
      <c r="P690" t="s">
        <v>49</v>
      </c>
      <c r="Q690" t="s">
        <v>50</v>
      </c>
      <c r="R690" t="s">
        <v>51</v>
      </c>
      <c r="S690" t="s">
        <v>52</v>
      </c>
      <c r="T690" t="s">
        <v>53</v>
      </c>
      <c r="U690" s="1">
        <v>46077.224988425929</v>
      </c>
      <c r="V690" t="s">
        <v>54</v>
      </c>
      <c r="W690" t="s">
        <v>55</v>
      </c>
      <c r="X690" t="s">
        <v>56</v>
      </c>
      <c r="Y690" t="s">
        <v>57</v>
      </c>
      <c r="Z690" t="s">
        <v>58</v>
      </c>
      <c r="AA690" t="s">
        <v>54</v>
      </c>
      <c r="AB690" t="s">
        <v>59</v>
      </c>
      <c r="AC690" t="s">
        <v>60</v>
      </c>
      <c r="AD690" t="s">
        <v>51</v>
      </c>
      <c r="AE690" t="s">
        <v>52</v>
      </c>
      <c r="AF690" t="s">
        <v>53</v>
      </c>
      <c r="AG690" t="s">
        <v>58</v>
      </c>
      <c r="AK690">
        <v>0</v>
      </c>
      <c r="AL690" t="s">
        <v>61</v>
      </c>
      <c r="AM690" t="s">
        <v>59</v>
      </c>
      <c r="AN690" t="s">
        <v>62</v>
      </c>
    </row>
    <row r="691" spans="1:40" x14ac:dyDescent="0.35">
      <c r="A691" t="s">
        <v>37</v>
      </c>
      <c r="B691" t="s">
        <v>3513</v>
      </c>
      <c r="C691" t="s">
        <v>102</v>
      </c>
      <c r="D691" t="s">
        <v>3486</v>
      </c>
      <c r="E691" t="s">
        <v>3487</v>
      </c>
      <c r="F691" s="1">
        <v>46077.223993055559</v>
      </c>
      <c r="G691" t="s">
        <v>105</v>
      </c>
      <c r="H691" t="s">
        <v>106</v>
      </c>
      <c r="I691" t="s">
        <v>3514</v>
      </c>
      <c r="J691" t="s">
        <v>108</v>
      </c>
      <c r="K691" t="s">
        <v>571</v>
      </c>
      <c r="M691" t="s">
        <v>76</v>
      </c>
      <c r="O691" t="s">
        <v>77</v>
      </c>
      <c r="P691" t="s">
        <v>78</v>
      </c>
      <c r="Q691" t="s">
        <v>50</v>
      </c>
      <c r="R691" t="s">
        <v>111</v>
      </c>
      <c r="S691" t="s">
        <v>51</v>
      </c>
      <c r="T691" t="s">
        <v>112</v>
      </c>
      <c r="U691" s="1">
        <v>46078.457465277781</v>
      </c>
      <c r="V691" t="s">
        <v>54</v>
      </c>
      <c r="W691" t="s">
        <v>55</v>
      </c>
      <c r="X691" t="s">
        <v>113</v>
      </c>
      <c r="Y691" t="s">
        <v>3515</v>
      </c>
      <c r="Z691" t="s">
        <v>58</v>
      </c>
      <c r="AA691" t="s">
        <v>54</v>
      </c>
      <c r="AB691" t="s">
        <v>115</v>
      </c>
      <c r="AC691" t="s">
        <v>85</v>
      </c>
      <c r="AD691" t="s">
        <v>116</v>
      </c>
      <c r="AE691" t="s">
        <v>574</v>
      </c>
      <c r="AF691" t="s">
        <v>664</v>
      </c>
      <c r="AG691" t="s">
        <v>58</v>
      </c>
      <c r="AH691" t="s">
        <v>3491</v>
      </c>
      <c r="AK691">
        <v>1</v>
      </c>
      <c r="AL691" t="s">
        <v>61</v>
      </c>
      <c r="AM691" t="s">
        <v>3492</v>
      </c>
      <c r="AN691" t="s">
        <v>3493</v>
      </c>
    </row>
    <row r="692" spans="1:40" x14ac:dyDescent="0.35">
      <c r="A692" t="s">
        <v>37</v>
      </c>
      <c r="B692" t="s">
        <v>3516</v>
      </c>
      <c r="C692" t="s">
        <v>102</v>
      </c>
      <c r="D692" t="s">
        <v>3486</v>
      </c>
      <c r="E692" t="s">
        <v>3487</v>
      </c>
      <c r="F692" s="1">
        <v>46077.223576388889</v>
      </c>
      <c r="G692" t="s">
        <v>105</v>
      </c>
      <c r="H692" t="s">
        <v>106</v>
      </c>
      <c r="I692" t="s">
        <v>3517</v>
      </c>
      <c r="J692" t="s">
        <v>108</v>
      </c>
      <c r="K692" t="s">
        <v>571</v>
      </c>
      <c r="M692" t="s">
        <v>76</v>
      </c>
      <c r="O692" t="s">
        <v>77</v>
      </c>
      <c r="P692" t="s">
        <v>78</v>
      </c>
      <c r="Q692" t="s">
        <v>50</v>
      </c>
      <c r="R692" t="s">
        <v>111</v>
      </c>
      <c r="S692" t="s">
        <v>51</v>
      </c>
      <c r="T692" t="s">
        <v>112</v>
      </c>
      <c r="U692" s="1">
        <v>46078.457870370374</v>
      </c>
      <c r="V692" t="s">
        <v>54</v>
      </c>
      <c r="W692" t="s">
        <v>55</v>
      </c>
      <c r="X692" t="s">
        <v>113</v>
      </c>
      <c r="Y692" t="s">
        <v>3515</v>
      </c>
      <c r="Z692" t="s">
        <v>58</v>
      </c>
      <c r="AA692" t="s">
        <v>54</v>
      </c>
      <c r="AB692" t="s">
        <v>115</v>
      </c>
      <c r="AC692" t="s">
        <v>85</v>
      </c>
      <c r="AD692" t="s">
        <v>116</v>
      </c>
      <c r="AE692" t="s">
        <v>574</v>
      </c>
      <c r="AF692" t="s">
        <v>664</v>
      </c>
      <c r="AG692" t="s">
        <v>58</v>
      </c>
      <c r="AH692" t="s">
        <v>3491</v>
      </c>
      <c r="AK692">
        <v>1</v>
      </c>
      <c r="AL692" t="s">
        <v>61</v>
      </c>
      <c r="AM692" t="s">
        <v>3492</v>
      </c>
      <c r="AN692" t="s">
        <v>3493</v>
      </c>
    </row>
    <row r="693" spans="1:40" x14ac:dyDescent="0.35">
      <c r="A693" t="s">
        <v>37</v>
      </c>
      <c r="B693" t="s">
        <v>3518</v>
      </c>
      <c r="C693" t="s">
        <v>102</v>
      </c>
      <c r="D693" t="s">
        <v>3486</v>
      </c>
      <c r="E693" t="s">
        <v>3487</v>
      </c>
      <c r="F693" s="1">
        <v>46077.223136574074</v>
      </c>
      <c r="G693" t="s">
        <v>105</v>
      </c>
      <c r="H693" t="s">
        <v>106</v>
      </c>
      <c r="I693" t="s">
        <v>3519</v>
      </c>
      <c r="J693" t="s">
        <v>108</v>
      </c>
      <c r="K693" t="s">
        <v>571</v>
      </c>
      <c r="M693" t="s">
        <v>76</v>
      </c>
      <c r="O693" t="s">
        <v>77</v>
      </c>
      <c r="P693" t="s">
        <v>78</v>
      </c>
      <c r="Q693" t="s">
        <v>50</v>
      </c>
      <c r="R693" t="s">
        <v>111</v>
      </c>
      <c r="S693" t="s">
        <v>51</v>
      </c>
      <c r="T693" t="s">
        <v>112</v>
      </c>
      <c r="U693" s="1">
        <v>46078.458391203705</v>
      </c>
      <c r="V693" t="s">
        <v>54</v>
      </c>
      <c r="W693" t="s">
        <v>55</v>
      </c>
      <c r="X693" t="s">
        <v>113</v>
      </c>
      <c r="Y693" t="s">
        <v>1577</v>
      </c>
      <c r="Z693" t="s">
        <v>58</v>
      </c>
      <c r="AA693" t="s">
        <v>54</v>
      </c>
      <c r="AB693" t="s">
        <v>115</v>
      </c>
      <c r="AC693" t="s">
        <v>85</v>
      </c>
      <c r="AD693" t="s">
        <v>116</v>
      </c>
      <c r="AE693" t="s">
        <v>574</v>
      </c>
      <c r="AF693" t="s">
        <v>664</v>
      </c>
      <c r="AG693" t="s">
        <v>58</v>
      </c>
      <c r="AH693" t="s">
        <v>3491</v>
      </c>
      <c r="AK693">
        <v>1</v>
      </c>
      <c r="AL693" t="s">
        <v>61</v>
      </c>
      <c r="AM693" t="s">
        <v>3492</v>
      </c>
      <c r="AN693" t="s">
        <v>3493</v>
      </c>
    </row>
    <row r="694" spans="1:40" x14ac:dyDescent="0.35">
      <c r="A694" t="s">
        <v>37</v>
      </c>
      <c r="B694" t="s">
        <v>3520</v>
      </c>
      <c r="C694" t="s">
        <v>39</v>
      </c>
      <c r="D694" t="s">
        <v>40</v>
      </c>
      <c r="E694" t="s">
        <v>41</v>
      </c>
      <c r="F694" s="1">
        <v>46077.213368055556</v>
      </c>
      <c r="G694" t="s">
        <v>42</v>
      </c>
      <c r="H694" t="s">
        <v>43</v>
      </c>
      <c r="I694" t="s">
        <v>3521</v>
      </c>
      <c r="J694" t="s">
        <v>45</v>
      </c>
      <c r="K694" t="s">
        <v>46</v>
      </c>
      <c r="M694" t="s">
        <v>47</v>
      </c>
      <c r="O694" t="s">
        <v>48</v>
      </c>
      <c r="P694" t="s">
        <v>49</v>
      </c>
      <c r="Q694" t="s">
        <v>50</v>
      </c>
      <c r="R694" t="s">
        <v>51</v>
      </c>
      <c r="S694" t="s">
        <v>52</v>
      </c>
      <c r="T694" t="s">
        <v>53</v>
      </c>
      <c r="U694" s="1">
        <v>46077.214155092595</v>
      </c>
      <c r="V694" t="s">
        <v>54</v>
      </c>
      <c r="W694" t="s">
        <v>55</v>
      </c>
      <c r="X694" t="s">
        <v>56</v>
      </c>
      <c r="Y694" t="s">
        <v>65</v>
      </c>
      <c r="Z694" t="s">
        <v>58</v>
      </c>
      <c r="AA694" t="s">
        <v>54</v>
      </c>
      <c r="AB694" t="s">
        <v>59</v>
      </c>
      <c r="AC694" t="s">
        <v>60</v>
      </c>
      <c r="AD694" t="s">
        <v>51</v>
      </c>
      <c r="AE694" t="s">
        <v>52</v>
      </c>
      <c r="AF694" t="s">
        <v>53</v>
      </c>
      <c r="AG694" t="s">
        <v>58</v>
      </c>
      <c r="AK694">
        <v>0</v>
      </c>
      <c r="AL694" t="s">
        <v>61</v>
      </c>
      <c r="AM694" t="s">
        <v>59</v>
      </c>
      <c r="AN694" t="s">
        <v>62</v>
      </c>
    </row>
    <row r="695" spans="1:40" x14ac:dyDescent="0.35">
      <c r="A695" t="s">
        <v>37</v>
      </c>
      <c r="B695" t="s">
        <v>3522</v>
      </c>
      <c r="C695" t="s">
        <v>102</v>
      </c>
      <c r="D695" t="s">
        <v>3486</v>
      </c>
      <c r="E695" t="s">
        <v>3487</v>
      </c>
      <c r="F695" s="1">
        <v>46077.205497685187</v>
      </c>
      <c r="G695" t="s">
        <v>105</v>
      </c>
      <c r="H695" t="s">
        <v>106</v>
      </c>
      <c r="I695" t="s">
        <v>3523</v>
      </c>
      <c r="J695" t="s">
        <v>108</v>
      </c>
      <c r="K695" t="s">
        <v>109</v>
      </c>
      <c r="M695" t="s">
        <v>76</v>
      </c>
      <c r="O695" t="s">
        <v>77</v>
      </c>
      <c r="P695" t="s">
        <v>78</v>
      </c>
      <c r="Q695" t="s">
        <v>50</v>
      </c>
      <c r="R695" t="s">
        <v>111</v>
      </c>
      <c r="S695" t="s">
        <v>51</v>
      </c>
      <c r="T695" t="s">
        <v>1583</v>
      </c>
      <c r="U695" s="1">
        <v>46078.810370370367</v>
      </c>
      <c r="V695" t="s">
        <v>54</v>
      </c>
      <c r="W695" t="s">
        <v>1584</v>
      </c>
      <c r="X695" t="s">
        <v>113</v>
      </c>
      <c r="Y695" t="s">
        <v>3524</v>
      </c>
      <c r="Z695" t="s">
        <v>58</v>
      </c>
      <c r="AA695" t="s">
        <v>54</v>
      </c>
      <c r="AB695" t="s">
        <v>115</v>
      </c>
      <c r="AC695" t="s">
        <v>85</v>
      </c>
      <c r="AD695" t="s">
        <v>116</v>
      </c>
      <c r="AE695" t="s">
        <v>1586</v>
      </c>
      <c r="AF695" t="s">
        <v>664</v>
      </c>
      <c r="AG695" t="s">
        <v>58</v>
      </c>
      <c r="AH695" t="s">
        <v>3491</v>
      </c>
      <c r="AK695">
        <v>1</v>
      </c>
      <c r="AL695" t="s">
        <v>61</v>
      </c>
      <c r="AM695" t="s">
        <v>3492</v>
      </c>
      <c r="AN695" t="s">
        <v>3493</v>
      </c>
    </row>
    <row r="696" spans="1:40" x14ac:dyDescent="0.35">
      <c r="A696" t="s">
        <v>37</v>
      </c>
      <c r="B696" t="s">
        <v>3525</v>
      </c>
      <c r="C696" t="s">
        <v>102</v>
      </c>
      <c r="D696" t="s">
        <v>3486</v>
      </c>
      <c r="E696" t="s">
        <v>3487</v>
      </c>
      <c r="F696" s="1">
        <v>46077.205092592594</v>
      </c>
      <c r="G696" t="s">
        <v>105</v>
      </c>
      <c r="H696" t="s">
        <v>106</v>
      </c>
      <c r="I696" t="s">
        <v>3526</v>
      </c>
      <c r="J696" t="s">
        <v>108</v>
      </c>
      <c r="K696" t="s">
        <v>109</v>
      </c>
      <c r="M696" t="s">
        <v>76</v>
      </c>
      <c r="O696" t="s">
        <v>77</v>
      </c>
      <c r="P696" t="s">
        <v>78</v>
      </c>
      <c r="Q696" t="s">
        <v>50</v>
      </c>
      <c r="R696" t="s">
        <v>111</v>
      </c>
      <c r="S696" t="s">
        <v>51</v>
      </c>
      <c r="T696" t="s">
        <v>1583</v>
      </c>
      <c r="U696" s="1">
        <v>46078.809895833336</v>
      </c>
      <c r="V696" t="s">
        <v>54</v>
      </c>
      <c r="W696" t="s">
        <v>1584</v>
      </c>
      <c r="X696" t="s">
        <v>113</v>
      </c>
      <c r="Y696" t="s">
        <v>3527</v>
      </c>
      <c r="Z696" t="s">
        <v>58</v>
      </c>
      <c r="AA696" t="s">
        <v>54</v>
      </c>
      <c r="AB696" t="s">
        <v>115</v>
      </c>
      <c r="AC696" t="s">
        <v>85</v>
      </c>
      <c r="AD696" t="s">
        <v>116</v>
      </c>
      <c r="AE696" t="s">
        <v>1586</v>
      </c>
      <c r="AF696" t="s">
        <v>664</v>
      </c>
      <c r="AG696" t="s">
        <v>58</v>
      </c>
      <c r="AH696" t="s">
        <v>3491</v>
      </c>
      <c r="AK696">
        <v>1</v>
      </c>
      <c r="AL696" t="s">
        <v>61</v>
      </c>
      <c r="AM696" t="s">
        <v>3492</v>
      </c>
      <c r="AN696" t="s">
        <v>3493</v>
      </c>
    </row>
    <row r="697" spans="1:40" x14ac:dyDescent="0.35">
      <c r="A697" t="s">
        <v>37</v>
      </c>
      <c r="B697" t="s">
        <v>3528</v>
      </c>
      <c r="C697" t="s">
        <v>102</v>
      </c>
      <c r="D697" t="s">
        <v>3486</v>
      </c>
      <c r="E697" t="s">
        <v>3487</v>
      </c>
      <c r="F697" s="1">
        <v>46077.204710648148</v>
      </c>
      <c r="G697" t="s">
        <v>105</v>
      </c>
      <c r="H697" t="s">
        <v>106</v>
      </c>
      <c r="I697" t="s">
        <v>3529</v>
      </c>
      <c r="J697" t="s">
        <v>108</v>
      </c>
      <c r="K697" t="s">
        <v>109</v>
      </c>
      <c r="M697" t="s">
        <v>76</v>
      </c>
      <c r="O697" t="s">
        <v>77</v>
      </c>
      <c r="P697" t="s">
        <v>78</v>
      </c>
      <c r="Q697" t="s">
        <v>50</v>
      </c>
      <c r="R697" t="s">
        <v>111</v>
      </c>
      <c r="S697" t="s">
        <v>51</v>
      </c>
      <c r="T697" t="s">
        <v>1583</v>
      </c>
      <c r="U697" s="1">
        <v>46078.809652777774</v>
      </c>
      <c r="V697" t="s">
        <v>54</v>
      </c>
      <c r="W697" t="s">
        <v>1584</v>
      </c>
      <c r="X697" t="s">
        <v>113</v>
      </c>
      <c r="Y697" t="s">
        <v>3530</v>
      </c>
      <c r="Z697" t="s">
        <v>58</v>
      </c>
      <c r="AA697" t="s">
        <v>54</v>
      </c>
      <c r="AB697" t="s">
        <v>115</v>
      </c>
      <c r="AC697" t="s">
        <v>85</v>
      </c>
      <c r="AD697" t="s">
        <v>116</v>
      </c>
      <c r="AE697" t="s">
        <v>1586</v>
      </c>
      <c r="AF697" t="s">
        <v>664</v>
      </c>
      <c r="AG697" t="s">
        <v>58</v>
      </c>
      <c r="AH697" t="s">
        <v>3491</v>
      </c>
      <c r="AK697">
        <v>1</v>
      </c>
      <c r="AL697" t="s">
        <v>61</v>
      </c>
      <c r="AM697" t="s">
        <v>3492</v>
      </c>
      <c r="AN697" t="s">
        <v>3493</v>
      </c>
    </row>
    <row r="698" spans="1:40" x14ac:dyDescent="0.35">
      <c r="A698" t="s">
        <v>37</v>
      </c>
      <c r="B698" t="s">
        <v>3531</v>
      </c>
      <c r="C698" t="s">
        <v>102</v>
      </c>
      <c r="D698" t="s">
        <v>3486</v>
      </c>
      <c r="E698" t="s">
        <v>3487</v>
      </c>
      <c r="F698" s="1">
        <v>46077.204305555555</v>
      </c>
      <c r="G698" t="s">
        <v>105</v>
      </c>
      <c r="H698" t="s">
        <v>106</v>
      </c>
      <c r="I698" t="s">
        <v>3532</v>
      </c>
      <c r="J698" t="s">
        <v>108</v>
      </c>
      <c r="K698" t="s">
        <v>109</v>
      </c>
      <c r="M698" t="s">
        <v>76</v>
      </c>
      <c r="O698" t="s">
        <v>77</v>
      </c>
      <c r="P698" t="s">
        <v>78</v>
      </c>
      <c r="Q698" t="s">
        <v>50</v>
      </c>
      <c r="R698" t="s">
        <v>111</v>
      </c>
      <c r="S698" t="s">
        <v>51</v>
      </c>
      <c r="T698" t="s">
        <v>1583</v>
      </c>
      <c r="U698" s="1">
        <v>46077.870405092595</v>
      </c>
      <c r="V698" t="s">
        <v>54</v>
      </c>
      <c r="W698" t="s">
        <v>1584</v>
      </c>
      <c r="X698" t="s">
        <v>113</v>
      </c>
      <c r="Y698" t="s">
        <v>3533</v>
      </c>
      <c r="Z698" t="s">
        <v>58</v>
      </c>
      <c r="AA698" t="s">
        <v>54</v>
      </c>
      <c r="AB698" t="s">
        <v>115</v>
      </c>
      <c r="AC698" t="s">
        <v>85</v>
      </c>
      <c r="AD698" t="s">
        <v>116</v>
      </c>
      <c r="AE698" t="s">
        <v>1586</v>
      </c>
      <c r="AF698" t="s">
        <v>664</v>
      </c>
      <c r="AG698" t="s">
        <v>58</v>
      </c>
      <c r="AH698" t="s">
        <v>3491</v>
      </c>
      <c r="AK698">
        <v>1</v>
      </c>
      <c r="AL698" t="s">
        <v>61</v>
      </c>
      <c r="AM698" t="s">
        <v>3492</v>
      </c>
      <c r="AN698" t="s">
        <v>3493</v>
      </c>
    </row>
    <row r="699" spans="1:40" x14ac:dyDescent="0.35">
      <c r="A699" t="s">
        <v>37</v>
      </c>
      <c r="B699" t="s">
        <v>3534</v>
      </c>
      <c r="C699" t="s">
        <v>102</v>
      </c>
      <c r="D699" t="s">
        <v>3486</v>
      </c>
      <c r="E699" t="s">
        <v>3487</v>
      </c>
      <c r="F699" s="1">
        <v>46077.203935185185</v>
      </c>
      <c r="G699" t="s">
        <v>105</v>
      </c>
      <c r="H699" t="s">
        <v>106</v>
      </c>
      <c r="I699" t="s">
        <v>3535</v>
      </c>
      <c r="J699" t="s">
        <v>108</v>
      </c>
      <c r="K699" t="s">
        <v>109</v>
      </c>
      <c r="M699" t="s">
        <v>76</v>
      </c>
      <c r="O699" t="s">
        <v>77</v>
      </c>
      <c r="P699" t="s">
        <v>78</v>
      </c>
      <c r="Q699" t="s">
        <v>50</v>
      </c>
      <c r="R699" t="s">
        <v>111</v>
      </c>
      <c r="S699" t="s">
        <v>51</v>
      </c>
      <c r="T699" t="s">
        <v>1583</v>
      </c>
      <c r="U699" s="1">
        <v>46077.869328703702</v>
      </c>
      <c r="V699" t="s">
        <v>54</v>
      </c>
      <c r="W699" t="s">
        <v>1584</v>
      </c>
      <c r="X699" t="s">
        <v>113</v>
      </c>
      <c r="Y699" t="s">
        <v>3536</v>
      </c>
      <c r="Z699" t="s">
        <v>58</v>
      </c>
      <c r="AA699" t="s">
        <v>54</v>
      </c>
      <c r="AB699" t="s">
        <v>115</v>
      </c>
      <c r="AC699" t="s">
        <v>85</v>
      </c>
      <c r="AD699" t="s">
        <v>116</v>
      </c>
      <c r="AE699" t="s">
        <v>1586</v>
      </c>
      <c r="AF699" t="s">
        <v>664</v>
      </c>
      <c r="AG699" t="s">
        <v>58</v>
      </c>
      <c r="AH699" t="s">
        <v>3491</v>
      </c>
      <c r="AK699">
        <v>1</v>
      </c>
      <c r="AL699" t="s">
        <v>61</v>
      </c>
      <c r="AM699" t="s">
        <v>3492</v>
      </c>
      <c r="AN699" t="s">
        <v>3493</v>
      </c>
    </row>
    <row r="700" spans="1:40" x14ac:dyDescent="0.35">
      <c r="A700" t="s">
        <v>37</v>
      </c>
      <c r="B700" t="s">
        <v>3537</v>
      </c>
      <c r="C700" t="s">
        <v>39</v>
      </c>
      <c r="D700" t="s">
        <v>40</v>
      </c>
      <c r="E700" t="s">
        <v>41</v>
      </c>
      <c r="F700" s="1">
        <v>46077.203252314815</v>
      </c>
      <c r="G700" t="s">
        <v>42</v>
      </c>
      <c r="H700" t="s">
        <v>43</v>
      </c>
      <c r="I700" t="s">
        <v>3538</v>
      </c>
      <c r="J700" t="s">
        <v>45</v>
      </c>
      <c r="K700" t="s">
        <v>46</v>
      </c>
      <c r="M700" t="s">
        <v>47</v>
      </c>
      <c r="O700" t="s">
        <v>48</v>
      </c>
      <c r="P700" t="s">
        <v>49</v>
      </c>
      <c r="Q700" t="s">
        <v>50</v>
      </c>
      <c r="R700" t="s">
        <v>51</v>
      </c>
      <c r="S700" t="s">
        <v>52</v>
      </c>
      <c r="T700" t="s">
        <v>53</v>
      </c>
      <c r="U700" s="1">
        <v>46077.203969907408</v>
      </c>
      <c r="V700" t="s">
        <v>54</v>
      </c>
      <c r="W700" t="s">
        <v>55</v>
      </c>
      <c r="X700" t="s">
        <v>56</v>
      </c>
      <c r="Y700" t="s">
        <v>57</v>
      </c>
      <c r="Z700" t="s">
        <v>58</v>
      </c>
      <c r="AA700" t="s">
        <v>54</v>
      </c>
      <c r="AB700" t="s">
        <v>59</v>
      </c>
      <c r="AC700" t="s">
        <v>60</v>
      </c>
      <c r="AD700" t="s">
        <v>51</v>
      </c>
      <c r="AE700" t="s">
        <v>52</v>
      </c>
      <c r="AF700" t="s">
        <v>53</v>
      </c>
      <c r="AG700" t="s">
        <v>58</v>
      </c>
      <c r="AK700">
        <v>0</v>
      </c>
      <c r="AL700" t="s">
        <v>61</v>
      </c>
      <c r="AM700" t="s">
        <v>59</v>
      </c>
      <c r="AN700" t="s">
        <v>62</v>
      </c>
    </row>
    <row r="701" spans="1:40" x14ac:dyDescent="0.35">
      <c r="A701" t="s">
        <v>37</v>
      </c>
      <c r="B701" t="s">
        <v>3539</v>
      </c>
      <c r="C701" t="s">
        <v>39</v>
      </c>
      <c r="D701" t="s">
        <v>40</v>
      </c>
      <c r="E701" t="s">
        <v>41</v>
      </c>
      <c r="F701" s="1">
        <v>46077.2030787037</v>
      </c>
      <c r="G701" t="s">
        <v>42</v>
      </c>
      <c r="H701" t="s">
        <v>43</v>
      </c>
      <c r="I701" t="s">
        <v>3540</v>
      </c>
      <c r="J701" t="s">
        <v>45</v>
      </c>
      <c r="K701" t="s">
        <v>46</v>
      </c>
      <c r="M701" t="s">
        <v>47</v>
      </c>
      <c r="O701" t="s">
        <v>48</v>
      </c>
      <c r="P701" t="s">
        <v>49</v>
      </c>
      <c r="Q701" t="s">
        <v>50</v>
      </c>
      <c r="R701" t="s">
        <v>51</v>
      </c>
      <c r="S701" t="s">
        <v>52</v>
      </c>
      <c r="T701" t="s">
        <v>53</v>
      </c>
      <c r="U701" s="1">
        <v>46077.203831018516</v>
      </c>
      <c r="V701" t="s">
        <v>54</v>
      </c>
      <c r="W701" t="s">
        <v>55</v>
      </c>
      <c r="X701" t="s">
        <v>56</v>
      </c>
      <c r="Y701" t="s">
        <v>57</v>
      </c>
      <c r="Z701" t="s">
        <v>58</v>
      </c>
      <c r="AA701" t="s">
        <v>54</v>
      </c>
      <c r="AB701" t="s">
        <v>59</v>
      </c>
      <c r="AC701" t="s">
        <v>60</v>
      </c>
      <c r="AD701" t="s">
        <v>51</v>
      </c>
      <c r="AE701" t="s">
        <v>52</v>
      </c>
      <c r="AF701" t="s">
        <v>53</v>
      </c>
      <c r="AG701" t="s">
        <v>58</v>
      </c>
      <c r="AK701">
        <v>0</v>
      </c>
      <c r="AL701" t="s">
        <v>61</v>
      </c>
      <c r="AM701" t="s">
        <v>59</v>
      </c>
      <c r="AN701" t="s">
        <v>62</v>
      </c>
    </row>
    <row r="702" spans="1:40" x14ac:dyDescent="0.35">
      <c r="A702" t="s">
        <v>37</v>
      </c>
      <c r="B702" t="s">
        <v>3541</v>
      </c>
      <c r="C702" t="s">
        <v>102</v>
      </c>
      <c r="D702" t="s">
        <v>3486</v>
      </c>
      <c r="E702" t="s">
        <v>3487</v>
      </c>
      <c r="F702" s="1">
        <v>46077.203206018516</v>
      </c>
      <c r="G702" t="s">
        <v>105</v>
      </c>
      <c r="H702" t="s">
        <v>106</v>
      </c>
      <c r="I702" t="s">
        <v>3542</v>
      </c>
      <c r="J702" t="s">
        <v>108</v>
      </c>
      <c r="K702" t="s">
        <v>109</v>
      </c>
      <c r="M702" t="s">
        <v>76</v>
      </c>
      <c r="O702" t="s">
        <v>77</v>
      </c>
      <c r="P702" t="s">
        <v>78</v>
      </c>
      <c r="Q702" t="s">
        <v>50</v>
      </c>
      <c r="R702" t="s">
        <v>111</v>
      </c>
      <c r="S702" t="s">
        <v>51</v>
      </c>
      <c r="T702" t="s">
        <v>1583</v>
      </c>
      <c r="U702" s="1">
        <v>46077.869652777779</v>
      </c>
      <c r="V702" t="s">
        <v>54</v>
      </c>
      <c r="W702" t="s">
        <v>1584</v>
      </c>
      <c r="X702" t="s">
        <v>113</v>
      </c>
      <c r="Y702" t="s">
        <v>3543</v>
      </c>
      <c r="Z702" t="s">
        <v>58</v>
      </c>
      <c r="AA702" t="s">
        <v>54</v>
      </c>
      <c r="AB702" t="s">
        <v>115</v>
      </c>
      <c r="AC702" t="s">
        <v>85</v>
      </c>
      <c r="AD702" t="s">
        <v>116</v>
      </c>
      <c r="AE702" t="s">
        <v>1586</v>
      </c>
      <c r="AF702" t="s">
        <v>664</v>
      </c>
      <c r="AG702" t="s">
        <v>58</v>
      </c>
      <c r="AH702" t="s">
        <v>3491</v>
      </c>
      <c r="AK702">
        <v>1</v>
      </c>
      <c r="AL702" t="s">
        <v>61</v>
      </c>
      <c r="AM702" t="s">
        <v>3492</v>
      </c>
      <c r="AN702" t="s">
        <v>3493</v>
      </c>
    </row>
    <row r="703" spans="1:40" x14ac:dyDescent="0.35">
      <c r="A703" t="s">
        <v>37</v>
      </c>
      <c r="B703" t="s">
        <v>3544</v>
      </c>
      <c r="C703" t="s">
        <v>102</v>
      </c>
      <c r="D703" t="s">
        <v>3486</v>
      </c>
      <c r="E703" t="s">
        <v>3487</v>
      </c>
      <c r="F703" s="1">
        <v>46077.2028125</v>
      </c>
      <c r="G703" t="s">
        <v>105</v>
      </c>
      <c r="H703" t="s">
        <v>106</v>
      </c>
      <c r="I703" t="s">
        <v>3545</v>
      </c>
      <c r="J703" t="s">
        <v>108</v>
      </c>
      <c r="K703" t="s">
        <v>109</v>
      </c>
      <c r="M703" t="s">
        <v>76</v>
      </c>
      <c r="O703" t="s">
        <v>77</v>
      </c>
      <c r="P703" t="s">
        <v>78</v>
      </c>
      <c r="Q703" t="s">
        <v>50</v>
      </c>
      <c r="R703" t="s">
        <v>111</v>
      </c>
      <c r="S703" t="s">
        <v>51</v>
      </c>
      <c r="T703" t="s">
        <v>1583</v>
      </c>
      <c r="U703" s="1">
        <v>46077.870138888888</v>
      </c>
      <c r="V703" t="s">
        <v>54</v>
      </c>
      <c r="W703" t="s">
        <v>1584</v>
      </c>
      <c r="X703" t="s">
        <v>113</v>
      </c>
      <c r="Y703" t="s">
        <v>3546</v>
      </c>
      <c r="Z703" t="s">
        <v>58</v>
      </c>
      <c r="AA703" t="s">
        <v>54</v>
      </c>
      <c r="AB703" t="s">
        <v>115</v>
      </c>
      <c r="AC703" t="s">
        <v>85</v>
      </c>
      <c r="AD703" t="s">
        <v>116</v>
      </c>
      <c r="AE703" t="s">
        <v>1586</v>
      </c>
      <c r="AF703" t="s">
        <v>664</v>
      </c>
      <c r="AG703" t="s">
        <v>58</v>
      </c>
      <c r="AH703" t="s">
        <v>3491</v>
      </c>
      <c r="AK703">
        <v>1</v>
      </c>
      <c r="AL703" t="s">
        <v>61</v>
      </c>
      <c r="AM703" t="s">
        <v>3492</v>
      </c>
      <c r="AN703" t="s">
        <v>3493</v>
      </c>
    </row>
    <row r="704" spans="1:40" x14ac:dyDescent="0.35">
      <c r="A704" t="s">
        <v>37</v>
      </c>
      <c r="B704" t="s">
        <v>3547</v>
      </c>
      <c r="C704" t="s">
        <v>102</v>
      </c>
      <c r="D704" t="s">
        <v>3486</v>
      </c>
      <c r="E704" t="s">
        <v>3487</v>
      </c>
      <c r="F704" s="1">
        <v>46077.202407407407</v>
      </c>
      <c r="G704" t="s">
        <v>105</v>
      </c>
      <c r="H704" t="s">
        <v>106</v>
      </c>
      <c r="I704" t="s">
        <v>3548</v>
      </c>
      <c r="J704" t="s">
        <v>108</v>
      </c>
      <c r="K704" t="s">
        <v>109</v>
      </c>
      <c r="M704" t="s">
        <v>76</v>
      </c>
      <c r="O704" t="s">
        <v>77</v>
      </c>
      <c r="P704" t="s">
        <v>78</v>
      </c>
      <c r="Q704" t="s">
        <v>50</v>
      </c>
      <c r="R704" t="s">
        <v>111</v>
      </c>
      <c r="S704" t="s">
        <v>51</v>
      </c>
      <c r="T704" t="s">
        <v>1583</v>
      </c>
      <c r="U704" s="1">
        <v>46077.993807870371</v>
      </c>
      <c r="V704" t="s">
        <v>54</v>
      </c>
      <c r="W704" t="s">
        <v>1584</v>
      </c>
      <c r="X704" t="s">
        <v>113</v>
      </c>
      <c r="Y704" t="s">
        <v>3549</v>
      </c>
      <c r="Z704" t="s">
        <v>58</v>
      </c>
      <c r="AA704" t="s">
        <v>54</v>
      </c>
      <c r="AB704" t="s">
        <v>115</v>
      </c>
      <c r="AC704" t="s">
        <v>85</v>
      </c>
      <c r="AD704" t="s">
        <v>116</v>
      </c>
      <c r="AE704" t="s">
        <v>1586</v>
      </c>
      <c r="AF704" t="s">
        <v>664</v>
      </c>
      <c r="AG704" t="s">
        <v>58</v>
      </c>
      <c r="AH704" t="s">
        <v>3491</v>
      </c>
      <c r="AK704">
        <v>1</v>
      </c>
      <c r="AL704" t="s">
        <v>61</v>
      </c>
      <c r="AM704" t="s">
        <v>3492</v>
      </c>
      <c r="AN704" t="s">
        <v>3493</v>
      </c>
    </row>
    <row r="705" spans="1:40" x14ac:dyDescent="0.35">
      <c r="A705" t="s">
        <v>37</v>
      </c>
      <c r="B705" t="s">
        <v>3550</v>
      </c>
      <c r="C705" t="s">
        <v>102</v>
      </c>
      <c r="D705" t="s">
        <v>3486</v>
      </c>
      <c r="E705" t="s">
        <v>3487</v>
      </c>
      <c r="F705" s="1">
        <v>46077.202025462961</v>
      </c>
      <c r="G705" t="s">
        <v>105</v>
      </c>
      <c r="H705" t="s">
        <v>106</v>
      </c>
      <c r="I705" t="s">
        <v>3551</v>
      </c>
      <c r="J705" t="s">
        <v>108</v>
      </c>
      <c r="K705" t="s">
        <v>109</v>
      </c>
      <c r="M705" t="s">
        <v>76</v>
      </c>
      <c r="O705" t="s">
        <v>77</v>
      </c>
      <c r="P705" t="s">
        <v>78</v>
      </c>
      <c r="Q705" t="s">
        <v>50</v>
      </c>
      <c r="R705" t="s">
        <v>111</v>
      </c>
      <c r="S705" t="s">
        <v>51</v>
      </c>
      <c r="T705" t="s">
        <v>1583</v>
      </c>
      <c r="U705" s="1">
        <v>46077.993587962963</v>
      </c>
      <c r="V705" t="s">
        <v>54</v>
      </c>
      <c r="W705" t="s">
        <v>1584</v>
      </c>
      <c r="X705" t="s">
        <v>113</v>
      </c>
      <c r="Y705" t="s">
        <v>3552</v>
      </c>
      <c r="Z705" t="s">
        <v>58</v>
      </c>
      <c r="AA705" t="s">
        <v>54</v>
      </c>
      <c r="AB705" t="s">
        <v>115</v>
      </c>
      <c r="AC705" t="s">
        <v>85</v>
      </c>
      <c r="AD705" t="s">
        <v>116</v>
      </c>
      <c r="AE705" t="s">
        <v>1586</v>
      </c>
      <c r="AF705" t="s">
        <v>664</v>
      </c>
      <c r="AG705" t="s">
        <v>58</v>
      </c>
      <c r="AH705" t="s">
        <v>3491</v>
      </c>
      <c r="AK705">
        <v>1</v>
      </c>
      <c r="AL705" t="s">
        <v>61</v>
      </c>
      <c r="AM705" t="s">
        <v>3492</v>
      </c>
      <c r="AN705" t="s">
        <v>3493</v>
      </c>
    </row>
    <row r="706" spans="1:40" x14ac:dyDescent="0.35">
      <c r="A706" t="s">
        <v>37</v>
      </c>
      <c r="B706" t="s">
        <v>3553</v>
      </c>
      <c r="C706" t="s">
        <v>102</v>
      </c>
      <c r="D706" t="s">
        <v>3486</v>
      </c>
      <c r="E706" t="s">
        <v>3487</v>
      </c>
      <c r="F706" s="1">
        <v>46077.201655092591</v>
      </c>
      <c r="G706" t="s">
        <v>105</v>
      </c>
      <c r="H706" t="s">
        <v>106</v>
      </c>
      <c r="I706" t="s">
        <v>3554</v>
      </c>
      <c r="J706" t="s">
        <v>108</v>
      </c>
      <c r="K706" t="s">
        <v>109</v>
      </c>
      <c r="M706" t="s">
        <v>76</v>
      </c>
      <c r="O706" t="s">
        <v>77</v>
      </c>
      <c r="P706" t="s">
        <v>78</v>
      </c>
      <c r="Q706" t="s">
        <v>50</v>
      </c>
      <c r="R706" t="s">
        <v>111</v>
      </c>
      <c r="S706" t="s">
        <v>51</v>
      </c>
      <c r="T706" t="s">
        <v>1583</v>
      </c>
      <c r="U706" s="1">
        <v>46077.993310185186</v>
      </c>
      <c r="V706" t="s">
        <v>54</v>
      </c>
      <c r="W706" t="s">
        <v>1584</v>
      </c>
      <c r="X706" t="s">
        <v>113</v>
      </c>
      <c r="Y706" t="s">
        <v>3555</v>
      </c>
      <c r="Z706" t="s">
        <v>58</v>
      </c>
      <c r="AA706" t="s">
        <v>54</v>
      </c>
      <c r="AB706" t="s">
        <v>115</v>
      </c>
      <c r="AC706" t="s">
        <v>85</v>
      </c>
      <c r="AD706" t="s">
        <v>116</v>
      </c>
      <c r="AE706" t="s">
        <v>1586</v>
      </c>
      <c r="AF706" t="s">
        <v>664</v>
      </c>
      <c r="AG706" t="s">
        <v>58</v>
      </c>
      <c r="AH706" t="s">
        <v>3491</v>
      </c>
      <c r="AK706">
        <v>1</v>
      </c>
      <c r="AL706" t="s">
        <v>61</v>
      </c>
      <c r="AM706" t="s">
        <v>3492</v>
      </c>
      <c r="AN706" t="s">
        <v>3493</v>
      </c>
    </row>
    <row r="707" spans="1:40" x14ac:dyDescent="0.35">
      <c r="A707" t="s">
        <v>37</v>
      </c>
      <c r="B707" t="s">
        <v>3556</v>
      </c>
      <c r="C707" t="s">
        <v>102</v>
      </c>
      <c r="D707" t="s">
        <v>3486</v>
      </c>
      <c r="E707" t="s">
        <v>3487</v>
      </c>
      <c r="F707" s="1">
        <v>46077.2</v>
      </c>
      <c r="G707" t="s">
        <v>105</v>
      </c>
      <c r="H707" t="s">
        <v>106</v>
      </c>
      <c r="I707" t="s">
        <v>3557</v>
      </c>
      <c r="J707" t="s">
        <v>108</v>
      </c>
      <c r="K707" t="s">
        <v>109</v>
      </c>
      <c r="M707" t="s">
        <v>76</v>
      </c>
      <c r="O707" t="s">
        <v>77</v>
      </c>
      <c r="P707" t="s">
        <v>78</v>
      </c>
      <c r="Q707" t="s">
        <v>50</v>
      </c>
      <c r="R707" t="s">
        <v>111</v>
      </c>
      <c r="S707" t="s">
        <v>51</v>
      </c>
      <c r="T707" t="s">
        <v>1583</v>
      </c>
      <c r="U707" s="1">
        <v>46077.511238425926</v>
      </c>
      <c r="V707" t="s">
        <v>54</v>
      </c>
      <c r="W707" t="s">
        <v>1584</v>
      </c>
      <c r="X707" t="s">
        <v>113</v>
      </c>
      <c r="Y707" t="s">
        <v>3558</v>
      </c>
      <c r="Z707" t="s">
        <v>58</v>
      </c>
      <c r="AA707" t="s">
        <v>54</v>
      </c>
      <c r="AB707" t="s">
        <v>115</v>
      </c>
      <c r="AC707" t="s">
        <v>85</v>
      </c>
      <c r="AD707" t="s">
        <v>116</v>
      </c>
      <c r="AE707" t="s">
        <v>1586</v>
      </c>
      <c r="AF707" t="s">
        <v>664</v>
      </c>
      <c r="AG707" t="s">
        <v>58</v>
      </c>
      <c r="AH707" t="s">
        <v>3491</v>
      </c>
      <c r="AK707">
        <v>1</v>
      </c>
      <c r="AL707" t="s">
        <v>61</v>
      </c>
      <c r="AM707" t="s">
        <v>3492</v>
      </c>
      <c r="AN707" t="s">
        <v>3493</v>
      </c>
    </row>
    <row r="708" spans="1:40" x14ac:dyDescent="0.35">
      <c r="A708" t="s">
        <v>37</v>
      </c>
      <c r="B708" t="s">
        <v>3559</v>
      </c>
      <c r="C708" t="s">
        <v>102</v>
      </c>
      <c r="D708" t="s">
        <v>3486</v>
      </c>
      <c r="E708" t="s">
        <v>3487</v>
      </c>
      <c r="F708" s="1">
        <v>46077.199583333335</v>
      </c>
      <c r="G708" t="s">
        <v>105</v>
      </c>
      <c r="H708" t="s">
        <v>106</v>
      </c>
      <c r="I708" t="s">
        <v>3560</v>
      </c>
      <c r="J708" t="s">
        <v>108</v>
      </c>
      <c r="K708" t="s">
        <v>109</v>
      </c>
      <c r="M708" t="s">
        <v>76</v>
      </c>
      <c r="O708" t="s">
        <v>77</v>
      </c>
      <c r="P708" t="s">
        <v>78</v>
      </c>
      <c r="Q708" t="s">
        <v>50</v>
      </c>
      <c r="R708" t="s">
        <v>111</v>
      </c>
      <c r="S708" t="s">
        <v>51</v>
      </c>
      <c r="T708" t="s">
        <v>1583</v>
      </c>
      <c r="U708" s="1">
        <v>46077.510254629633</v>
      </c>
      <c r="V708" t="s">
        <v>54</v>
      </c>
      <c r="W708" t="s">
        <v>1584</v>
      </c>
      <c r="X708" t="s">
        <v>113</v>
      </c>
      <c r="Y708" t="s">
        <v>3558</v>
      </c>
      <c r="Z708" t="s">
        <v>58</v>
      </c>
      <c r="AA708" t="s">
        <v>54</v>
      </c>
      <c r="AB708" t="s">
        <v>115</v>
      </c>
      <c r="AC708" t="s">
        <v>85</v>
      </c>
      <c r="AD708" t="s">
        <v>116</v>
      </c>
      <c r="AE708" t="s">
        <v>1586</v>
      </c>
      <c r="AF708" t="s">
        <v>664</v>
      </c>
      <c r="AG708" t="s">
        <v>58</v>
      </c>
      <c r="AH708" t="s">
        <v>3491</v>
      </c>
      <c r="AK708">
        <v>1</v>
      </c>
      <c r="AL708" t="s">
        <v>61</v>
      </c>
      <c r="AM708" t="s">
        <v>3492</v>
      </c>
      <c r="AN708" t="s">
        <v>3493</v>
      </c>
    </row>
    <row r="709" spans="1:40" x14ac:dyDescent="0.35">
      <c r="A709" t="s">
        <v>37</v>
      </c>
      <c r="B709" t="s">
        <v>3561</v>
      </c>
      <c r="C709" t="s">
        <v>102</v>
      </c>
      <c r="D709" t="s">
        <v>3486</v>
      </c>
      <c r="E709" t="s">
        <v>3487</v>
      </c>
      <c r="F709" s="1">
        <v>46077.199212962965</v>
      </c>
      <c r="G709" t="s">
        <v>105</v>
      </c>
      <c r="H709" t="s">
        <v>106</v>
      </c>
      <c r="I709" t="s">
        <v>3562</v>
      </c>
      <c r="J709" t="s">
        <v>108</v>
      </c>
      <c r="K709" t="s">
        <v>109</v>
      </c>
      <c r="M709" t="s">
        <v>76</v>
      </c>
      <c r="O709" t="s">
        <v>77</v>
      </c>
      <c r="P709" t="s">
        <v>78</v>
      </c>
      <c r="Q709" t="s">
        <v>50</v>
      </c>
      <c r="R709" t="s">
        <v>111</v>
      </c>
      <c r="S709" t="s">
        <v>51</v>
      </c>
      <c r="T709" t="s">
        <v>1583</v>
      </c>
      <c r="U709" s="1">
        <v>46077.721006944441</v>
      </c>
      <c r="V709" t="s">
        <v>54</v>
      </c>
      <c r="W709" t="s">
        <v>1584</v>
      </c>
      <c r="X709" t="s">
        <v>113</v>
      </c>
      <c r="Y709" t="s">
        <v>3563</v>
      </c>
      <c r="Z709" t="s">
        <v>58</v>
      </c>
      <c r="AA709" t="s">
        <v>54</v>
      </c>
      <c r="AB709" t="s">
        <v>115</v>
      </c>
      <c r="AC709" t="s">
        <v>85</v>
      </c>
      <c r="AD709" t="s">
        <v>116</v>
      </c>
      <c r="AE709" t="s">
        <v>1586</v>
      </c>
      <c r="AF709" t="s">
        <v>664</v>
      </c>
      <c r="AG709" t="s">
        <v>58</v>
      </c>
      <c r="AH709" t="s">
        <v>3491</v>
      </c>
      <c r="AK709">
        <v>1</v>
      </c>
      <c r="AL709" t="s">
        <v>61</v>
      </c>
      <c r="AM709" t="s">
        <v>3492</v>
      </c>
      <c r="AN709" t="s">
        <v>3493</v>
      </c>
    </row>
    <row r="710" spans="1:40" x14ac:dyDescent="0.35">
      <c r="A710" t="s">
        <v>37</v>
      </c>
      <c r="B710" t="s">
        <v>3564</v>
      </c>
      <c r="C710" t="s">
        <v>102</v>
      </c>
      <c r="D710" t="s">
        <v>3486</v>
      </c>
      <c r="E710" t="s">
        <v>3487</v>
      </c>
      <c r="F710" s="1">
        <v>46077.198796296296</v>
      </c>
      <c r="G710" t="s">
        <v>105</v>
      </c>
      <c r="H710" t="s">
        <v>106</v>
      </c>
      <c r="I710" t="s">
        <v>3565</v>
      </c>
      <c r="J710" t="s">
        <v>108</v>
      </c>
      <c r="K710" t="s">
        <v>109</v>
      </c>
      <c r="M710" t="s">
        <v>76</v>
      </c>
      <c r="O710" t="s">
        <v>77</v>
      </c>
      <c r="P710" t="s">
        <v>78</v>
      </c>
      <c r="Q710" t="s">
        <v>50</v>
      </c>
      <c r="R710" t="s">
        <v>111</v>
      </c>
      <c r="S710" t="s">
        <v>51</v>
      </c>
      <c r="T710" t="s">
        <v>1583</v>
      </c>
      <c r="U710" s="1">
        <v>46077.721516203703</v>
      </c>
      <c r="V710" t="s">
        <v>54</v>
      </c>
      <c r="W710" t="s">
        <v>1584</v>
      </c>
      <c r="X710" t="s">
        <v>113</v>
      </c>
      <c r="Y710" t="s">
        <v>3566</v>
      </c>
      <c r="Z710" t="s">
        <v>58</v>
      </c>
      <c r="AA710" t="s">
        <v>54</v>
      </c>
      <c r="AB710" t="s">
        <v>115</v>
      </c>
      <c r="AC710" t="s">
        <v>85</v>
      </c>
      <c r="AD710" t="s">
        <v>116</v>
      </c>
      <c r="AE710" t="s">
        <v>1586</v>
      </c>
      <c r="AF710" t="s">
        <v>664</v>
      </c>
      <c r="AG710" t="s">
        <v>58</v>
      </c>
      <c r="AH710" t="s">
        <v>3491</v>
      </c>
      <c r="AK710">
        <v>1</v>
      </c>
      <c r="AL710" t="s">
        <v>61</v>
      </c>
      <c r="AM710" t="s">
        <v>3492</v>
      </c>
      <c r="AN710" t="s">
        <v>3493</v>
      </c>
    </row>
    <row r="711" spans="1:40" x14ac:dyDescent="0.35">
      <c r="A711" t="s">
        <v>37</v>
      </c>
      <c r="B711" t="s">
        <v>3567</v>
      </c>
      <c r="C711" t="s">
        <v>102</v>
      </c>
      <c r="D711" t="s">
        <v>3486</v>
      </c>
      <c r="E711" t="s">
        <v>3487</v>
      </c>
      <c r="F711" s="1">
        <v>46077.198379629626</v>
      </c>
      <c r="G711" t="s">
        <v>105</v>
      </c>
      <c r="H711" t="s">
        <v>106</v>
      </c>
      <c r="I711" t="s">
        <v>3568</v>
      </c>
      <c r="J711" t="s">
        <v>108</v>
      </c>
      <c r="K711" t="s">
        <v>109</v>
      </c>
      <c r="M711" t="s">
        <v>76</v>
      </c>
      <c r="O711" t="s">
        <v>77</v>
      </c>
      <c r="P711" t="s">
        <v>78</v>
      </c>
      <c r="Q711" t="s">
        <v>50</v>
      </c>
      <c r="R711" t="s">
        <v>111</v>
      </c>
      <c r="S711" t="s">
        <v>51</v>
      </c>
      <c r="T711" t="s">
        <v>1583</v>
      </c>
      <c r="U711" s="1">
        <v>46077.310347222221</v>
      </c>
      <c r="V711" t="s">
        <v>54</v>
      </c>
      <c r="W711" t="s">
        <v>55</v>
      </c>
      <c r="X711" t="s">
        <v>113</v>
      </c>
      <c r="Y711" t="s">
        <v>3569</v>
      </c>
      <c r="Z711" t="s">
        <v>58</v>
      </c>
      <c r="AA711" t="s">
        <v>54</v>
      </c>
      <c r="AB711" t="s">
        <v>115</v>
      </c>
      <c r="AC711" t="s">
        <v>85</v>
      </c>
      <c r="AD711" t="s">
        <v>116</v>
      </c>
      <c r="AE711" t="s">
        <v>1586</v>
      </c>
      <c r="AF711" t="s">
        <v>664</v>
      </c>
      <c r="AG711" t="s">
        <v>58</v>
      </c>
      <c r="AH711" t="s">
        <v>3491</v>
      </c>
      <c r="AK711">
        <v>1</v>
      </c>
      <c r="AL711" t="s">
        <v>61</v>
      </c>
      <c r="AM711" t="s">
        <v>3492</v>
      </c>
      <c r="AN711" t="s">
        <v>3493</v>
      </c>
    </row>
    <row r="712" spans="1:40" x14ac:dyDescent="0.35">
      <c r="A712" t="s">
        <v>37</v>
      </c>
      <c r="B712" t="s">
        <v>3570</v>
      </c>
      <c r="C712" t="s">
        <v>102</v>
      </c>
      <c r="D712" t="s">
        <v>3486</v>
      </c>
      <c r="E712" t="s">
        <v>3487</v>
      </c>
      <c r="F712" s="1">
        <v>46077.197835648149</v>
      </c>
      <c r="G712" t="s">
        <v>105</v>
      </c>
      <c r="H712" t="s">
        <v>106</v>
      </c>
      <c r="I712" t="s">
        <v>3571</v>
      </c>
      <c r="J712" t="s">
        <v>108</v>
      </c>
      <c r="K712" t="s">
        <v>109</v>
      </c>
      <c r="M712" t="s">
        <v>76</v>
      </c>
      <c r="O712" t="s">
        <v>77</v>
      </c>
      <c r="P712" t="s">
        <v>78</v>
      </c>
      <c r="Q712" t="s">
        <v>50</v>
      </c>
      <c r="R712" t="s">
        <v>111</v>
      </c>
      <c r="S712" t="s">
        <v>51</v>
      </c>
      <c r="T712" t="s">
        <v>1583</v>
      </c>
      <c r="U712" s="1">
        <v>46077.307928240742</v>
      </c>
      <c r="V712" t="s">
        <v>54</v>
      </c>
      <c r="W712" t="s">
        <v>55</v>
      </c>
      <c r="X712" t="s">
        <v>113</v>
      </c>
      <c r="Y712" t="s">
        <v>3572</v>
      </c>
      <c r="Z712" t="s">
        <v>58</v>
      </c>
      <c r="AA712" t="s">
        <v>54</v>
      </c>
      <c r="AB712" t="s">
        <v>115</v>
      </c>
      <c r="AC712" t="s">
        <v>85</v>
      </c>
      <c r="AD712" t="s">
        <v>116</v>
      </c>
      <c r="AE712" t="s">
        <v>1586</v>
      </c>
      <c r="AF712" t="s">
        <v>664</v>
      </c>
      <c r="AG712" t="s">
        <v>58</v>
      </c>
      <c r="AH712" t="s">
        <v>3491</v>
      </c>
      <c r="AK712">
        <v>1</v>
      </c>
      <c r="AL712" t="s">
        <v>61</v>
      </c>
      <c r="AM712" t="s">
        <v>3492</v>
      </c>
      <c r="AN712" t="s">
        <v>3493</v>
      </c>
    </row>
    <row r="713" spans="1:40" x14ac:dyDescent="0.35">
      <c r="A713" t="s">
        <v>37</v>
      </c>
      <c r="B713" t="s">
        <v>3573</v>
      </c>
      <c r="C713" t="s">
        <v>102</v>
      </c>
      <c r="D713" t="s">
        <v>3486</v>
      </c>
      <c r="E713" t="s">
        <v>3487</v>
      </c>
      <c r="F713" s="1">
        <v>46077.19740740741</v>
      </c>
      <c r="G713" t="s">
        <v>105</v>
      </c>
      <c r="H713" t="s">
        <v>106</v>
      </c>
      <c r="I713" t="s">
        <v>3574</v>
      </c>
      <c r="J713" t="s">
        <v>108</v>
      </c>
      <c r="K713" t="s">
        <v>109</v>
      </c>
      <c r="M713" t="s">
        <v>76</v>
      </c>
      <c r="O713" t="s">
        <v>77</v>
      </c>
      <c r="P713" t="s">
        <v>78</v>
      </c>
      <c r="Q713" t="s">
        <v>50</v>
      </c>
      <c r="R713" t="s">
        <v>111</v>
      </c>
      <c r="S713" t="s">
        <v>51</v>
      </c>
      <c r="T713" t="s">
        <v>1583</v>
      </c>
      <c r="U713" s="1">
        <v>46077.312222222223</v>
      </c>
      <c r="V713" t="s">
        <v>54</v>
      </c>
      <c r="W713" t="s">
        <v>55</v>
      </c>
      <c r="X713" t="s">
        <v>113</v>
      </c>
      <c r="Y713" t="s">
        <v>3575</v>
      </c>
      <c r="Z713" t="s">
        <v>58</v>
      </c>
      <c r="AA713" t="s">
        <v>54</v>
      </c>
      <c r="AB713" t="s">
        <v>115</v>
      </c>
      <c r="AC713" t="s">
        <v>85</v>
      </c>
      <c r="AD713" t="s">
        <v>116</v>
      </c>
      <c r="AE713" t="s">
        <v>1586</v>
      </c>
      <c r="AF713" t="s">
        <v>664</v>
      </c>
      <c r="AG713" t="s">
        <v>58</v>
      </c>
      <c r="AH713" t="s">
        <v>3491</v>
      </c>
      <c r="AK713">
        <v>1</v>
      </c>
      <c r="AL713" t="s">
        <v>61</v>
      </c>
      <c r="AM713" t="s">
        <v>3492</v>
      </c>
      <c r="AN713" t="s">
        <v>3493</v>
      </c>
    </row>
    <row r="714" spans="1:40" x14ac:dyDescent="0.35">
      <c r="A714" t="s">
        <v>37</v>
      </c>
      <c r="B714" t="s">
        <v>3576</v>
      </c>
      <c r="C714" t="s">
        <v>102</v>
      </c>
      <c r="D714" t="s">
        <v>3486</v>
      </c>
      <c r="E714" t="s">
        <v>3487</v>
      </c>
      <c r="F714" s="1">
        <v>46077.196921296294</v>
      </c>
      <c r="G714" t="s">
        <v>105</v>
      </c>
      <c r="H714" t="s">
        <v>106</v>
      </c>
      <c r="I714" t="s">
        <v>3577</v>
      </c>
      <c r="J714" t="s">
        <v>108</v>
      </c>
      <c r="K714" t="s">
        <v>109</v>
      </c>
      <c r="M714" t="s">
        <v>76</v>
      </c>
      <c r="O714" t="s">
        <v>77</v>
      </c>
      <c r="P714" t="s">
        <v>78</v>
      </c>
      <c r="Q714" t="s">
        <v>50</v>
      </c>
      <c r="R714" t="s">
        <v>111</v>
      </c>
      <c r="S714" t="s">
        <v>51</v>
      </c>
      <c r="T714" t="s">
        <v>1583</v>
      </c>
      <c r="U714" s="1">
        <v>46078.613796296297</v>
      </c>
      <c r="V714" t="s">
        <v>54</v>
      </c>
      <c r="W714" t="s">
        <v>1584</v>
      </c>
      <c r="X714" t="s">
        <v>113</v>
      </c>
      <c r="Y714" t="s">
        <v>3578</v>
      </c>
      <c r="Z714" t="s">
        <v>58</v>
      </c>
      <c r="AA714" t="s">
        <v>54</v>
      </c>
      <c r="AB714" t="s">
        <v>115</v>
      </c>
      <c r="AC714" t="s">
        <v>85</v>
      </c>
      <c r="AD714" t="s">
        <v>116</v>
      </c>
      <c r="AE714" t="s">
        <v>1586</v>
      </c>
      <c r="AF714" t="s">
        <v>664</v>
      </c>
      <c r="AG714" t="s">
        <v>58</v>
      </c>
      <c r="AH714" t="s">
        <v>3491</v>
      </c>
      <c r="AK714">
        <v>1</v>
      </c>
      <c r="AL714" t="s">
        <v>61</v>
      </c>
      <c r="AM714" t="s">
        <v>3492</v>
      </c>
      <c r="AN714" t="s">
        <v>3493</v>
      </c>
    </row>
    <row r="715" spans="1:40" x14ac:dyDescent="0.35">
      <c r="A715" t="s">
        <v>37</v>
      </c>
      <c r="B715" t="s">
        <v>3579</v>
      </c>
      <c r="C715" t="s">
        <v>102</v>
      </c>
      <c r="D715" t="s">
        <v>3486</v>
      </c>
      <c r="E715" t="s">
        <v>3487</v>
      </c>
      <c r="F715" s="1">
        <v>46077.196527777778</v>
      </c>
      <c r="G715" t="s">
        <v>105</v>
      </c>
      <c r="H715" t="s">
        <v>106</v>
      </c>
      <c r="I715" t="s">
        <v>3580</v>
      </c>
      <c r="J715" t="s">
        <v>108</v>
      </c>
      <c r="K715" t="s">
        <v>109</v>
      </c>
      <c r="M715" t="s">
        <v>76</v>
      </c>
      <c r="O715" t="s">
        <v>77</v>
      </c>
      <c r="P715" t="s">
        <v>78</v>
      </c>
      <c r="Q715" t="s">
        <v>50</v>
      </c>
      <c r="R715" t="s">
        <v>111</v>
      </c>
      <c r="S715" t="s">
        <v>51</v>
      </c>
      <c r="T715" t="s">
        <v>1583</v>
      </c>
      <c r="U715" s="1">
        <v>46078.613402777781</v>
      </c>
      <c r="V715" t="s">
        <v>54</v>
      </c>
      <c r="W715" t="s">
        <v>1584</v>
      </c>
      <c r="X715" t="s">
        <v>113</v>
      </c>
      <c r="Y715" t="s">
        <v>3581</v>
      </c>
      <c r="Z715" t="s">
        <v>58</v>
      </c>
      <c r="AA715" t="s">
        <v>54</v>
      </c>
      <c r="AB715" t="s">
        <v>115</v>
      </c>
      <c r="AC715" t="s">
        <v>85</v>
      </c>
      <c r="AD715" t="s">
        <v>116</v>
      </c>
      <c r="AE715" t="s">
        <v>1586</v>
      </c>
      <c r="AF715" t="s">
        <v>664</v>
      </c>
      <c r="AG715" t="s">
        <v>58</v>
      </c>
      <c r="AH715" t="s">
        <v>3491</v>
      </c>
      <c r="AK715">
        <v>1</v>
      </c>
      <c r="AL715" t="s">
        <v>61</v>
      </c>
      <c r="AM715" t="s">
        <v>3492</v>
      </c>
      <c r="AN715" t="s">
        <v>3493</v>
      </c>
    </row>
    <row r="716" spans="1:40" x14ac:dyDescent="0.35">
      <c r="A716" t="s">
        <v>37</v>
      </c>
      <c r="B716" t="s">
        <v>3582</v>
      </c>
      <c r="C716" t="s">
        <v>102</v>
      </c>
      <c r="D716" t="s">
        <v>3486</v>
      </c>
      <c r="E716" t="s">
        <v>3487</v>
      </c>
      <c r="F716" s="1">
        <v>46077.196064814816</v>
      </c>
      <c r="G716" t="s">
        <v>105</v>
      </c>
      <c r="H716" t="s">
        <v>106</v>
      </c>
      <c r="I716" t="s">
        <v>3583</v>
      </c>
      <c r="J716" t="s">
        <v>108</v>
      </c>
      <c r="K716" t="s">
        <v>109</v>
      </c>
      <c r="M716" t="s">
        <v>76</v>
      </c>
      <c r="O716" t="s">
        <v>77</v>
      </c>
      <c r="P716" t="s">
        <v>78</v>
      </c>
      <c r="Q716" t="s">
        <v>50</v>
      </c>
      <c r="R716" t="s">
        <v>111</v>
      </c>
      <c r="S716" t="s">
        <v>51</v>
      </c>
      <c r="T716" t="s">
        <v>1583</v>
      </c>
      <c r="U716" s="1">
        <v>46078.612743055557</v>
      </c>
      <c r="V716" t="s">
        <v>54</v>
      </c>
      <c r="W716" t="s">
        <v>1584</v>
      </c>
      <c r="X716" t="s">
        <v>113</v>
      </c>
      <c r="Y716" t="s">
        <v>3584</v>
      </c>
      <c r="Z716" t="s">
        <v>58</v>
      </c>
      <c r="AA716" t="s">
        <v>54</v>
      </c>
      <c r="AB716" t="s">
        <v>115</v>
      </c>
      <c r="AC716" t="s">
        <v>85</v>
      </c>
      <c r="AD716" t="s">
        <v>116</v>
      </c>
      <c r="AE716" t="s">
        <v>1586</v>
      </c>
      <c r="AF716" t="s">
        <v>664</v>
      </c>
      <c r="AG716" t="s">
        <v>58</v>
      </c>
      <c r="AH716" t="s">
        <v>3491</v>
      </c>
      <c r="AK716">
        <v>1</v>
      </c>
      <c r="AL716" t="s">
        <v>61</v>
      </c>
      <c r="AM716" t="s">
        <v>3492</v>
      </c>
      <c r="AN716" t="s">
        <v>3493</v>
      </c>
    </row>
    <row r="717" spans="1:40" x14ac:dyDescent="0.35">
      <c r="A717" t="s">
        <v>37</v>
      </c>
      <c r="B717" t="s">
        <v>3585</v>
      </c>
      <c r="C717" t="s">
        <v>102</v>
      </c>
      <c r="D717" t="s">
        <v>3486</v>
      </c>
      <c r="E717" t="s">
        <v>3487</v>
      </c>
      <c r="F717" s="1">
        <v>46077.195671296293</v>
      </c>
      <c r="G717" t="s">
        <v>105</v>
      </c>
      <c r="H717" t="s">
        <v>106</v>
      </c>
      <c r="I717" t="s">
        <v>3586</v>
      </c>
      <c r="J717" t="s">
        <v>108</v>
      </c>
      <c r="K717" t="s">
        <v>109</v>
      </c>
      <c r="M717" t="s">
        <v>76</v>
      </c>
      <c r="O717" t="s">
        <v>77</v>
      </c>
      <c r="P717" t="s">
        <v>78</v>
      </c>
      <c r="Q717" t="s">
        <v>50</v>
      </c>
      <c r="R717" t="s">
        <v>111</v>
      </c>
      <c r="S717" t="s">
        <v>51</v>
      </c>
      <c r="T717" t="s">
        <v>1583</v>
      </c>
      <c r="U717" s="1">
        <v>46078.612118055556</v>
      </c>
      <c r="V717" t="s">
        <v>54</v>
      </c>
      <c r="W717" t="s">
        <v>1584</v>
      </c>
      <c r="X717" t="s">
        <v>113</v>
      </c>
      <c r="Y717" t="s">
        <v>3587</v>
      </c>
      <c r="Z717" t="s">
        <v>58</v>
      </c>
      <c r="AA717" t="s">
        <v>54</v>
      </c>
      <c r="AB717" t="s">
        <v>115</v>
      </c>
      <c r="AC717" t="s">
        <v>85</v>
      </c>
      <c r="AD717" t="s">
        <v>116</v>
      </c>
      <c r="AE717" t="s">
        <v>1586</v>
      </c>
      <c r="AF717" t="s">
        <v>664</v>
      </c>
      <c r="AG717" t="s">
        <v>58</v>
      </c>
      <c r="AH717" t="s">
        <v>3491</v>
      </c>
      <c r="AK717">
        <v>1</v>
      </c>
      <c r="AL717" t="s">
        <v>61</v>
      </c>
      <c r="AM717" t="s">
        <v>3492</v>
      </c>
      <c r="AN717" t="s">
        <v>3493</v>
      </c>
    </row>
    <row r="718" spans="1:40" x14ac:dyDescent="0.35">
      <c r="A718" t="s">
        <v>37</v>
      </c>
      <c r="B718" t="s">
        <v>3588</v>
      </c>
      <c r="C718" t="s">
        <v>102</v>
      </c>
      <c r="D718" t="s">
        <v>3486</v>
      </c>
      <c r="E718" t="s">
        <v>3487</v>
      </c>
      <c r="F718" s="1">
        <v>46077.195196759261</v>
      </c>
      <c r="G718" t="s">
        <v>105</v>
      </c>
      <c r="H718" t="s">
        <v>106</v>
      </c>
      <c r="I718" t="s">
        <v>3589</v>
      </c>
      <c r="J718" t="s">
        <v>108</v>
      </c>
      <c r="K718" t="s">
        <v>109</v>
      </c>
      <c r="M718" t="s">
        <v>76</v>
      </c>
      <c r="O718" t="s">
        <v>77</v>
      </c>
      <c r="P718" t="s">
        <v>78</v>
      </c>
      <c r="Q718" t="s">
        <v>50</v>
      </c>
      <c r="R718" t="s">
        <v>111</v>
      </c>
      <c r="S718" t="s">
        <v>51</v>
      </c>
      <c r="T718" t="s">
        <v>112</v>
      </c>
      <c r="U718" s="1">
        <v>46078.616805555554</v>
      </c>
      <c r="V718" t="s">
        <v>54</v>
      </c>
      <c r="W718" t="s">
        <v>1584</v>
      </c>
      <c r="X718" t="s">
        <v>113</v>
      </c>
      <c r="Y718" t="s">
        <v>3590</v>
      </c>
      <c r="Z718" t="s">
        <v>58</v>
      </c>
      <c r="AA718" t="s">
        <v>54</v>
      </c>
      <c r="AB718" t="s">
        <v>115</v>
      </c>
      <c r="AC718" t="s">
        <v>85</v>
      </c>
      <c r="AD718" t="s">
        <v>116</v>
      </c>
      <c r="AE718" t="s">
        <v>117</v>
      </c>
      <c r="AF718" t="s">
        <v>664</v>
      </c>
      <c r="AG718" t="s">
        <v>58</v>
      </c>
      <c r="AH718" t="s">
        <v>3491</v>
      </c>
      <c r="AK718">
        <v>1</v>
      </c>
      <c r="AL718" t="s">
        <v>61</v>
      </c>
      <c r="AM718" t="s">
        <v>3492</v>
      </c>
      <c r="AN718" t="s">
        <v>3493</v>
      </c>
    </row>
    <row r="719" spans="1:40" x14ac:dyDescent="0.35">
      <c r="A719" t="s">
        <v>37</v>
      </c>
      <c r="B719" t="s">
        <v>3591</v>
      </c>
      <c r="C719" t="s">
        <v>39</v>
      </c>
      <c r="D719" t="s">
        <v>40</v>
      </c>
      <c r="E719" t="s">
        <v>41</v>
      </c>
      <c r="F719" s="1">
        <v>46077.184236111112</v>
      </c>
      <c r="G719" t="s">
        <v>42</v>
      </c>
      <c r="H719" t="s">
        <v>43</v>
      </c>
      <c r="I719" t="s">
        <v>3592</v>
      </c>
      <c r="J719" t="s">
        <v>45</v>
      </c>
      <c r="K719" t="s">
        <v>46</v>
      </c>
      <c r="M719" t="s">
        <v>47</v>
      </c>
      <c r="O719" t="s">
        <v>48</v>
      </c>
      <c r="P719" t="s">
        <v>49</v>
      </c>
      <c r="Q719" t="s">
        <v>50</v>
      </c>
      <c r="R719" t="s">
        <v>214</v>
      </c>
      <c r="S719" t="s">
        <v>589</v>
      </c>
      <c r="T719" t="s">
        <v>3593</v>
      </c>
      <c r="U719" s="1">
        <v>46077.333229166667</v>
      </c>
      <c r="V719" t="s">
        <v>54</v>
      </c>
      <c r="W719" t="s">
        <v>55</v>
      </c>
      <c r="X719" t="s">
        <v>56</v>
      </c>
      <c r="Y719" t="s">
        <v>3594</v>
      </c>
      <c r="Z719" t="s">
        <v>58</v>
      </c>
      <c r="AA719" t="s">
        <v>54</v>
      </c>
      <c r="AB719" t="s">
        <v>59</v>
      </c>
      <c r="AC719" t="s">
        <v>60</v>
      </c>
      <c r="AD719" t="s">
        <v>51</v>
      </c>
      <c r="AE719" t="s">
        <v>52</v>
      </c>
      <c r="AF719" t="s">
        <v>53</v>
      </c>
      <c r="AG719" t="s">
        <v>58</v>
      </c>
      <c r="AK719">
        <v>0</v>
      </c>
      <c r="AL719" t="s">
        <v>61</v>
      </c>
      <c r="AM719" t="s">
        <v>59</v>
      </c>
      <c r="AN719" t="s">
        <v>62</v>
      </c>
    </row>
    <row r="720" spans="1:40" x14ac:dyDescent="0.35">
      <c r="A720" t="s">
        <v>37</v>
      </c>
      <c r="B720" t="s">
        <v>3595</v>
      </c>
      <c r="C720" t="s">
        <v>39</v>
      </c>
      <c r="D720" t="s">
        <v>981</v>
      </c>
      <c r="E720" t="s">
        <v>3596</v>
      </c>
      <c r="F720" s="1">
        <v>46077.145266203705</v>
      </c>
      <c r="G720" t="s">
        <v>71</v>
      </c>
      <c r="H720" t="s">
        <v>72</v>
      </c>
      <c r="I720" t="s">
        <v>3035</v>
      </c>
      <c r="J720" t="s">
        <v>1555</v>
      </c>
      <c r="K720" t="s">
        <v>951</v>
      </c>
      <c r="M720" t="s">
        <v>76</v>
      </c>
      <c r="O720" t="s">
        <v>77</v>
      </c>
      <c r="P720" t="s">
        <v>78</v>
      </c>
      <c r="Q720" t="s">
        <v>50</v>
      </c>
      <c r="R720" t="s">
        <v>79</v>
      </c>
      <c r="S720" t="s">
        <v>1556</v>
      </c>
      <c r="T720" t="s">
        <v>1557</v>
      </c>
      <c r="U720" s="1">
        <v>46077.476724537039</v>
      </c>
      <c r="V720" t="s">
        <v>54</v>
      </c>
      <c r="W720" t="s">
        <v>55</v>
      </c>
      <c r="X720" t="s">
        <v>134</v>
      </c>
      <c r="Y720" t="e">
        <f>- Cleaned / deleted Quarantined items. - deleted temporary files, temporary internet files and cookies. - Ran SEP Active scan. - Completed successfully</f>
        <v>#NAME?</v>
      </c>
      <c r="Z720" t="s">
        <v>58</v>
      </c>
      <c r="AA720" t="s">
        <v>54</v>
      </c>
      <c r="AB720" t="s">
        <v>3425</v>
      </c>
      <c r="AC720" t="s">
        <v>85</v>
      </c>
      <c r="AD720" t="s">
        <v>79</v>
      </c>
      <c r="AE720" t="s">
        <v>1556</v>
      </c>
      <c r="AF720" t="s">
        <v>1557</v>
      </c>
      <c r="AG720" t="s">
        <v>58</v>
      </c>
      <c r="AH720" t="s">
        <v>3597</v>
      </c>
      <c r="AK720">
        <v>1</v>
      </c>
      <c r="AL720" t="s">
        <v>61</v>
      </c>
      <c r="AM720" t="s">
        <v>3598</v>
      </c>
      <c r="AN720" t="s">
        <v>3599</v>
      </c>
    </row>
    <row r="721" spans="1:40" x14ac:dyDescent="0.35">
      <c r="A721" t="s">
        <v>37</v>
      </c>
      <c r="B721" t="s">
        <v>3600</v>
      </c>
      <c r="C721" t="s">
        <v>39</v>
      </c>
      <c r="D721" t="s">
        <v>325</v>
      </c>
      <c r="E721" t="s">
        <v>325</v>
      </c>
      <c r="F721" s="1">
        <v>46077.143171296295</v>
      </c>
      <c r="G721" t="s">
        <v>432</v>
      </c>
      <c r="H721" t="s">
        <v>433</v>
      </c>
      <c r="I721" t="s">
        <v>171</v>
      </c>
      <c r="J721" t="s">
        <v>3423</v>
      </c>
      <c r="K721" t="s">
        <v>75</v>
      </c>
      <c r="M721" t="s">
        <v>76</v>
      </c>
      <c r="O721" t="s">
        <v>77</v>
      </c>
      <c r="P721" t="s">
        <v>78</v>
      </c>
      <c r="Q721" t="s">
        <v>541</v>
      </c>
      <c r="R721" t="s">
        <v>79</v>
      </c>
      <c r="S721" t="s">
        <v>172</v>
      </c>
      <c r="T721" t="s">
        <v>173</v>
      </c>
      <c r="U721" s="1">
        <v>46077.150787037041</v>
      </c>
      <c r="V721" t="s">
        <v>54</v>
      </c>
      <c r="W721" t="s">
        <v>55</v>
      </c>
      <c r="X721" t="s">
        <v>82</v>
      </c>
      <c r="Y721" t="s">
        <v>3424</v>
      </c>
      <c r="Z721" t="s">
        <v>58</v>
      </c>
      <c r="AA721" t="s">
        <v>54</v>
      </c>
      <c r="AB721" t="s">
        <v>3425</v>
      </c>
      <c r="AC721" t="s">
        <v>85</v>
      </c>
      <c r="AD721" t="s">
        <v>79</v>
      </c>
      <c r="AE721" t="s">
        <v>172</v>
      </c>
      <c r="AF721" t="s">
        <v>173</v>
      </c>
      <c r="AG721" t="s">
        <v>58</v>
      </c>
      <c r="AH721">
        <v>871</v>
      </c>
      <c r="AK721">
        <v>0</v>
      </c>
      <c r="AL721" t="s">
        <v>61</v>
      </c>
      <c r="AM721" t="s">
        <v>3601</v>
      </c>
      <c r="AN721" t="s">
        <v>3602</v>
      </c>
    </row>
    <row r="722" spans="1:40" x14ac:dyDescent="0.35">
      <c r="A722" t="s">
        <v>37</v>
      </c>
      <c r="B722" t="s">
        <v>3603</v>
      </c>
      <c r="C722" t="s">
        <v>102</v>
      </c>
      <c r="D722" t="s">
        <v>3486</v>
      </c>
      <c r="E722" t="s">
        <v>3487</v>
      </c>
      <c r="F722" s="1">
        <v>46077.115729166668</v>
      </c>
      <c r="G722" t="s">
        <v>105</v>
      </c>
      <c r="H722" t="s">
        <v>106</v>
      </c>
      <c r="I722" t="s">
        <v>3604</v>
      </c>
      <c r="J722" t="s">
        <v>108</v>
      </c>
      <c r="K722" t="s">
        <v>571</v>
      </c>
      <c r="M722" t="s">
        <v>76</v>
      </c>
      <c r="O722" t="s">
        <v>77</v>
      </c>
      <c r="P722" t="s">
        <v>78</v>
      </c>
      <c r="Q722" t="s">
        <v>50</v>
      </c>
      <c r="R722" t="s">
        <v>111</v>
      </c>
      <c r="S722" t="s">
        <v>51</v>
      </c>
      <c r="T722" t="s">
        <v>112</v>
      </c>
      <c r="U722" s="1">
        <v>46077.206284722219</v>
      </c>
      <c r="V722" t="s">
        <v>54</v>
      </c>
      <c r="W722" t="s">
        <v>55</v>
      </c>
      <c r="X722" t="s">
        <v>113</v>
      </c>
      <c r="Y722" t="s">
        <v>1540</v>
      </c>
      <c r="Z722" t="s">
        <v>58</v>
      </c>
      <c r="AA722" t="s">
        <v>54</v>
      </c>
      <c r="AB722" t="s">
        <v>115</v>
      </c>
      <c r="AC722" t="s">
        <v>85</v>
      </c>
      <c r="AD722" t="s">
        <v>116</v>
      </c>
      <c r="AE722" t="s">
        <v>1541</v>
      </c>
      <c r="AF722" t="s">
        <v>144</v>
      </c>
      <c r="AG722" t="s">
        <v>58</v>
      </c>
      <c r="AH722" t="s">
        <v>3491</v>
      </c>
      <c r="AK722">
        <v>1</v>
      </c>
      <c r="AL722" t="s">
        <v>61</v>
      </c>
      <c r="AM722" t="s">
        <v>3492</v>
      </c>
      <c r="AN722" t="s">
        <v>3493</v>
      </c>
    </row>
    <row r="723" spans="1:40" x14ac:dyDescent="0.35">
      <c r="A723" t="s">
        <v>37</v>
      </c>
      <c r="B723" t="s">
        <v>3605</v>
      </c>
      <c r="C723" t="s">
        <v>39</v>
      </c>
      <c r="D723" t="s">
        <v>40</v>
      </c>
      <c r="E723" t="s">
        <v>41</v>
      </c>
      <c r="F723" s="1">
        <v>46077.099062499998</v>
      </c>
      <c r="G723" t="s">
        <v>42</v>
      </c>
      <c r="H723" t="s">
        <v>43</v>
      </c>
      <c r="I723" t="s">
        <v>3606</v>
      </c>
      <c r="J723" t="s">
        <v>45</v>
      </c>
      <c r="K723" t="s">
        <v>46</v>
      </c>
      <c r="M723" t="s">
        <v>47</v>
      </c>
      <c r="O723" t="s">
        <v>48</v>
      </c>
      <c r="P723" t="s">
        <v>49</v>
      </c>
      <c r="Q723" t="s">
        <v>50</v>
      </c>
      <c r="R723" t="s">
        <v>51</v>
      </c>
      <c r="S723" t="s">
        <v>52</v>
      </c>
      <c r="T723" t="s">
        <v>53</v>
      </c>
      <c r="U723" s="1">
        <v>46077.100474537037</v>
      </c>
      <c r="V723" t="s">
        <v>54</v>
      </c>
      <c r="W723" t="s">
        <v>55</v>
      </c>
      <c r="X723" t="s">
        <v>56</v>
      </c>
      <c r="Y723" t="s">
        <v>57</v>
      </c>
      <c r="Z723" t="s">
        <v>58</v>
      </c>
      <c r="AA723" t="s">
        <v>54</v>
      </c>
      <c r="AB723" t="s">
        <v>59</v>
      </c>
      <c r="AC723" t="s">
        <v>60</v>
      </c>
      <c r="AD723" t="s">
        <v>51</v>
      </c>
      <c r="AE723" t="s">
        <v>52</v>
      </c>
      <c r="AF723" t="s">
        <v>53</v>
      </c>
      <c r="AG723" t="s">
        <v>58</v>
      </c>
      <c r="AK723">
        <v>0</v>
      </c>
      <c r="AL723" t="s">
        <v>61</v>
      </c>
      <c r="AM723" t="s">
        <v>59</v>
      </c>
      <c r="AN723" t="s">
        <v>62</v>
      </c>
    </row>
    <row r="724" spans="1:40" x14ac:dyDescent="0.35">
      <c r="A724" t="s">
        <v>37</v>
      </c>
      <c r="B724" t="s">
        <v>3607</v>
      </c>
      <c r="C724" t="s">
        <v>102</v>
      </c>
      <c r="D724" t="s">
        <v>3608</v>
      </c>
      <c r="E724" t="s">
        <v>303</v>
      </c>
      <c r="F724" s="1">
        <v>46077.091840277775</v>
      </c>
      <c r="G724" t="s">
        <v>250</v>
      </c>
      <c r="H724" t="s">
        <v>106</v>
      </c>
      <c r="I724" t="s">
        <v>3609</v>
      </c>
      <c r="J724" t="s">
        <v>2531</v>
      </c>
      <c r="K724" t="s">
        <v>2532</v>
      </c>
      <c r="M724" t="s">
        <v>76</v>
      </c>
      <c r="O724" t="s">
        <v>237</v>
      </c>
      <c r="P724" t="s">
        <v>238</v>
      </c>
      <c r="Q724" t="s">
        <v>2169</v>
      </c>
      <c r="R724" t="s">
        <v>51</v>
      </c>
      <c r="S724" t="s">
        <v>52</v>
      </c>
      <c r="T724" t="s">
        <v>240</v>
      </c>
      <c r="U724" s="1">
        <v>46077.49659722222</v>
      </c>
      <c r="V724" t="s">
        <v>54</v>
      </c>
      <c r="W724" t="s">
        <v>55</v>
      </c>
      <c r="X724" t="s">
        <v>211</v>
      </c>
      <c r="Y724" t="e">
        <f>- Please note that, your username has been whitelisted now. kindly ensure that you are using only one device to punch.</f>
        <v>#NAME?</v>
      </c>
      <c r="Z724" t="s">
        <v>58</v>
      </c>
      <c r="AA724" t="s">
        <v>54</v>
      </c>
      <c r="AB724" t="s">
        <v>213</v>
      </c>
      <c r="AC724" t="s">
        <v>242</v>
      </c>
      <c r="AD724" t="s">
        <v>52</v>
      </c>
      <c r="AE724" t="s">
        <v>243</v>
      </c>
      <c r="AF724" t="s">
        <v>2533</v>
      </c>
      <c r="AG724" t="s">
        <v>58</v>
      </c>
      <c r="AH724">
        <v>3485</v>
      </c>
      <c r="AK724">
        <v>1</v>
      </c>
      <c r="AL724" t="s">
        <v>61</v>
      </c>
      <c r="AM724" t="s">
        <v>3610</v>
      </c>
      <c r="AN724" t="s">
        <v>3611</v>
      </c>
    </row>
    <row r="725" spans="1:40" x14ac:dyDescent="0.35">
      <c r="A725" t="s">
        <v>37</v>
      </c>
      <c r="B725" t="s">
        <v>3612</v>
      </c>
      <c r="C725" t="s">
        <v>39</v>
      </c>
      <c r="D725" t="s">
        <v>40</v>
      </c>
      <c r="E725" t="s">
        <v>41</v>
      </c>
      <c r="F725" s="1">
        <v>46077.088761574072</v>
      </c>
      <c r="G725" t="s">
        <v>42</v>
      </c>
      <c r="H725" t="s">
        <v>43</v>
      </c>
      <c r="I725" t="s">
        <v>3613</v>
      </c>
      <c r="J725" t="s">
        <v>45</v>
      </c>
      <c r="K725" t="s">
        <v>46</v>
      </c>
      <c r="M725" t="s">
        <v>47</v>
      </c>
      <c r="O725" t="s">
        <v>48</v>
      </c>
      <c r="P725" t="s">
        <v>49</v>
      </c>
      <c r="Q725" t="s">
        <v>50</v>
      </c>
      <c r="R725" t="s">
        <v>51</v>
      </c>
      <c r="S725" t="s">
        <v>52</v>
      </c>
      <c r="T725" t="s">
        <v>53</v>
      </c>
      <c r="U725" s="1">
        <v>46077.090185185189</v>
      </c>
      <c r="V725" t="s">
        <v>54</v>
      </c>
      <c r="W725" t="s">
        <v>55</v>
      </c>
      <c r="X725" t="s">
        <v>56</v>
      </c>
      <c r="Y725" t="s">
        <v>65</v>
      </c>
      <c r="Z725" t="s">
        <v>58</v>
      </c>
      <c r="AA725" t="s">
        <v>54</v>
      </c>
      <c r="AB725" t="s">
        <v>59</v>
      </c>
      <c r="AC725" t="s">
        <v>60</v>
      </c>
      <c r="AD725" t="s">
        <v>51</v>
      </c>
      <c r="AE725" t="s">
        <v>52</v>
      </c>
      <c r="AF725" t="s">
        <v>53</v>
      </c>
      <c r="AG725" t="s">
        <v>58</v>
      </c>
      <c r="AK725">
        <v>0</v>
      </c>
      <c r="AL725" t="s">
        <v>61</v>
      </c>
      <c r="AM725" t="s">
        <v>59</v>
      </c>
      <c r="AN725" t="s">
        <v>62</v>
      </c>
    </row>
    <row r="726" spans="1:40" x14ac:dyDescent="0.35">
      <c r="A726" t="s">
        <v>37</v>
      </c>
      <c r="B726" t="s">
        <v>3614</v>
      </c>
      <c r="C726" t="s">
        <v>39</v>
      </c>
      <c r="D726" t="s">
        <v>259</v>
      </c>
      <c r="E726" t="s">
        <v>513</v>
      </c>
      <c r="F726" s="1">
        <v>46077.084606481483</v>
      </c>
      <c r="G726" t="s">
        <v>597</v>
      </c>
      <c r="H726" t="s">
        <v>287</v>
      </c>
      <c r="I726" t="s">
        <v>171</v>
      </c>
      <c r="J726" t="s">
        <v>3423</v>
      </c>
      <c r="K726" t="s">
        <v>75</v>
      </c>
      <c r="M726" t="s">
        <v>76</v>
      </c>
      <c r="O726" t="s">
        <v>77</v>
      </c>
      <c r="P726" t="s">
        <v>78</v>
      </c>
      <c r="Q726" t="s">
        <v>535</v>
      </c>
      <c r="R726" t="s">
        <v>79</v>
      </c>
      <c r="S726" t="s">
        <v>172</v>
      </c>
      <c r="T726" t="s">
        <v>173</v>
      </c>
      <c r="U726" s="1">
        <v>46077.150659722225</v>
      </c>
      <c r="V726" t="s">
        <v>54</v>
      </c>
      <c r="W726" t="s">
        <v>55</v>
      </c>
      <c r="X726" t="s">
        <v>82</v>
      </c>
      <c r="Y726" t="s">
        <v>3424</v>
      </c>
      <c r="Z726" t="s">
        <v>58</v>
      </c>
      <c r="AA726" t="s">
        <v>54</v>
      </c>
      <c r="AB726" t="s">
        <v>3425</v>
      </c>
      <c r="AC726" t="s">
        <v>85</v>
      </c>
      <c r="AD726" t="s">
        <v>79</v>
      </c>
      <c r="AE726" t="s">
        <v>172</v>
      </c>
      <c r="AF726" t="s">
        <v>173</v>
      </c>
      <c r="AG726" t="s">
        <v>58</v>
      </c>
      <c r="AH726">
        <v>1927</v>
      </c>
      <c r="AK726">
        <v>0</v>
      </c>
      <c r="AL726" t="s">
        <v>61</v>
      </c>
      <c r="AM726" t="s">
        <v>3615</v>
      </c>
      <c r="AN726" t="s">
        <v>3616</v>
      </c>
    </row>
    <row r="727" spans="1:40" x14ac:dyDescent="0.35">
      <c r="A727" t="s">
        <v>37</v>
      </c>
      <c r="B727" t="s">
        <v>3617</v>
      </c>
      <c r="C727" t="s">
        <v>39</v>
      </c>
      <c r="D727" t="s">
        <v>3618</v>
      </c>
      <c r="E727" t="s">
        <v>3619</v>
      </c>
      <c r="F727" s="1">
        <v>46077.083425925928</v>
      </c>
      <c r="G727" t="s">
        <v>3396</v>
      </c>
      <c r="H727" t="s">
        <v>106</v>
      </c>
      <c r="I727" t="s">
        <v>3620</v>
      </c>
      <c r="J727" t="s">
        <v>3423</v>
      </c>
      <c r="K727" t="s">
        <v>75</v>
      </c>
      <c r="M727" t="s">
        <v>76</v>
      </c>
      <c r="O727" t="s">
        <v>77</v>
      </c>
      <c r="P727" t="s">
        <v>78</v>
      </c>
      <c r="Q727" t="s">
        <v>2169</v>
      </c>
      <c r="R727" t="s">
        <v>79</v>
      </c>
      <c r="S727" t="s">
        <v>975</v>
      </c>
      <c r="T727" t="s">
        <v>976</v>
      </c>
      <c r="U727" s="1">
        <v>46077.152268518519</v>
      </c>
      <c r="V727" t="s">
        <v>54</v>
      </c>
      <c r="W727" t="s">
        <v>55</v>
      </c>
      <c r="X727" t="s">
        <v>82</v>
      </c>
      <c r="Y727" t="s">
        <v>3621</v>
      </c>
      <c r="Z727" t="s">
        <v>58</v>
      </c>
      <c r="AA727" t="s">
        <v>54</v>
      </c>
      <c r="AB727" t="s">
        <v>3425</v>
      </c>
      <c r="AC727" t="s">
        <v>85</v>
      </c>
      <c r="AD727" t="s">
        <v>79</v>
      </c>
      <c r="AE727" t="s">
        <v>975</v>
      </c>
      <c r="AF727" t="s">
        <v>3622</v>
      </c>
      <c r="AG727" t="s">
        <v>58</v>
      </c>
      <c r="AH727">
        <v>11097</v>
      </c>
      <c r="AK727">
        <v>0</v>
      </c>
      <c r="AL727" t="s">
        <v>61</v>
      </c>
      <c r="AM727" t="s">
        <v>3623</v>
      </c>
      <c r="AN727" t="s">
        <v>3624</v>
      </c>
    </row>
    <row r="728" spans="1:40" x14ac:dyDescent="0.35">
      <c r="A728" t="s">
        <v>37</v>
      </c>
      <c r="B728" t="s">
        <v>3625</v>
      </c>
      <c r="C728" t="s">
        <v>39</v>
      </c>
      <c r="D728" t="s">
        <v>3626</v>
      </c>
      <c r="E728" t="s">
        <v>3429</v>
      </c>
      <c r="F728" s="1">
        <v>46077.076493055552</v>
      </c>
      <c r="G728" t="s">
        <v>540</v>
      </c>
      <c r="H728" t="s">
        <v>447</v>
      </c>
      <c r="I728" t="s">
        <v>3451</v>
      </c>
      <c r="J728" t="s">
        <v>3423</v>
      </c>
      <c r="K728" t="s">
        <v>75</v>
      </c>
      <c r="M728" t="s">
        <v>76</v>
      </c>
      <c r="O728" t="s">
        <v>77</v>
      </c>
      <c r="P728" t="s">
        <v>78</v>
      </c>
      <c r="Q728" t="s">
        <v>50</v>
      </c>
      <c r="R728" t="s">
        <v>79</v>
      </c>
      <c r="S728" t="s">
        <v>1078</v>
      </c>
      <c r="T728" t="s">
        <v>1078</v>
      </c>
      <c r="U728" s="1">
        <v>46077.151863425926</v>
      </c>
      <c r="V728" t="s">
        <v>54</v>
      </c>
      <c r="W728" t="s">
        <v>55</v>
      </c>
      <c r="X728" t="s">
        <v>82</v>
      </c>
      <c r="Y728" t="s">
        <v>3452</v>
      </c>
      <c r="Z728" t="s">
        <v>58</v>
      </c>
      <c r="AA728" t="s">
        <v>54</v>
      </c>
      <c r="AB728" t="s">
        <v>3425</v>
      </c>
      <c r="AC728" t="s">
        <v>85</v>
      </c>
      <c r="AD728" t="s">
        <v>79</v>
      </c>
      <c r="AE728" t="s">
        <v>1078</v>
      </c>
      <c r="AF728" t="s">
        <v>1078</v>
      </c>
      <c r="AG728" t="s">
        <v>58</v>
      </c>
      <c r="AH728">
        <v>6486</v>
      </c>
      <c r="AK728">
        <v>0</v>
      </c>
      <c r="AL728" t="s">
        <v>61</v>
      </c>
      <c r="AM728" t="s">
        <v>3627</v>
      </c>
      <c r="AN728" t="s">
        <v>3628</v>
      </c>
    </row>
    <row r="729" spans="1:40" x14ac:dyDescent="0.35">
      <c r="A729" t="s">
        <v>37</v>
      </c>
      <c r="B729" t="s">
        <v>3629</v>
      </c>
      <c r="C729" t="s">
        <v>102</v>
      </c>
      <c r="D729" t="s">
        <v>3486</v>
      </c>
      <c r="E729" t="s">
        <v>3487</v>
      </c>
      <c r="F729" s="1">
        <v>46077.06821759259</v>
      </c>
      <c r="G729" t="s">
        <v>105</v>
      </c>
      <c r="H729" t="s">
        <v>106</v>
      </c>
      <c r="I729" t="s">
        <v>3630</v>
      </c>
      <c r="J729" t="s">
        <v>108</v>
      </c>
      <c r="K729" t="s">
        <v>571</v>
      </c>
      <c r="M729" t="s">
        <v>76</v>
      </c>
      <c r="O729" t="s">
        <v>77</v>
      </c>
      <c r="P729" t="s">
        <v>78</v>
      </c>
      <c r="Q729" t="s">
        <v>50</v>
      </c>
      <c r="R729" t="s">
        <v>111</v>
      </c>
      <c r="S729" t="s">
        <v>51</v>
      </c>
      <c r="T729" t="s">
        <v>112</v>
      </c>
      <c r="U729" s="1">
        <v>46077.146273148152</v>
      </c>
      <c r="V729" t="s">
        <v>54</v>
      </c>
      <c r="W729" t="s">
        <v>55</v>
      </c>
      <c r="X729" t="s">
        <v>113</v>
      </c>
      <c r="Y729" t="s">
        <v>3631</v>
      </c>
      <c r="Z729" t="s">
        <v>58</v>
      </c>
      <c r="AA729" t="s">
        <v>54</v>
      </c>
      <c r="AB729" t="s">
        <v>115</v>
      </c>
      <c r="AC729" t="s">
        <v>85</v>
      </c>
      <c r="AD729" t="s">
        <v>116</v>
      </c>
      <c r="AE729" t="s">
        <v>1541</v>
      </c>
      <c r="AF729" t="s">
        <v>1569</v>
      </c>
      <c r="AG729" t="s">
        <v>58</v>
      </c>
      <c r="AH729" t="s">
        <v>3491</v>
      </c>
      <c r="AK729">
        <v>1</v>
      </c>
      <c r="AL729" t="s">
        <v>61</v>
      </c>
      <c r="AM729" t="s">
        <v>3492</v>
      </c>
      <c r="AN729" t="s">
        <v>3493</v>
      </c>
    </row>
    <row r="730" spans="1:40" x14ac:dyDescent="0.35">
      <c r="A730" t="s">
        <v>37</v>
      </c>
      <c r="B730" t="s">
        <v>3632</v>
      </c>
      <c r="C730" t="s">
        <v>102</v>
      </c>
      <c r="D730" t="s">
        <v>3486</v>
      </c>
      <c r="E730" t="s">
        <v>3487</v>
      </c>
      <c r="F730" s="1">
        <v>46077.06759259259</v>
      </c>
      <c r="G730" t="s">
        <v>105</v>
      </c>
      <c r="H730" t="s">
        <v>106</v>
      </c>
      <c r="I730" t="s">
        <v>3633</v>
      </c>
      <c r="J730" t="s">
        <v>108</v>
      </c>
      <c r="K730" t="s">
        <v>571</v>
      </c>
      <c r="M730" t="s">
        <v>76</v>
      </c>
      <c r="O730" t="s">
        <v>77</v>
      </c>
      <c r="P730" t="s">
        <v>78</v>
      </c>
      <c r="Q730" t="s">
        <v>50</v>
      </c>
      <c r="R730" t="s">
        <v>111</v>
      </c>
      <c r="S730" t="s">
        <v>51</v>
      </c>
      <c r="T730" t="s">
        <v>112</v>
      </c>
      <c r="U730" s="1">
        <v>46077.145567129628</v>
      </c>
      <c r="V730" t="s">
        <v>54</v>
      </c>
      <c r="W730" t="s">
        <v>55</v>
      </c>
      <c r="X730" t="s">
        <v>113</v>
      </c>
      <c r="Y730" t="s">
        <v>1540</v>
      </c>
      <c r="Z730" t="s">
        <v>58</v>
      </c>
      <c r="AA730" t="s">
        <v>54</v>
      </c>
      <c r="AB730" t="s">
        <v>115</v>
      </c>
      <c r="AC730" t="s">
        <v>85</v>
      </c>
      <c r="AD730" t="s">
        <v>116</v>
      </c>
      <c r="AE730" t="s">
        <v>1541</v>
      </c>
      <c r="AF730" t="s">
        <v>144</v>
      </c>
      <c r="AG730" t="s">
        <v>58</v>
      </c>
      <c r="AH730" t="s">
        <v>3491</v>
      </c>
      <c r="AK730">
        <v>1</v>
      </c>
      <c r="AL730" t="s">
        <v>61</v>
      </c>
      <c r="AM730" t="s">
        <v>3492</v>
      </c>
      <c r="AN730" t="s">
        <v>3493</v>
      </c>
    </row>
    <row r="731" spans="1:40" x14ac:dyDescent="0.35">
      <c r="A731" t="s">
        <v>37</v>
      </c>
      <c r="B731" t="s">
        <v>3634</v>
      </c>
      <c r="C731" t="s">
        <v>39</v>
      </c>
      <c r="D731" t="s">
        <v>1646</v>
      </c>
      <c r="E731" t="s">
        <v>1647</v>
      </c>
      <c r="F731" s="1">
        <v>46077.064270833333</v>
      </c>
      <c r="G731" t="s">
        <v>355</v>
      </c>
      <c r="H731" t="s">
        <v>356</v>
      </c>
      <c r="I731" t="s">
        <v>1648</v>
      </c>
      <c r="J731" t="s">
        <v>1649</v>
      </c>
      <c r="K731" t="s">
        <v>1650</v>
      </c>
      <c r="M731" t="s">
        <v>131</v>
      </c>
      <c r="O731" t="s">
        <v>77</v>
      </c>
      <c r="P731" t="s">
        <v>78</v>
      </c>
      <c r="Q731" t="s">
        <v>50</v>
      </c>
      <c r="R731" t="s">
        <v>79</v>
      </c>
      <c r="S731" t="s">
        <v>1556</v>
      </c>
      <c r="T731" t="s">
        <v>1557</v>
      </c>
      <c r="U731" s="1">
        <v>46077.965243055558</v>
      </c>
      <c r="V731" t="s">
        <v>54</v>
      </c>
      <c r="W731" t="s">
        <v>55</v>
      </c>
      <c r="X731" t="s">
        <v>82</v>
      </c>
      <c r="Y731" t="s">
        <v>3635</v>
      </c>
      <c r="Z731" t="s">
        <v>58</v>
      </c>
      <c r="AA731" t="s">
        <v>54</v>
      </c>
      <c r="AB731" t="s">
        <v>3425</v>
      </c>
      <c r="AC731" t="s">
        <v>85</v>
      </c>
      <c r="AD731" t="s">
        <v>79</v>
      </c>
      <c r="AE731" t="s">
        <v>1556</v>
      </c>
      <c r="AF731" t="s">
        <v>1557</v>
      </c>
      <c r="AG731" t="s">
        <v>58</v>
      </c>
      <c r="AH731" t="s">
        <v>1652</v>
      </c>
      <c r="AK731">
        <v>0</v>
      </c>
      <c r="AL731" t="s">
        <v>61</v>
      </c>
      <c r="AM731" t="s">
        <v>1653</v>
      </c>
      <c r="AN731" t="s">
        <v>1654</v>
      </c>
    </row>
    <row r="732" spans="1:40" x14ac:dyDescent="0.35">
      <c r="A732" t="s">
        <v>37</v>
      </c>
      <c r="B732" t="s">
        <v>3636</v>
      </c>
      <c r="C732" t="s">
        <v>39</v>
      </c>
      <c r="D732" t="s">
        <v>40</v>
      </c>
      <c r="E732" t="s">
        <v>41</v>
      </c>
      <c r="F732" s="1">
        <v>46077.048194444447</v>
      </c>
      <c r="G732" t="s">
        <v>42</v>
      </c>
      <c r="H732" t="s">
        <v>43</v>
      </c>
      <c r="I732" t="s">
        <v>3637</v>
      </c>
      <c r="J732" t="s">
        <v>45</v>
      </c>
      <c r="K732" t="s">
        <v>46</v>
      </c>
      <c r="M732" t="s">
        <v>47</v>
      </c>
      <c r="O732" t="s">
        <v>48</v>
      </c>
      <c r="P732" t="s">
        <v>49</v>
      </c>
      <c r="Q732" t="s">
        <v>50</v>
      </c>
      <c r="R732" t="s">
        <v>51</v>
      </c>
      <c r="S732" t="s">
        <v>52</v>
      </c>
      <c r="T732" t="s">
        <v>53</v>
      </c>
      <c r="U732" s="1">
        <v>46077.049733796295</v>
      </c>
      <c r="V732" t="s">
        <v>54</v>
      </c>
      <c r="W732" t="s">
        <v>55</v>
      </c>
      <c r="X732" t="s">
        <v>56</v>
      </c>
      <c r="Y732" t="s">
        <v>65</v>
      </c>
      <c r="Z732" t="s">
        <v>58</v>
      </c>
      <c r="AA732" t="s">
        <v>54</v>
      </c>
      <c r="AB732" t="s">
        <v>59</v>
      </c>
      <c r="AC732" t="s">
        <v>60</v>
      </c>
      <c r="AD732" t="s">
        <v>51</v>
      </c>
      <c r="AE732" t="s">
        <v>52</v>
      </c>
      <c r="AF732" t="s">
        <v>53</v>
      </c>
      <c r="AG732" t="s">
        <v>58</v>
      </c>
      <c r="AK732">
        <v>0</v>
      </c>
      <c r="AL732" t="s">
        <v>61</v>
      </c>
      <c r="AM732" t="s">
        <v>59</v>
      </c>
      <c r="AN732" t="s">
        <v>62</v>
      </c>
    </row>
    <row r="733" spans="1:40" x14ac:dyDescent="0.35">
      <c r="A733" t="s">
        <v>37</v>
      </c>
      <c r="B733" t="s">
        <v>3638</v>
      </c>
      <c r="C733" t="s">
        <v>39</v>
      </c>
      <c r="D733" t="s">
        <v>3639</v>
      </c>
      <c r="E733" t="s">
        <v>3640</v>
      </c>
      <c r="F733" s="1">
        <v>46077.015057870369</v>
      </c>
      <c r="G733" t="s">
        <v>855</v>
      </c>
      <c r="H733" t="s">
        <v>447</v>
      </c>
      <c r="I733" t="s">
        <v>3641</v>
      </c>
      <c r="J733" t="s">
        <v>3423</v>
      </c>
      <c r="K733" t="s">
        <v>75</v>
      </c>
      <c r="M733" t="s">
        <v>76</v>
      </c>
      <c r="O733" t="s">
        <v>77</v>
      </c>
      <c r="P733" t="s">
        <v>78</v>
      </c>
      <c r="Q733" t="s">
        <v>3642</v>
      </c>
      <c r="R733" t="s">
        <v>79</v>
      </c>
      <c r="S733" t="s">
        <v>94</v>
      </c>
      <c r="T733" t="s">
        <v>95</v>
      </c>
      <c r="U733" s="1">
        <v>46077.151550925926</v>
      </c>
      <c r="V733" t="s">
        <v>54</v>
      </c>
      <c r="W733" t="s">
        <v>55</v>
      </c>
      <c r="X733" t="s">
        <v>82</v>
      </c>
      <c r="Y733" t="s">
        <v>3643</v>
      </c>
      <c r="Z733" t="s">
        <v>58</v>
      </c>
      <c r="AA733" t="s">
        <v>54</v>
      </c>
      <c r="AB733" t="s">
        <v>3425</v>
      </c>
      <c r="AC733" t="s">
        <v>85</v>
      </c>
      <c r="AD733" t="s">
        <v>79</v>
      </c>
      <c r="AE733" t="s">
        <v>94</v>
      </c>
      <c r="AF733" t="s">
        <v>95</v>
      </c>
      <c r="AG733" t="s">
        <v>58</v>
      </c>
      <c r="AH733">
        <v>4010</v>
      </c>
      <c r="AK733">
        <v>0</v>
      </c>
      <c r="AL733" t="s">
        <v>61</v>
      </c>
      <c r="AM733" t="s">
        <v>3644</v>
      </c>
      <c r="AN733" t="s">
        <v>3645</v>
      </c>
    </row>
    <row r="734" spans="1:40" x14ac:dyDescent="0.35">
      <c r="A734" t="s">
        <v>37</v>
      </c>
      <c r="B734" t="s">
        <v>3646</v>
      </c>
      <c r="C734" t="s">
        <v>102</v>
      </c>
      <c r="D734" t="s">
        <v>3486</v>
      </c>
      <c r="E734" t="s">
        <v>3487</v>
      </c>
      <c r="F734" s="1">
        <v>46077.011412037034</v>
      </c>
      <c r="G734" t="s">
        <v>105</v>
      </c>
      <c r="H734" t="s">
        <v>106</v>
      </c>
      <c r="I734" t="s">
        <v>789</v>
      </c>
      <c r="J734" t="s">
        <v>108</v>
      </c>
      <c r="K734" t="s">
        <v>109</v>
      </c>
      <c r="M734" t="s">
        <v>76</v>
      </c>
      <c r="O734" t="s">
        <v>77</v>
      </c>
      <c r="P734" t="s">
        <v>78</v>
      </c>
      <c r="Q734" t="s">
        <v>50</v>
      </c>
      <c r="R734" t="s">
        <v>111</v>
      </c>
      <c r="S734" t="s">
        <v>51</v>
      </c>
      <c r="T734" t="s">
        <v>112</v>
      </c>
      <c r="U734" s="1">
        <v>46077.345254629632</v>
      </c>
      <c r="V734" t="s">
        <v>54</v>
      </c>
      <c r="W734" t="s">
        <v>55</v>
      </c>
      <c r="X734" t="s">
        <v>113</v>
      </c>
      <c r="Y734" t="s">
        <v>3647</v>
      </c>
      <c r="Z734" t="s">
        <v>58</v>
      </c>
      <c r="AA734" t="s">
        <v>54</v>
      </c>
      <c r="AB734" t="s">
        <v>115</v>
      </c>
      <c r="AC734" t="s">
        <v>85</v>
      </c>
      <c r="AD734" t="s">
        <v>116</v>
      </c>
      <c r="AE734" t="s">
        <v>117</v>
      </c>
      <c r="AF734" t="s">
        <v>144</v>
      </c>
      <c r="AG734" t="s">
        <v>58</v>
      </c>
      <c r="AH734" t="s">
        <v>3491</v>
      </c>
      <c r="AK734">
        <v>1</v>
      </c>
      <c r="AL734" t="s">
        <v>61</v>
      </c>
      <c r="AM734" t="s">
        <v>3492</v>
      </c>
      <c r="AN734" t="s">
        <v>3493</v>
      </c>
    </row>
    <row r="735" spans="1:40" x14ac:dyDescent="0.35">
      <c r="A735" t="s">
        <v>37</v>
      </c>
      <c r="B735" t="s">
        <v>3648</v>
      </c>
      <c r="C735" t="s">
        <v>39</v>
      </c>
      <c r="D735" t="s">
        <v>747</v>
      </c>
      <c r="E735" t="s">
        <v>3649</v>
      </c>
      <c r="F735" s="1">
        <v>46077.003310185188</v>
      </c>
      <c r="G735" t="s">
        <v>261</v>
      </c>
      <c r="H735" t="s">
        <v>72</v>
      </c>
      <c r="I735" t="s">
        <v>1071</v>
      </c>
      <c r="J735" t="s">
        <v>3423</v>
      </c>
      <c r="K735" t="s">
        <v>75</v>
      </c>
      <c r="M735" t="s">
        <v>76</v>
      </c>
      <c r="O735" t="s">
        <v>77</v>
      </c>
      <c r="P735" t="s">
        <v>78</v>
      </c>
      <c r="Q735" t="s">
        <v>50</v>
      </c>
      <c r="R735" t="s">
        <v>79</v>
      </c>
      <c r="S735" t="s">
        <v>967</v>
      </c>
      <c r="T735" t="s">
        <v>1072</v>
      </c>
      <c r="U735" s="1">
        <v>46077.151203703703</v>
      </c>
      <c r="V735" t="s">
        <v>54</v>
      </c>
      <c r="W735" t="s">
        <v>55</v>
      </c>
      <c r="X735" t="s">
        <v>82</v>
      </c>
      <c r="Y735" t="s">
        <v>3650</v>
      </c>
      <c r="Z735" t="s">
        <v>58</v>
      </c>
      <c r="AA735" t="s">
        <v>54</v>
      </c>
      <c r="AB735" t="s">
        <v>3425</v>
      </c>
      <c r="AC735" t="s">
        <v>85</v>
      </c>
      <c r="AD735" t="s">
        <v>79</v>
      </c>
      <c r="AE735" t="s">
        <v>967</v>
      </c>
      <c r="AF735" t="s">
        <v>1072</v>
      </c>
      <c r="AG735" t="s">
        <v>58</v>
      </c>
      <c r="AH735">
        <v>15925</v>
      </c>
      <c r="AK735">
        <v>0</v>
      </c>
      <c r="AL735" t="s">
        <v>61</v>
      </c>
      <c r="AM735" t="s">
        <v>3651</v>
      </c>
      <c r="AN735" t="s">
        <v>3652</v>
      </c>
    </row>
    <row r="736" spans="1:40" x14ac:dyDescent="0.35">
      <c r="A736" t="s">
        <v>37</v>
      </c>
      <c r="B736" t="s">
        <v>3653</v>
      </c>
      <c r="C736" t="s">
        <v>39</v>
      </c>
      <c r="D736" t="s">
        <v>469</v>
      </c>
      <c r="E736" t="s">
        <v>2798</v>
      </c>
      <c r="F736" s="1">
        <v>46077.00167824074</v>
      </c>
      <c r="G736" t="s">
        <v>497</v>
      </c>
      <c r="H736" t="s">
        <v>72</v>
      </c>
      <c r="I736" t="s">
        <v>3451</v>
      </c>
      <c r="J736" t="s">
        <v>3423</v>
      </c>
      <c r="K736" t="s">
        <v>75</v>
      </c>
      <c r="M736" t="s">
        <v>76</v>
      </c>
      <c r="O736" t="s">
        <v>77</v>
      </c>
      <c r="P736" t="s">
        <v>78</v>
      </c>
      <c r="R736" t="s">
        <v>79</v>
      </c>
      <c r="S736" t="s">
        <v>1078</v>
      </c>
      <c r="T736" t="s">
        <v>1078</v>
      </c>
      <c r="U736" s="1">
        <v>46077.150972222225</v>
      </c>
      <c r="V736" t="s">
        <v>54</v>
      </c>
      <c r="W736" t="s">
        <v>55</v>
      </c>
      <c r="X736" t="s">
        <v>82</v>
      </c>
      <c r="Y736" t="s">
        <v>3452</v>
      </c>
      <c r="Z736" t="s">
        <v>58</v>
      </c>
      <c r="AA736" t="s">
        <v>54</v>
      </c>
      <c r="AB736" t="s">
        <v>3425</v>
      </c>
      <c r="AC736" t="s">
        <v>85</v>
      </c>
      <c r="AD736" t="s">
        <v>79</v>
      </c>
      <c r="AE736" t="s">
        <v>1078</v>
      </c>
      <c r="AF736" t="s">
        <v>1078</v>
      </c>
      <c r="AG736" t="s">
        <v>58</v>
      </c>
      <c r="AH736" t="s">
        <v>2803</v>
      </c>
      <c r="AK736">
        <v>0</v>
      </c>
      <c r="AL736" t="s">
        <v>61</v>
      </c>
      <c r="AM736" t="s">
        <v>2804</v>
      </c>
      <c r="AN736" t="s">
        <v>2805</v>
      </c>
    </row>
    <row r="737" spans="1:40" x14ac:dyDescent="0.35">
      <c r="A737" t="s">
        <v>37</v>
      </c>
      <c r="B737" t="s">
        <v>3654</v>
      </c>
      <c r="C737" t="s">
        <v>39</v>
      </c>
      <c r="D737" t="s">
        <v>2361</v>
      </c>
      <c r="E737" t="s">
        <v>3655</v>
      </c>
      <c r="F737" s="1">
        <v>46077.001331018517</v>
      </c>
      <c r="G737" t="s">
        <v>250</v>
      </c>
      <c r="H737" t="s">
        <v>106</v>
      </c>
      <c r="I737" t="s">
        <v>171</v>
      </c>
      <c r="J737" t="s">
        <v>3423</v>
      </c>
      <c r="K737" t="s">
        <v>75</v>
      </c>
      <c r="M737" t="s">
        <v>76</v>
      </c>
      <c r="O737" t="s">
        <v>77</v>
      </c>
      <c r="P737" t="s">
        <v>78</v>
      </c>
      <c r="Q737" t="s">
        <v>50</v>
      </c>
      <c r="R737" t="s">
        <v>79</v>
      </c>
      <c r="S737" t="s">
        <v>172</v>
      </c>
      <c r="T737" t="s">
        <v>173</v>
      </c>
      <c r="U737" s="1">
        <v>46077.15053240741</v>
      </c>
      <c r="V737" t="s">
        <v>54</v>
      </c>
      <c r="W737" t="s">
        <v>55</v>
      </c>
      <c r="X737" t="s">
        <v>82</v>
      </c>
      <c r="Y737" t="s">
        <v>3424</v>
      </c>
      <c r="Z737" t="s">
        <v>58</v>
      </c>
      <c r="AA737" t="s">
        <v>54</v>
      </c>
      <c r="AB737" t="s">
        <v>3425</v>
      </c>
      <c r="AC737" t="s">
        <v>85</v>
      </c>
      <c r="AD737" t="s">
        <v>79</v>
      </c>
      <c r="AE737" t="s">
        <v>172</v>
      </c>
      <c r="AF737" t="s">
        <v>173</v>
      </c>
      <c r="AG737" t="s">
        <v>58</v>
      </c>
      <c r="AH737" t="s">
        <v>3656</v>
      </c>
      <c r="AK737">
        <v>0</v>
      </c>
      <c r="AL737" t="s">
        <v>61</v>
      </c>
      <c r="AM737" t="s">
        <v>3657</v>
      </c>
      <c r="AN737" t="s">
        <v>3658</v>
      </c>
    </row>
    <row r="738" spans="1:40" x14ac:dyDescent="0.35">
      <c r="A738" t="s">
        <v>37</v>
      </c>
      <c r="B738" t="s">
        <v>3659</v>
      </c>
      <c r="C738" t="s">
        <v>39</v>
      </c>
      <c r="D738" t="s">
        <v>3660</v>
      </c>
      <c r="E738" t="s">
        <v>3661</v>
      </c>
      <c r="F738" s="1">
        <v>46077.001006944447</v>
      </c>
      <c r="G738" t="s">
        <v>250</v>
      </c>
      <c r="H738" t="s">
        <v>106</v>
      </c>
      <c r="I738" t="s">
        <v>171</v>
      </c>
      <c r="J738" t="s">
        <v>3423</v>
      </c>
      <c r="K738" t="s">
        <v>75</v>
      </c>
      <c r="M738" t="s">
        <v>76</v>
      </c>
      <c r="O738" t="s">
        <v>77</v>
      </c>
      <c r="P738" t="s">
        <v>78</v>
      </c>
      <c r="Q738" t="s">
        <v>50</v>
      </c>
      <c r="R738" t="s">
        <v>79</v>
      </c>
      <c r="S738" t="s">
        <v>172</v>
      </c>
      <c r="T738" t="s">
        <v>173</v>
      </c>
      <c r="U738" s="1">
        <v>46077.150358796294</v>
      </c>
      <c r="V738" t="s">
        <v>54</v>
      </c>
      <c r="W738" t="s">
        <v>55</v>
      </c>
      <c r="X738" t="s">
        <v>82</v>
      </c>
      <c r="Y738" t="s">
        <v>3424</v>
      </c>
      <c r="Z738" t="s">
        <v>58</v>
      </c>
      <c r="AA738" t="s">
        <v>54</v>
      </c>
      <c r="AB738" t="s">
        <v>3425</v>
      </c>
      <c r="AC738" t="s">
        <v>85</v>
      </c>
      <c r="AD738" t="s">
        <v>79</v>
      </c>
      <c r="AE738" t="s">
        <v>172</v>
      </c>
      <c r="AF738" t="s">
        <v>173</v>
      </c>
      <c r="AG738" t="s">
        <v>58</v>
      </c>
      <c r="AH738" t="s">
        <v>3662</v>
      </c>
      <c r="AK738">
        <v>0</v>
      </c>
      <c r="AL738" t="s">
        <v>61</v>
      </c>
      <c r="AM738" t="s">
        <v>3663</v>
      </c>
      <c r="AN738" t="s">
        <v>3664</v>
      </c>
    </row>
    <row r="739" spans="1:40" x14ac:dyDescent="0.35">
      <c r="A739" t="s">
        <v>37</v>
      </c>
      <c r="B739" t="s">
        <v>3665</v>
      </c>
      <c r="C739" t="s">
        <v>39</v>
      </c>
      <c r="D739" t="s">
        <v>168</v>
      </c>
      <c r="E739" t="s">
        <v>169</v>
      </c>
      <c r="F739" s="1">
        <v>46076.967118055552</v>
      </c>
      <c r="G739" t="s">
        <v>170</v>
      </c>
      <c r="H739" t="s">
        <v>92</v>
      </c>
      <c r="I739" t="s">
        <v>171</v>
      </c>
      <c r="J739" t="s">
        <v>74</v>
      </c>
      <c r="K739" t="s">
        <v>75</v>
      </c>
      <c r="M739" t="s">
        <v>76</v>
      </c>
      <c r="O739" t="s">
        <v>77</v>
      </c>
      <c r="P739" t="s">
        <v>78</v>
      </c>
      <c r="Q739" t="s">
        <v>50</v>
      </c>
      <c r="R739" t="s">
        <v>79</v>
      </c>
      <c r="S739" t="s">
        <v>172</v>
      </c>
      <c r="T739" t="s">
        <v>173</v>
      </c>
      <c r="U739" s="1">
        <v>46076.967303240737</v>
      </c>
      <c r="V739" t="s">
        <v>54</v>
      </c>
      <c r="W739" t="s">
        <v>55</v>
      </c>
      <c r="X739" t="s">
        <v>82</v>
      </c>
      <c r="Y739" t="s">
        <v>3666</v>
      </c>
      <c r="Z739" t="s">
        <v>58</v>
      </c>
      <c r="AA739" t="s">
        <v>54</v>
      </c>
      <c r="AB739" t="s">
        <v>84</v>
      </c>
      <c r="AC739" t="s">
        <v>85</v>
      </c>
      <c r="AD739" t="s">
        <v>79</v>
      </c>
      <c r="AE739" t="s">
        <v>172</v>
      </c>
      <c r="AF739" t="s">
        <v>173</v>
      </c>
      <c r="AG739" t="s">
        <v>58</v>
      </c>
      <c r="AH739" t="s">
        <v>175</v>
      </c>
      <c r="AK739">
        <v>0</v>
      </c>
      <c r="AL739" t="s">
        <v>61</v>
      </c>
      <c r="AM739" t="s">
        <v>176</v>
      </c>
      <c r="AN739" t="s">
        <v>177</v>
      </c>
    </row>
    <row r="740" spans="1:40" x14ac:dyDescent="0.35">
      <c r="A740" t="s">
        <v>37</v>
      </c>
      <c r="B740" t="s">
        <v>3667</v>
      </c>
      <c r="C740" t="s">
        <v>102</v>
      </c>
      <c r="D740" t="s">
        <v>103</v>
      </c>
      <c r="E740" t="s">
        <v>104</v>
      </c>
      <c r="F740" s="1">
        <v>46076.966874999998</v>
      </c>
      <c r="G740" t="s">
        <v>105</v>
      </c>
      <c r="H740" t="s">
        <v>106</v>
      </c>
      <c r="I740" t="s">
        <v>3668</v>
      </c>
      <c r="J740" t="s">
        <v>108</v>
      </c>
      <c r="K740" t="s">
        <v>571</v>
      </c>
      <c r="M740" t="s">
        <v>76</v>
      </c>
      <c r="O740" t="s">
        <v>77</v>
      </c>
      <c r="P740" t="s">
        <v>78</v>
      </c>
      <c r="Q740" t="s">
        <v>110</v>
      </c>
      <c r="R740" t="s">
        <v>111</v>
      </c>
      <c r="S740" t="s">
        <v>51</v>
      </c>
      <c r="T740" t="s">
        <v>112</v>
      </c>
      <c r="U740" s="1">
        <v>46077.069120370368</v>
      </c>
      <c r="V740" t="s">
        <v>54</v>
      </c>
      <c r="W740" t="s">
        <v>55</v>
      </c>
      <c r="X740" t="s">
        <v>113</v>
      </c>
      <c r="Y740" t="s">
        <v>3669</v>
      </c>
      <c r="Z740" t="s">
        <v>58</v>
      </c>
      <c r="AA740" t="s">
        <v>54</v>
      </c>
      <c r="AB740" t="s">
        <v>115</v>
      </c>
      <c r="AC740" t="s">
        <v>85</v>
      </c>
      <c r="AD740" t="s">
        <v>116</v>
      </c>
      <c r="AE740" t="s">
        <v>1541</v>
      </c>
      <c r="AF740" t="s">
        <v>2738</v>
      </c>
      <c r="AG740" t="s">
        <v>58</v>
      </c>
      <c r="AH740">
        <v>5928</v>
      </c>
      <c r="AK740">
        <v>1</v>
      </c>
      <c r="AL740" t="s">
        <v>61</v>
      </c>
      <c r="AM740" t="s">
        <v>119</v>
      </c>
      <c r="AN740" t="s">
        <v>120</v>
      </c>
    </row>
    <row r="741" spans="1:40" x14ac:dyDescent="0.35">
      <c r="A741" t="s">
        <v>37</v>
      </c>
      <c r="B741" t="s">
        <v>3670</v>
      </c>
      <c r="C741" t="s">
        <v>102</v>
      </c>
      <c r="D741" t="s">
        <v>126</v>
      </c>
      <c r="E741" t="s">
        <v>127</v>
      </c>
      <c r="F741" s="1">
        <v>46076.946585648147</v>
      </c>
      <c r="G741" t="s">
        <v>71</v>
      </c>
      <c r="H741" t="s">
        <v>72</v>
      </c>
      <c r="I741" t="s">
        <v>3671</v>
      </c>
      <c r="J741" t="s">
        <v>129</v>
      </c>
      <c r="K741" t="s">
        <v>130</v>
      </c>
      <c r="M741" t="s">
        <v>131</v>
      </c>
      <c r="O741" t="s">
        <v>77</v>
      </c>
      <c r="P741" t="s">
        <v>78</v>
      </c>
      <c r="Q741" t="s">
        <v>50</v>
      </c>
      <c r="R741" t="s">
        <v>132</v>
      </c>
      <c r="S741" t="s">
        <v>133</v>
      </c>
      <c r="T741" t="s">
        <v>133</v>
      </c>
      <c r="U741" s="1">
        <v>46077.385578703703</v>
      </c>
      <c r="V741" t="s">
        <v>54</v>
      </c>
      <c r="W741" t="s">
        <v>55</v>
      </c>
      <c r="X741" t="s">
        <v>134</v>
      </c>
      <c r="Y741" t="s">
        <v>3672</v>
      </c>
      <c r="Z741" t="s">
        <v>58</v>
      </c>
      <c r="AA741" t="s">
        <v>54</v>
      </c>
      <c r="AB741" t="s">
        <v>136</v>
      </c>
      <c r="AC741" t="s">
        <v>85</v>
      </c>
      <c r="AD741" t="s">
        <v>132</v>
      </c>
      <c r="AE741" t="s">
        <v>133</v>
      </c>
      <c r="AF741" t="s">
        <v>133</v>
      </c>
      <c r="AG741" t="s">
        <v>58</v>
      </c>
      <c r="AH741" t="s">
        <v>137</v>
      </c>
      <c r="AK741">
        <v>1</v>
      </c>
      <c r="AL741" t="s">
        <v>61</v>
      </c>
      <c r="AM741" t="s">
        <v>136</v>
      </c>
      <c r="AN741" t="s">
        <v>138</v>
      </c>
    </row>
    <row r="742" spans="1:40" x14ac:dyDescent="0.35">
      <c r="A742" t="s">
        <v>37</v>
      </c>
      <c r="B742" t="s">
        <v>3673</v>
      </c>
      <c r="C742" t="s">
        <v>39</v>
      </c>
      <c r="D742" t="s">
        <v>608</v>
      </c>
      <c r="E742" t="s">
        <v>609</v>
      </c>
      <c r="F742" s="1">
        <v>46076.941238425927</v>
      </c>
      <c r="G742" t="s">
        <v>42</v>
      </c>
      <c r="H742" t="s">
        <v>43</v>
      </c>
      <c r="I742" t="s">
        <v>3674</v>
      </c>
      <c r="J742" t="s">
        <v>548</v>
      </c>
      <c r="K742" t="s">
        <v>549</v>
      </c>
      <c r="M742" t="s">
        <v>47</v>
      </c>
      <c r="O742" t="s">
        <v>77</v>
      </c>
      <c r="P742" t="s">
        <v>78</v>
      </c>
      <c r="Q742" t="s">
        <v>50</v>
      </c>
      <c r="R742" t="s">
        <v>51</v>
      </c>
      <c r="S742" t="s">
        <v>52</v>
      </c>
      <c r="T742" t="s">
        <v>773</v>
      </c>
      <c r="U742" s="1">
        <v>46077.373067129629</v>
      </c>
      <c r="V742" t="s">
        <v>54</v>
      </c>
      <c r="W742" t="s">
        <v>55</v>
      </c>
      <c r="X742" t="s">
        <v>134</v>
      </c>
      <c r="Y742" t="s">
        <v>3675</v>
      </c>
      <c r="Z742" t="s">
        <v>58</v>
      </c>
      <c r="AA742" t="s">
        <v>54</v>
      </c>
      <c r="AB742" t="s">
        <v>84</v>
      </c>
      <c r="AC742" t="s">
        <v>85</v>
      </c>
      <c r="AD742" t="s">
        <v>52</v>
      </c>
      <c r="AE742" t="s">
        <v>438</v>
      </c>
      <c r="AF742" t="s">
        <v>2179</v>
      </c>
      <c r="AG742" t="s">
        <v>58</v>
      </c>
      <c r="AH742" t="s">
        <v>613</v>
      </c>
      <c r="AK742">
        <v>1</v>
      </c>
      <c r="AL742" t="s">
        <v>61</v>
      </c>
      <c r="AM742" t="s">
        <v>614</v>
      </c>
      <c r="AN742" t="s">
        <v>615</v>
      </c>
    </row>
    <row r="743" spans="1:40" x14ac:dyDescent="0.35">
      <c r="A743" t="s">
        <v>37</v>
      </c>
      <c r="B743" t="s">
        <v>3676</v>
      </c>
      <c r="C743" t="s">
        <v>39</v>
      </c>
      <c r="D743" t="s">
        <v>3677</v>
      </c>
      <c r="E743" t="s">
        <v>3678</v>
      </c>
      <c r="F743" s="1">
        <v>46076.930844907409</v>
      </c>
      <c r="G743" t="s">
        <v>304</v>
      </c>
      <c r="H743" t="s">
        <v>106</v>
      </c>
      <c r="I743" t="s">
        <v>3679</v>
      </c>
      <c r="J743" t="s">
        <v>3680</v>
      </c>
      <c r="K743" t="s">
        <v>3681</v>
      </c>
      <c r="M743" t="s">
        <v>76</v>
      </c>
      <c r="O743" t="s">
        <v>77</v>
      </c>
      <c r="P743" t="s">
        <v>78</v>
      </c>
      <c r="Q743" t="s">
        <v>50</v>
      </c>
      <c r="R743" t="s">
        <v>51</v>
      </c>
      <c r="S743" t="s">
        <v>52</v>
      </c>
      <c r="T743" t="s">
        <v>773</v>
      </c>
      <c r="U743" s="1">
        <v>46077.50341435185</v>
      </c>
      <c r="V743" t="s">
        <v>54</v>
      </c>
      <c r="W743" t="s">
        <v>55</v>
      </c>
      <c r="X743" t="s">
        <v>134</v>
      </c>
      <c r="Y743" t="s">
        <v>3682</v>
      </c>
      <c r="Z743" t="s">
        <v>58</v>
      </c>
      <c r="AA743" t="s">
        <v>54</v>
      </c>
      <c r="AB743" t="s">
        <v>84</v>
      </c>
      <c r="AC743" t="s">
        <v>85</v>
      </c>
      <c r="AD743" t="s">
        <v>52</v>
      </c>
      <c r="AE743" t="s">
        <v>967</v>
      </c>
      <c r="AF743" t="s">
        <v>2563</v>
      </c>
      <c r="AG743" t="s">
        <v>58</v>
      </c>
      <c r="AH743">
        <v>12951</v>
      </c>
      <c r="AK743">
        <v>1</v>
      </c>
      <c r="AL743" t="s">
        <v>61</v>
      </c>
      <c r="AM743" t="s">
        <v>3683</v>
      </c>
      <c r="AN743" t="s">
        <v>3684</v>
      </c>
    </row>
    <row r="744" spans="1:40" x14ac:dyDescent="0.35">
      <c r="A744" t="s">
        <v>37</v>
      </c>
      <c r="B744" t="s">
        <v>3685</v>
      </c>
      <c r="C744" t="s">
        <v>102</v>
      </c>
      <c r="D744" t="s">
        <v>3686</v>
      </c>
      <c r="E744" t="s">
        <v>3687</v>
      </c>
      <c r="F744" s="1">
        <v>46076.915671296294</v>
      </c>
      <c r="G744" t="s">
        <v>71</v>
      </c>
      <c r="H744" t="s">
        <v>72</v>
      </c>
      <c r="I744" t="s">
        <v>2420</v>
      </c>
      <c r="J744" t="s">
        <v>1626</v>
      </c>
      <c r="K744" t="s">
        <v>1627</v>
      </c>
      <c r="M744" t="s">
        <v>131</v>
      </c>
      <c r="O744" t="s">
        <v>1501</v>
      </c>
      <c r="P744" t="s">
        <v>1502</v>
      </c>
      <c r="Q744" t="s">
        <v>50</v>
      </c>
      <c r="R744" t="s">
        <v>79</v>
      </c>
      <c r="S744" t="s">
        <v>952</v>
      </c>
      <c r="T744" t="s">
        <v>3080</v>
      </c>
      <c r="U744" s="1">
        <v>46077.032546296294</v>
      </c>
      <c r="V744" t="s">
        <v>54</v>
      </c>
      <c r="W744" t="s">
        <v>55</v>
      </c>
      <c r="X744" t="s">
        <v>134</v>
      </c>
      <c r="Y744" t="s">
        <v>3688</v>
      </c>
      <c r="Z744" t="s">
        <v>58</v>
      </c>
      <c r="AA744" t="s">
        <v>54</v>
      </c>
      <c r="AB744" t="s">
        <v>84</v>
      </c>
      <c r="AC744" t="s">
        <v>1504</v>
      </c>
      <c r="AD744" t="s">
        <v>79</v>
      </c>
      <c r="AE744" t="s">
        <v>952</v>
      </c>
      <c r="AF744" t="s">
        <v>3080</v>
      </c>
      <c r="AG744" t="s">
        <v>58</v>
      </c>
      <c r="AH744">
        <v>13430</v>
      </c>
      <c r="AK744">
        <v>2</v>
      </c>
      <c r="AL744" t="s">
        <v>61</v>
      </c>
      <c r="AM744" t="s">
        <v>3689</v>
      </c>
      <c r="AN744" t="s">
        <v>3690</v>
      </c>
    </row>
    <row r="745" spans="1:40" x14ac:dyDescent="0.35">
      <c r="A745" t="s">
        <v>37</v>
      </c>
      <c r="B745" t="s">
        <v>3691</v>
      </c>
      <c r="C745" t="s">
        <v>39</v>
      </c>
      <c r="D745" t="s">
        <v>40</v>
      </c>
      <c r="E745" t="s">
        <v>41</v>
      </c>
      <c r="F745" s="1">
        <v>46076.89916666667</v>
      </c>
      <c r="G745" t="s">
        <v>42</v>
      </c>
      <c r="H745" t="s">
        <v>43</v>
      </c>
      <c r="I745" t="s">
        <v>3692</v>
      </c>
      <c r="J745" t="s">
        <v>45</v>
      </c>
      <c r="K745" t="s">
        <v>46</v>
      </c>
      <c r="M745" t="s">
        <v>47</v>
      </c>
      <c r="O745" t="s">
        <v>48</v>
      </c>
      <c r="P745" t="s">
        <v>49</v>
      </c>
      <c r="Q745" t="s">
        <v>50</v>
      </c>
      <c r="R745" t="s">
        <v>51</v>
      </c>
      <c r="S745" t="s">
        <v>52</v>
      </c>
      <c r="T745" t="s">
        <v>53</v>
      </c>
      <c r="U745" s="1">
        <v>46076.900995370372</v>
      </c>
      <c r="V745" t="s">
        <v>54</v>
      </c>
      <c r="W745" t="s">
        <v>55</v>
      </c>
      <c r="X745" t="s">
        <v>56</v>
      </c>
      <c r="Y745" t="s">
        <v>57</v>
      </c>
      <c r="Z745" t="s">
        <v>58</v>
      </c>
      <c r="AA745" t="s">
        <v>54</v>
      </c>
      <c r="AB745" t="s">
        <v>59</v>
      </c>
      <c r="AC745" t="s">
        <v>60</v>
      </c>
      <c r="AD745" t="s">
        <v>51</v>
      </c>
      <c r="AE745" t="s">
        <v>52</v>
      </c>
      <c r="AF745" t="s">
        <v>53</v>
      </c>
      <c r="AG745" t="s">
        <v>58</v>
      </c>
      <c r="AK745">
        <v>0</v>
      </c>
      <c r="AL745" t="s">
        <v>61</v>
      </c>
      <c r="AM745" t="s">
        <v>59</v>
      </c>
      <c r="AN745" t="s">
        <v>62</v>
      </c>
    </row>
    <row r="746" spans="1:40" x14ac:dyDescent="0.35">
      <c r="A746" t="s">
        <v>37</v>
      </c>
      <c r="B746" t="s">
        <v>3693</v>
      </c>
      <c r="C746" t="s">
        <v>39</v>
      </c>
      <c r="D746" t="s">
        <v>469</v>
      </c>
      <c r="E746" t="s">
        <v>2003</v>
      </c>
      <c r="F746" s="1">
        <v>46076.895231481481</v>
      </c>
      <c r="G746" t="s">
        <v>432</v>
      </c>
      <c r="H746" t="s">
        <v>433</v>
      </c>
      <c r="I746" t="s">
        <v>2096</v>
      </c>
      <c r="J746" t="s">
        <v>455</v>
      </c>
      <c r="K746" t="s">
        <v>436</v>
      </c>
      <c r="M746" t="s">
        <v>76</v>
      </c>
      <c r="O746" t="s">
        <v>77</v>
      </c>
      <c r="P746" t="s">
        <v>78</v>
      </c>
      <c r="Q746" t="s">
        <v>50</v>
      </c>
      <c r="R746" t="s">
        <v>51</v>
      </c>
      <c r="S746" t="s">
        <v>52</v>
      </c>
      <c r="T746" t="s">
        <v>240</v>
      </c>
      <c r="U746" s="1">
        <v>46077.336643518516</v>
      </c>
      <c r="V746" t="s">
        <v>54</v>
      </c>
      <c r="W746" t="s">
        <v>55</v>
      </c>
      <c r="X746" t="s">
        <v>82</v>
      </c>
      <c r="Y746" t="s">
        <v>3694</v>
      </c>
      <c r="Z746" t="s">
        <v>58</v>
      </c>
      <c r="AA746" t="s">
        <v>54</v>
      </c>
      <c r="AB746" t="s">
        <v>84</v>
      </c>
      <c r="AC746" t="s">
        <v>85</v>
      </c>
      <c r="AD746" t="s">
        <v>52</v>
      </c>
      <c r="AE746" t="s">
        <v>438</v>
      </c>
      <c r="AF746" t="s">
        <v>775</v>
      </c>
      <c r="AG746" t="s">
        <v>58</v>
      </c>
      <c r="AH746">
        <v>1266</v>
      </c>
      <c r="AK746">
        <v>1</v>
      </c>
      <c r="AL746" t="s">
        <v>61</v>
      </c>
      <c r="AM746" t="s">
        <v>2006</v>
      </c>
      <c r="AN746" t="s">
        <v>2007</v>
      </c>
    </row>
    <row r="747" spans="1:40" x14ac:dyDescent="0.35">
      <c r="A747" t="s">
        <v>37</v>
      </c>
      <c r="B747" t="s">
        <v>3695</v>
      </c>
      <c r="C747" t="s">
        <v>39</v>
      </c>
      <c r="D747" t="s">
        <v>3696</v>
      </c>
      <c r="E747" t="s">
        <v>3697</v>
      </c>
      <c r="F747" s="1">
        <v>46076.86105324074</v>
      </c>
      <c r="G747" t="s">
        <v>432</v>
      </c>
      <c r="H747" t="s">
        <v>433</v>
      </c>
      <c r="I747" t="s">
        <v>2096</v>
      </c>
      <c r="J747" t="s">
        <v>455</v>
      </c>
      <c r="K747" t="s">
        <v>436</v>
      </c>
      <c r="M747" t="s">
        <v>76</v>
      </c>
      <c r="O747" t="s">
        <v>77</v>
      </c>
      <c r="P747" t="s">
        <v>78</v>
      </c>
      <c r="Q747" t="s">
        <v>456</v>
      </c>
      <c r="R747" t="s">
        <v>51</v>
      </c>
      <c r="S747" t="s">
        <v>52</v>
      </c>
      <c r="T747" t="s">
        <v>240</v>
      </c>
      <c r="U747" s="1">
        <v>46077.338645833333</v>
      </c>
      <c r="V747" t="s">
        <v>54</v>
      </c>
      <c r="W747" t="s">
        <v>55</v>
      </c>
      <c r="X747" t="s">
        <v>82</v>
      </c>
      <c r="Y747" t="s">
        <v>3698</v>
      </c>
      <c r="Z747" t="s">
        <v>58</v>
      </c>
      <c r="AA747" t="s">
        <v>54</v>
      </c>
      <c r="AB747" t="s">
        <v>84</v>
      </c>
      <c r="AC747" t="s">
        <v>85</v>
      </c>
      <c r="AD747" t="s">
        <v>52</v>
      </c>
      <c r="AE747" t="s">
        <v>438</v>
      </c>
      <c r="AF747" t="s">
        <v>775</v>
      </c>
      <c r="AG747" t="s">
        <v>58</v>
      </c>
      <c r="AH747">
        <v>340</v>
      </c>
      <c r="AK747">
        <v>1</v>
      </c>
      <c r="AL747" t="s">
        <v>61</v>
      </c>
      <c r="AM747" t="s">
        <v>3699</v>
      </c>
      <c r="AN747" t="s">
        <v>3700</v>
      </c>
    </row>
    <row r="748" spans="1:40" x14ac:dyDescent="0.35">
      <c r="A748" t="s">
        <v>37</v>
      </c>
      <c r="B748" t="s">
        <v>3701</v>
      </c>
      <c r="C748" t="s">
        <v>102</v>
      </c>
      <c r="D748" t="s">
        <v>2134</v>
      </c>
      <c r="E748" t="s">
        <v>2135</v>
      </c>
      <c r="F748" s="1">
        <v>46076.855798611112</v>
      </c>
      <c r="G748" t="s">
        <v>826</v>
      </c>
      <c r="H748" t="s">
        <v>356</v>
      </c>
      <c r="I748" t="s">
        <v>3702</v>
      </c>
      <c r="J748" t="s">
        <v>2137</v>
      </c>
      <c r="K748" t="s">
        <v>2138</v>
      </c>
      <c r="M748" t="s">
        <v>131</v>
      </c>
      <c r="O748" t="s">
        <v>237</v>
      </c>
      <c r="P748" t="s">
        <v>238</v>
      </c>
      <c r="Q748" t="s">
        <v>50</v>
      </c>
      <c r="R748" t="s">
        <v>51</v>
      </c>
      <c r="S748" t="s">
        <v>52</v>
      </c>
      <c r="T748" t="s">
        <v>2140</v>
      </c>
      <c r="U748" s="1">
        <v>46076.856423611112</v>
      </c>
      <c r="V748" t="s">
        <v>54</v>
      </c>
      <c r="X748" t="s">
        <v>134</v>
      </c>
      <c r="Y748" t="s">
        <v>3703</v>
      </c>
      <c r="Z748" t="s">
        <v>58</v>
      </c>
      <c r="AA748" t="s">
        <v>54</v>
      </c>
      <c r="AB748" t="s">
        <v>2142</v>
      </c>
      <c r="AC748" t="s">
        <v>242</v>
      </c>
      <c r="AD748" t="s">
        <v>51</v>
      </c>
      <c r="AE748" t="s">
        <v>52</v>
      </c>
      <c r="AF748" t="s">
        <v>2140</v>
      </c>
      <c r="AG748" t="s">
        <v>58</v>
      </c>
      <c r="AH748" t="s">
        <v>2143</v>
      </c>
      <c r="AK748">
        <v>0</v>
      </c>
      <c r="AL748" t="s">
        <v>61</v>
      </c>
      <c r="AM748" t="s">
        <v>2142</v>
      </c>
      <c r="AN748" t="s">
        <v>2144</v>
      </c>
    </row>
    <row r="749" spans="1:40" x14ac:dyDescent="0.35">
      <c r="A749" t="s">
        <v>37</v>
      </c>
      <c r="B749" t="s">
        <v>3704</v>
      </c>
      <c r="C749" t="s">
        <v>102</v>
      </c>
      <c r="D749" t="s">
        <v>2134</v>
      </c>
      <c r="E749" t="s">
        <v>2135</v>
      </c>
      <c r="F749" s="1">
        <v>46076.854560185187</v>
      </c>
      <c r="G749" t="s">
        <v>826</v>
      </c>
      <c r="H749" t="s">
        <v>356</v>
      </c>
      <c r="I749" t="s">
        <v>3705</v>
      </c>
      <c r="J749" t="s">
        <v>2137</v>
      </c>
      <c r="K749" t="s">
        <v>2138</v>
      </c>
      <c r="M749" t="s">
        <v>131</v>
      </c>
      <c r="O749" t="s">
        <v>237</v>
      </c>
      <c r="P749" t="s">
        <v>238</v>
      </c>
      <c r="Q749" t="s">
        <v>50</v>
      </c>
      <c r="R749" t="s">
        <v>51</v>
      </c>
      <c r="S749" t="s">
        <v>52</v>
      </c>
      <c r="T749" t="s">
        <v>2140</v>
      </c>
      <c r="U749" s="1">
        <v>46076.854907407411</v>
      </c>
      <c r="V749" t="s">
        <v>54</v>
      </c>
      <c r="X749" t="s">
        <v>134</v>
      </c>
      <c r="Y749" t="s">
        <v>3706</v>
      </c>
      <c r="Z749" t="s">
        <v>58</v>
      </c>
      <c r="AA749" t="s">
        <v>54</v>
      </c>
      <c r="AB749" t="s">
        <v>2142</v>
      </c>
      <c r="AC749" t="s">
        <v>242</v>
      </c>
      <c r="AD749" t="s">
        <v>51</v>
      </c>
      <c r="AE749" t="s">
        <v>52</v>
      </c>
      <c r="AF749" t="s">
        <v>2140</v>
      </c>
      <c r="AG749" t="s">
        <v>58</v>
      </c>
      <c r="AH749" t="s">
        <v>2143</v>
      </c>
      <c r="AK749">
        <v>0</v>
      </c>
      <c r="AL749" t="s">
        <v>61</v>
      </c>
      <c r="AM749" t="s">
        <v>2142</v>
      </c>
      <c r="AN749" t="s">
        <v>2144</v>
      </c>
    </row>
    <row r="750" spans="1:40" x14ac:dyDescent="0.35">
      <c r="A750" t="s">
        <v>37</v>
      </c>
      <c r="B750" t="s">
        <v>3707</v>
      </c>
      <c r="C750" t="s">
        <v>39</v>
      </c>
      <c r="D750" t="s">
        <v>2134</v>
      </c>
      <c r="E750" t="s">
        <v>2135</v>
      </c>
      <c r="F750" s="1">
        <v>46076.85359953704</v>
      </c>
      <c r="G750" t="s">
        <v>826</v>
      </c>
      <c r="H750" t="s">
        <v>356</v>
      </c>
      <c r="I750" t="s">
        <v>3708</v>
      </c>
      <c r="J750" t="s">
        <v>2137</v>
      </c>
      <c r="K750" t="s">
        <v>2138</v>
      </c>
      <c r="M750" t="s">
        <v>131</v>
      </c>
      <c r="O750" t="s">
        <v>237</v>
      </c>
      <c r="P750" t="s">
        <v>238</v>
      </c>
      <c r="Q750" t="s">
        <v>50</v>
      </c>
      <c r="R750" t="s">
        <v>51</v>
      </c>
      <c r="S750" t="s">
        <v>52</v>
      </c>
      <c r="T750" t="s">
        <v>3709</v>
      </c>
      <c r="U750" s="1">
        <v>46077.714317129627</v>
      </c>
      <c r="V750" t="s">
        <v>54</v>
      </c>
      <c r="W750" t="s">
        <v>55</v>
      </c>
      <c r="X750" t="s">
        <v>134</v>
      </c>
      <c r="Y750" t="s">
        <v>3710</v>
      </c>
      <c r="Z750" t="s">
        <v>58</v>
      </c>
      <c r="AA750" t="s">
        <v>54</v>
      </c>
      <c r="AB750" t="s">
        <v>2142</v>
      </c>
      <c r="AC750" t="s">
        <v>242</v>
      </c>
      <c r="AD750" t="s">
        <v>51</v>
      </c>
      <c r="AE750" t="s">
        <v>52</v>
      </c>
      <c r="AF750" t="s">
        <v>3709</v>
      </c>
      <c r="AG750" t="s">
        <v>58</v>
      </c>
      <c r="AH750" t="s">
        <v>2143</v>
      </c>
      <c r="AK750">
        <v>0</v>
      </c>
      <c r="AL750" t="s">
        <v>61</v>
      </c>
      <c r="AM750" t="s">
        <v>2142</v>
      </c>
      <c r="AN750" t="s">
        <v>2144</v>
      </c>
    </row>
    <row r="751" spans="1:40" x14ac:dyDescent="0.35">
      <c r="A751" t="s">
        <v>37</v>
      </c>
      <c r="B751" t="s">
        <v>3711</v>
      </c>
      <c r="C751" t="s">
        <v>39</v>
      </c>
      <c r="D751" t="s">
        <v>2134</v>
      </c>
      <c r="E751" t="s">
        <v>2135</v>
      </c>
      <c r="F751" s="1">
        <v>46076.851504629631</v>
      </c>
      <c r="G751" t="s">
        <v>826</v>
      </c>
      <c r="H751" t="s">
        <v>356</v>
      </c>
      <c r="I751" t="s">
        <v>3712</v>
      </c>
      <c r="J751" t="s">
        <v>2137</v>
      </c>
      <c r="K751" t="s">
        <v>2138</v>
      </c>
      <c r="M751" t="s">
        <v>131</v>
      </c>
      <c r="O751" t="s">
        <v>237</v>
      </c>
      <c r="P751" t="s">
        <v>238</v>
      </c>
      <c r="Q751" t="s">
        <v>50</v>
      </c>
      <c r="R751" t="s">
        <v>51</v>
      </c>
      <c r="S751" t="s">
        <v>52</v>
      </c>
      <c r="T751" t="s">
        <v>3709</v>
      </c>
      <c r="U751" s="1">
        <v>46078.486886574072</v>
      </c>
      <c r="V751" t="s">
        <v>54</v>
      </c>
      <c r="W751" t="s">
        <v>55</v>
      </c>
      <c r="X751" t="s">
        <v>134</v>
      </c>
      <c r="Y751" t="s">
        <v>3713</v>
      </c>
      <c r="Z751" t="s">
        <v>58</v>
      </c>
      <c r="AA751" t="s">
        <v>54</v>
      </c>
      <c r="AB751" t="s">
        <v>2142</v>
      </c>
      <c r="AC751" t="s">
        <v>242</v>
      </c>
      <c r="AD751" t="s">
        <v>51</v>
      </c>
      <c r="AE751" t="s">
        <v>52</v>
      </c>
      <c r="AF751" t="s">
        <v>3709</v>
      </c>
      <c r="AG751" t="s">
        <v>58</v>
      </c>
      <c r="AH751" t="s">
        <v>2143</v>
      </c>
      <c r="AK751">
        <v>0</v>
      </c>
      <c r="AL751" t="s">
        <v>61</v>
      </c>
      <c r="AM751" t="s">
        <v>2142</v>
      </c>
      <c r="AN751" t="s">
        <v>2144</v>
      </c>
    </row>
    <row r="752" spans="1:40" x14ac:dyDescent="0.35">
      <c r="A752" t="s">
        <v>37</v>
      </c>
      <c r="B752" t="s">
        <v>3714</v>
      </c>
      <c r="C752" t="s">
        <v>39</v>
      </c>
      <c r="D752" t="s">
        <v>2134</v>
      </c>
      <c r="E752" t="s">
        <v>2135</v>
      </c>
      <c r="F752" s="1">
        <v>46076.849953703706</v>
      </c>
      <c r="G752" t="s">
        <v>826</v>
      </c>
      <c r="H752" t="s">
        <v>356</v>
      </c>
      <c r="I752" t="s">
        <v>3715</v>
      </c>
      <c r="J752" t="s">
        <v>2137</v>
      </c>
      <c r="K752" t="s">
        <v>2138</v>
      </c>
      <c r="M752" t="s">
        <v>2682</v>
      </c>
      <c r="O752" t="s">
        <v>237</v>
      </c>
      <c r="P752" t="s">
        <v>238</v>
      </c>
      <c r="Q752" t="s">
        <v>50</v>
      </c>
      <c r="R752" t="s">
        <v>51</v>
      </c>
      <c r="S752" t="s">
        <v>52</v>
      </c>
      <c r="T752" t="s">
        <v>3709</v>
      </c>
      <c r="U752" s="1">
        <v>46078.905150462961</v>
      </c>
      <c r="V752" t="s">
        <v>54</v>
      </c>
      <c r="W752" t="s">
        <v>55</v>
      </c>
      <c r="X752" t="s">
        <v>134</v>
      </c>
      <c r="Y752" t="s">
        <v>3716</v>
      </c>
      <c r="Z752" t="s">
        <v>58</v>
      </c>
      <c r="AA752" t="s">
        <v>54</v>
      </c>
      <c r="AB752" t="s">
        <v>2142</v>
      </c>
      <c r="AC752" t="s">
        <v>242</v>
      </c>
      <c r="AD752" t="s">
        <v>51</v>
      </c>
      <c r="AE752" t="s">
        <v>52</v>
      </c>
      <c r="AF752" t="s">
        <v>3709</v>
      </c>
      <c r="AG752" t="s">
        <v>58</v>
      </c>
      <c r="AH752" t="s">
        <v>2143</v>
      </c>
      <c r="AK752">
        <v>0</v>
      </c>
      <c r="AL752" t="s">
        <v>61</v>
      </c>
      <c r="AM752" t="s">
        <v>2142</v>
      </c>
      <c r="AN752" t="s">
        <v>2144</v>
      </c>
    </row>
    <row r="753" spans="1:40" x14ac:dyDescent="0.35">
      <c r="A753" t="s">
        <v>37</v>
      </c>
      <c r="B753" t="s">
        <v>3717</v>
      </c>
      <c r="C753" t="s">
        <v>39</v>
      </c>
      <c r="D753" t="s">
        <v>2134</v>
      </c>
      <c r="E753" t="s">
        <v>2135</v>
      </c>
      <c r="F753" s="1">
        <v>46076.848043981481</v>
      </c>
      <c r="G753" t="s">
        <v>826</v>
      </c>
      <c r="H753" t="s">
        <v>356</v>
      </c>
      <c r="I753" t="s">
        <v>3718</v>
      </c>
      <c r="J753" t="s">
        <v>2137</v>
      </c>
      <c r="K753" t="s">
        <v>2138</v>
      </c>
      <c r="M753" t="s">
        <v>131</v>
      </c>
      <c r="O753" t="s">
        <v>237</v>
      </c>
      <c r="P753" t="s">
        <v>238</v>
      </c>
      <c r="Q753" t="s">
        <v>50</v>
      </c>
      <c r="R753" t="s">
        <v>51</v>
      </c>
      <c r="S753" t="s">
        <v>52</v>
      </c>
      <c r="T753" t="s">
        <v>3709</v>
      </c>
      <c r="U753" s="1">
        <v>46078.394363425927</v>
      </c>
      <c r="V753" t="s">
        <v>54</v>
      </c>
      <c r="W753" t="s">
        <v>55</v>
      </c>
      <c r="X753" t="s">
        <v>134</v>
      </c>
      <c r="Y753" t="s">
        <v>3719</v>
      </c>
      <c r="Z753" t="s">
        <v>58</v>
      </c>
      <c r="AA753" t="s">
        <v>54</v>
      </c>
      <c r="AB753" t="s">
        <v>2142</v>
      </c>
      <c r="AC753" t="s">
        <v>242</v>
      </c>
      <c r="AD753" t="s">
        <v>51</v>
      </c>
      <c r="AE753" t="s">
        <v>52</v>
      </c>
      <c r="AF753" t="s">
        <v>3709</v>
      </c>
      <c r="AG753" t="s">
        <v>58</v>
      </c>
      <c r="AH753" t="s">
        <v>2143</v>
      </c>
      <c r="AK753">
        <v>0</v>
      </c>
      <c r="AL753" t="s">
        <v>61</v>
      </c>
      <c r="AM753" t="s">
        <v>2142</v>
      </c>
      <c r="AN753" t="s">
        <v>2144</v>
      </c>
    </row>
    <row r="754" spans="1:40" x14ac:dyDescent="0.35">
      <c r="A754" t="s">
        <v>37</v>
      </c>
      <c r="B754" t="s">
        <v>3720</v>
      </c>
      <c r="C754" t="s">
        <v>39</v>
      </c>
      <c r="D754" t="s">
        <v>2134</v>
      </c>
      <c r="E754" t="s">
        <v>2135</v>
      </c>
      <c r="F754" s="1">
        <v>46076.847083333334</v>
      </c>
      <c r="G754" t="s">
        <v>826</v>
      </c>
      <c r="H754" t="s">
        <v>356</v>
      </c>
      <c r="I754" t="s">
        <v>3721</v>
      </c>
      <c r="J754" t="s">
        <v>2137</v>
      </c>
      <c r="K754" t="s">
        <v>2138</v>
      </c>
      <c r="M754" t="s">
        <v>2139</v>
      </c>
      <c r="O754" t="s">
        <v>237</v>
      </c>
      <c r="P754" t="s">
        <v>238</v>
      </c>
      <c r="Q754" t="s">
        <v>50</v>
      </c>
      <c r="R754" t="s">
        <v>51</v>
      </c>
      <c r="S754" t="s">
        <v>52</v>
      </c>
      <c r="T754" t="s">
        <v>3709</v>
      </c>
      <c r="U754" s="1">
        <v>46077.712546296294</v>
      </c>
      <c r="V754" t="s">
        <v>54</v>
      </c>
      <c r="W754" t="s">
        <v>55</v>
      </c>
      <c r="X754" t="s">
        <v>134</v>
      </c>
      <c r="Y754" t="s">
        <v>3722</v>
      </c>
      <c r="Z754" t="s">
        <v>58</v>
      </c>
      <c r="AA754" t="s">
        <v>54</v>
      </c>
      <c r="AB754" t="s">
        <v>2142</v>
      </c>
      <c r="AC754" t="s">
        <v>242</v>
      </c>
      <c r="AD754" t="s">
        <v>51</v>
      </c>
      <c r="AE754" t="s">
        <v>52</v>
      </c>
      <c r="AF754" t="s">
        <v>3709</v>
      </c>
      <c r="AG754" t="s">
        <v>58</v>
      </c>
      <c r="AH754" t="s">
        <v>2143</v>
      </c>
      <c r="AK754">
        <v>0</v>
      </c>
      <c r="AL754" t="s">
        <v>61</v>
      </c>
      <c r="AM754" t="s">
        <v>2142</v>
      </c>
      <c r="AN754" t="s">
        <v>2144</v>
      </c>
    </row>
    <row r="755" spans="1:40" x14ac:dyDescent="0.35">
      <c r="A755" t="s">
        <v>37</v>
      </c>
      <c r="B755" t="s">
        <v>3723</v>
      </c>
      <c r="C755" t="s">
        <v>39</v>
      </c>
      <c r="D755" t="s">
        <v>2134</v>
      </c>
      <c r="E755" t="s">
        <v>2135</v>
      </c>
      <c r="F755" s="1">
        <v>46076.845763888887</v>
      </c>
      <c r="G755" t="s">
        <v>826</v>
      </c>
      <c r="H755" t="s">
        <v>356</v>
      </c>
      <c r="I755" t="s">
        <v>3724</v>
      </c>
      <c r="J755" t="s">
        <v>2137</v>
      </c>
      <c r="K755" t="s">
        <v>2138</v>
      </c>
      <c r="M755" t="s">
        <v>131</v>
      </c>
      <c r="O755" t="s">
        <v>237</v>
      </c>
      <c r="P755" t="s">
        <v>238</v>
      </c>
      <c r="Q755" t="s">
        <v>50</v>
      </c>
      <c r="R755" t="s">
        <v>51</v>
      </c>
      <c r="S755" t="s">
        <v>52</v>
      </c>
      <c r="T755" t="s">
        <v>3709</v>
      </c>
      <c r="U755" s="1">
        <v>46076.846018518518</v>
      </c>
      <c r="V755" t="s">
        <v>54</v>
      </c>
      <c r="W755" t="s">
        <v>55</v>
      </c>
      <c r="X755" t="s">
        <v>134</v>
      </c>
      <c r="Y755" t="s">
        <v>3725</v>
      </c>
      <c r="Z755" t="s">
        <v>58</v>
      </c>
      <c r="AA755" t="s">
        <v>54</v>
      </c>
      <c r="AB755" t="s">
        <v>2142</v>
      </c>
      <c r="AC755" t="s">
        <v>242</v>
      </c>
      <c r="AD755" t="s">
        <v>51</v>
      </c>
      <c r="AE755" t="s">
        <v>52</v>
      </c>
      <c r="AF755" t="s">
        <v>3709</v>
      </c>
      <c r="AG755" t="s">
        <v>58</v>
      </c>
      <c r="AH755" t="s">
        <v>2143</v>
      </c>
      <c r="AK755">
        <v>0</v>
      </c>
      <c r="AL755" t="s">
        <v>61</v>
      </c>
      <c r="AM755" t="s">
        <v>2142</v>
      </c>
      <c r="AN755" t="s">
        <v>2144</v>
      </c>
    </row>
    <row r="756" spans="1:40" x14ac:dyDescent="0.35">
      <c r="A756" t="s">
        <v>37</v>
      </c>
      <c r="B756" t="s">
        <v>3726</v>
      </c>
      <c r="C756" t="s">
        <v>39</v>
      </c>
      <c r="D756" t="s">
        <v>40</v>
      </c>
      <c r="E756" t="s">
        <v>41</v>
      </c>
      <c r="F756" s="1">
        <v>46076.840416666666</v>
      </c>
      <c r="G756" t="s">
        <v>42</v>
      </c>
      <c r="H756" t="s">
        <v>43</v>
      </c>
      <c r="I756" t="s">
        <v>3727</v>
      </c>
      <c r="J756" t="s">
        <v>45</v>
      </c>
      <c r="K756" t="s">
        <v>46</v>
      </c>
      <c r="M756" t="s">
        <v>47</v>
      </c>
      <c r="O756" t="s">
        <v>48</v>
      </c>
      <c r="P756" t="s">
        <v>49</v>
      </c>
      <c r="Q756" t="s">
        <v>50</v>
      </c>
      <c r="R756" t="s">
        <v>51</v>
      </c>
      <c r="S756" t="s">
        <v>52</v>
      </c>
      <c r="T756" t="s">
        <v>53</v>
      </c>
      <c r="U756" s="1">
        <v>46076.842175925929</v>
      </c>
      <c r="V756" t="s">
        <v>54</v>
      </c>
      <c r="W756" t="s">
        <v>55</v>
      </c>
      <c r="X756" t="s">
        <v>56</v>
      </c>
      <c r="Y756" t="s">
        <v>65</v>
      </c>
      <c r="Z756" t="s">
        <v>58</v>
      </c>
      <c r="AA756" t="s">
        <v>54</v>
      </c>
      <c r="AB756" t="s">
        <v>59</v>
      </c>
      <c r="AC756" t="s">
        <v>60</v>
      </c>
      <c r="AD756" t="s">
        <v>51</v>
      </c>
      <c r="AE756" t="s">
        <v>52</v>
      </c>
      <c r="AF756" t="s">
        <v>53</v>
      </c>
      <c r="AG756" t="s">
        <v>58</v>
      </c>
      <c r="AK756">
        <v>0</v>
      </c>
      <c r="AL756" t="s">
        <v>61</v>
      </c>
      <c r="AM756" t="s">
        <v>59</v>
      </c>
      <c r="AN756" t="s">
        <v>62</v>
      </c>
    </row>
    <row r="757" spans="1:40" x14ac:dyDescent="0.35">
      <c r="A757" t="s">
        <v>37</v>
      </c>
      <c r="B757" t="s">
        <v>3728</v>
      </c>
      <c r="C757" t="s">
        <v>39</v>
      </c>
      <c r="D757" t="s">
        <v>3729</v>
      </c>
      <c r="E757" t="s">
        <v>3730</v>
      </c>
      <c r="F757" s="1">
        <v>46076.839537037034</v>
      </c>
      <c r="G757" t="s">
        <v>304</v>
      </c>
      <c r="H757" t="s">
        <v>106</v>
      </c>
      <c r="I757" t="s">
        <v>3731</v>
      </c>
      <c r="J757" t="s">
        <v>1555</v>
      </c>
      <c r="K757" t="s">
        <v>951</v>
      </c>
      <c r="M757" t="s">
        <v>76</v>
      </c>
      <c r="O757" t="s">
        <v>77</v>
      </c>
      <c r="P757" t="s">
        <v>78</v>
      </c>
      <c r="Q757" t="s">
        <v>50</v>
      </c>
      <c r="R757" t="s">
        <v>79</v>
      </c>
      <c r="S757" t="s">
        <v>967</v>
      </c>
      <c r="T757" t="s">
        <v>3732</v>
      </c>
      <c r="U757" s="1">
        <v>46078.3675</v>
      </c>
      <c r="V757" t="s">
        <v>54</v>
      </c>
      <c r="W757" t="s">
        <v>55</v>
      </c>
      <c r="X757" t="s">
        <v>82</v>
      </c>
      <c r="Y757" t="s">
        <v>3733</v>
      </c>
      <c r="Z757" t="s">
        <v>58</v>
      </c>
      <c r="AA757" t="s">
        <v>54</v>
      </c>
      <c r="AB757" t="s">
        <v>84</v>
      </c>
      <c r="AC757" t="s">
        <v>85</v>
      </c>
      <c r="AD757" t="s">
        <v>79</v>
      </c>
      <c r="AE757" t="s">
        <v>967</v>
      </c>
      <c r="AF757" t="s">
        <v>1028</v>
      </c>
      <c r="AG757" t="s">
        <v>58</v>
      </c>
      <c r="AH757">
        <v>13171</v>
      </c>
      <c r="AK757">
        <v>1</v>
      </c>
      <c r="AL757" t="s">
        <v>61</v>
      </c>
      <c r="AM757" t="s">
        <v>3734</v>
      </c>
      <c r="AN757" t="s">
        <v>3735</v>
      </c>
    </row>
    <row r="758" spans="1:40" x14ac:dyDescent="0.35">
      <c r="A758" t="s">
        <v>37</v>
      </c>
      <c r="B758" t="s">
        <v>3736</v>
      </c>
      <c r="C758" t="s">
        <v>656</v>
      </c>
      <c r="D758" t="s">
        <v>583</v>
      </c>
      <c r="E758" t="s">
        <v>584</v>
      </c>
      <c r="F758" s="1">
        <v>46076.812037037038</v>
      </c>
      <c r="G758" t="s">
        <v>585</v>
      </c>
      <c r="H758" t="s">
        <v>356</v>
      </c>
      <c r="I758" t="s">
        <v>3737</v>
      </c>
      <c r="J758" t="s">
        <v>2550</v>
      </c>
      <c r="K758" t="s">
        <v>2551</v>
      </c>
      <c r="M758" t="s">
        <v>131</v>
      </c>
      <c r="O758" t="s">
        <v>77</v>
      </c>
      <c r="P758" t="s">
        <v>78</v>
      </c>
      <c r="Q758" t="s">
        <v>50</v>
      </c>
      <c r="R758" t="s">
        <v>208</v>
      </c>
      <c r="S758" t="s">
        <v>209</v>
      </c>
      <c r="T758" t="s">
        <v>2859</v>
      </c>
      <c r="U758" s="1">
        <v>46077.579444444447</v>
      </c>
      <c r="V758" t="s">
        <v>54</v>
      </c>
      <c r="W758" t="s">
        <v>55</v>
      </c>
      <c r="X758" t="s">
        <v>134</v>
      </c>
      <c r="Y758" t="s">
        <v>3738</v>
      </c>
      <c r="Z758" t="s">
        <v>58</v>
      </c>
      <c r="AA758" t="s">
        <v>54</v>
      </c>
      <c r="AB758" t="s">
        <v>84</v>
      </c>
      <c r="AC758" t="s">
        <v>85</v>
      </c>
      <c r="AD758" t="s">
        <v>214</v>
      </c>
      <c r="AE758" t="s">
        <v>2861</v>
      </c>
      <c r="AF758" t="s">
        <v>3739</v>
      </c>
      <c r="AG758" t="s">
        <v>58</v>
      </c>
      <c r="AK758">
        <v>1</v>
      </c>
      <c r="AL758" t="s">
        <v>61</v>
      </c>
      <c r="AM758" t="s">
        <v>593</v>
      </c>
      <c r="AN758" t="s">
        <v>594</v>
      </c>
    </row>
    <row r="759" spans="1:40" x14ac:dyDescent="0.35">
      <c r="A759" t="s">
        <v>37</v>
      </c>
      <c r="B759" t="s">
        <v>3740</v>
      </c>
      <c r="C759" t="s">
        <v>656</v>
      </c>
      <c r="D759" t="s">
        <v>3741</v>
      </c>
      <c r="E759" t="s">
        <v>3742</v>
      </c>
      <c r="F759" s="1">
        <v>46076.809224537035</v>
      </c>
      <c r="G759" t="s">
        <v>355</v>
      </c>
      <c r="H759" t="s">
        <v>356</v>
      </c>
      <c r="I759" t="s">
        <v>3743</v>
      </c>
      <c r="J759" t="s">
        <v>2406</v>
      </c>
      <c r="K759" t="s">
        <v>1187</v>
      </c>
      <c r="M759" t="s">
        <v>131</v>
      </c>
      <c r="O759" t="s">
        <v>77</v>
      </c>
      <c r="P759" t="s">
        <v>78</v>
      </c>
      <c r="Q759" t="s">
        <v>50</v>
      </c>
      <c r="R759" t="s">
        <v>1189</v>
      </c>
      <c r="S759" t="s">
        <v>1190</v>
      </c>
      <c r="T759" t="s">
        <v>3744</v>
      </c>
      <c r="U759" s="1">
        <v>46078.626620370371</v>
      </c>
      <c r="V759" t="s">
        <v>54</v>
      </c>
      <c r="W759" t="s">
        <v>55</v>
      </c>
      <c r="X759" t="s">
        <v>134</v>
      </c>
      <c r="Y759" t="s">
        <v>3745</v>
      </c>
      <c r="Z759" t="s">
        <v>58</v>
      </c>
      <c r="AA759" t="s">
        <v>54</v>
      </c>
      <c r="AB759" t="s">
        <v>84</v>
      </c>
      <c r="AC759" t="s">
        <v>85</v>
      </c>
      <c r="AD759" t="s">
        <v>1189</v>
      </c>
      <c r="AE759" t="s">
        <v>3746</v>
      </c>
      <c r="AF759" t="s">
        <v>3747</v>
      </c>
      <c r="AG759" t="s">
        <v>58</v>
      </c>
      <c r="AH759" t="s">
        <v>3748</v>
      </c>
      <c r="AK759">
        <v>1</v>
      </c>
      <c r="AL759" t="s">
        <v>61</v>
      </c>
      <c r="AM759" t="s">
        <v>3749</v>
      </c>
      <c r="AN759" t="s">
        <v>3750</v>
      </c>
    </row>
    <row r="760" spans="1:40" x14ac:dyDescent="0.35">
      <c r="A760" t="s">
        <v>37</v>
      </c>
      <c r="B760" t="s">
        <v>3751</v>
      </c>
      <c r="C760" t="s">
        <v>39</v>
      </c>
      <c r="D760" t="s">
        <v>127</v>
      </c>
      <c r="E760" t="s">
        <v>3752</v>
      </c>
      <c r="F760" s="1">
        <v>46076.807488425926</v>
      </c>
      <c r="G760" t="s">
        <v>204</v>
      </c>
      <c r="H760" t="s">
        <v>92</v>
      </c>
      <c r="I760" t="s">
        <v>3753</v>
      </c>
      <c r="J760" t="s">
        <v>548</v>
      </c>
      <c r="K760" t="s">
        <v>549</v>
      </c>
      <c r="M760" t="s">
        <v>47</v>
      </c>
      <c r="O760" t="s">
        <v>77</v>
      </c>
      <c r="P760" t="s">
        <v>78</v>
      </c>
      <c r="Q760" t="s">
        <v>50</v>
      </c>
      <c r="R760" t="s">
        <v>51</v>
      </c>
      <c r="S760" t="s">
        <v>52</v>
      </c>
      <c r="T760" t="s">
        <v>2248</v>
      </c>
      <c r="U760" s="1">
        <v>46077.610960648148</v>
      </c>
      <c r="V760" t="s">
        <v>54</v>
      </c>
      <c r="W760" t="s">
        <v>55</v>
      </c>
      <c r="X760" t="s">
        <v>134</v>
      </c>
      <c r="Y760" t="s">
        <v>3754</v>
      </c>
      <c r="Z760" t="s">
        <v>58</v>
      </c>
      <c r="AA760" t="s">
        <v>54</v>
      </c>
      <c r="AB760" t="s">
        <v>84</v>
      </c>
      <c r="AC760" t="s">
        <v>85</v>
      </c>
      <c r="AD760" t="s">
        <v>52</v>
      </c>
      <c r="AE760" t="s">
        <v>3755</v>
      </c>
      <c r="AF760" t="s">
        <v>3756</v>
      </c>
      <c r="AG760" t="s">
        <v>58</v>
      </c>
      <c r="AH760" t="s">
        <v>3757</v>
      </c>
      <c r="AK760">
        <v>1</v>
      </c>
      <c r="AL760" t="s">
        <v>61</v>
      </c>
      <c r="AM760" t="s">
        <v>3758</v>
      </c>
      <c r="AN760" t="s">
        <v>3759</v>
      </c>
    </row>
    <row r="761" spans="1:40" x14ac:dyDescent="0.35">
      <c r="A761" t="s">
        <v>37</v>
      </c>
      <c r="B761" t="s">
        <v>3760</v>
      </c>
      <c r="C761" t="s">
        <v>39</v>
      </c>
      <c r="D761" t="s">
        <v>747</v>
      </c>
      <c r="E761" t="s">
        <v>3761</v>
      </c>
      <c r="F761" s="1">
        <v>46076.802395833336</v>
      </c>
      <c r="G761" t="s">
        <v>2053</v>
      </c>
      <c r="H761" t="s">
        <v>106</v>
      </c>
      <c r="I761" t="s">
        <v>3762</v>
      </c>
      <c r="J761" t="s">
        <v>3763</v>
      </c>
      <c r="K761" t="s">
        <v>3764</v>
      </c>
      <c r="M761" t="s">
        <v>131</v>
      </c>
      <c r="O761" t="s">
        <v>77</v>
      </c>
      <c r="P761" t="s">
        <v>78</v>
      </c>
      <c r="Q761" t="s">
        <v>50</v>
      </c>
      <c r="R761" t="s">
        <v>51</v>
      </c>
      <c r="S761" t="s">
        <v>52</v>
      </c>
      <c r="T761" t="s">
        <v>240</v>
      </c>
      <c r="U761" s="1">
        <v>46077.424768518518</v>
      </c>
      <c r="V761" t="s">
        <v>54</v>
      </c>
      <c r="W761" t="s">
        <v>55</v>
      </c>
      <c r="X761" t="s">
        <v>134</v>
      </c>
      <c r="Y761" t="s">
        <v>3765</v>
      </c>
      <c r="Z761" t="s">
        <v>58</v>
      </c>
      <c r="AA761" t="s">
        <v>54</v>
      </c>
      <c r="AB761" t="s">
        <v>84</v>
      </c>
      <c r="AC761" t="s">
        <v>85</v>
      </c>
      <c r="AD761" t="s">
        <v>51</v>
      </c>
      <c r="AE761" t="s">
        <v>819</v>
      </c>
      <c r="AF761" t="s">
        <v>3766</v>
      </c>
      <c r="AG761" t="s">
        <v>58</v>
      </c>
      <c r="AH761" t="s">
        <v>3767</v>
      </c>
      <c r="AK761">
        <v>1</v>
      </c>
      <c r="AL761" t="s">
        <v>61</v>
      </c>
      <c r="AM761" t="s">
        <v>3768</v>
      </c>
      <c r="AN761" t="s">
        <v>3769</v>
      </c>
    </row>
    <row r="762" spans="1:40" x14ac:dyDescent="0.35">
      <c r="A762" t="s">
        <v>37</v>
      </c>
      <c r="B762" t="s">
        <v>3770</v>
      </c>
      <c r="C762" t="s">
        <v>102</v>
      </c>
      <c r="D762" t="s">
        <v>103</v>
      </c>
      <c r="E762" t="s">
        <v>104</v>
      </c>
      <c r="F762" s="1">
        <v>46076.795798611114</v>
      </c>
      <c r="G762" t="s">
        <v>105</v>
      </c>
      <c r="H762" t="s">
        <v>106</v>
      </c>
      <c r="I762" t="s">
        <v>570</v>
      </c>
      <c r="J762" t="s">
        <v>108</v>
      </c>
      <c r="K762" t="s">
        <v>571</v>
      </c>
      <c r="M762" t="s">
        <v>76</v>
      </c>
      <c r="O762" t="s">
        <v>77</v>
      </c>
      <c r="P762" t="s">
        <v>78</v>
      </c>
      <c r="Q762" t="s">
        <v>110</v>
      </c>
      <c r="R762" t="s">
        <v>111</v>
      </c>
      <c r="S762" t="s">
        <v>51</v>
      </c>
      <c r="T762" t="s">
        <v>112</v>
      </c>
      <c r="U762" s="1">
        <v>46076.868356481478</v>
      </c>
      <c r="V762" t="s">
        <v>54</v>
      </c>
      <c r="W762" t="s">
        <v>55</v>
      </c>
      <c r="X762" t="s">
        <v>113</v>
      </c>
      <c r="Y762" t="s">
        <v>3771</v>
      </c>
      <c r="Z762" t="s">
        <v>58</v>
      </c>
      <c r="AA762" t="s">
        <v>54</v>
      </c>
      <c r="AB762" t="s">
        <v>115</v>
      </c>
      <c r="AC762" t="s">
        <v>85</v>
      </c>
      <c r="AD762" t="s">
        <v>116</v>
      </c>
      <c r="AE762" t="s">
        <v>574</v>
      </c>
      <c r="AF762" t="s">
        <v>575</v>
      </c>
      <c r="AG762" t="s">
        <v>58</v>
      </c>
      <c r="AH762">
        <v>5928</v>
      </c>
      <c r="AK762">
        <v>1</v>
      </c>
      <c r="AL762" t="s">
        <v>61</v>
      </c>
      <c r="AM762" t="s">
        <v>119</v>
      </c>
      <c r="AN762" t="s">
        <v>120</v>
      </c>
    </row>
    <row r="763" spans="1:40" x14ac:dyDescent="0.35">
      <c r="A763" t="s">
        <v>37</v>
      </c>
      <c r="B763" t="s">
        <v>3772</v>
      </c>
      <c r="C763" t="s">
        <v>656</v>
      </c>
      <c r="D763" t="s">
        <v>3773</v>
      </c>
      <c r="E763" t="s">
        <v>3774</v>
      </c>
      <c r="F763" s="1">
        <v>46076.794039351851</v>
      </c>
      <c r="G763" t="s">
        <v>355</v>
      </c>
      <c r="H763" t="s">
        <v>356</v>
      </c>
      <c r="I763" t="s">
        <v>3775</v>
      </c>
      <c r="J763" t="s">
        <v>2550</v>
      </c>
      <c r="K763" t="s">
        <v>2551</v>
      </c>
      <c r="M763" t="s">
        <v>131</v>
      </c>
      <c r="O763" t="s">
        <v>77</v>
      </c>
      <c r="P763" t="s">
        <v>78</v>
      </c>
      <c r="Q763" t="s">
        <v>50</v>
      </c>
      <c r="R763" t="s">
        <v>208</v>
      </c>
      <c r="S763" t="s">
        <v>209</v>
      </c>
      <c r="T763" t="s">
        <v>3776</v>
      </c>
      <c r="U763" s="1">
        <v>46077.517916666664</v>
      </c>
      <c r="V763" t="s">
        <v>54</v>
      </c>
      <c r="W763" t="s">
        <v>55</v>
      </c>
      <c r="X763" t="s">
        <v>134</v>
      </c>
      <c r="Y763" t="s">
        <v>3777</v>
      </c>
      <c r="Z763" t="s">
        <v>58</v>
      </c>
      <c r="AA763" t="s">
        <v>54</v>
      </c>
      <c r="AB763" t="s">
        <v>84</v>
      </c>
      <c r="AC763" t="s">
        <v>85</v>
      </c>
      <c r="AD763" t="s">
        <v>208</v>
      </c>
      <c r="AE763" t="s">
        <v>209</v>
      </c>
      <c r="AF763" t="s">
        <v>3776</v>
      </c>
      <c r="AG763" t="s">
        <v>58</v>
      </c>
      <c r="AH763" t="s">
        <v>3778</v>
      </c>
      <c r="AK763">
        <v>1</v>
      </c>
      <c r="AL763" t="s">
        <v>61</v>
      </c>
      <c r="AM763" t="s">
        <v>3779</v>
      </c>
      <c r="AN763" t="s">
        <v>3780</v>
      </c>
    </row>
    <row r="764" spans="1:40" x14ac:dyDescent="0.35">
      <c r="A764" t="s">
        <v>37</v>
      </c>
      <c r="B764" t="s">
        <v>3781</v>
      </c>
      <c r="C764" t="s">
        <v>102</v>
      </c>
      <c r="D764" t="s">
        <v>1698</v>
      </c>
      <c r="E764" t="s">
        <v>584</v>
      </c>
      <c r="F764" s="1">
        <v>46076.788900462961</v>
      </c>
      <c r="G764" t="s">
        <v>105</v>
      </c>
      <c r="H764" t="s">
        <v>106</v>
      </c>
      <c r="I764" t="s">
        <v>107</v>
      </c>
      <c r="J764" t="s">
        <v>108</v>
      </c>
      <c r="K764" t="s">
        <v>341</v>
      </c>
      <c r="M764" t="s">
        <v>76</v>
      </c>
      <c r="O764" t="s">
        <v>77</v>
      </c>
      <c r="P764" t="s">
        <v>78</v>
      </c>
      <c r="Q764" t="s">
        <v>50</v>
      </c>
      <c r="R764" t="s">
        <v>111</v>
      </c>
      <c r="S764" t="s">
        <v>51</v>
      </c>
      <c r="T764" t="s">
        <v>112</v>
      </c>
      <c r="U764" s="1">
        <v>46077.068773148145</v>
      </c>
      <c r="V764" t="s">
        <v>54</v>
      </c>
      <c r="X764" t="s">
        <v>113</v>
      </c>
      <c r="Y764" t="s">
        <v>3782</v>
      </c>
      <c r="Z764" t="s">
        <v>58</v>
      </c>
      <c r="AA764" t="s">
        <v>54</v>
      </c>
      <c r="AB764" t="s">
        <v>115</v>
      </c>
      <c r="AC764" t="s">
        <v>85</v>
      </c>
      <c r="AD764" t="s">
        <v>116</v>
      </c>
      <c r="AE764" t="s">
        <v>117</v>
      </c>
      <c r="AF764" t="s">
        <v>343</v>
      </c>
      <c r="AG764" t="s">
        <v>58</v>
      </c>
      <c r="AK764">
        <v>1</v>
      </c>
      <c r="AL764" t="s">
        <v>61</v>
      </c>
      <c r="AM764" t="s">
        <v>1701</v>
      </c>
      <c r="AN764" t="s">
        <v>1702</v>
      </c>
    </row>
    <row r="765" spans="1:40" x14ac:dyDescent="0.35">
      <c r="A765" t="s">
        <v>37</v>
      </c>
      <c r="B765" t="s">
        <v>3783</v>
      </c>
      <c r="C765" t="s">
        <v>39</v>
      </c>
      <c r="D765" t="s">
        <v>40</v>
      </c>
      <c r="E765" t="s">
        <v>41</v>
      </c>
      <c r="F765" s="1">
        <v>46076.75675925926</v>
      </c>
      <c r="G765" t="s">
        <v>42</v>
      </c>
      <c r="H765" t="s">
        <v>43</v>
      </c>
      <c r="I765" t="s">
        <v>3784</v>
      </c>
      <c r="J765" t="s">
        <v>45</v>
      </c>
      <c r="K765" t="s">
        <v>46</v>
      </c>
      <c r="M765" t="s">
        <v>47</v>
      </c>
      <c r="O765" t="s">
        <v>48</v>
      </c>
      <c r="P765" t="s">
        <v>49</v>
      </c>
      <c r="Q765" t="s">
        <v>50</v>
      </c>
      <c r="R765" t="s">
        <v>51</v>
      </c>
      <c r="S765" t="s">
        <v>52</v>
      </c>
      <c r="T765" t="s">
        <v>53</v>
      </c>
      <c r="U765" s="1">
        <v>46076.757650462961</v>
      </c>
      <c r="V765" t="s">
        <v>54</v>
      </c>
      <c r="W765" t="s">
        <v>55</v>
      </c>
      <c r="X765" t="s">
        <v>56</v>
      </c>
      <c r="Y765" t="s">
        <v>65</v>
      </c>
      <c r="Z765" t="s">
        <v>58</v>
      </c>
      <c r="AA765" t="s">
        <v>54</v>
      </c>
      <c r="AB765" t="s">
        <v>59</v>
      </c>
      <c r="AC765" t="s">
        <v>60</v>
      </c>
      <c r="AD765" t="s">
        <v>51</v>
      </c>
      <c r="AE765" t="s">
        <v>52</v>
      </c>
      <c r="AF765" t="s">
        <v>53</v>
      </c>
      <c r="AG765" t="s">
        <v>58</v>
      </c>
      <c r="AK765">
        <v>0</v>
      </c>
      <c r="AL765" t="s">
        <v>61</v>
      </c>
      <c r="AM765" t="s">
        <v>59</v>
      </c>
      <c r="AN765" t="s">
        <v>62</v>
      </c>
    </row>
    <row r="766" spans="1:40" x14ac:dyDescent="0.35">
      <c r="A766" t="s">
        <v>37</v>
      </c>
      <c r="B766" t="s">
        <v>3785</v>
      </c>
      <c r="C766" t="s">
        <v>102</v>
      </c>
      <c r="D766" t="s">
        <v>3786</v>
      </c>
      <c r="E766" t="s">
        <v>469</v>
      </c>
      <c r="F766" s="1">
        <v>46076.735462962963</v>
      </c>
      <c r="G766" t="s">
        <v>105</v>
      </c>
      <c r="H766" t="s">
        <v>106</v>
      </c>
      <c r="I766" t="s">
        <v>3787</v>
      </c>
      <c r="J766" t="s">
        <v>108</v>
      </c>
      <c r="K766" t="s">
        <v>341</v>
      </c>
      <c r="M766" t="s">
        <v>76</v>
      </c>
      <c r="O766" t="s">
        <v>77</v>
      </c>
      <c r="P766" t="s">
        <v>78</v>
      </c>
      <c r="R766" t="s">
        <v>111</v>
      </c>
      <c r="S766" t="s">
        <v>51</v>
      </c>
      <c r="T766" t="s">
        <v>112</v>
      </c>
      <c r="U766" s="1">
        <v>46077.512546296297</v>
      </c>
      <c r="V766" t="s">
        <v>54</v>
      </c>
      <c r="X766" t="s">
        <v>56</v>
      </c>
      <c r="Y766" t="s">
        <v>3788</v>
      </c>
      <c r="Z766" t="s">
        <v>58</v>
      </c>
      <c r="AA766" t="s">
        <v>54</v>
      </c>
      <c r="AB766" t="s">
        <v>115</v>
      </c>
      <c r="AC766" t="s">
        <v>85</v>
      </c>
      <c r="AD766" t="s">
        <v>116</v>
      </c>
      <c r="AE766" t="s">
        <v>574</v>
      </c>
      <c r="AF766" t="s">
        <v>343</v>
      </c>
      <c r="AG766" t="s">
        <v>58</v>
      </c>
      <c r="AH766">
        <v>5935</v>
      </c>
      <c r="AK766">
        <v>1</v>
      </c>
      <c r="AL766" t="s">
        <v>61</v>
      </c>
      <c r="AM766" t="s">
        <v>3789</v>
      </c>
      <c r="AN766" t="s">
        <v>3790</v>
      </c>
    </row>
    <row r="767" spans="1:40" x14ac:dyDescent="0.35">
      <c r="A767" t="s">
        <v>37</v>
      </c>
      <c r="B767" t="s">
        <v>3791</v>
      </c>
      <c r="C767" t="s">
        <v>39</v>
      </c>
      <c r="D767" t="s">
        <v>40</v>
      </c>
      <c r="E767" t="s">
        <v>41</v>
      </c>
      <c r="F767" s="1">
        <v>46076.732222222221</v>
      </c>
      <c r="G767" t="s">
        <v>42</v>
      </c>
      <c r="H767" t="s">
        <v>43</v>
      </c>
      <c r="I767" t="s">
        <v>3792</v>
      </c>
      <c r="J767" t="s">
        <v>45</v>
      </c>
      <c r="K767" t="s">
        <v>46</v>
      </c>
      <c r="M767" t="s">
        <v>47</v>
      </c>
      <c r="O767" t="s">
        <v>48</v>
      </c>
      <c r="P767" t="s">
        <v>49</v>
      </c>
      <c r="Q767" t="s">
        <v>50</v>
      </c>
      <c r="R767" t="s">
        <v>51</v>
      </c>
      <c r="S767" t="s">
        <v>52</v>
      </c>
      <c r="T767" t="s">
        <v>53</v>
      </c>
      <c r="U767" s="1">
        <v>46076.733287037037</v>
      </c>
      <c r="V767" t="s">
        <v>54</v>
      </c>
      <c r="W767" t="s">
        <v>55</v>
      </c>
      <c r="X767" t="s">
        <v>56</v>
      </c>
      <c r="Y767" t="s">
        <v>57</v>
      </c>
      <c r="Z767" t="s">
        <v>58</v>
      </c>
      <c r="AA767" t="s">
        <v>54</v>
      </c>
      <c r="AB767" t="s">
        <v>59</v>
      </c>
      <c r="AC767" t="s">
        <v>60</v>
      </c>
      <c r="AD767" t="s">
        <v>51</v>
      </c>
      <c r="AE767" t="s">
        <v>52</v>
      </c>
      <c r="AF767" t="s">
        <v>53</v>
      </c>
      <c r="AG767" t="s">
        <v>58</v>
      </c>
      <c r="AK767">
        <v>0</v>
      </c>
      <c r="AL767" t="s">
        <v>61</v>
      </c>
      <c r="AM767" t="s">
        <v>59</v>
      </c>
      <c r="AN767" t="s">
        <v>62</v>
      </c>
    </row>
    <row r="768" spans="1:40" x14ac:dyDescent="0.35">
      <c r="A768" t="s">
        <v>37</v>
      </c>
      <c r="B768" t="s">
        <v>3793</v>
      </c>
      <c r="C768" t="s">
        <v>102</v>
      </c>
      <c r="D768" t="s">
        <v>126</v>
      </c>
      <c r="E768" t="s">
        <v>127</v>
      </c>
      <c r="F768" s="1">
        <v>46076.727858796294</v>
      </c>
      <c r="G768" t="s">
        <v>71</v>
      </c>
      <c r="H768" t="s">
        <v>72</v>
      </c>
      <c r="I768" t="s">
        <v>163</v>
      </c>
      <c r="J768" t="s">
        <v>129</v>
      </c>
      <c r="K768" t="s">
        <v>130</v>
      </c>
      <c r="M768" t="s">
        <v>131</v>
      </c>
      <c r="O768" t="s">
        <v>77</v>
      </c>
      <c r="P768" t="s">
        <v>78</v>
      </c>
      <c r="Q768" t="s">
        <v>50</v>
      </c>
      <c r="R768" t="s">
        <v>132</v>
      </c>
      <c r="S768" t="s">
        <v>133</v>
      </c>
      <c r="T768" t="s">
        <v>133</v>
      </c>
      <c r="U768" s="1">
        <v>46077.531782407408</v>
      </c>
      <c r="V768" t="s">
        <v>54</v>
      </c>
      <c r="W768" t="s">
        <v>55</v>
      </c>
      <c r="X768" t="s">
        <v>134</v>
      </c>
      <c r="Y768" t="s">
        <v>3794</v>
      </c>
      <c r="Z768" t="s">
        <v>58</v>
      </c>
      <c r="AA768" t="s">
        <v>54</v>
      </c>
      <c r="AB768" t="s">
        <v>136</v>
      </c>
      <c r="AC768" t="s">
        <v>85</v>
      </c>
      <c r="AD768" t="s">
        <v>132</v>
      </c>
      <c r="AE768" t="s">
        <v>133</v>
      </c>
      <c r="AF768" t="s">
        <v>133</v>
      </c>
      <c r="AG768" t="s">
        <v>58</v>
      </c>
      <c r="AH768" t="s">
        <v>137</v>
      </c>
      <c r="AK768">
        <v>1</v>
      </c>
      <c r="AL768" t="s">
        <v>61</v>
      </c>
      <c r="AM768" t="s">
        <v>136</v>
      </c>
      <c r="AN768" t="s">
        <v>138</v>
      </c>
    </row>
    <row r="769" spans="1:40" x14ac:dyDescent="0.35">
      <c r="A769" t="s">
        <v>37</v>
      </c>
      <c r="B769" t="s">
        <v>3795</v>
      </c>
      <c r="C769" t="s">
        <v>656</v>
      </c>
      <c r="D769" t="s">
        <v>747</v>
      </c>
      <c r="E769" t="s">
        <v>3330</v>
      </c>
      <c r="F769" s="1">
        <v>46076.720949074072</v>
      </c>
      <c r="G769" t="s">
        <v>170</v>
      </c>
      <c r="H769" t="s">
        <v>92</v>
      </c>
      <c r="I769" t="s">
        <v>3796</v>
      </c>
      <c r="J769" t="s">
        <v>2550</v>
      </c>
      <c r="K769" t="s">
        <v>2551</v>
      </c>
      <c r="M769" t="s">
        <v>131</v>
      </c>
      <c r="O769" t="s">
        <v>77</v>
      </c>
      <c r="P769" t="s">
        <v>78</v>
      </c>
      <c r="Q769" t="s">
        <v>50</v>
      </c>
      <c r="R769" t="s">
        <v>208</v>
      </c>
      <c r="S769" t="s">
        <v>209</v>
      </c>
      <c r="T769" t="s">
        <v>3776</v>
      </c>
      <c r="U769" s="1">
        <v>46077.512870370374</v>
      </c>
      <c r="V769" t="s">
        <v>54</v>
      </c>
      <c r="W769" t="s">
        <v>55</v>
      </c>
      <c r="X769" t="s">
        <v>134</v>
      </c>
      <c r="Y769" t="s">
        <v>3777</v>
      </c>
      <c r="Z769" t="s">
        <v>58</v>
      </c>
      <c r="AA769" t="s">
        <v>54</v>
      </c>
      <c r="AB769" t="s">
        <v>84</v>
      </c>
      <c r="AC769" t="s">
        <v>85</v>
      </c>
      <c r="AD769" t="s">
        <v>208</v>
      </c>
      <c r="AE769" t="s">
        <v>209</v>
      </c>
      <c r="AF769" t="s">
        <v>3776</v>
      </c>
      <c r="AG769" t="s">
        <v>58</v>
      </c>
      <c r="AH769" t="s">
        <v>3334</v>
      </c>
      <c r="AK769">
        <v>1</v>
      </c>
      <c r="AL769" t="s">
        <v>61</v>
      </c>
      <c r="AM769" t="s">
        <v>592</v>
      </c>
      <c r="AN769" t="s">
        <v>3335</v>
      </c>
    </row>
    <row r="770" spans="1:40" x14ac:dyDescent="0.35">
      <c r="A770" t="s">
        <v>37</v>
      </c>
      <c r="B770" t="s">
        <v>3797</v>
      </c>
      <c r="C770" t="s">
        <v>102</v>
      </c>
      <c r="D770" t="s">
        <v>146</v>
      </c>
      <c r="E770" t="s">
        <v>147</v>
      </c>
      <c r="F770" s="1">
        <v>46076.715624999997</v>
      </c>
      <c r="G770" t="s">
        <v>71</v>
      </c>
      <c r="H770" t="s">
        <v>72</v>
      </c>
      <c r="I770" t="s">
        <v>163</v>
      </c>
      <c r="J770" t="s">
        <v>149</v>
      </c>
      <c r="K770" t="s">
        <v>130</v>
      </c>
      <c r="M770" t="s">
        <v>131</v>
      </c>
      <c r="O770" t="s">
        <v>77</v>
      </c>
      <c r="P770" t="s">
        <v>78</v>
      </c>
      <c r="Q770" t="s">
        <v>50</v>
      </c>
      <c r="R770" t="s">
        <v>132</v>
      </c>
      <c r="S770" t="s">
        <v>133</v>
      </c>
      <c r="T770" t="s">
        <v>133</v>
      </c>
      <c r="U770" s="1">
        <v>46077.376967592594</v>
      </c>
      <c r="V770" t="s">
        <v>54</v>
      </c>
      <c r="W770" t="s">
        <v>55</v>
      </c>
      <c r="X770" t="s">
        <v>82</v>
      </c>
      <c r="Y770" t="s">
        <v>3798</v>
      </c>
      <c r="Z770" t="s">
        <v>58</v>
      </c>
      <c r="AA770" t="s">
        <v>54</v>
      </c>
      <c r="AB770" t="s">
        <v>152</v>
      </c>
      <c r="AC770" t="s">
        <v>85</v>
      </c>
      <c r="AD770" t="s">
        <v>132</v>
      </c>
      <c r="AE770" t="s">
        <v>133</v>
      </c>
      <c r="AF770" t="s">
        <v>133</v>
      </c>
      <c r="AG770" t="s">
        <v>58</v>
      </c>
      <c r="AH770" t="s">
        <v>153</v>
      </c>
      <c r="AK770">
        <v>1</v>
      </c>
      <c r="AL770" t="s">
        <v>61</v>
      </c>
      <c r="AM770" t="s">
        <v>152</v>
      </c>
      <c r="AN770" t="s">
        <v>154</v>
      </c>
    </row>
    <row r="771" spans="1:40" x14ac:dyDescent="0.35">
      <c r="A771" t="s">
        <v>37</v>
      </c>
      <c r="B771" t="s">
        <v>3799</v>
      </c>
      <c r="C771" t="s">
        <v>102</v>
      </c>
      <c r="D771" t="s">
        <v>146</v>
      </c>
      <c r="E771" t="s">
        <v>147</v>
      </c>
      <c r="F771" s="1">
        <v>46076.707407407404</v>
      </c>
      <c r="G771" t="s">
        <v>71</v>
      </c>
      <c r="H771" t="s">
        <v>72</v>
      </c>
      <c r="I771" t="s">
        <v>3800</v>
      </c>
      <c r="J771" t="s">
        <v>149</v>
      </c>
      <c r="K771" t="s">
        <v>130</v>
      </c>
      <c r="M771" t="s">
        <v>150</v>
      </c>
      <c r="O771" t="s">
        <v>77</v>
      </c>
      <c r="P771" t="s">
        <v>78</v>
      </c>
      <c r="Q771" t="s">
        <v>50</v>
      </c>
      <c r="R771" t="s">
        <v>132</v>
      </c>
      <c r="S771" t="s">
        <v>133</v>
      </c>
      <c r="T771" t="s">
        <v>133</v>
      </c>
      <c r="U771" s="1">
        <v>46077.376006944447</v>
      </c>
      <c r="V771" t="s">
        <v>54</v>
      </c>
      <c r="W771" t="s">
        <v>55</v>
      </c>
      <c r="X771" t="s">
        <v>82</v>
      </c>
      <c r="Y771" t="s">
        <v>3801</v>
      </c>
      <c r="Z771" t="s">
        <v>58</v>
      </c>
      <c r="AA771" t="s">
        <v>54</v>
      </c>
      <c r="AB771" t="s">
        <v>152</v>
      </c>
      <c r="AC771" t="s">
        <v>85</v>
      </c>
      <c r="AD771" t="s">
        <v>132</v>
      </c>
      <c r="AE771" t="s">
        <v>133</v>
      </c>
      <c r="AF771" t="s">
        <v>133</v>
      </c>
      <c r="AG771" t="s">
        <v>58</v>
      </c>
      <c r="AH771" t="s">
        <v>153</v>
      </c>
      <c r="AK771">
        <v>1</v>
      </c>
      <c r="AL771" t="s">
        <v>61</v>
      </c>
      <c r="AM771" t="s">
        <v>152</v>
      </c>
      <c r="AN771" t="s">
        <v>154</v>
      </c>
    </row>
    <row r="772" spans="1:40" x14ac:dyDescent="0.35">
      <c r="A772" t="s">
        <v>37</v>
      </c>
      <c r="B772" t="s">
        <v>3802</v>
      </c>
      <c r="C772" t="s">
        <v>39</v>
      </c>
      <c r="D772" t="s">
        <v>40</v>
      </c>
      <c r="E772" t="s">
        <v>41</v>
      </c>
      <c r="F772" s="1">
        <v>46076.703252314815</v>
      </c>
      <c r="G772" t="s">
        <v>42</v>
      </c>
      <c r="H772" t="s">
        <v>43</v>
      </c>
      <c r="I772" t="s">
        <v>3803</v>
      </c>
      <c r="J772" t="s">
        <v>45</v>
      </c>
      <c r="K772" t="s">
        <v>46</v>
      </c>
      <c r="M772" t="s">
        <v>47</v>
      </c>
      <c r="O772" t="s">
        <v>48</v>
      </c>
      <c r="P772" t="s">
        <v>49</v>
      </c>
      <c r="Q772" t="s">
        <v>50</v>
      </c>
      <c r="R772" t="s">
        <v>51</v>
      </c>
      <c r="S772" t="s">
        <v>52</v>
      </c>
      <c r="T772" t="s">
        <v>53</v>
      </c>
      <c r="U772" s="1">
        <v>46076.704050925924</v>
      </c>
      <c r="V772" t="s">
        <v>54</v>
      </c>
      <c r="W772" t="s">
        <v>55</v>
      </c>
      <c r="X772" t="s">
        <v>56</v>
      </c>
      <c r="Y772" t="s">
        <v>57</v>
      </c>
      <c r="Z772" t="s">
        <v>58</v>
      </c>
      <c r="AA772" t="s">
        <v>54</v>
      </c>
      <c r="AB772" t="s">
        <v>59</v>
      </c>
      <c r="AC772" t="s">
        <v>60</v>
      </c>
      <c r="AD772" t="s">
        <v>51</v>
      </c>
      <c r="AE772" t="s">
        <v>52</v>
      </c>
      <c r="AF772" t="s">
        <v>53</v>
      </c>
      <c r="AG772" t="s">
        <v>58</v>
      </c>
      <c r="AK772">
        <v>0</v>
      </c>
      <c r="AL772" t="s">
        <v>61</v>
      </c>
      <c r="AM772" t="s">
        <v>59</v>
      </c>
      <c r="AN772" t="s">
        <v>62</v>
      </c>
    </row>
    <row r="773" spans="1:40" x14ac:dyDescent="0.35">
      <c r="A773" t="s">
        <v>37</v>
      </c>
      <c r="B773" t="s">
        <v>3804</v>
      </c>
      <c r="C773" t="s">
        <v>39</v>
      </c>
      <c r="D773" t="s">
        <v>40</v>
      </c>
      <c r="E773" t="s">
        <v>41</v>
      </c>
      <c r="F773" s="1">
        <v>46076.703136574077</v>
      </c>
      <c r="G773" t="s">
        <v>42</v>
      </c>
      <c r="H773" t="s">
        <v>43</v>
      </c>
      <c r="I773" t="s">
        <v>3805</v>
      </c>
      <c r="J773" t="s">
        <v>45</v>
      </c>
      <c r="K773" t="s">
        <v>46</v>
      </c>
      <c r="M773" t="s">
        <v>47</v>
      </c>
      <c r="O773" t="s">
        <v>48</v>
      </c>
      <c r="P773" t="s">
        <v>49</v>
      </c>
      <c r="Q773" t="s">
        <v>50</v>
      </c>
      <c r="R773" t="s">
        <v>51</v>
      </c>
      <c r="S773" t="s">
        <v>52</v>
      </c>
      <c r="T773" t="s">
        <v>53</v>
      </c>
      <c r="U773" s="1">
        <v>46076.703935185185</v>
      </c>
      <c r="V773" t="s">
        <v>54</v>
      </c>
      <c r="W773" t="s">
        <v>55</v>
      </c>
      <c r="X773" t="s">
        <v>56</v>
      </c>
      <c r="Y773" t="s">
        <v>57</v>
      </c>
      <c r="Z773" t="s">
        <v>58</v>
      </c>
      <c r="AA773" t="s">
        <v>54</v>
      </c>
      <c r="AB773" t="s">
        <v>59</v>
      </c>
      <c r="AC773" t="s">
        <v>60</v>
      </c>
      <c r="AD773" t="s">
        <v>51</v>
      </c>
      <c r="AE773" t="s">
        <v>52</v>
      </c>
      <c r="AF773" t="s">
        <v>53</v>
      </c>
      <c r="AG773" t="s">
        <v>58</v>
      </c>
      <c r="AK773">
        <v>0</v>
      </c>
      <c r="AL773" t="s">
        <v>61</v>
      </c>
      <c r="AM773" t="s">
        <v>59</v>
      </c>
      <c r="AN773" t="s">
        <v>62</v>
      </c>
    </row>
    <row r="774" spans="1:40" x14ac:dyDescent="0.35">
      <c r="A774" t="s">
        <v>37</v>
      </c>
      <c r="B774" t="s">
        <v>3806</v>
      </c>
      <c r="C774" t="s">
        <v>39</v>
      </c>
      <c r="D774" t="s">
        <v>40</v>
      </c>
      <c r="E774" t="s">
        <v>41</v>
      </c>
      <c r="F774" s="1">
        <v>46076.703009259261</v>
      </c>
      <c r="G774" t="s">
        <v>42</v>
      </c>
      <c r="H774" t="s">
        <v>43</v>
      </c>
      <c r="I774" t="s">
        <v>3807</v>
      </c>
      <c r="J774" t="s">
        <v>45</v>
      </c>
      <c r="K774" t="s">
        <v>46</v>
      </c>
      <c r="M774" t="s">
        <v>47</v>
      </c>
      <c r="O774" t="s">
        <v>48</v>
      </c>
      <c r="P774" t="s">
        <v>49</v>
      </c>
      <c r="Q774" t="s">
        <v>50</v>
      </c>
      <c r="R774" t="s">
        <v>51</v>
      </c>
      <c r="S774" t="s">
        <v>52</v>
      </c>
      <c r="T774" t="s">
        <v>53</v>
      </c>
      <c r="U774" s="1">
        <v>46076.703935185185</v>
      </c>
      <c r="V774" t="s">
        <v>54</v>
      </c>
      <c r="W774" t="s">
        <v>55</v>
      </c>
      <c r="X774" t="s">
        <v>56</v>
      </c>
      <c r="Y774" t="s">
        <v>57</v>
      </c>
      <c r="Z774" t="s">
        <v>58</v>
      </c>
      <c r="AA774" t="s">
        <v>54</v>
      </c>
      <c r="AB774" t="s">
        <v>59</v>
      </c>
      <c r="AC774" t="s">
        <v>60</v>
      </c>
      <c r="AD774" t="s">
        <v>51</v>
      </c>
      <c r="AE774" t="s">
        <v>52</v>
      </c>
      <c r="AF774" t="s">
        <v>53</v>
      </c>
      <c r="AG774" t="s">
        <v>58</v>
      </c>
      <c r="AK774">
        <v>0</v>
      </c>
      <c r="AL774" t="s">
        <v>61</v>
      </c>
      <c r="AM774" t="s">
        <v>59</v>
      </c>
      <c r="AN774" t="s">
        <v>62</v>
      </c>
    </row>
    <row r="775" spans="1:40" x14ac:dyDescent="0.35">
      <c r="A775" t="s">
        <v>37</v>
      </c>
      <c r="B775" t="s">
        <v>3808</v>
      </c>
      <c r="C775" t="s">
        <v>102</v>
      </c>
      <c r="D775" t="s">
        <v>191</v>
      </c>
      <c r="E775" t="s">
        <v>192</v>
      </c>
      <c r="F775" s="1">
        <v>46076.703518518516</v>
      </c>
      <c r="G775" t="s">
        <v>71</v>
      </c>
      <c r="H775" t="s">
        <v>72</v>
      </c>
      <c r="I775" t="s">
        <v>3809</v>
      </c>
      <c r="J775" t="s">
        <v>194</v>
      </c>
      <c r="K775" t="s">
        <v>130</v>
      </c>
      <c r="M775" t="s">
        <v>150</v>
      </c>
      <c r="O775" t="s">
        <v>77</v>
      </c>
      <c r="P775" t="s">
        <v>78</v>
      </c>
      <c r="Q775" t="s">
        <v>50</v>
      </c>
      <c r="R775" t="s">
        <v>51</v>
      </c>
      <c r="S775" t="s">
        <v>52</v>
      </c>
      <c r="T775" t="s">
        <v>195</v>
      </c>
      <c r="U775" s="1">
        <v>46077.378553240742</v>
      </c>
      <c r="V775" t="s">
        <v>54</v>
      </c>
      <c r="W775" t="s">
        <v>55</v>
      </c>
      <c r="X775" t="s">
        <v>196</v>
      </c>
      <c r="Y775" t="s">
        <v>3810</v>
      </c>
      <c r="Z775" t="s">
        <v>58</v>
      </c>
      <c r="AA775" t="s">
        <v>54</v>
      </c>
      <c r="AB775" t="s">
        <v>198</v>
      </c>
      <c r="AC775" t="s">
        <v>85</v>
      </c>
      <c r="AD775" t="s">
        <v>51</v>
      </c>
      <c r="AE775" t="s">
        <v>52</v>
      </c>
      <c r="AF775" t="s">
        <v>195</v>
      </c>
      <c r="AG775" t="s">
        <v>58</v>
      </c>
      <c r="AH775" t="s">
        <v>199</v>
      </c>
      <c r="AK775">
        <v>1</v>
      </c>
      <c r="AL775" t="s">
        <v>61</v>
      </c>
      <c r="AM775" t="s">
        <v>198</v>
      </c>
      <c r="AN775" t="s">
        <v>200</v>
      </c>
    </row>
    <row r="776" spans="1:40" x14ac:dyDescent="0.35">
      <c r="A776" t="s">
        <v>37</v>
      </c>
      <c r="B776" t="s">
        <v>3811</v>
      </c>
      <c r="C776" t="s">
        <v>102</v>
      </c>
      <c r="D776" t="s">
        <v>3786</v>
      </c>
      <c r="E776" t="s">
        <v>469</v>
      </c>
      <c r="F776" s="1">
        <v>46076.704143518517</v>
      </c>
      <c r="G776" t="s">
        <v>105</v>
      </c>
      <c r="H776" t="s">
        <v>106</v>
      </c>
      <c r="I776" t="s">
        <v>3812</v>
      </c>
      <c r="J776" t="s">
        <v>108</v>
      </c>
      <c r="K776" t="s">
        <v>109</v>
      </c>
      <c r="M776" t="s">
        <v>76</v>
      </c>
      <c r="O776" t="s">
        <v>77</v>
      </c>
      <c r="P776" t="s">
        <v>78</v>
      </c>
      <c r="Q776" t="s">
        <v>541</v>
      </c>
      <c r="R776" t="s">
        <v>111</v>
      </c>
      <c r="S776" t="s">
        <v>51</v>
      </c>
      <c r="T776" t="s">
        <v>1583</v>
      </c>
      <c r="U776" s="1">
        <v>46076.869976851849</v>
      </c>
      <c r="V776" t="s">
        <v>54</v>
      </c>
      <c r="W776" t="s">
        <v>55</v>
      </c>
      <c r="X776" t="s">
        <v>113</v>
      </c>
      <c r="Y776" t="s">
        <v>3813</v>
      </c>
      <c r="Z776" t="s">
        <v>58</v>
      </c>
      <c r="AA776" t="s">
        <v>54</v>
      </c>
      <c r="AB776" t="s">
        <v>115</v>
      </c>
      <c r="AC776" t="s">
        <v>85</v>
      </c>
      <c r="AD776" t="s">
        <v>116</v>
      </c>
      <c r="AE776" t="s">
        <v>3814</v>
      </c>
      <c r="AF776" t="s">
        <v>3126</v>
      </c>
      <c r="AG776" t="s">
        <v>58</v>
      </c>
      <c r="AH776">
        <v>5935</v>
      </c>
      <c r="AK776">
        <v>1</v>
      </c>
      <c r="AL776" t="s">
        <v>61</v>
      </c>
      <c r="AM776" t="s">
        <v>3789</v>
      </c>
      <c r="AN776" t="s">
        <v>3790</v>
      </c>
    </row>
    <row r="777" spans="1:40" x14ac:dyDescent="0.35">
      <c r="A777" t="s">
        <v>37</v>
      </c>
      <c r="B777" t="s">
        <v>3815</v>
      </c>
      <c r="C777" t="s">
        <v>102</v>
      </c>
      <c r="D777" t="s">
        <v>191</v>
      </c>
      <c r="E777" t="s">
        <v>192</v>
      </c>
      <c r="F777" s="1">
        <v>46076.699108796296</v>
      </c>
      <c r="G777" t="s">
        <v>71</v>
      </c>
      <c r="H777" t="s">
        <v>72</v>
      </c>
      <c r="I777" t="s">
        <v>3816</v>
      </c>
      <c r="J777" t="s">
        <v>194</v>
      </c>
      <c r="K777" t="s">
        <v>130</v>
      </c>
      <c r="M777" t="s">
        <v>150</v>
      </c>
      <c r="O777" t="s">
        <v>77</v>
      </c>
      <c r="P777" t="s">
        <v>78</v>
      </c>
      <c r="Q777" t="s">
        <v>50</v>
      </c>
      <c r="R777" t="s">
        <v>51</v>
      </c>
      <c r="S777" t="s">
        <v>52</v>
      </c>
      <c r="T777" t="s">
        <v>195</v>
      </c>
      <c r="U777" s="1">
        <v>46078.423483796294</v>
      </c>
      <c r="V777" t="s">
        <v>54</v>
      </c>
      <c r="W777" t="s">
        <v>55</v>
      </c>
      <c r="X777" t="s">
        <v>196</v>
      </c>
      <c r="Y777" t="s">
        <v>3817</v>
      </c>
      <c r="Z777" t="s">
        <v>58</v>
      </c>
      <c r="AA777" t="s">
        <v>54</v>
      </c>
      <c r="AB777" t="s">
        <v>198</v>
      </c>
      <c r="AC777" t="s">
        <v>85</v>
      </c>
      <c r="AD777" t="s">
        <v>51</v>
      </c>
      <c r="AE777" t="s">
        <v>52</v>
      </c>
      <c r="AF777" t="s">
        <v>195</v>
      </c>
      <c r="AG777" t="s">
        <v>58</v>
      </c>
      <c r="AH777" t="s">
        <v>199</v>
      </c>
      <c r="AK777">
        <v>1</v>
      </c>
      <c r="AL777" t="s">
        <v>61</v>
      </c>
      <c r="AM777" t="s">
        <v>198</v>
      </c>
      <c r="AN777" t="s">
        <v>200</v>
      </c>
    </row>
    <row r="778" spans="1:40" x14ac:dyDescent="0.35">
      <c r="A778" t="s">
        <v>37</v>
      </c>
      <c r="B778" t="s">
        <v>3818</v>
      </c>
      <c r="C778" t="s">
        <v>102</v>
      </c>
      <c r="D778" t="s">
        <v>3786</v>
      </c>
      <c r="E778" t="s">
        <v>469</v>
      </c>
      <c r="F778" s="1">
        <v>46076.687326388892</v>
      </c>
      <c r="G778" t="s">
        <v>105</v>
      </c>
      <c r="H778" t="s">
        <v>106</v>
      </c>
      <c r="I778" t="s">
        <v>1745</v>
      </c>
      <c r="J778" t="s">
        <v>108</v>
      </c>
      <c r="K778" t="s">
        <v>109</v>
      </c>
      <c r="M778" t="s">
        <v>76</v>
      </c>
      <c r="O778" t="s">
        <v>77</v>
      </c>
      <c r="P778" t="s">
        <v>78</v>
      </c>
      <c r="Q778" t="s">
        <v>541</v>
      </c>
      <c r="R778" t="s">
        <v>111</v>
      </c>
      <c r="S778" t="s">
        <v>51</v>
      </c>
      <c r="T778" t="s">
        <v>112</v>
      </c>
      <c r="U778" s="1">
        <v>46076.697083333333</v>
      </c>
      <c r="V778" t="s">
        <v>54</v>
      </c>
      <c r="W778" t="s">
        <v>55</v>
      </c>
      <c r="X778" t="s">
        <v>113</v>
      </c>
      <c r="Y778" t="s">
        <v>3819</v>
      </c>
      <c r="Z778" t="s">
        <v>58</v>
      </c>
      <c r="AA778" t="s">
        <v>54</v>
      </c>
      <c r="AB778" t="s">
        <v>115</v>
      </c>
      <c r="AC778" t="s">
        <v>85</v>
      </c>
      <c r="AD778" t="s">
        <v>116</v>
      </c>
      <c r="AE778" t="s">
        <v>117</v>
      </c>
      <c r="AF778" t="s">
        <v>1874</v>
      </c>
      <c r="AG778" t="s">
        <v>58</v>
      </c>
      <c r="AH778">
        <v>5935</v>
      </c>
      <c r="AK778">
        <v>1</v>
      </c>
      <c r="AL778" t="s">
        <v>61</v>
      </c>
      <c r="AM778" t="s">
        <v>3789</v>
      </c>
      <c r="AN778" t="s">
        <v>3790</v>
      </c>
    </row>
    <row r="779" spans="1:40" x14ac:dyDescent="0.35">
      <c r="A779" t="s">
        <v>37</v>
      </c>
      <c r="B779" t="s">
        <v>3820</v>
      </c>
      <c r="C779" t="s">
        <v>39</v>
      </c>
      <c r="D779" t="s">
        <v>40</v>
      </c>
      <c r="E779" t="s">
        <v>41</v>
      </c>
      <c r="F779" s="1">
        <v>46076.68240740741</v>
      </c>
      <c r="G779" t="s">
        <v>42</v>
      </c>
      <c r="H779" t="s">
        <v>43</v>
      </c>
      <c r="I779" t="s">
        <v>3821</v>
      </c>
      <c r="J779" t="s">
        <v>45</v>
      </c>
      <c r="K779" t="s">
        <v>46</v>
      </c>
      <c r="M779" t="s">
        <v>47</v>
      </c>
      <c r="O779" t="s">
        <v>48</v>
      </c>
      <c r="P779" t="s">
        <v>49</v>
      </c>
      <c r="Q779" t="s">
        <v>50</v>
      </c>
      <c r="R779" t="s">
        <v>51</v>
      </c>
      <c r="S779" t="s">
        <v>52</v>
      </c>
      <c r="T779" t="s">
        <v>53</v>
      </c>
      <c r="U779" s="1">
        <v>46076.683391203704</v>
      </c>
      <c r="V779" t="s">
        <v>54</v>
      </c>
      <c r="W779" t="s">
        <v>55</v>
      </c>
      <c r="X779" t="s">
        <v>56</v>
      </c>
      <c r="Y779" t="s">
        <v>57</v>
      </c>
      <c r="Z779" t="s">
        <v>58</v>
      </c>
      <c r="AA779" t="s">
        <v>54</v>
      </c>
      <c r="AB779" t="s">
        <v>59</v>
      </c>
      <c r="AC779" t="s">
        <v>60</v>
      </c>
      <c r="AD779" t="s">
        <v>51</v>
      </c>
      <c r="AE779" t="s">
        <v>52</v>
      </c>
      <c r="AF779" t="s">
        <v>53</v>
      </c>
      <c r="AG779" t="s">
        <v>58</v>
      </c>
      <c r="AK779">
        <v>0</v>
      </c>
      <c r="AL779" t="s">
        <v>61</v>
      </c>
      <c r="AM779" t="s">
        <v>59</v>
      </c>
      <c r="AN779" t="s">
        <v>62</v>
      </c>
    </row>
    <row r="780" spans="1:40" x14ac:dyDescent="0.35">
      <c r="A780" t="s">
        <v>37</v>
      </c>
      <c r="B780" t="s">
        <v>3822</v>
      </c>
      <c r="C780" t="s">
        <v>39</v>
      </c>
      <c r="D780" t="s">
        <v>40</v>
      </c>
      <c r="E780" t="s">
        <v>41</v>
      </c>
      <c r="F780" s="1">
        <v>46076.682256944441</v>
      </c>
      <c r="G780" t="s">
        <v>42</v>
      </c>
      <c r="H780" t="s">
        <v>43</v>
      </c>
      <c r="I780" t="s">
        <v>3823</v>
      </c>
      <c r="J780" t="s">
        <v>45</v>
      </c>
      <c r="K780" t="s">
        <v>46</v>
      </c>
      <c r="M780" t="s">
        <v>47</v>
      </c>
      <c r="O780" t="s">
        <v>48</v>
      </c>
      <c r="P780" t="s">
        <v>49</v>
      </c>
      <c r="Q780" t="s">
        <v>50</v>
      </c>
      <c r="R780" t="s">
        <v>51</v>
      </c>
      <c r="S780" t="s">
        <v>52</v>
      </c>
      <c r="T780" t="s">
        <v>53</v>
      </c>
      <c r="U780" s="1">
        <v>46076.683032407411</v>
      </c>
      <c r="V780" t="s">
        <v>54</v>
      </c>
      <c r="W780" t="s">
        <v>55</v>
      </c>
      <c r="X780" t="s">
        <v>56</v>
      </c>
      <c r="Y780" t="s">
        <v>57</v>
      </c>
      <c r="Z780" t="s">
        <v>58</v>
      </c>
      <c r="AA780" t="s">
        <v>54</v>
      </c>
      <c r="AB780" t="s">
        <v>59</v>
      </c>
      <c r="AC780" t="s">
        <v>60</v>
      </c>
      <c r="AD780" t="s">
        <v>51</v>
      </c>
      <c r="AE780" t="s">
        <v>52</v>
      </c>
      <c r="AF780" t="s">
        <v>53</v>
      </c>
      <c r="AG780" t="s">
        <v>58</v>
      </c>
      <c r="AK780">
        <v>0</v>
      </c>
      <c r="AL780" t="s">
        <v>61</v>
      </c>
      <c r="AM780" t="s">
        <v>59</v>
      </c>
      <c r="AN780" t="s">
        <v>62</v>
      </c>
    </row>
    <row r="781" spans="1:40" x14ac:dyDescent="0.35">
      <c r="A781" t="s">
        <v>37</v>
      </c>
      <c r="B781" t="s">
        <v>3824</v>
      </c>
      <c r="C781" t="s">
        <v>102</v>
      </c>
      <c r="D781" t="s">
        <v>3786</v>
      </c>
      <c r="E781" t="s">
        <v>469</v>
      </c>
      <c r="F781" s="1">
        <v>46076.680393518516</v>
      </c>
      <c r="G781" t="s">
        <v>105</v>
      </c>
      <c r="H781" t="s">
        <v>106</v>
      </c>
      <c r="I781" t="s">
        <v>3825</v>
      </c>
      <c r="J781" t="s">
        <v>108</v>
      </c>
      <c r="K781" t="s">
        <v>109</v>
      </c>
      <c r="M781" t="s">
        <v>76</v>
      </c>
      <c r="O781" t="s">
        <v>77</v>
      </c>
      <c r="P781" t="s">
        <v>78</v>
      </c>
      <c r="Q781" t="s">
        <v>541</v>
      </c>
      <c r="R781" t="s">
        <v>111</v>
      </c>
      <c r="S781" t="s">
        <v>51</v>
      </c>
      <c r="T781" t="s">
        <v>112</v>
      </c>
      <c r="U781" s="1">
        <v>46078.87767361111</v>
      </c>
      <c r="V781" t="s">
        <v>54</v>
      </c>
      <c r="W781" t="s">
        <v>1584</v>
      </c>
      <c r="X781" t="s">
        <v>113</v>
      </c>
      <c r="Y781" t="s">
        <v>3826</v>
      </c>
      <c r="Z781" t="s">
        <v>58</v>
      </c>
      <c r="AA781" t="s">
        <v>54</v>
      </c>
      <c r="AB781" t="s">
        <v>115</v>
      </c>
      <c r="AC781" t="s">
        <v>85</v>
      </c>
      <c r="AD781" t="s">
        <v>116</v>
      </c>
      <c r="AE781" t="s">
        <v>117</v>
      </c>
      <c r="AF781" t="s">
        <v>161</v>
      </c>
      <c r="AG781" t="s">
        <v>58</v>
      </c>
      <c r="AH781">
        <v>5935</v>
      </c>
      <c r="AK781">
        <v>1</v>
      </c>
      <c r="AL781" t="s">
        <v>61</v>
      </c>
      <c r="AM781" t="s">
        <v>3789</v>
      </c>
      <c r="AN781" t="s">
        <v>3790</v>
      </c>
    </row>
    <row r="782" spans="1:40" x14ac:dyDescent="0.35">
      <c r="A782" t="s">
        <v>37</v>
      </c>
      <c r="B782" t="s">
        <v>3827</v>
      </c>
      <c r="C782" t="s">
        <v>102</v>
      </c>
      <c r="D782" t="s">
        <v>2292</v>
      </c>
      <c r="E782" t="s">
        <v>2293</v>
      </c>
      <c r="F782" s="1">
        <v>46076.676180555558</v>
      </c>
      <c r="G782" t="s">
        <v>71</v>
      </c>
      <c r="H782" t="s">
        <v>72</v>
      </c>
      <c r="I782" t="s">
        <v>3828</v>
      </c>
      <c r="J782" t="s">
        <v>3829</v>
      </c>
      <c r="K782" t="s">
        <v>951</v>
      </c>
      <c r="M782" t="s">
        <v>76</v>
      </c>
      <c r="O782" t="s">
        <v>1501</v>
      </c>
      <c r="P782" t="s">
        <v>1502</v>
      </c>
      <c r="Q782" t="s">
        <v>2295</v>
      </c>
      <c r="R782" t="s">
        <v>79</v>
      </c>
      <c r="S782" t="s">
        <v>955</v>
      </c>
      <c r="T782" t="s">
        <v>1500</v>
      </c>
      <c r="U782" s="1">
        <v>46077.625219907408</v>
      </c>
      <c r="V782" t="s">
        <v>54</v>
      </c>
      <c r="W782" t="s">
        <v>55</v>
      </c>
      <c r="X782" t="s">
        <v>134</v>
      </c>
      <c r="Y782" t="s">
        <v>3830</v>
      </c>
      <c r="Z782" t="s">
        <v>58</v>
      </c>
      <c r="AA782" t="s">
        <v>54</v>
      </c>
      <c r="AB782" t="s">
        <v>84</v>
      </c>
      <c r="AC782" t="s">
        <v>1504</v>
      </c>
      <c r="AD782" t="s">
        <v>79</v>
      </c>
      <c r="AE782" t="s">
        <v>955</v>
      </c>
      <c r="AF782" t="s">
        <v>1500</v>
      </c>
      <c r="AG782" t="s">
        <v>58</v>
      </c>
      <c r="AH782">
        <v>11368</v>
      </c>
      <c r="AK782">
        <v>1</v>
      </c>
      <c r="AL782" t="s">
        <v>61</v>
      </c>
      <c r="AM782" t="s">
        <v>2297</v>
      </c>
      <c r="AN782" t="s">
        <v>2298</v>
      </c>
    </row>
    <row r="783" spans="1:40" x14ac:dyDescent="0.35">
      <c r="A783" t="s">
        <v>37</v>
      </c>
      <c r="B783" t="s">
        <v>3831</v>
      </c>
      <c r="C783" t="s">
        <v>39</v>
      </c>
      <c r="D783" t="s">
        <v>40</v>
      </c>
      <c r="E783" t="s">
        <v>41</v>
      </c>
      <c r="F783" s="1">
        <v>46076.674664351849</v>
      </c>
      <c r="G783" t="s">
        <v>42</v>
      </c>
      <c r="H783" t="s">
        <v>43</v>
      </c>
      <c r="I783" t="s">
        <v>3832</v>
      </c>
      <c r="J783" t="s">
        <v>45</v>
      </c>
      <c r="K783" t="s">
        <v>46</v>
      </c>
      <c r="M783" t="s">
        <v>47</v>
      </c>
      <c r="O783" t="s">
        <v>48</v>
      </c>
      <c r="P783" t="s">
        <v>49</v>
      </c>
      <c r="Q783" t="s">
        <v>50</v>
      </c>
      <c r="R783" t="s">
        <v>51</v>
      </c>
      <c r="S783" t="s">
        <v>52</v>
      </c>
      <c r="T783" t="s">
        <v>53</v>
      </c>
      <c r="U783" s="1">
        <v>46076.676099537035</v>
      </c>
      <c r="V783" t="s">
        <v>54</v>
      </c>
      <c r="W783" t="s">
        <v>55</v>
      </c>
      <c r="X783" t="s">
        <v>56</v>
      </c>
      <c r="Y783" t="s">
        <v>65</v>
      </c>
      <c r="Z783" t="s">
        <v>58</v>
      </c>
      <c r="AA783" t="s">
        <v>54</v>
      </c>
      <c r="AB783" t="s">
        <v>59</v>
      </c>
      <c r="AC783" t="s">
        <v>60</v>
      </c>
      <c r="AD783" t="s">
        <v>51</v>
      </c>
      <c r="AE783" t="s">
        <v>52</v>
      </c>
      <c r="AF783" t="s">
        <v>53</v>
      </c>
      <c r="AG783" t="s">
        <v>58</v>
      </c>
      <c r="AK783">
        <v>0</v>
      </c>
      <c r="AL783" t="s">
        <v>61</v>
      </c>
      <c r="AM783" t="s">
        <v>59</v>
      </c>
      <c r="AN783" t="s">
        <v>62</v>
      </c>
    </row>
    <row r="784" spans="1:40" x14ac:dyDescent="0.35">
      <c r="A784" t="s">
        <v>37</v>
      </c>
      <c r="B784" t="s">
        <v>3833</v>
      </c>
      <c r="C784" t="s">
        <v>39</v>
      </c>
      <c r="D784" t="s">
        <v>3834</v>
      </c>
      <c r="E784" t="s">
        <v>469</v>
      </c>
      <c r="F784" s="1">
        <v>46076.666030092594</v>
      </c>
      <c r="G784" t="s">
        <v>170</v>
      </c>
      <c r="H784" t="s">
        <v>92</v>
      </c>
      <c r="I784" t="s">
        <v>205</v>
      </c>
      <c r="J784" t="s">
        <v>1692</v>
      </c>
      <c r="K784" t="s">
        <v>207</v>
      </c>
      <c r="M784" t="s">
        <v>131</v>
      </c>
      <c r="O784" t="s">
        <v>77</v>
      </c>
      <c r="P784" t="s">
        <v>78</v>
      </c>
      <c r="Q784" t="s">
        <v>50</v>
      </c>
      <c r="R784" t="s">
        <v>208</v>
      </c>
      <c r="S784" t="s">
        <v>209</v>
      </c>
      <c r="T784" t="s">
        <v>210</v>
      </c>
      <c r="U784" s="1">
        <v>46077.19085648148</v>
      </c>
      <c r="V784" t="s">
        <v>54</v>
      </c>
      <c r="W784" t="s">
        <v>55</v>
      </c>
      <c r="X784" t="s">
        <v>211</v>
      </c>
      <c r="Y784" t="s">
        <v>1693</v>
      </c>
      <c r="Z784" t="s">
        <v>58</v>
      </c>
      <c r="AA784" t="s">
        <v>54</v>
      </c>
      <c r="AB784" t="s">
        <v>213</v>
      </c>
      <c r="AC784" t="s">
        <v>85</v>
      </c>
      <c r="AD784" t="s">
        <v>214</v>
      </c>
      <c r="AE784" t="s">
        <v>215</v>
      </c>
      <c r="AF784" t="s">
        <v>216</v>
      </c>
      <c r="AG784" t="s">
        <v>58</v>
      </c>
      <c r="AH784">
        <v>13338</v>
      </c>
      <c r="AK784">
        <v>1</v>
      </c>
      <c r="AL784" t="s">
        <v>61</v>
      </c>
      <c r="AM784" t="s">
        <v>3835</v>
      </c>
      <c r="AN784" t="s">
        <v>3836</v>
      </c>
    </row>
    <row r="785" spans="1:40" x14ac:dyDescent="0.35">
      <c r="A785" t="s">
        <v>37</v>
      </c>
      <c r="B785" t="s">
        <v>3837</v>
      </c>
      <c r="C785" t="s">
        <v>39</v>
      </c>
      <c r="D785" t="s">
        <v>40</v>
      </c>
      <c r="E785" t="s">
        <v>41</v>
      </c>
      <c r="F785" s="1">
        <v>46076.66133101852</v>
      </c>
      <c r="G785" t="s">
        <v>42</v>
      </c>
      <c r="H785" t="s">
        <v>43</v>
      </c>
      <c r="I785" t="s">
        <v>3838</v>
      </c>
      <c r="J785" t="s">
        <v>45</v>
      </c>
      <c r="K785" t="s">
        <v>46</v>
      </c>
      <c r="M785" t="s">
        <v>47</v>
      </c>
      <c r="O785" t="s">
        <v>48</v>
      </c>
      <c r="P785" t="s">
        <v>49</v>
      </c>
      <c r="Q785" t="s">
        <v>50</v>
      </c>
      <c r="R785" t="s">
        <v>51</v>
      </c>
      <c r="S785" t="s">
        <v>52</v>
      </c>
      <c r="T785" t="s">
        <v>53</v>
      </c>
      <c r="U785" s="1">
        <v>46076.662291666667</v>
      </c>
      <c r="V785" t="s">
        <v>54</v>
      </c>
      <c r="W785" t="s">
        <v>55</v>
      </c>
      <c r="X785" t="s">
        <v>56</v>
      </c>
      <c r="Y785" t="s">
        <v>57</v>
      </c>
      <c r="Z785" t="s">
        <v>58</v>
      </c>
      <c r="AA785" t="s">
        <v>54</v>
      </c>
      <c r="AB785" t="s">
        <v>59</v>
      </c>
      <c r="AC785" t="s">
        <v>60</v>
      </c>
      <c r="AD785" t="s">
        <v>51</v>
      </c>
      <c r="AE785" t="s">
        <v>52</v>
      </c>
      <c r="AF785" t="s">
        <v>53</v>
      </c>
      <c r="AG785" t="s">
        <v>58</v>
      </c>
      <c r="AK785">
        <v>0</v>
      </c>
      <c r="AL785" t="s">
        <v>61</v>
      </c>
      <c r="AM785" t="s">
        <v>59</v>
      </c>
      <c r="AN785" t="s">
        <v>62</v>
      </c>
    </row>
    <row r="786" spans="1:40" x14ac:dyDescent="0.35">
      <c r="A786" t="s">
        <v>37</v>
      </c>
      <c r="B786" t="s">
        <v>3839</v>
      </c>
      <c r="C786" t="s">
        <v>39</v>
      </c>
      <c r="D786" t="s">
        <v>3840</v>
      </c>
      <c r="E786" t="s">
        <v>3841</v>
      </c>
      <c r="F786" s="1">
        <v>46076.660879629628</v>
      </c>
      <c r="G786" t="s">
        <v>170</v>
      </c>
      <c r="H786" t="s">
        <v>92</v>
      </c>
      <c r="I786" t="s">
        <v>205</v>
      </c>
      <c r="J786" t="s">
        <v>603</v>
      </c>
      <c r="K786" t="s">
        <v>207</v>
      </c>
      <c r="M786" t="s">
        <v>131</v>
      </c>
      <c r="O786" t="s">
        <v>77</v>
      </c>
      <c r="P786" t="s">
        <v>78</v>
      </c>
      <c r="Q786" t="s">
        <v>50</v>
      </c>
      <c r="R786" t="s">
        <v>208</v>
      </c>
      <c r="S786" t="s">
        <v>209</v>
      </c>
      <c r="T786" t="s">
        <v>210</v>
      </c>
      <c r="U786" s="1">
        <v>46076.668993055559</v>
      </c>
      <c r="V786" t="s">
        <v>54</v>
      </c>
      <c r="W786" t="s">
        <v>55</v>
      </c>
      <c r="X786" t="s">
        <v>211</v>
      </c>
      <c r="Y786" t="s">
        <v>604</v>
      </c>
      <c r="Z786" t="s">
        <v>58</v>
      </c>
      <c r="AA786" t="s">
        <v>54</v>
      </c>
      <c r="AB786" t="s">
        <v>213</v>
      </c>
      <c r="AC786" t="s">
        <v>85</v>
      </c>
      <c r="AD786" t="s">
        <v>214</v>
      </c>
      <c r="AE786" t="s">
        <v>215</v>
      </c>
      <c r="AF786" t="s">
        <v>216</v>
      </c>
      <c r="AG786" t="s">
        <v>58</v>
      </c>
      <c r="AH786">
        <v>15753</v>
      </c>
      <c r="AK786">
        <v>1</v>
      </c>
      <c r="AL786" t="s">
        <v>61</v>
      </c>
      <c r="AM786" t="s">
        <v>3842</v>
      </c>
      <c r="AN786" t="s">
        <v>3843</v>
      </c>
    </row>
    <row r="787" spans="1:40" x14ac:dyDescent="0.35">
      <c r="A787" t="s">
        <v>37</v>
      </c>
      <c r="B787" t="s">
        <v>3844</v>
      </c>
      <c r="C787" t="s">
        <v>39</v>
      </c>
      <c r="D787" t="s">
        <v>513</v>
      </c>
      <c r="E787" t="s">
        <v>3845</v>
      </c>
      <c r="F787" s="1">
        <v>46076.660266203704</v>
      </c>
      <c r="G787" t="s">
        <v>402</v>
      </c>
      <c r="H787" t="s">
        <v>72</v>
      </c>
      <c r="I787" t="s">
        <v>205</v>
      </c>
      <c r="J787" t="s">
        <v>1692</v>
      </c>
      <c r="K787" t="s">
        <v>207</v>
      </c>
      <c r="M787" t="s">
        <v>131</v>
      </c>
      <c r="O787" t="s">
        <v>77</v>
      </c>
      <c r="P787" t="s">
        <v>78</v>
      </c>
      <c r="Q787" t="s">
        <v>2485</v>
      </c>
      <c r="R787" t="s">
        <v>305</v>
      </c>
      <c r="S787" t="s">
        <v>306</v>
      </c>
      <c r="T787" t="s">
        <v>307</v>
      </c>
      <c r="U787" s="1">
        <v>46076.934814814813</v>
      </c>
      <c r="V787" t="s">
        <v>54</v>
      </c>
      <c r="W787" t="s">
        <v>55</v>
      </c>
      <c r="X787" t="s">
        <v>211</v>
      </c>
      <c r="Y787" t="s">
        <v>2045</v>
      </c>
      <c r="Z787" t="s">
        <v>58</v>
      </c>
      <c r="AA787" t="s">
        <v>54</v>
      </c>
      <c r="AB787" t="s">
        <v>213</v>
      </c>
      <c r="AC787" t="s">
        <v>85</v>
      </c>
      <c r="AD787" t="s">
        <v>214</v>
      </c>
      <c r="AE787" t="s">
        <v>215</v>
      </c>
      <c r="AF787" t="s">
        <v>161</v>
      </c>
      <c r="AG787" t="s">
        <v>58</v>
      </c>
      <c r="AH787">
        <v>10720</v>
      </c>
      <c r="AK787">
        <v>2</v>
      </c>
      <c r="AL787" t="s">
        <v>61</v>
      </c>
      <c r="AM787" t="s">
        <v>3846</v>
      </c>
      <c r="AN787" t="s">
        <v>3847</v>
      </c>
    </row>
    <row r="788" spans="1:40" x14ac:dyDescent="0.35">
      <c r="A788" t="s">
        <v>37</v>
      </c>
      <c r="B788" t="s">
        <v>3848</v>
      </c>
      <c r="C788" t="s">
        <v>102</v>
      </c>
      <c r="D788" t="s">
        <v>1698</v>
      </c>
      <c r="E788" t="s">
        <v>584</v>
      </c>
      <c r="F788" s="1">
        <v>46076.645902777775</v>
      </c>
      <c r="G788" t="s">
        <v>105</v>
      </c>
      <c r="H788" t="s">
        <v>106</v>
      </c>
      <c r="I788" t="s">
        <v>3849</v>
      </c>
      <c r="J788" t="s">
        <v>108</v>
      </c>
      <c r="K788" t="s">
        <v>341</v>
      </c>
      <c r="M788" t="s">
        <v>76</v>
      </c>
      <c r="O788" t="s">
        <v>77</v>
      </c>
      <c r="P788" t="s">
        <v>78</v>
      </c>
      <c r="Q788" t="s">
        <v>50</v>
      </c>
      <c r="R788" t="s">
        <v>111</v>
      </c>
      <c r="S788" t="s">
        <v>51</v>
      </c>
      <c r="T788" t="s">
        <v>112</v>
      </c>
      <c r="U788" s="1">
        <v>46077.068576388891</v>
      </c>
      <c r="V788" t="s">
        <v>54</v>
      </c>
      <c r="X788" t="s">
        <v>113</v>
      </c>
      <c r="Y788" t="s">
        <v>3850</v>
      </c>
      <c r="Z788" t="s">
        <v>58</v>
      </c>
      <c r="AA788" t="s">
        <v>54</v>
      </c>
      <c r="AB788" t="s">
        <v>115</v>
      </c>
      <c r="AC788" t="s">
        <v>85</v>
      </c>
      <c r="AD788" t="s">
        <v>116</v>
      </c>
      <c r="AE788" t="s">
        <v>574</v>
      </c>
      <c r="AF788" t="s">
        <v>343</v>
      </c>
      <c r="AG788" t="s">
        <v>58</v>
      </c>
      <c r="AK788">
        <v>1</v>
      </c>
      <c r="AL788" t="s">
        <v>61</v>
      </c>
      <c r="AM788" t="s">
        <v>1701</v>
      </c>
      <c r="AN788" t="s">
        <v>1702</v>
      </c>
    </row>
    <row r="789" spans="1:40" x14ac:dyDescent="0.35">
      <c r="A789" t="s">
        <v>37</v>
      </c>
      <c r="B789" t="s">
        <v>3851</v>
      </c>
      <c r="C789" t="s">
        <v>102</v>
      </c>
      <c r="D789" t="s">
        <v>3786</v>
      </c>
      <c r="E789" t="s">
        <v>469</v>
      </c>
      <c r="F789" s="1">
        <v>46076.64398148148</v>
      </c>
      <c r="G789" t="s">
        <v>105</v>
      </c>
      <c r="H789" t="s">
        <v>106</v>
      </c>
      <c r="I789" t="s">
        <v>3787</v>
      </c>
      <c r="J789" t="s">
        <v>108</v>
      </c>
      <c r="K789" t="s">
        <v>571</v>
      </c>
      <c r="M789" t="s">
        <v>76</v>
      </c>
      <c r="O789" t="s">
        <v>77</v>
      </c>
      <c r="P789" t="s">
        <v>78</v>
      </c>
      <c r="Q789" t="s">
        <v>541</v>
      </c>
      <c r="R789" t="s">
        <v>111</v>
      </c>
      <c r="S789" t="s">
        <v>51</v>
      </c>
      <c r="T789" t="s">
        <v>112</v>
      </c>
      <c r="U789" s="1">
        <v>46076.734837962962</v>
      </c>
      <c r="V789" t="s">
        <v>54</v>
      </c>
      <c r="W789" t="s">
        <v>55</v>
      </c>
      <c r="X789" t="s">
        <v>113</v>
      </c>
      <c r="Y789" t="s">
        <v>3852</v>
      </c>
      <c r="Z789" t="s">
        <v>58</v>
      </c>
      <c r="AA789" t="s">
        <v>54</v>
      </c>
      <c r="AB789" t="s">
        <v>115</v>
      </c>
      <c r="AC789" t="s">
        <v>85</v>
      </c>
      <c r="AD789" t="s">
        <v>116</v>
      </c>
      <c r="AE789" t="s">
        <v>574</v>
      </c>
      <c r="AF789" t="s">
        <v>1874</v>
      </c>
      <c r="AG789" t="s">
        <v>58</v>
      </c>
      <c r="AH789">
        <v>5935</v>
      </c>
      <c r="AK789">
        <v>1</v>
      </c>
      <c r="AL789" t="s">
        <v>61</v>
      </c>
      <c r="AM789" t="s">
        <v>3789</v>
      </c>
      <c r="AN789" t="s">
        <v>3790</v>
      </c>
    </row>
    <row r="790" spans="1:40" x14ac:dyDescent="0.35">
      <c r="A790" t="s">
        <v>37</v>
      </c>
      <c r="B790" t="s">
        <v>3853</v>
      </c>
      <c r="C790" t="s">
        <v>39</v>
      </c>
      <c r="D790" t="s">
        <v>191</v>
      </c>
      <c r="E790" t="s">
        <v>192</v>
      </c>
      <c r="F790" s="1">
        <v>46076.6408912037</v>
      </c>
      <c r="G790" t="s">
        <v>71</v>
      </c>
      <c r="H790" t="s">
        <v>72</v>
      </c>
      <c r="I790" t="s">
        <v>3854</v>
      </c>
      <c r="J790" t="s">
        <v>194</v>
      </c>
      <c r="K790" t="s">
        <v>565</v>
      </c>
      <c r="M790" t="s">
        <v>76</v>
      </c>
      <c r="O790" t="s">
        <v>77</v>
      </c>
      <c r="P790" t="s">
        <v>78</v>
      </c>
      <c r="Q790" t="s">
        <v>50</v>
      </c>
      <c r="R790" t="s">
        <v>51</v>
      </c>
      <c r="S790" t="s">
        <v>52</v>
      </c>
      <c r="T790" t="s">
        <v>195</v>
      </c>
      <c r="U790" s="1">
        <v>46076.653900462959</v>
      </c>
      <c r="V790" t="s">
        <v>54</v>
      </c>
      <c r="W790" t="s">
        <v>55</v>
      </c>
      <c r="X790" t="s">
        <v>134</v>
      </c>
      <c r="Y790" t="s">
        <v>3855</v>
      </c>
      <c r="Z790" t="s">
        <v>58</v>
      </c>
      <c r="AA790" t="s">
        <v>54</v>
      </c>
      <c r="AB790" t="s">
        <v>198</v>
      </c>
      <c r="AC790" t="s">
        <v>85</v>
      </c>
      <c r="AD790" t="s">
        <v>51</v>
      </c>
      <c r="AE790" t="s">
        <v>52</v>
      </c>
      <c r="AF790" t="s">
        <v>195</v>
      </c>
      <c r="AG790" t="s">
        <v>58</v>
      </c>
      <c r="AH790" t="s">
        <v>199</v>
      </c>
      <c r="AK790">
        <v>1</v>
      </c>
      <c r="AL790" t="s">
        <v>61</v>
      </c>
      <c r="AM790" t="s">
        <v>198</v>
      </c>
      <c r="AN790" t="s">
        <v>200</v>
      </c>
    </row>
    <row r="791" spans="1:40" x14ac:dyDescent="0.35">
      <c r="A791" t="s">
        <v>37</v>
      </c>
      <c r="B791" t="s">
        <v>3856</v>
      </c>
      <c r="C791" t="s">
        <v>39</v>
      </c>
      <c r="D791" t="s">
        <v>40</v>
      </c>
      <c r="E791" t="s">
        <v>41</v>
      </c>
      <c r="F791" s="1">
        <v>46076.633252314816</v>
      </c>
      <c r="G791" t="s">
        <v>42</v>
      </c>
      <c r="H791" t="s">
        <v>43</v>
      </c>
      <c r="I791" t="s">
        <v>3857</v>
      </c>
      <c r="J791" t="s">
        <v>45</v>
      </c>
      <c r="K791" t="s">
        <v>46</v>
      </c>
      <c r="M791" t="s">
        <v>47</v>
      </c>
      <c r="O791" t="s">
        <v>48</v>
      </c>
      <c r="P791" t="s">
        <v>49</v>
      </c>
      <c r="Q791" t="s">
        <v>50</v>
      </c>
      <c r="R791" t="s">
        <v>214</v>
      </c>
      <c r="S791" t="s">
        <v>589</v>
      </c>
      <c r="T791" t="s">
        <v>3593</v>
      </c>
      <c r="U791" s="1">
        <v>46077.355196759258</v>
      </c>
      <c r="V791" t="s">
        <v>54</v>
      </c>
      <c r="W791" t="s">
        <v>55</v>
      </c>
      <c r="X791" t="s">
        <v>56</v>
      </c>
      <c r="Y791" t="s">
        <v>3858</v>
      </c>
      <c r="Z791" t="s">
        <v>58</v>
      </c>
      <c r="AA791" t="s">
        <v>54</v>
      </c>
      <c r="AB791" t="s">
        <v>59</v>
      </c>
      <c r="AC791" t="s">
        <v>60</v>
      </c>
      <c r="AD791" t="s">
        <v>51</v>
      </c>
      <c r="AE791" t="s">
        <v>52</v>
      </c>
      <c r="AF791" t="s">
        <v>53</v>
      </c>
      <c r="AG791" t="s">
        <v>58</v>
      </c>
      <c r="AK791">
        <v>0</v>
      </c>
      <c r="AL791" t="s">
        <v>61</v>
      </c>
      <c r="AM791" t="s">
        <v>59</v>
      </c>
      <c r="AN791" t="s">
        <v>62</v>
      </c>
    </row>
    <row r="792" spans="1:40" x14ac:dyDescent="0.35">
      <c r="A792" t="s">
        <v>37</v>
      </c>
      <c r="B792" t="s">
        <v>3859</v>
      </c>
      <c r="C792" t="s">
        <v>39</v>
      </c>
      <c r="D792" t="s">
        <v>469</v>
      </c>
      <c r="E792" t="s">
        <v>3860</v>
      </c>
      <c r="F792" s="1">
        <v>46076.629710648151</v>
      </c>
      <c r="G792" t="s">
        <v>71</v>
      </c>
      <c r="H792" t="s">
        <v>72</v>
      </c>
      <c r="I792" t="s">
        <v>3861</v>
      </c>
      <c r="J792" t="s">
        <v>3829</v>
      </c>
      <c r="K792" t="s">
        <v>951</v>
      </c>
      <c r="M792" t="s">
        <v>76</v>
      </c>
      <c r="O792" t="s">
        <v>77</v>
      </c>
      <c r="P792" t="s">
        <v>78</v>
      </c>
      <c r="Q792" t="s">
        <v>3862</v>
      </c>
      <c r="R792" t="s">
        <v>79</v>
      </c>
      <c r="S792" t="s">
        <v>967</v>
      </c>
      <c r="T792" t="s">
        <v>1028</v>
      </c>
      <c r="U792" s="1">
        <v>46077.621527777781</v>
      </c>
      <c r="V792" t="s">
        <v>54</v>
      </c>
      <c r="W792" t="s">
        <v>55</v>
      </c>
      <c r="X792" t="s">
        <v>134</v>
      </c>
      <c r="Y792" t="s">
        <v>3863</v>
      </c>
      <c r="Z792" t="s">
        <v>58</v>
      </c>
      <c r="AA792" t="s">
        <v>54</v>
      </c>
      <c r="AB792" t="s">
        <v>84</v>
      </c>
      <c r="AC792" t="s">
        <v>85</v>
      </c>
      <c r="AD792" t="s">
        <v>79</v>
      </c>
      <c r="AE792" t="s">
        <v>967</v>
      </c>
      <c r="AF792" t="s">
        <v>1028</v>
      </c>
      <c r="AG792" t="s">
        <v>58</v>
      </c>
      <c r="AH792">
        <v>4676</v>
      </c>
      <c r="AK792">
        <v>1</v>
      </c>
      <c r="AL792" t="s">
        <v>410</v>
      </c>
      <c r="AM792" t="s">
        <v>3864</v>
      </c>
      <c r="AN792" t="s">
        <v>3865</v>
      </c>
    </row>
    <row r="793" spans="1:40" x14ac:dyDescent="0.35">
      <c r="A793" t="s">
        <v>37</v>
      </c>
      <c r="B793" t="s">
        <v>3866</v>
      </c>
      <c r="C793" t="s">
        <v>39</v>
      </c>
      <c r="D793" t="s">
        <v>40</v>
      </c>
      <c r="E793" t="s">
        <v>41</v>
      </c>
      <c r="F793" s="1">
        <v>46076.619664351849</v>
      </c>
      <c r="G793" t="s">
        <v>42</v>
      </c>
      <c r="H793" t="s">
        <v>43</v>
      </c>
      <c r="I793" t="s">
        <v>3867</v>
      </c>
      <c r="J793" t="s">
        <v>45</v>
      </c>
      <c r="K793" t="s">
        <v>46</v>
      </c>
      <c r="M793" t="s">
        <v>47</v>
      </c>
      <c r="O793" t="s">
        <v>48</v>
      </c>
      <c r="P793" t="s">
        <v>49</v>
      </c>
      <c r="Q793" t="s">
        <v>50</v>
      </c>
      <c r="R793" t="s">
        <v>51</v>
      </c>
      <c r="S793" t="s">
        <v>52</v>
      </c>
      <c r="T793" t="s">
        <v>53</v>
      </c>
      <c r="U793" s="1">
        <v>46076.620682870373</v>
      </c>
      <c r="V793" t="s">
        <v>54</v>
      </c>
      <c r="W793" t="s">
        <v>55</v>
      </c>
      <c r="X793" t="s">
        <v>56</v>
      </c>
      <c r="Y793" t="s">
        <v>57</v>
      </c>
      <c r="Z793" t="s">
        <v>58</v>
      </c>
      <c r="AA793" t="s">
        <v>54</v>
      </c>
      <c r="AB793" t="s">
        <v>59</v>
      </c>
      <c r="AC793" t="s">
        <v>60</v>
      </c>
      <c r="AD793" t="s">
        <v>51</v>
      </c>
      <c r="AE793" t="s">
        <v>52</v>
      </c>
      <c r="AF793" t="s">
        <v>53</v>
      </c>
      <c r="AG793" t="s">
        <v>58</v>
      </c>
      <c r="AK793">
        <v>0</v>
      </c>
      <c r="AL793" t="s">
        <v>61</v>
      </c>
      <c r="AM793" t="s">
        <v>59</v>
      </c>
      <c r="AN793" t="s">
        <v>62</v>
      </c>
    </row>
    <row r="794" spans="1:40" x14ac:dyDescent="0.35">
      <c r="A794" t="s">
        <v>37</v>
      </c>
      <c r="B794" t="s">
        <v>3868</v>
      </c>
      <c r="C794" t="s">
        <v>102</v>
      </c>
      <c r="D794" t="s">
        <v>617</v>
      </c>
      <c r="E794" t="s">
        <v>618</v>
      </c>
      <c r="F794" s="1">
        <v>46076.617349537039</v>
      </c>
      <c r="G794" t="s">
        <v>286</v>
      </c>
      <c r="H794" t="s">
        <v>287</v>
      </c>
      <c r="I794" t="s">
        <v>3869</v>
      </c>
      <c r="J794" t="s">
        <v>620</v>
      </c>
      <c r="K794" t="s">
        <v>130</v>
      </c>
      <c r="M794" t="s">
        <v>131</v>
      </c>
      <c r="O794" t="s">
        <v>77</v>
      </c>
      <c r="P794" t="s">
        <v>78</v>
      </c>
      <c r="Q794" t="s">
        <v>50</v>
      </c>
      <c r="R794" t="s">
        <v>132</v>
      </c>
      <c r="S794" t="s">
        <v>133</v>
      </c>
      <c r="T794" t="s">
        <v>133</v>
      </c>
      <c r="U794" s="1">
        <v>46077.530312499999</v>
      </c>
      <c r="V794" t="s">
        <v>54</v>
      </c>
      <c r="W794" t="s">
        <v>55</v>
      </c>
      <c r="X794" t="s">
        <v>134</v>
      </c>
      <c r="Y794" t="s">
        <v>3870</v>
      </c>
      <c r="Z794" t="s">
        <v>58</v>
      </c>
      <c r="AA794" t="s">
        <v>54</v>
      </c>
      <c r="AB794" t="s">
        <v>622</v>
      </c>
      <c r="AC794" t="s">
        <v>85</v>
      </c>
      <c r="AD794" t="s">
        <v>132</v>
      </c>
      <c r="AE794" t="s">
        <v>133</v>
      </c>
      <c r="AF794" t="s">
        <v>133</v>
      </c>
      <c r="AG794" t="s">
        <v>58</v>
      </c>
      <c r="AH794" t="s">
        <v>623</v>
      </c>
      <c r="AK794">
        <v>1</v>
      </c>
      <c r="AL794" t="s">
        <v>61</v>
      </c>
      <c r="AM794" t="s">
        <v>622</v>
      </c>
      <c r="AN794" t="s">
        <v>624</v>
      </c>
    </row>
    <row r="795" spans="1:40" x14ac:dyDescent="0.35">
      <c r="A795" t="s">
        <v>37</v>
      </c>
      <c r="B795" t="s">
        <v>3871</v>
      </c>
      <c r="C795" t="s">
        <v>39</v>
      </c>
      <c r="D795" t="s">
        <v>3184</v>
      </c>
      <c r="E795" t="s">
        <v>3185</v>
      </c>
      <c r="F795" s="1">
        <v>46076.610393518517</v>
      </c>
      <c r="G795" t="s">
        <v>355</v>
      </c>
      <c r="H795" t="s">
        <v>356</v>
      </c>
      <c r="I795" t="s">
        <v>2641</v>
      </c>
      <c r="J795" t="s">
        <v>455</v>
      </c>
      <c r="K795" t="s">
        <v>436</v>
      </c>
      <c r="M795" t="s">
        <v>76</v>
      </c>
      <c r="O795" t="s">
        <v>77</v>
      </c>
      <c r="P795" t="s">
        <v>78</v>
      </c>
      <c r="Q795" t="s">
        <v>1174</v>
      </c>
      <c r="R795" t="s">
        <v>51</v>
      </c>
      <c r="S795" t="s">
        <v>52</v>
      </c>
      <c r="T795" t="s">
        <v>773</v>
      </c>
      <c r="U795" s="1">
        <v>46076.619097222225</v>
      </c>
      <c r="V795" t="s">
        <v>54</v>
      </c>
      <c r="W795" t="s">
        <v>55</v>
      </c>
      <c r="X795" t="s">
        <v>134</v>
      </c>
      <c r="Y795" t="s">
        <v>3872</v>
      </c>
      <c r="Z795" t="s">
        <v>58</v>
      </c>
      <c r="AA795" t="s">
        <v>54</v>
      </c>
      <c r="AB795" t="s">
        <v>612</v>
      </c>
      <c r="AC795" t="s">
        <v>85</v>
      </c>
      <c r="AD795" t="s">
        <v>52</v>
      </c>
      <c r="AE795" t="s">
        <v>438</v>
      </c>
      <c r="AF795" t="s">
        <v>775</v>
      </c>
      <c r="AG795" t="s">
        <v>58</v>
      </c>
      <c r="AH795" t="s">
        <v>3189</v>
      </c>
      <c r="AK795">
        <v>1</v>
      </c>
      <c r="AL795" t="s">
        <v>61</v>
      </c>
      <c r="AM795" t="s">
        <v>1836</v>
      </c>
      <c r="AN795" t="s">
        <v>3190</v>
      </c>
    </row>
    <row r="796" spans="1:40" x14ac:dyDescent="0.35">
      <c r="A796" t="s">
        <v>37</v>
      </c>
      <c r="B796" t="s">
        <v>3873</v>
      </c>
      <c r="C796" t="s">
        <v>39</v>
      </c>
      <c r="D796" t="s">
        <v>191</v>
      </c>
      <c r="E796" t="s">
        <v>192</v>
      </c>
      <c r="F796" s="1">
        <v>46076.609548611108</v>
      </c>
      <c r="G796" t="s">
        <v>71</v>
      </c>
      <c r="H796" t="s">
        <v>72</v>
      </c>
      <c r="I796" t="s">
        <v>3874</v>
      </c>
      <c r="J796" t="s">
        <v>194</v>
      </c>
      <c r="K796" t="s">
        <v>130</v>
      </c>
      <c r="M796" t="s">
        <v>131</v>
      </c>
      <c r="O796" t="s">
        <v>77</v>
      </c>
      <c r="P796" t="s">
        <v>78</v>
      </c>
      <c r="Q796" t="s">
        <v>50</v>
      </c>
      <c r="R796" t="s">
        <v>51</v>
      </c>
      <c r="S796" t="s">
        <v>52</v>
      </c>
      <c r="T796" t="s">
        <v>195</v>
      </c>
      <c r="U796" s="1">
        <v>46077.530972222223</v>
      </c>
      <c r="V796" t="s">
        <v>54</v>
      </c>
      <c r="W796" t="s">
        <v>55</v>
      </c>
      <c r="X796" t="s">
        <v>196</v>
      </c>
      <c r="Y796" t="s">
        <v>3875</v>
      </c>
      <c r="Z796" t="s">
        <v>58</v>
      </c>
      <c r="AA796" t="s">
        <v>54</v>
      </c>
      <c r="AB796" t="s">
        <v>198</v>
      </c>
      <c r="AC796" t="s">
        <v>85</v>
      </c>
      <c r="AD796" t="s">
        <v>51</v>
      </c>
      <c r="AE796" t="s">
        <v>52</v>
      </c>
      <c r="AF796" t="s">
        <v>195</v>
      </c>
      <c r="AG796" t="s">
        <v>58</v>
      </c>
      <c r="AH796" t="s">
        <v>199</v>
      </c>
      <c r="AK796">
        <v>1</v>
      </c>
      <c r="AL796" t="s">
        <v>61</v>
      </c>
      <c r="AM796" t="s">
        <v>198</v>
      </c>
      <c r="AN796" t="s">
        <v>200</v>
      </c>
    </row>
    <row r="797" spans="1:40" x14ac:dyDescent="0.35">
      <c r="A797" t="s">
        <v>37</v>
      </c>
      <c r="B797" t="s">
        <v>3876</v>
      </c>
      <c r="C797" t="s">
        <v>39</v>
      </c>
      <c r="D797" t="s">
        <v>3877</v>
      </c>
      <c r="E797" t="s">
        <v>3878</v>
      </c>
      <c r="F797" s="1">
        <v>46076.6091087963</v>
      </c>
      <c r="G797" t="s">
        <v>71</v>
      </c>
      <c r="H797" t="s">
        <v>72</v>
      </c>
      <c r="I797" t="s">
        <v>3879</v>
      </c>
      <c r="J797" t="s">
        <v>557</v>
      </c>
      <c r="K797" t="s">
        <v>75</v>
      </c>
      <c r="M797" t="s">
        <v>76</v>
      </c>
      <c r="O797" t="s">
        <v>77</v>
      </c>
      <c r="P797" t="s">
        <v>78</v>
      </c>
      <c r="Q797" t="s">
        <v>3880</v>
      </c>
      <c r="R797" t="s">
        <v>79</v>
      </c>
      <c r="S797" t="s">
        <v>80</v>
      </c>
      <c r="T797" t="s">
        <v>81</v>
      </c>
      <c r="U797" s="1">
        <v>46077.407395833332</v>
      </c>
      <c r="V797" t="s">
        <v>54</v>
      </c>
      <c r="W797" t="s">
        <v>55</v>
      </c>
      <c r="X797" t="s">
        <v>82</v>
      </c>
      <c r="Y797" t="s">
        <v>3881</v>
      </c>
      <c r="Z797" t="s">
        <v>58</v>
      </c>
      <c r="AA797" t="s">
        <v>54</v>
      </c>
      <c r="AB797" t="s">
        <v>645</v>
      </c>
      <c r="AC797" t="s">
        <v>85</v>
      </c>
      <c r="AD797" t="s">
        <v>79</v>
      </c>
      <c r="AE797" t="s">
        <v>80</v>
      </c>
      <c r="AF797" t="s">
        <v>81</v>
      </c>
      <c r="AG797" t="s">
        <v>58</v>
      </c>
      <c r="AH797">
        <v>10699</v>
      </c>
      <c r="AK797">
        <v>0</v>
      </c>
      <c r="AL797" t="s">
        <v>61</v>
      </c>
      <c r="AM797" t="s">
        <v>3882</v>
      </c>
      <c r="AN797" t="s">
        <v>3883</v>
      </c>
    </row>
    <row r="798" spans="1:40" x14ac:dyDescent="0.35">
      <c r="A798" t="s">
        <v>37</v>
      </c>
      <c r="B798" t="s">
        <v>3884</v>
      </c>
      <c r="C798" t="s">
        <v>39</v>
      </c>
      <c r="D798" t="s">
        <v>3885</v>
      </c>
      <c r="E798" t="s">
        <v>3886</v>
      </c>
      <c r="F798" s="1">
        <v>46076.605833333335</v>
      </c>
      <c r="G798" t="s">
        <v>105</v>
      </c>
      <c r="H798" t="s">
        <v>106</v>
      </c>
      <c r="I798" t="s">
        <v>2543</v>
      </c>
      <c r="J798" t="s">
        <v>2256</v>
      </c>
      <c r="K798" t="s">
        <v>2257</v>
      </c>
      <c r="M798" t="s">
        <v>131</v>
      </c>
      <c r="O798" t="s">
        <v>77</v>
      </c>
      <c r="P798" t="s">
        <v>78</v>
      </c>
      <c r="Q798" t="s">
        <v>50</v>
      </c>
      <c r="R798" t="s">
        <v>51</v>
      </c>
      <c r="S798" t="s">
        <v>52</v>
      </c>
      <c r="T798" t="s">
        <v>773</v>
      </c>
      <c r="U798" s="1">
        <v>46076.631030092591</v>
      </c>
      <c r="V798" t="s">
        <v>54</v>
      </c>
      <c r="W798" t="s">
        <v>55</v>
      </c>
      <c r="X798" t="s">
        <v>134</v>
      </c>
      <c r="Y798" t="s">
        <v>3887</v>
      </c>
      <c r="Z798" t="s">
        <v>58</v>
      </c>
      <c r="AA798" t="s">
        <v>54</v>
      </c>
      <c r="AB798" t="s">
        <v>612</v>
      </c>
      <c r="AC798" t="s">
        <v>85</v>
      </c>
      <c r="AD798" t="s">
        <v>52</v>
      </c>
      <c r="AE798" t="s">
        <v>438</v>
      </c>
      <c r="AF798" t="s">
        <v>2204</v>
      </c>
      <c r="AG798" t="s">
        <v>58</v>
      </c>
      <c r="AH798">
        <v>15934</v>
      </c>
      <c r="AK798">
        <v>1</v>
      </c>
      <c r="AL798" t="s">
        <v>61</v>
      </c>
      <c r="AM798" t="s">
        <v>3888</v>
      </c>
      <c r="AN798" t="s">
        <v>3889</v>
      </c>
    </row>
    <row r="799" spans="1:40" x14ac:dyDescent="0.35">
      <c r="A799" t="s">
        <v>37</v>
      </c>
      <c r="B799" t="s">
        <v>3890</v>
      </c>
      <c r="C799" t="s">
        <v>102</v>
      </c>
      <c r="D799" t="s">
        <v>3891</v>
      </c>
      <c r="E799" t="s">
        <v>770</v>
      </c>
      <c r="F799" s="1">
        <v>46076.604571759257</v>
      </c>
      <c r="G799" t="s">
        <v>3892</v>
      </c>
      <c r="H799" t="s">
        <v>92</v>
      </c>
      <c r="I799" t="s">
        <v>2831</v>
      </c>
      <c r="J799" t="s">
        <v>557</v>
      </c>
      <c r="K799" t="s">
        <v>75</v>
      </c>
      <c r="M799" t="s">
        <v>76</v>
      </c>
      <c r="O799" t="s">
        <v>237</v>
      </c>
      <c r="P799" t="s">
        <v>238</v>
      </c>
      <c r="R799" t="s">
        <v>79</v>
      </c>
      <c r="S799" t="s">
        <v>781</v>
      </c>
      <c r="T799" t="s">
        <v>1984</v>
      </c>
      <c r="U799" s="1">
        <v>46077.410474537035</v>
      </c>
      <c r="V799" t="s">
        <v>54</v>
      </c>
      <c r="W799" t="s">
        <v>55</v>
      </c>
      <c r="X799" t="s">
        <v>82</v>
      </c>
      <c r="Y799" t="s">
        <v>2832</v>
      </c>
      <c r="Z799" t="s">
        <v>58</v>
      </c>
      <c r="AA799" t="s">
        <v>54</v>
      </c>
      <c r="AB799" t="s">
        <v>645</v>
      </c>
      <c r="AC799" t="s">
        <v>242</v>
      </c>
      <c r="AD799" t="s">
        <v>79</v>
      </c>
      <c r="AE799" t="s">
        <v>784</v>
      </c>
      <c r="AF799" t="s">
        <v>1985</v>
      </c>
      <c r="AG799" t="s">
        <v>58</v>
      </c>
      <c r="AH799">
        <v>14806</v>
      </c>
      <c r="AK799">
        <v>0</v>
      </c>
      <c r="AL799" t="s">
        <v>61</v>
      </c>
      <c r="AM799" t="s">
        <v>3893</v>
      </c>
      <c r="AN799" t="s">
        <v>3894</v>
      </c>
    </row>
    <row r="800" spans="1:40" x14ac:dyDescent="0.35">
      <c r="A800" t="s">
        <v>37</v>
      </c>
      <c r="B800" t="s">
        <v>3895</v>
      </c>
      <c r="C800" t="s">
        <v>39</v>
      </c>
      <c r="D800" t="s">
        <v>3896</v>
      </c>
      <c r="E800" t="s">
        <v>3897</v>
      </c>
      <c r="F800" s="1">
        <v>46076.603495370371</v>
      </c>
      <c r="G800" t="s">
        <v>327</v>
      </c>
      <c r="H800" t="s">
        <v>72</v>
      </c>
      <c r="I800" t="s">
        <v>2096</v>
      </c>
      <c r="J800" t="s">
        <v>455</v>
      </c>
      <c r="K800" t="s">
        <v>436</v>
      </c>
      <c r="M800" t="s">
        <v>76</v>
      </c>
      <c r="O800" t="s">
        <v>77</v>
      </c>
      <c r="P800" t="s">
        <v>78</v>
      </c>
      <c r="Q800" t="s">
        <v>50</v>
      </c>
      <c r="R800" t="s">
        <v>51</v>
      </c>
      <c r="S800" t="s">
        <v>52</v>
      </c>
      <c r="T800" t="s">
        <v>240</v>
      </c>
      <c r="U800" s="1">
        <v>46076.621446759258</v>
      </c>
      <c r="V800" t="s">
        <v>54</v>
      </c>
      <c r="W800" t="s">
        <v>55</v>
      </c>
      <c r="X800" t="s">
        <v>82</v>
      </c>
      <c r="Y800" t="s">
        <v>3898</v>
      </c>
      <c r="Z800" t="s">
        <v>58</v>
      </c>
      <c r="AA800" t="s">
        <v>54</v>
      </c>
      <c r="AB800" t="s">
        <v>84</v>
      </c>
      <c r="AC800" t="s">
        <v>85</v>
      </c>
      <c r="AD800" t="s">
        <v>52</v>
      </c>
      <c r="AE800" t="s">
        <v>438</v>
      </c>
      <c r="AF800" t="s">
        <v>775</v>
      </c>
      <c r="AG800" t="s">
        <v>58</v>
      </c>
      <c r="AH800" t="s">
        <v>3899</v>
      </c>
      <c r="AK800">
        <v>1</v>
      </c>
      <c r="AL800" t="s">
        <v>61</v>
      </c>
      <c r="AM800" t="s">
        <v>3900</v>
      </c>
      <c r="AN800" t="s">
        <v>3901</v>
      </c>
    </row>
    <row r="801" spans="1:40" x14ac:dyDescent="0.35">
      <c r="A801" t="s">
        <v>37</v>
      </c>
      <c r="B801" t="s">
        <v>3902</v>
      </c>
      <c r="C801" t="s">
        <v>39</v>
      </c>
      <c r="D801" t="s">
        <v>1524</v>
      </c>
      <c r="E801" t="s">
        <v>1525</v>
      </c>
      <c r="F801" s="1">
        <v>46076.603310185186</v>
      </c>
      <c r="G801" t="s">
        <v>250</v>
      </c>
      <c r="H801" t="s">
        <v>106</v>
      </c>
      <c r="I801" t="s">
        <v>3903</v>
      </c>
      <c r="J801" t="s">
        <v>1555</v>
      </c>
      <c r="K801" t="s">
        <v>951</v>
      </c>
      <c r="M801" t="s">
        <v>76</v>
      </c>
      <c r="O801" t="s">
        <v>77</v>
      </c>
      <c r="P801" t="s">
        <v>78</v>
      </c>
      <c r="Q801" t="s">
        <v>50</v>
      </c>
      <c r="R801" t="s">
        <v>79</v>
      </c>
      <c r="S801" t="s">
        <v>952</v>
      </c>
      <c r="T801" t="s">
        <v>953</v>
      </c>
      <c r="U801" s="1">
        <v>46077.430625000001</v>
      </c>
      <c r="V801" t="s">
        <v>54</v>
      </c>
      <c r="W801" t="s">
        <v>55</v>
      </c>
      <c r="X801" t="s">
        <v>134</v>
      </c>
      <c r="Y801" t="s">
        <v>3904</v>
      </c>
      <c r="Z801" t="s">
        <v>58</v>
      </c>
      <c r="AA801" t="s">
        <v>54</v>
      </c>
      <c r="AB801" t="s">
        <v>612</v>
      </c>
      <c r="AC801" t="s">
        <v>85</v>
      </c>
      <c r="AD801" t="s">
        <v>79</v>
      </c>
      <c r="AE801" t="s">
        <v>2748</v>
      </c>
      <c r="AF801" t="s">
        <v>3905</v>
      </c>
      <c r="AG801" t="s">
        <v>58</v>
      </c>
      <c r="AH801" t="s">
        <v>1527</v>
      </c>
      <c r="AK801">
        <v>1</v>
      </c>
      <c r="AL801" t="s">
        <v>61</v>
      </c>
      <c r="AM801" t="s">
        <v>1528</v>
      </c>
      <c r="AN801" t="s">
        <v>1529</v>
      </c>
    </row>
    <row r="802" spans="1:40" x14ac:dyDescent="0.35">
      <c r="A802" t="s">
        <v>37</v>
      </c>
      <c r="B802" t="s">
        <v>3906</v>
      </c>
      <c r="C802" t="s">
        <v>39</v>
      </c>
      <c r="D802" t="s">
        <v>3907</v>
      </c>
      <c r="E802" t="s">
        <v>3908</v>
      </c>
      <c r="F802" s="1">
        <v>46076.596655092595</v>
      </c>
      <c r="G802" t="s">
        <v>402</v>
      </c>
      <c r="H802" t="s">
        <v>72</v>
      </c>
      <c r="I802" t="s">
        <v>205</v>
      </c>
      <c r="J802" t="s">
        <v>603</v>
      </c>
      <c r="K802" t="s">
        <v>207</v>
      </c>
      <c r="M802" t="s">
        <v>131</v>
      </c>
      <c r="O802" t="s">
        <v>77</v>
      </c>
      <c r="P802" t="s">
        <v>78</v>
      </c>
      <c r="Q802" t="s">
        <v>50</v>
      </c>
      <c r="R802" t="s">
        <v>208</v>
      </c>
      <c r="S802" t="s">
        <v>209</v>
      </c>
      <c r="T802" t="s">
        <v>210</v>
      </c>
      <c r="U802" s="1">
        <v>46076.669722222221</v>
      </c>
      <c r="V802" t="s">
        <v>54</v>
      </c>
      <c r="W802" t="s">
        <v>55</v>
      </c>
      <c r="X802" t="s">
        <v>211</v>
      </c>
      <c r="Y802" t="s">
        <v>604</v>
      </c>
      <c r="Z802" t="s">
        <v>58</v>
      </c>
      <c r="AA802" t="s">
        <v>54</v>
      </c>
      <c r="AB802" t="s">
        <v>213</v>
      </c>
      <c r="AC802" t="s">
        <v>85</v>
      </c>
      <c r="AD802" t="s">
        <v>214</v>
      </c>
      <c r="AE802" t="s">
        <v>215</v>
      </c>
      <c r="AF802" t="s">
        <v>216</v>
      </c>
      <c r="AG802" t="s">
        <v>58</v>
      </c>
      <c r="AH802">
        <v>13197</v>
      </c>
      <c r="AK802">
        <v>1</v>
      </c>
      <c r="AL802" t="s">
        <v>61</v>
      </c>
      <c r="AM802" t="s">
        <v>3909</v>
      </c>
      <c r="AN802" t="s">
        <v>3910</v>
      </c>
    </row>
    <row r="803" spans="1:40" x14ac:dyDescent="0.35">
      <c r="A803" t="s">
        <v>37</v>
      </c>
      <c r="B803" t="s">
        <v>3911</v>
      </c>
      <c r="C803" t="s">
        <v>39</v>
      </c>
      <c r="D803" t="s">
        <v>3912</v>
      </c>
      <c r="E803" t="s">
        <v>1093</v>
      </c>
      <c r="F803" s="1">
        <v>46076.594328703701</v>
      </c>
      <c r="G803" t="s">
        <v>402</v>
      </c>
      <c r="H803" t="s">
        <v>72</v>
      </c>
      <c r="I803" t="s">
        <v>205</v>
      </c>
      <c r="J803" t="s">
        <v>603</v>
      </c>
      <c r="K803" t="s">
        <v>207</v>
      </c>
      <c r="M803" t="s">
        <v>131</v>
      </c>
      <c r="O803" t="s">
        <v>77</v>
      </c>
      <c r="P803" t="s">
        <v>78</v>
      </c>
      <c r="Q803" t="s">
        <v>2485</v>
      </c>
      <c r="R803" t="s">
        <v>208</v>
      </c>
      <c r="S803" t="s">
        <v>209</v>
      </c>
      <c r="T803" t="s">
        <v>210</v>
      </c>
      <c r="U803" s="1">
        <v>46076.634641203702</v>
      </c>
      <c r="V803" t="s">
        <v>54</v>
      </c>
      <c r="W803" t="s">
        <v>55</v>
      </c>
      <c r="X803" t="s">
        <v>211</v>
      </c>
      <c r="Y803" t="s">
        <v>604</v>
      </c>
      <c r="Z803" t="s">
        <v>58</v>
      </c>
      <c r="AA803" t="s">
        <v>54</v>
      </c>
      <c r="AB803" t="s">
        <v>213</v>
      </c>
      <c r="AC803" t="s">
        <v>85</v>
      </c>
      <c r="AD803" t="s">
        <v>214</v>
      </c>
      <c r="AE803" t="s">
        <v>215</v>
      </c>
      <c r="AF803" t="s">
        <v>216</v>
      </c>
      <c r="AG803" t="s">
        <v>58</v>
      </c>
      <c r="AH803">
        <v>10593</v>
      </c>
      <c r="AK803">
        <v>1</v>
      </c>
      <c r="AL803" t="s">
        <v>61</v>
      </c>
      <c r="AM803" t="s">
        <v>3913</v>
      </c>
      <c r="AN803" t="s">
        <v>3914</v>
      </c>
    </row>
    <row r="804" spans="1:40" x14ac:dyDescent="0.35">
      <c r="A804" t="s">
        <v>37</v>
      </c>
      <c r="B804" t="s">
        <v>3915</v>
      </c>
      <c r="C804" t="s">
        <v>39</v>
      </c>
      <c r="D804" t="s">
        <v>40</v>
      </c>
      <c r="E804" t="s">
        <v>41</v>
      </c>
      <c r="F804" s="1">
        <v>46076.592546296299</v>
      </c>
      <c r="G804" t="s">
        <v>42</v>
      </c>
      <c r="H804" t="s">
        <v>43</v>
      </c>
      <c r="I804" t="s">
        <v>3916</v>
      </c>
      <c r="J804" t="s">
        <v>45</v>
      </c>
      <c r="K804" t="s">
        <v>46</v>
      </c>
      <c r="M804" t="s">
        <v>47</v>
      </c>
      <c r="O804" t="s">
        <v>48</v>
      </c>
      <c r="P804" t="s">
        <v>49</v>
      </c>
      <c r="Q804" t="s">
        <v>50</v>
      </c>
      <c r="R804" t="s">
        <v>51</v>
      </c>
      <c r="S804" t="s">
        <v>52</v>
      </c>
      <c r="T804" t="s">
        <v>53</v>
      </c>
      <c r="U804" s="1">
        <v>46076.594537037039</v>
      </c>
      <c r="V804" t="s">
        <v>54</v>
      </c>
      <c r="W804" t="s">
        <v>55</v>
      </c>
      <c r="X804" t="s">
        <v>56</v>
      </c>
      <c r="Y804" t="s">
        <v>65</v>
      </c>
      <c r="Z804" t="s">
        <v>58</v>
      </c>
      <c r="AA804" t="s">
        <v>54</v>
      </c>
      <c r="AB804" t="s">
        <v>59</v>
      </c>
      <c r="AC804" t="s">
        <v>60</v>
      </c>
      <c r="AD804" t="s">
        <v>51</v>
      </c>
      <c r="AE804" t="s">
        <v>52</v>
      </c>
      <c r="AF804" t="s">
        <v>53</v>
      </c>
      <c r="AG804" t="s">
        <v>58</v>
      </c>
      <c r="AK804">
        <v>0</v>
      </c>
      <c r="AL804" t="s">
        <v>61</v>
      </c>
      <c r="AM804" t="s">
        <v>59</v>
      </c>
      <c r="AN804" t="s">
        <v>62</v>
      </c>
    </row>
    <row r="805" spans="1:40" x14ac:dyDescent="0.35">
      <c r="A805" t="s">
        <v>37</v>
      </c>
      <c r="B805" t="s">
        <v>3917</v>
      </c>
      <c r="C805" t="s">
        <v>39</v>
      </c>
      <c r="D805" t="s">
        <v>3918</v>
      </c>
      <c r="E805" t="s">
        <v>3919</v>
      </c>
      <c r="F805" s="1">
        <v>46076.592534722222</v>
      </c>
      <c r="G805" t="s">
        <v>432</v>
      </c>
      <c r="H805" t="s">
        <v>433</v>
      </c>
      <c r="I805" t="s">
        <v>205</v>
      </c>
      <c r="J805" t="s">
        <v>603</v>
      </c>
      <c r="K805" t="s">
        <v>207</v>
      </c>
      <c r="M805" t="s">
        <v>131</v>
      </c>
      <c r="O805" t="s">
        <v>77</v>
      </c>
      <c r="P805" t="s">
        <v>78</v>
      </c>
      <c r="Q805" t="s">
        <v>50</v>
      </c>
      <c r="R805" t="s">
        <v>208</v>
      </c>
      <c r="S805" t="s">
        <v>209</v>
      </c>
      <c r="T805" t="s">
        <v>210</v>
      </c>
      <c r="U805" s="1">
        <v>46076.63559027778</v>
      </c>
      <c r="V805" t="s">
        <v>54</v>
      </c>
      <c r="W805" t="s">
        <v>55</v>
      </c>
      <c r="X805" t="s">
        <v>211</v>
      </c>
      <c r="Y805" t="s">
        <v>604</v>
      </c>
      <c r="Z805" t="s">
        <v>58</v>
      </c>
      <c r="AA805" t="s">
        <v>54</v>
      </c>
      <c r="AB805" t="s">
        <v>213</v>
      </c>
      <c r="AC805" t="s">
        <v>85</v>
      </c>
      <c r="AD805" t="s">
        <v>214</v>
      </c>
      <c r="AE805" t="s">
        <v>215</v>
      </c>
      <c r="AF805" t="s">
        <v>216</v>
      </c>
      <c r="AG805" t="s">
        <v>58</v>
      </c>
      <c r="AH805" t="s">
        <v>3920</v>
      </c>
      <c r="AK805">
        <v>1</v>
      </c>
      <c r="AL805" t="s">
        <v>61</v>
      </c>
      <c r="AM805" t="s">
        <v>3921</v>
      </c>
      <c r="AN805" t="s">
        <v>3922</v>
      </c>
    </row>
    <row r="806" spans="1:40" x14ac:dyDescent="0.35">
      <c r="A806" t="s">
        <v>37</v>
      </c>
      <c r="B806" t="s">
        <v>3923</v>
      </c>
      <c r="C806" t="s">
        <v>39</v>
      </c>
      <c r="D806" t="s">
        <v>3924</v>
      </c>
      <c r="E806" t="s">
        <v>3925</v>
      </c>
      <c r="F806" s="1">
        <v>46076.590763888889</v>
      </c>
      <c r="G806" t="s">
        <v>464</v>
      </c>
      <c r="H806" t="s">
        <v>287</v>
      </c>
      <c r="I806" t="s">
        <v>205</v>
      </c>
      <c r="J806" t="s">
        <v>603</v>
      </c>
      <c r="K806" t="s">
        <v>207</v>
      </c>
      <c r="M806" t="s">
        <v>131</v>
      </c>
      <c r="O806" t="s">
        <v>77</v>
      </c>
      <c r="P806" t="s">
        <v>78</v>
      </c>
      <c r="Q806" t="s">
        <v>3926</v>
      </c>
      <c r="R806" t="s">
        <v>208</v>
      </c>
      <c r="S806" t="s">
        <v>209</v>
      </c>
      <c r="T806" t="s">
        <v>210</v>
      </c>
      <c r="U806" s="1">
        <v>46076.636388888888</v>
      </c>
      <c r="V806" t="s">
        <v>54</v>
      </c>
      <c r="W806" t="s">
        <v>55</v>
      </c>
      <c r="X806" t="s">
        <v>211</v>
      </c>
      <c r="Y806" t="s">
        <v>604</v>
      </c>
      <c r="Z806" t="s">
        <v>58</v>
      </c>
      <c r="AA806" t="s">
        <v>54</v>
      </c>
      <c r="AB806" t="s">
        <v>213</v>
      </c>
      <c r="AC806" t="s">
        <v>85</v>
      </c>
      <c r="AD806" t="s">
        <v>214</v>
      </c>
      <c r="AE806" t="s">
        <v>215</v>
      </c>
      <c r="AF806" t="s">
        <v>216</v>
      </c>
      <c r="AG806" t="s">
        <v>58</v>
      </c>
      <c r="AH806">
        <v>3979</v>
      </c>
      <c r="AK806">
        <v>1</v>
      </c>
      <c r="AL806" t="s">
        <v>61</v>
      </c>
      <c r="AM806" t="s">
        <v>3927</v>
      </c>
      <c r="AN806" t="s">
        <v>3928</v>
      </c>
    </row>
    <row r="807" spans="1:40" x14ac:dyDescent="0.35">
      <c r="A807" t="s">
        <v>37</v>
      </c>
      <c r="B807" t="s">
        <v>3929</v>
      </c>
      <c r="C807" t="s">
        <v>39</v>
      </c>
      <c r="D807" t="s">
        <v>391</v>
      </c>
      <c r="E807" t="s">
        <v>147</v>
      </c>
      <c r="F807" s="1">
        <v>46076.592499999999</v>
      </c>
      <c r="G807" t="s">
        <v>204</v>
      </c>
      <c r="H807" t="s">
        <v>92</v>
      </c>
      <c r="I807" t="s">
        <v>3930</v>
      </c>
      <c r="J807" t="s">
        <v>2406</v>
      </c>
      <c r="K807" t="s">
        <v>1187</v>
      </c>
      <c r="M807" t="s">
        <v>131</v>
      </c>
      <c r="O807" t="s">
        <v>77</v>
      </c>
      <c r="P807" t="s">
        <v>78</v>
      </c>
      <c r="Q807" t="s">
        <v>2054</v>
      </c>
      <c r="R807" t="s">
        <v>51</v>
      </c>
      <c r="S807" t="s">
        <v>52</v>
      </c>
      <c r="T807" t="s">
        <v>773</v>
      </c>
      <c r="U807" s="1">
        <v>46077.642337962963</v>
      </c>
      <c r="V807" t="s">
        <v>54</v>
      </c>
      <c r="W807" t="s">
        <v>55</v>
      </c>
      <c r="X807" t="s">
        <v>134</v>
      </c>
      <c r="Y807" t="s">
        <v>3931</v>
      </c>
      <c r="Z807" t="s">
        <v>58</v>
      </c>
      <c r="AA807" t="s">
        <v>54</v>
      </c>
      <c r="AB807" t="s">
        <v>612</v>
      </c>
      <c r="AC807" t="s">
        <v>85</v>
      </c>
      <c r="AD807" t="s">
        <v>1189</v>
      </c>
      <c r="AE807" t="s">
        <v>3746</v>
      </c>
      <c r="AF807" t="s">
        <v>3932</v>
      </c>
      <c r="AG807" t="s">
        <v>58</v>
      </c>
      <c r="AH807">
        <v>2850</v>
      </c>
      <c r="AK807">
        <v>1</v>
      </c>
      <c r="AL807" t="s">
        <v>61</v>
      </c>
      <c r="AM807" t="s">
        <v>3933</v>
      </c>
      <c r="AN807" t="s">
        <v>3934</v>
      </c>
    </row>
    <row r="808" spans="1:40" x14ac:dyDescent="0.35">
      <c r="A808" t="s">
        <v>37</v>
      </c>
      <c r="B808" t="s">
        <v>3935</v>
      </c>
      <c r="C808" t="s">
        <v>39</v>
      </c>
      <c r="D808" t="s">
        <v>3936</v>
      </c>
      <c r="E808" t="s">
        <v>3936</v>
      </c>
      <c r="F808" s="1">
        <v>46076.589317129627</v>
      </c>
      <c r="G808" t="s">
        <v>1264</v>
      </c>
      <c r="H808" t="s">
        <v>43</v>
      </c>
      <c r="I808" t="s">
        <v>205</v>
      </c>
      <c r="J808" t="s">
        <v>603</v>
      </c>
      <c r="K808" t="s">
        <v>207</v>
      </c>
      <c r="M808" t="s">
        <v>131</v>
      </c>
      <c r="O808" t="s">
        <v>77</v>
      </c>
      <c r="P808" t="s">
        <v>78</v>
      </c>
      <c r="Q808" t="s">
        <v>2305</v>
      </c>
      <c r="R808" t="s">
        <v>208</v>
      </c>
      <c r="S808" t="s">
        <v>209</v>
      </c>
      <c r="T808" t="s">
        <v>210</v>
      </c>
      <c r="U808" s="1">
        <v>46076.637523148151</v>
      </c>
      <c r="V808" t="s">
        <v>54</v>
      </c>
      <c r="W808" t="s">
        <v>55</v>
      </c>
      <c r="X808" t="s">
        <v>211</v>
      </c>
      <c r="Y808" t="s">
        <v>604</v>
      </c>
      <c r="Z808" t="s">
        <v>58</v>
      </c>
      <c r="AA808" t="s">
        <v>54</v>
      </c>
      <c r="AB808" t="s">
        <v>213</v>
      </c>
      <c r="AC808" t="s">
        <v>85</v>
      </c>
      <c r="AD808" t="s">
        <v>214</v>
      </c>
      <c r="AE808" t="s">
        <v>215</v>
      </c>
      <c r="AF808" t="s">
        <v>216</v>
      </c>
      <c r="AG808" t="s">
        <v>58</v>
      </c>
      <c r="AH808">
        <v>10164</v>
      </c>
      <c r="AK808">
        <v>1</v>
      </c>
      <c r="AL808" t="s">
        <v>61</v>
      </c>
      <c r="AM808" t="s">
        <v>3937</v>
      </c>
      <c r="AN808" t="s">
        <v>3938</v>
      </c>
    </row>
    <row r="809" spans="1:40" x14ac:dyDescent="0.35">
      <c r="A809" t="s">
        <v>37</v>
      </c>
      <c r="B809" t="s">
        <v>3939</v>
      </c>
      <c r="C809" t="s">
        <v>102</v>
      </c>
      <c r="D809" t="s">
        <v>191</v>
      </c>
      <c r="E809" t="s">
        <v>192</v>
      </c>
      <c r="F809" s="1">
        <v>46076.589594907404</v>
      </c>
      <c r="G809" t="s">
        <v>71</v>
      </c>
      <c r="H809" t="s">
        <v>72</v>
      </c>
      <c r="I809" t="s">
        <v>3940</v>
      </c>
      <c r="J809" t="s">
        <v>194</v>
      </c>
      <c r="K809" t="s">
        <v>130</v>
      </c>
      <c r="M809" t="s">
        <v>131</v>
      </c>
      <c r="O809" t="s">
        <v>77</v>
      </c>
      <c r="P809" t="s">
        <v>78</v>
      </c>
      <c r="Q809" t="s">
        <v>50</v>
      </c>
      <c r="R809" t="s">
        <v>51</v>
      </c>
      <c r="S809" t="s">
        <v>52</v>
      </c>
      <c r="T809" t="s">
        <v>195</v>
      </c>
      <c r="U809" s="1">
        <v>46077.376550925925</v>
      </c>
      <c r="V809" t="s">
        <v>54</v>
      </c>
      <c r="W809" t="s">
        <v>55</v>
      </c>
      <c r="X809" t="s">
        <v>196</v>
      </c>
      <c r="Y809" t="s">
        <v>3941</v>
      </c>
      <c r="Z809" t="s">
        <v>58</v>
      </c>
      <c r="AA809" t="s">
        <v>54</v>
      </c>
      <c r="AB809" t="s">
        <v>198</v>
      </c>
      <c r="AC809" t="s">
        <v>85</v>
      </c>
      <c r="AD809" t="s">
        <v>51</v>
      </c>
      <c r="AE809" t="s">
        <v>52</v>
      </c>
      <c r="AF809" t="s">
        <v>195</v>
      </c>
      <c r="AG809" t="s">
        <v>58</v>
      </c>
      <c r="AH809" t="s">
        <v>199</v>
      </c>
      <c r="AK809">
        <v>1</v>
      </c>
      <c r="AL809" t="s">
        <v>61</v>
      </c>
      <c r="AM809" t="s">
        <v>198</v>
      </c>
      <c r="AN809" t="s">
        <v>200</v>
      </c>
    </row>
    <row r="810" spans="1:40" x14ac:dyDescent="0.35">
      <c r="A810" t="s">
        <v>37</v>
      </c>
      <c r="B810" t="s">
        <v>3942</v>
      </c>
      <c r="C810" t="s">
        <v>39</v>
      </c>
      <c r="D810" t="s">
        <v>3943</v>
      </c>
      <c r="E810" t="s">
        <v>3944</v>
      </c>
      <c r="F810" s="1">
        <v>46076.587337962963</v>
      </c>
      <c r="G810" t="s">
        <v>1264</v>
      </c>
      <c r="H810" t="s">
        <v>43</v>
      </c>
      <c r="I810" t="s">
        <v>205</v>
      </c>
      <c r="J810" t="s">
        <v>603</v>
      </c>
      <c r="K810" t="s">
        <v>207</v>
      </c>
      <c r="M810" t="s">
        <v>131</v>
      </c>
      <c r="O810" t="s">
        <v>77</v>
      </c>
      <c r="P810" t="s">
        <v>78</v>
      </c>
      <c r="Q810" t="s">
        <v>2305</v>
      </c>
      <c r="R810" t="s">
        <v>208</v>
      </c>
      <c r="S810" t="s">
        <v>209</v>
      </c>
      <c r="T810" t="s">
        <v>210</v>
      </c>
      <c r="U810" s="1">
        <v>46076.642314814817</v>
      </c>
      <c r="V810" t="s">
        <v>54</v>
      </c>
      <c r="W810" t="s">
        <v>55</v>
      </c>
      <c r="X810" t="s">
        <v>211</v>
      </c>
      <c r="Y810" t="s">
        <v>604</v>
      </c>
      <c r="Z810" t="s">
        <v>58</v>
      </c>
      <c r="AA810" t="s">
        <v>54</v>
      </c>
      <c r="AB810" t="s">
        <v>213</v>
      </c>
      <c r="AC810" t="s">
        <v>85</v>
      </c>
      <c r="AD810" t="s">
        <v>214</v>
      </c>
      <c r="AE810" t="s">
        <v>215</v>
      </c>
      <c r="AF810" t="s">
        <v>216</v>
      </c>
      <c r="AG810" t="s">
        <v>58</v>
      </c>
      <c r="AH810">
        <v>6554</v>
      </c>
      <c r="AK810">
        <v>1</v>
      </c>
      <c r="AL810" t="s">
        <v>61</v>
      </c>
      <c r="AM810" t="s">
        <v>3945</v>
      </c>
      <c r="AN810" t="s">
        <v>3946</v>
      </c>
    </row>
    <row r="811" spans="1:40" x14ac:dyDescent="0.35">
      <c r="A811" t="s">
        <v>37</v>
      </c>
      <c r="B811" t="s">
        <v>3947</v>
      </c>
      <c r="C811" t="s">
        <v>39</v>
      </c>
      <c r="D811" t="s">
        <v>2984</v>
      </c>
      <c r="E811" t="s">
        <v>2985</v>
      </c>
      <c r="F811" s="1">
        <v>46076.588680555556</v>
      </c>
      <c r="G811" t="s">
        <v>355</v>
      </c>
      <c r="H811" t="s">
        <v>356</v>
      </c>
      <c r="I811" t="s">
        <v>3948</v>
      </c>
      <c r="J811" t="s">
        <v>3949</v>
      </c>
      <c r="K811" t="s">
        <v>3950</v>
      </c>
      <c r="M811" t="s">
        <v>76</v>
      </c>
      <c r="O811" t="s">
        <v>77</v>
      </c>
      <c r="P811" t="s">
        <v>78</v>
      </c>
      <c r="Q811" t="s">
        <v>50</v>
      </c>
      <c r="R811" t="s">
        <v>79</v>
      </c>
      <c r="S811" t="s">
        <v>952</v>
      </c>
      <c r="T811" t="s">
        <v>664</v>
      </c>
      <c r="U811" s="1">
        <v>46077.326550925929</v>
      </c>
      <c r="V811" t="s">
        <v>54</v>
      </c>
      <c r="W811" t="s">
        <v>55</v>
      </c>
      <c r="X811" t="s">
        <v>134</v>
      </c>
      <c r="Y811" t="s">
        <v>3951</v>
      </c>
      <c r="Z811" t="s">
        <v>58</v>
      </c>
      <c r="AA811" t="s">
        <v>54</v>
      </c>
      <c r="AB811" t="s">
        <v>612</v>
      </c>
      <c r="AC811" t="s">
        <v>85</v>
      </c>
      <c r="AD811" t="s">
        <v>3952</v>
      </c>
      <c r="AE811" t="s">
        <v>3953</v>
      </c>
      <c r="AF811" t="s">
        <v>2989</v>
      </c>
      <c r="AG811" t="s">
        <v>58</v>
      </c>
      <c r="AH811" t="s">
        <v>2994</v>
      </c>
      <c r="AK811">
        <v>1</v>
      </c>
      <c r="AL811" t="s">
        <v>61</v>
      </c>
      <c r="AM811" t="s">
        <v>2993</v>
      </c>
      <c r="AN811" t="s">
        <v>2995</v>
      </c>
    </row>
    <row r="812" spans="1:40" x14ac:dyDescent="0.35">
      <c r="A812" t="s">
        <v>37</v>
      </c>
      <c r="B812" t="s">
        <v>3954</v>
      </c>
      <c r="C812" t="s">
        <v>39</v>
      </c>
      <c r="D812" t="s">
        <v>513</v>
      </c>
      <c r="E812" t="s">
        <v>3955</v>
      </c>
      <c r="F812" s="1">
        <v>46076.585543981484</v>
      </c>
      <c r="G812" t="s">
        <v>105</v>
      </c>
      <c r="H812" t="s">
        <v>106</v>
      </c>
      <c r="I812" t="s">
        <v>205</v>
      </c>
      <c r="J812" t="s">
        <v>1692</v>
      </c>
      <c r="K812" t="s">
        <v>207</v>
      </c>
      <c r="M812" t="s">
        <v>131</v>
      </c>
      <c r="O812" t="s">
        <v>77</v>
      </c>
      <c r="P812" t="s">
        <v>78</v>
      </c>
      <c r="R812" t="s">
        <v>305</v>
      </c>
      <c r="S812" t="s">
        <v>306</v>
      </c>
      <c r="T812" t="s">
        <v>307</v>
      </c>
      <c r="U812" s="1">
        <v>46076.935949074075</v>
      </c>
      <c r="V812" t="s">
        <v>54</v>
      </c>
      <c r="W812" t="s">
        <v>55</v>
      </c>
      <c r="X812" t="s">
        <v>211</v>
      </c>
      <c r="Y812" t="s">
        <v>1964</v>
      </c>
      <c r="Z812" t="s">
        <v>58</v>
      </c>
      <c r="AA812" t="s">
        <v>54</v>
      </c>
      <c r="AB812" t="s">
        <v>213</v>
      </c>
      <c r="AC812" t="s">
        <v>85</v>
      </c>
      <c r="AD812" t="s">
        <v>214</v>
      </c>
      <c r="AE812" t="s">
        <v>215</v>
      </c>
      <c r="AF812" t="s">
        <v>161</v>
      </c>
      <c r="AG812" t="s">
        <v>58</v>
      </c>
      <c r="AH812" t="s">
        <v>3956</v>
      </c>
      <c r="AK812">
        <v>3</v>
      </c>
      <c r="AL812" t="s">
        <v>61</v>
      </c>
      <c r="AM812" t="s">
        <v>3957</v>
      </c>
      <c r="AN812" t="s">
        <v>3958</v>
      </c>
    </row>
    <row r="813" spans="1:40" x14ac:dyDescent="0.35">
      <c r="A813" t="s">
        <v>37</v>
      </c>
      <c r="B813" t="s">
        <v>3959</v>
      </c>
      <c r="C813" t="s">
        <v>39</v>
      </c>
      <c r="D813" t="s">
        <v>3960</v>
      </c>
      <c r="E813" t="s">
        <v>3961</v>
      </c>
      <c r="F813" s="1">
        <v>46076.582499999997</v>
      </c>
      <c r="G813" t="s">
        <v>105</v>
      </c>
      <c r="H813" t="s">
        <v>106</v>
      </c>
      <c r="I813" t="s">
        <v>205</v>
      </c>
      <c r="J813" t="s">
        <v>603</v>
      </c>
      <c r="K813" t="s">
        <v>207</v>
      </c>
      <c r="M813" t="s">
        <v>131</v>
      </c>
      <c r="O813" t="s">
        <v>77</v>
      </c>
      <c r="P813" t="s">
        <v>78</v>
      </c>
      <c r="Q813" t="s">
        <v>50</v>
      </c>
      <c r="R813" t="s">
        <v>208</v>
      </c>
      <c r="S813" t="s">
        <v>209</v>
      </c>
      <c r="T813" t="s">
        <v>210</v>
      </c>
      <c r="U813" s="1">
        <v>46076.644386574073</v>
      </c>
      <c r="V813" t="s">
        <v>54</v>
      </c>
      <c r="W813" t="s">
        <v>55</v>
      </c>
      <c r="X813" t="s">
        <v>211</v>
      </c>
      <c r="Y813" t="s">
        <v>604</v>
      </c>
      <c r="Z813" t="s">
        <v>58</v>
      </c>
      <c r="AA813" t="s">
        <v>54</v>
      </c>
      <c r="AB813" t="s">
        <v>213</v>
      </c>
      <c r="AC813" t="s">
        <v>85</v>
      </c>
      <c r="AD813" t="s">
        <v>214</v>
      </c>
      <c r="AE813" t="s">
        <v>215</v>
      </c>
      <c r="AF813" t="s">
        <v>216</v>
      </c>
      <c r="AG813" t="s">
        <v>58</v>
      </c>
      <c r="AH813" t="s">
        <v>3962</v>
      </c>
      <c r="AK813">
        <v>1</v>
      </c>
      <c r="AL813" t="s">
        <v>61</v>
      </c>
      <c r="AM813" t="s">
        <v>2349</v>
      </c>
      <c r="AN813" t="s">
        <v>3963</v>
      </c>
    </row>
    <row r="814" spans="1:40" x14ac:dyDescent="0.35">
      <c r="A814" t="s">
        <v>37</v>
      </c>
      <c r="B814" t="s">
        <v>3964</v>
      </c>
      <c r="C814" t="s">
        <v>39</v>
      </c>
      <c r="D814" t="s">
        <v>3965</v>
      </c>
      <c r="E814" t="s">
        <v>3966</v>
      </c>
      <c r="F814" s="1">
        <v>46076.580613425926</v>
      </c>
      <c r="G814" t="s">
        <v>105</v>
      </c>
      <c r="H814" t="s">
        <v>106</v>
      </c>
      <c r="I814" t="s">
        <v>205</v>
      </c>
      <c r="J814" t="s">
        <v>603</v>
      </c>
      <c r="K814" t="s">
        <v>207</v>
      </c>
      <c r="M814" t="s">
        <v>131</v>
      </c>
      <c r="O814" t="s">
        <v>77</v>
      </c>
      <c r="P814" t="s">
        <v>78</v>
      </c>
      <c r="Q814" t="s">
        <v>50</v>
      </c>
      <c r="R814" t="s">
        <v>208</v>
      </c>
      <c r="S814" t="s">
        <v>209</v>
      </c>
      <c r="T814" t="s">
        <v>210</v>
      </c>
      <c r="U814" s="1">
        <v>46076.650821759256</v>
      </c>
      <c r="V814" t="s">
        <v>54</v>
      </c>
      <c r="W814" t="s">
        <v>55</v>
      </c>
      <c r="X814" t="s">
        <v>211</v>
      </c>
      <c r="Y814" t="s">
        <v>604</v>
      </c>
      <c r="Z814" t="s">
        <v>58</v>
      </c>
      <c r="AA814" t="s">
        <v>54</v>
      </c>
      <c r="AB814" t="s">
        <v>213</v>
      </c>
      <c r="AC814" t="s">
        <v>85</v>
      </c>
      <c r="AD814" t="s">
        <v>214</v>
      </c>
      <c r="AE814" t="s">
        <v>215</v>
      </c>
      <c r="AF814" t="s">
        <v>216</v>
      </c>
      <c r="AG814" t="s">
        <v>58</v>
      </c>
      <c r="AH814">
        <v>13072</v>
      </c>
      <c r="AK814">
        <v>1</v>
      </c>
      <c r="AL814" t="s">
        <v>61</v>
      </c>
      <c r="AM814" t="s">
        <v>3967</v>
      </c>
      <c r="AN814" t="s">
        <v>3968</v>
      </c>
    </row>
    <row r="815" spans="1:40" x14ac:dyDescent="0.35">
      <c r="A815" t="s">
        <v>37</v>
      </c>
      <c r="B815" t="s">
        <v>3969</v>
      </c>
      <c r="C815" t="s">
        <v>39</v>
      </c>
      <c r="D815" t="s">
        <v>3970</v>
      </c>
      <c r="E815" t="s">
        <v>3971</v>
      </c>
      <c r="F815" s="1">
        <v>46076.579108796293</v>
      </c>
      <c r="G815" t="s">
        <v>91</v>
      </c>
      <c r="H815" t="s">
        <v>92</v>
      </c>
      <c r="I815" t="s">
        <v>205</v>
      </c>
      <c r="J815" t="s">
        <v>603</v>
      </c>
      <c r="K815" t="s">
        <v>207</v>
      </c>
      <c r="M815" t="s">
        <v>131</v>
      </c>
      <c r="O815" t="s">
        <v>77</v>
      </c>
      <c r="P815" t="s">
        <v>78</v>
      </c>
      <c r="Q815" t="s">
        <v>541</v>
      </c>
      <c r="R815" t="s">
        <v>208</v>
      </c>
      <c r="S815" t="s">
        <v>209</v>
      </c>
      <c r="T815" t="s">
        <v>210</v>
      </c>
      <c r="U815" s="1">
        <v>46076.645277777781</v>
      </c>
      <c r="V815" t="s">
        <v>54</v>
      </c>
      <c r="W815" t="s">
        <v>55</v>
      </c>
      <c r="X815" t="s">
        <v>211</v>
      </c>
      <c r="Y815" t="s">
        <v>604</v>
      </c>
      <c r="Z815" t="s">
        <v>58</v>
      </c>
      <c r="AA815" t="s">
        <v>54</v>
      </c>
      <c r="AB815" t="s">
        <v>213</v>
      </c>
      <c r="AC815" t="s">
        <v>85</v>
      </c>
      <c r="AD815" t="s">
        <v>214</v>
      </c>
      <c r="AE815" t="s">
        <v>215</v>
      </c>
      <c r="AF815" t="s">
        <v>216</v>
      </c>
      <c r="AG815" t="s">
        <v>58</v>
      </c>
      <c r="AH815">
        <v>11169</v>
      </c>
      <c r="AK815">
        <v>1</v>
      </c>
      <c r="AL815" t="s">
        <v>61</v>
      </c>
      <c r="AM815" t="s">
        <v>3972</v>
      </c>
      <c r="AN815" t="s">
        <v>3973</v>
      </c>
    </row>
    <row r="816" spans="1:40" x14ac:dyDescent="0.35">
      <c r="A816" t="s">
        <v>37</v>
      </c>
      <c r="B816" t="s">
        <v>3974</v>
      </c>
      <c r="C816" t="s">
        <v>102</v>
      </c>
      <c r="D816" t="s">
        <v>617</v>
      </c>
      <c r="E816" t="s">
        <v>618</v>
      </c>
      <c r="F816" s="1">
        <v>46076.581053240741</v>
      </c>
      <c r="G816" t="s">
        <v>286</v>
      </c>
      <c r="H816" t="s">
        <v>287</v>
      </c>
      <c r="I816" t="s">
        <v>3975</v>
      </c>
      <c r="J816" t="s">
        <v>620</v>
      </c>
      <c r="K816" t="s">
        <v>565</v>
      </c>
      <c r="M816" t="s">
        <v>76</v>
      </c>
      <c r="O816" t="s">
        <v>77</v>
      </c>
      <c r="P816" t="s">
        <v>78</v>
      </c>
      <c r="Q816" t="s">
        <v>50</v>
      </c>
      <c r="R816" t="s">
        <v>132</v>
      </c>
      <c r="S816" t="s">
        <v>133</v>
      </c>
      <c r="T816" t="s">
        <v>133</v>
      </c>
      <c r="U816" s="1">
        <v>46076.596493055556</v>
      </c>
      <c r="V816" t="s">
        <v>54</v>
      </c>
      <c r="W816" t="s">
        <v>55</v>
      </c>
      <c r="X816" t="s">
        <v>134</v>
      </c>
      <c r="Y816" t="s">
        <v>3976</v>
      </c>
      <c r="Z816" t="s">
        <v>58</v>
      </c>
      <c r="AA816" t="s">
        <v>54</v>
      </c>
      <c r="AB816" t="s">
        <v>622</v>
      </c>
      <c r="AC816" t="s">
        <v>85</v>
      </c>
      <c r="AD816" t="s">
        <v>132</v>
      </c>
      <c r="AE816" t="s">
        <v>133</v>
      </c>
      <c r="AF816" t="s">
        <v>133</v>
      </c>
      <c r="AG816" t="s">
        <v>58</v>
      </c>
      <c r="AH816" t="s">
        <v>623</v>
      </c>
      <c r="AK816">
        <v>1</v>
      </c>
      <c r="AL816" t="s">
        <v>61</v>
      </c>
      <c r="AM816" t="s">
        <v>622</v>
      </c>
      <c r="AN816" t="s">
        <v>624</v>
      </c>
    </row>
    <row r="817" spans="1:40" x14ac:dyDescent="0.35">
      <c r="A817" t="s">
        <v>37</v>
      </c>
      <c r="B817" t="s">
        <v>3977</v>
      </c>
      <c r="C817" t="s">
        <v>39</v>
      </c>
      <c r="D817" t="s">
        <v>40</v>
      </c>
      <c r="E817" t="s">
        <v>41</v>
      </c>
      <c r="F817" s="1">
        <v>46076.578125</v>
      </c>
      <c r="G817" t="s">
        <v>42</v>
      </c>
      <c r="H817" t="s">
        <v>43</v>
      </c>
      <c r="I817" t="s">
        <v>3978</v>
      </c>
      <c r="J817" t="s">
        <v>45</v>
      </c>
      <c r="K817" t="s">
        <v>46</v>
      </c>
      <c r="M817" t="s">
        <v>47</v>
      </c>
      <c r="O817" t="s">
        <v>48</v>
      </c>
      <c r="P817" t="s">
        <v>49</v>
      </c>
      <c r="Q817" t="s">
        <v>50</v>
      </c>
      <c r="R817" t="s">
        <v>51</v>
      </c>
      <c r="S817" t="s">
        <v>52</v>
      </c>
      <c r="T817" t="s">
        <v>53</v>
      </c>
      <c r="U817" s="1">
        <v>46076.579375000001</v>
      </c>
      <c r="V817" t="s">
        <v>54</v>
      </c>
      <c r="W817" t="s">
        <v>55</v>
      </c>
      <c r="X817" t="s">
        <v>56</v>
      </c>
      <c r="Y817" t="s">
        <v>57</v>
      </c>
      <c r="Z817" t="s">
        <v>58</v>
      </c>
      <c r="AA817" t="s">
        <v>54</v>
      </c>
      <c r="AB817" t="s">
        <v>59</v>
      </c>
      <c r="AC817" t="s">
        <v>60</v>
      </c>
      <c r="AD817" t="s">
        <v>51</v>
      </c>
      <c r="AE817" t="s">
        <v>52</v>
      </c>
      <c r="AF817" t="s">
        <v>53</v>
      </c>
      <c r="AG817" t="s">
        <v>58</v>
      </c>
      <c r="AK817">
        <v>0</v>
      </c>
      <c r="AL817" t="s">
        <v>61</v>
      </c>
      <c r="AM817" t="s">
        <v>59</v>
      </c>
      <c r="AN817" t="s">
        <v>62</v>
      </c>
    </row>
    <row r="818" spans="1:40" x14ac:dyDescent="0.35">
      <c r="A818" t="s">
        <v>37</v>
      </c>
      <c r="B818" t="s">
        <v>3979</v>
      </c>
      <c r="C818" t="s">
        <v>39</v>
      </c>
      <c r="D818" t="s">
        <v>3980</v>
      </c>
      <c r="E818" t="s">
        <v>3981</v>
      </c>
      <c r="F818" s="1">
        <v>46076.577314814815</v>
      </c>
      <c r="G818" t="s">
        <v>105</v>
      </c>
      <c r="H818" t="s">
        <v>106</v>
      </c>
      <c r="I818" t="s">
        <v>205</v>
      </c>
      <c r="J818" t="s">
        <v>603</v>
      </c>
      <c r="K818" t="s">
        <v>207</v>
      </c>
      <c r="M818" t="s">
        <v>131</v>
      </c>
      <c r="O818" t="s">
        <v>77</v>
      </c>
      <c r="P818" t="s">
        <v>78</v>
      </c>
      <c r="Q818" t="s">
        <v>50</v>
      </c>
      <c r="R818" t="s">
        <v>208</v>
      </c>
      <c r="S818" t="s">
        <v>209</v>
      </c>
      <c r="T818" t="s">
        <v>210</v>
      </c>
      <c r="U818" s="1">
        <v>46076.645868055559</v>
      </c>
      <c r="V818" t="s">
        <v>54</v>
      </c>
      <c r="W818" t="s">
        <v>55</v>
      </c>
      <c r="X818" t="s">
        <v>211</v>
      </c>
      <c r="Y818" t="s">
        <v>604</v>
      </c>
      <c r="Z818" t="s">
        <v>58</v>
      </c>
      <c r="AA818" t="s">
        <v>54</v>
      </c>
      <c r="AB818" t="s">
        <v>213</v>
      </c>
      <c r="AC818" t="s">
        <v>85</v>
      </c>
      <c r="AD818" t="s">
        <v>214</v>
      </c>
      <c r="AE818" t="s">
        <v>215</v>
      </c>
      <c r="AF818" t="s">
        <v>216</v>
      </c>
      <c r="AG818" t="s">
        <v>58</v>
      </c>
      <c r="AH818" t="s">
        <v>3982</v>
      </c>
      <c r="AK818">
        <v>1</v>
      </c>
      <c r="AL818" t="s">
        <v>61</v>
      </c>
      <c r="AM818" t="s">
        <v>573</v>
      </c>
      <c r="AN818" t="s">
        <v>3983</v>
      </c>
    </row>
    <row r="819" spans="1:40" x14ac:dyDescent="0.35">
      <c r="A819" t="s">
        <v>37</v>
      </c>
      <c r="B819" t="s">
        <v>3984</v>
      </c>
      <c r="C819" t="s">
        <v>39</v>
      </c>
      <c r="D819" t="s">
        <v>191</v>
      </c>
      <c r="E819" t="s">
        <v>192</v>
      </c>
      <c r="F819" s="1">
        <v>46076.578240740739</v>
      </c>
      <c r="G819" t="s">
        <v>71</v>
      </c>
      <c r="H819" t="s">
        <v>72</v>
      </c>
      <c r="I819" t="s">
        <v>3985</v>
      </c>
      <c r="J819" t="s">
        <v>194</v>
      </c>
      <c r="K819" t="s">
        <v>565</v>
      </c>
      <c r="M819" t="s">
        <v>76</v>
      </c>
      <c r="O819" t="s">
        <v>77</v>
      </c>
      <c r="P819" t="s">
        <v>78</v>
      </c>
      <c r="Q819" t="s">
        <v>50</v>
      </c>
      <c r="R819" t="s">
        <v>51</v>
      </c>
      <c r="S819" t="s">
        <v>52</v>
      </c>
      <c r="T819" t="s">
        <v>195</v>
      </c>
      <c r="U819" s="1">
        <v>46076.602951388886</v>
      </c>
      <c r="V819" t="s">
        <v>54</v>
      </c>
      <c r="W819" t="s">
        <v>55</v>
      </c>
      <c r="X819" t="s">
        <v>134</v>
      </c>
      <c r="Y819" t="s">
        <v>3986</v>
      </c>
      <c r="Z819" t="s">
        <v>58</v>
      </c>
      <c r="AA819" t="s">
        <v>54</v>
      </c>
      <c r="AB819" t="s">
        <v>198</v>
      </c>
      <c r="AC819" t="s">
        <v>85</v>
      </c>
      <c r="AD819" t="s">
        <v>51</v>
      </c>
      <c r="AE819" t="s">
        <v>52</v>
      </c>
      <c r="AF819" t="s">
        <v>195</v>
      </c>
      <c r="AG819" t="s">
        <v>58</v>
      </c>
      <c r="AH819" t="s">
        <v>199</v>
      </c>
      <c r="AK819">
        <v>1</v>
      </c>
      <c r="AL819" t="s">
        <v>61</v>
      </c>
      <c r="AM819" t="s">
        <v>198</v>
      </c>
      <c r="AN819" t="s">
        <v>200</v>
      </c>
    </row>
    <row r="820" spans="1:40" x14ac:dyDescent="0.35">
      <c r="A820" t="s">
        <v>37</v>
      </c>
      <c r="B820" t="s">
        <v>3987</v>
      </c>
      <c r="C820" t="s">
        <v>39</v>
      </c>
      <c r="D820" t="s">
        <v>277</v>
      </c>
      <c r="E820" t="s">
        <v>2372</v>
      </c>
      <c r="F820" s="1">
        <v>46076.582060185188</v>
      </c>
      <c r="G820" t="s">
        <v>105</v>
      </c>
      <c r="H820" t="s">
        <v>106</v>
      </c>
      <c r="I820" t="s">
        <v>3988</v>
      </c>
      <c r="J820" t="s">
        <v>2344</v>
      </c>
      <c r="K820" t="s">
        <v>2345</v>
      </c>
      <c r="M820" t="s">
        <v>76</v>
      </c>
      <c r="O820" t="s">
        <v>237</v>
      </c>
      <c r="P820" t="s">
        <v>238</v>
      </c>
      <c r="Q820" t="s">
        <v>110</v>
      </c>
      <c r="R820" t="s">
        <v>111</v>
      </c>
      <c r="S820" t="s">
        <v>51</v>
      </c>
      <c r="T820" t="s">
        <v>3989</v>
      </c>
      <c r="U820" s="1">
        <v>46076.582800925928</v>
      </c>
      <c r="V820" t="s">
        <v>54</v>
      </c>
      <c r="W820" t="s">
        <v>55</v>
      </c>
      <c r="X820" t="s">
        <v>134</v>
      </c>
      <c r="Y820" t="s">
        <v>3990</v>
      </c>
      <c r="Z820" t="s">
        <v>58</v>
      </c>
      <c r="AA820" t="s">
        <v>54</v>
      </c>
      <c r="AB820" t="s">
        <v>2349</v>
      </c>
      <c r="AC820" t="s">
        <v>242</v>
      </c>
      <c r="AD820" t="s">
        <v>2350</v>
      </c>
      <c r="AE820" t="s">
        <v>2351</v>
      </c>
      <c r="AF820" t="s">
        <v>2352</v>
      </c>
      <c r="AG820" t="s">
        <v>58</v>
      </c>
      <c r="AH820">
        <v>10352</v>
      </c>
      <c r="AK820">
        <v>0</v>
      </c>
      <c r="AL820" t="s">
        <v>61</v>
      </c>
      <c r="AM820" t="s">
        <v>2375</v>
      </c>
      <c r="AN820" t="s">
        <v>2376</v>
      </c>
    </row>
    <row r="821" spans="1:40" x14ac:dyDescent="0.35">
      <c r="A821" t="s">
        <v>37</v>
      </c>
      <c r="B821" t="s">
        <v>3991</v>
      </c>
      <c r="C821" t="s">
        <v>39</v>
      </c>
      <c r="D821" t="s">
        <v>3992</v>
      </c>
      <c r="E821" t="s">
        <v>3993</v>
      </c>
      <c r="F821" s="1">
        <v>46076.574965277781</v>
      </c>
      <c r="G821" t="s">
        <v>105</v>
      </c>
      <c r="H821" t="s">
        <v>106</v>
      </c>
      <c r="I821" t="s">
        <v>205</v>
      </c>
      <c r="J821" t="s">
        <v>603</v>
      </c>
      <c r="K821" t="s">
        <v>207</v>
      </c>
      <c r="M821" t="s">
        <v>131</v>
      </c>
      <c r="O821" t="s">
        <v>77</v>
      </c>
      <c r="P821" t="s">
        <v>78</v>
      </c>
      <c r="Q821" t="s">
        <v>50</v>
      </c>
      <c r="R821" t="s">
        <v>208</v>
      </c>
      <c r="S821" t="s">
        <v>209</v>
      </c>
      <c r="T821" t="s">
        <v>210</v>
      </c>
      <c r="U821" s="1">
        <v>46076.646574074075</v>
      </c>
      <c r="V821" t="s">
        <v>54</v>
      </c>
      <c r="W821" t="s">
        <v>55</v>
      </c>
      <c r="X821" t="s">
        <v>211</v>
      </c>
      <c r="Y821" t="s">
        <v>604</v>
      </c>
      <c r="Z821" t="s">
        <v>58</v>
      </c>
      <c r="AA821" t="s">
        <v>54</v>
      </c>
      <c r="AB821" t="s">
        <v>213</v>
      </c>
      <c r="AC821" t="s">
        <v>85</v>
      </c>
      <c r="AD821" t="s">
        <v>214</v>
      </c>
      <c r="AE821" t="s">
        <v>215</v>
      </c>
      <c r="AF821" t="s">
        <v>216</v>
      </c>
      <c r="AG821" t="s">
        <v>58</v>
      </c>
      <c r="AH821">
        <v>15460</v>
      </c>
      <c r="AK821">
        <v>1</v>
      </c>
      <c r="AL821" t="s">
        <v>61</v>
      </c>
      <c r="AM821" t="s">
        <v>3994</v>
      </c>
      <c r="AN821" t="s">
        <v>3995</v>
      </c>
    </row>
    <row r="822" spans="1:40" x14ac:dyDescent="0.35">
      <c r="A822" t="s">
        <v>37</v>
      </c>
      <c r="B822" t="s">
        <v>3996</v>
      </c>
      <c r="C822" t="s">
        <v>39</v>
      </c>
      <c r="D822" t="s">
        <v>277</v>
      </c>
      <c r="E822" t="s">
        <v>2372</v>
      </c>
      <c r="F822" s="1">
        <v>46076.575636574074</v>
      </c>
      <c r="G822" t="s">
        <v>105</v>
      </c>
      <c r="H822" t="s">
        <v>106</v>
      </c>
      <c r="I822" t="s">
        <v>3997</v>
      </c>
      <c r="J822" t="s">
        <v>2344</v>
      </c>
      <c r="K822" t="s">
        <v>2345</v>
      </c>
      <c r="M822" t="s">
        <v>76</v>
      </c>
      <c r="O822" t="s">
        <v>237</v>
      </c>
      <c r="P822" t="s">
        <v>238</v>
      </c>
      <c r="Q822" t="s">
        <v>110</v>
      </c>
      <c r="R822" t="s">
        <v>111</v>
      </c>
      <c r="S822" t="s">
        <v>2346</v>
      </c>
      <c r="T822" t="s">
        <v>3998</v>
      </c>
      <c r="U822" s="1">
        <v>46076.57608796296</v>
      </c>
      <c r="V822" t="s">
        <v>54</v>
      </c>
      <c r="W822" t="s">
        <v>55</v>
      </c>
      <c r="X822" t="s">
        <v>134</v>
      </c>
      <c r="Y822" t="s">
        <v>3999</v>
      </c>
      <c r="Z822" t="s">
        <v>58</v>
      </c>
      <c r="AA822" t="s">
        <v>54</v>
      </c>
      <c r="AB822" t="s">
        <v>2349</v>
      </c>
      <c r="AC822" t="s">
        <v>242</v>
      </c>
      <c r="AD822" t="s">
        <v>2350</v>
      </c>
      <c r="AE822" t="s">
        <v>2351</v>
      </c>
      <c r="AF822" t="s">
        <v>2352</v>
      </c>
      <c r="AG822" t="s">
        <v>58</v>
      </c>
      <c r="AH822">
        <v>10352</v>
      </c>
      <c r="AK822">
        <v>0</v>
      </c>
      <c r="AL822" t="s">
        <v>61</v>
      </c>
      <c r="AM822" t="s">
        <v>2375</v>
      </c>
      <c r="AN822" t="s">
        <v>2376</v>
      </c>
    </row>
    <row r="823" spans="1:40" x14ac:dyDescent="0.35">
      <c r="A823" t="s">
        <v>37</v>
      </c>
      <c r="B823" t="s">
        <v>4000</v>
      </c>
      <c r="C823" t="s">
        <v>39</v>
      </c>
      <c r="D823" t="s">
        <v>4001</v>
      </c>
      <c r="E823" t="s">
        <v>4002</v>
      </c>
      <c r="F823" s="1">
        <v>46076.574178240742</v>
      </c>
      <c r="G823" t="s">
        <v>327</v>
      </c>
      <c r="H823" t="s">
        <v>72</v>
      </c>
      <c r="I823" t="s">
        <v>772</v>
      </c>
      <c r="J823" t="s">
        <v>455</v>
      </c>
      <c r="K823" t="s">
        <v>436</v>
      </c>
      <c r="M823" t="s">
        <v>76</v>
      </c>
      <c r="O823" t="s">
        <v>77</v>
      </c>
      <c r="P823" t="s">
        <v>78</v>
      </c>
      <c r="Q823" t="s">
        <v>818</v>
      </c>
      <c r="R823" t="s">
        <v>51</v>
      </c>
      <c r="S823" t="s">
        <v>52</v>
      </c>
      <c r="T823" t="s">
        <v>773</v>
      </c>
      <c r="U823" s="1">
        <v>46077.394456018519</v>
      </c>
      <c r="V823" t="s">
        <v>54</v>
      </c>
      <c r="W823" t="s">
        <v>55</v>
      </c>
      <c r="X823" t="s">
        <v>211</v>
      </c>
      <c r="Y823" t="s">
        <v>4003</v>
      </c>
      <c r="Z823" t="s">
        <v>58</v>
      </c>
      <c r="AA823" t="s">
        <v>54</v>
      </c>
      <c r="AB823" t="s">
        <v>213</v>
      </c>
      <c r="AC823" t="s">
        <v>85</v>
      </c>
      <c r="AD823" t="s">
        <v>52</v>
      </c>
      <c r="AE823" t="s">
        <v>438</v>
      </c>
      <c r="AF823" t="s">
        <v>775</v>
      </c>
      <c r="AG823" t="s">
        <v>58</v>
      </c>
      <c r="AH823">
        <v>11131</v>
      </c>
      <c r="AK823">
        <v>1</v>
      </c>
      <c r="AL823" t="s">
        <v>61</v>
      </c>
      <c r="AM823" t="s">
        <v>4004</v>
      </c>
      <c r="AN823" t="s">
        <v>4005</v>
      </c>
    </row>
    <row r="824" spans="1:40" x14ac:dyDescent="0.35">
      <c r="A824" t="s">
        <v>37</v>
      </c>
      <c r="B824" t="s">
        <v>4006</v>
      </c>
      <c r="C824" t="s">
        <v>39</v>
      </c>
      <c r="D824" t="s">
        <v>2341</v>
      </c>
      <c r="E824" t="s">
        <v>2342</v>
      </c>
      <c r="F824" s="1">
        <v>46076.57439814815</v>
      </c>
      <c r="G824" t="s">
        <v>105</v>
      </c>
      <c r="H824" t="s">
        <v>106</v>
      </c>
      <c r="I824" t="s">
        <v>4007</v>
      </c>
      <c r="J824" t="s">
        <v>2344</v>
      </c>
      <c r="K824" t="s">
        <v>2345</v>
      </c>
      <c r="M824" t="s">
        <v>76</v>
      </c>
      <c r="O824" t="s">
        <v>237</v>
      </c>
      <c r="P824" t="s">
        <v>238</v>
      </c>
      <c r="Q824" t="s">
        <v>50</v>
      </c>
      <c r="R824" t="s">
        <v>111</v>
      </c>
      <c r="S824" t="s">
        <v>2346</v>
      </c>
      <c r="T824" t="s">
        <v>2347</v>
      </c>
      <c r="U824" s="1">
        <v>46076.575150462966</v>
      </c>
      <c r="V824" t="s">
        <v>54</v>
      </c>
      <c r="W824" t="s">
        <v>55</v>
      </c>
      <c r="X824" t="s">
        <v>134</v>
      </c>
      <c r="Y824" t="s">
        <v>4008</v>
      </c>
      <c r="Z824" t="s">
        <v>58</v>
      </c>
      <c r="AA824" t="s">
        <v>54</v>
      </c>
      <c r="AB824" t="s">
        <v>2349</v>
      </c>
      <c r="AC824" t="s">
        <v>242</v>
      </c>
      <c r="AD824" t="s">
        <v>2350</v>
      </c>
      <c r="AE824" t="s">
        <v>2351</v>
      </c>
      <c r="AF824" t="s">
        <v>2352</v>
      </c>
      <c r="AG824" t="s">
        <v>58</v>
      </c>
      <c r="AH824">
        <v>15148</v>
      </c>
      <c r="AK824">
        <v>0</v>
      </c>
      <c r="AL824" t="s">
        <v>61</v>
      </c>
      <c r="AM824" t="s">
        <v>2353</v>
      </c>
      <c r="AN824" t="s">
        <v>2354</v>
      </c>
    </row>
    <row r="825" spans="1:40" x14ac:dyDescent="0.35">
      <c r="A825" t="s">
        <v>37</v>
      </c>
      <c r="B825" t="s">
        <v>4009</v>
      </c>
      <c r="C825" t="s">
        <v>656</v>
      </c>
      <c r="D825" t="s">
        <v>657</v>
      </c>
      <c r="E825" t="s">
        <v>658</v>
      </c>
      <c r="F825" s="1">
        <v>46076.573414351849</v>
      </c>
      <c r="G825" t="s">
        <v>355</v>
      </c>
      <c r="H825" t="s">
        <v>356</v>
      </c>
      <c r="I825" t="s">
        <v>4010</v>
      </c>
      <c r="J825" t="s">
        <v>660</v>
      </c>
      <c r="K825" t="s">
        <v>661</v>
      </c>
      <c r="M825" t="s">
        <v>131</v>
      </c>
      <c r="O825" t="s">
        <v>77</v>
      </c>
      <c r="P825" t="s">
        <v>78</v>
      </c>
      <c r="Q825" t="s">
        <v>50</v>
      </c>
      <c r="R825" t="s">
        <v>662</v>
      </c>
      <c r="S825" t="s">
        <v>663</v>
      </c>
      <c r="T825" t="s">
        <v>664</v>
      </c>
      <c r="U825" s="1">
        <v>46078.553587962961</v>
      </c>
      <c r="V825" t="s">
        <v>54</v>
      </c>
      <c r="W825" t="s">
        <v>55</v>
      </c>
      <c r="X825" t="s">
        <v>56</v>
      </c>
      <c r="Y825" t="s">
        <v>4011</v>
      </c>
      <c r="Z825" t="s">
        <v>58</v>
      </c>
      <c r="AA825" t="s">
        <v>54</v>
      </c>
      <c r="AB825" t="s">
        <v>666</v>
      </c>
      <c r="AC825" t="s">
        <v>85</v>
      </c>
      <c r="AD825" t="s">
        <v>667</v>
      </c>
      <c r="AE825" t="s">
        <v>667</v>
      </c>
      <c r="AF825" t="s">
        <v>664</v>
      </c>
      <c r="AG825" t="s">
        <v>58</v>
      </c>
      <c r="AH825" t="s">
        <v>668</v>
      </c>
      <c r="AK825">
        <v>0</v>
      </c>
      <c r="AL825" t="s">
        <v>61</v>
      </c>
      <c r="AM825" t="s">
        <v>666</v>
      </c>
      <c r="AN825" t="s">
        <v>669</v>
      </c>
    </row>
    <row r="826" spans="1:40" x14ac:dyDescent="0.35">
      <c r="A826" t="s">
        <v>37</v>
      </c>
      <c r="B826" t="s">
        <v>4012</v>
      </c>
      <c r="C826" t="s">
        <v>39</v>
      </c>
      <c r="D826" t="s">
        <v>3885</v>
      </c>
      <c r="E826" t="s">
        <v>943</v>
      </c>
      <c r="F826" s="1">
        <v>46076.571793981479</v>
      </c>
      <c r="G826" t="s">
        <v>913</v>
      </c>
      <c r="H826" t="s">
        <v>72</v>
      </c>
      <c r="I826" t="s">
        <v>205</v>
      </c>
      <c r="J826" t="s">
        <v>603</v>
      </c>
      <c r="K826" t="s">
        <v>207</v>
      </c>
      <c r="M826" t="s">
        <v>131</v>
      </c>
      <c r="O826" t="s">
        <v>77</v>
      </c>
      <c r="P826" t="s">
        <v>78</v>
      </c>
      <c r="Q826" t="s">
        <v>50</v>
      </c>
      <c r="R826" t="s">
        <v>208</v>
      </c>
      <c r="S826" t="s">
        <v>209</v>
      </c>
      <c r="T826" t="s">
        <v>210</v>
      </c>
      <c r="U826" s="1">
        <v>46076.648055555554</v>
      </c>
      <c r="V826" t="s">
        <v>54</v>
      </c>
      <c r="W826" t="s">
        <v>55</v>
      </c>
      <c r="X826" t="s">
        <v>211</v>
      </c>
      <c r="Y826" t="s">
        <v>604</v>
      </c>
      <c r="Z826" t="s">
        <v>58</v>
      </c>
      <c r="AA826" t="s">
        <v>54</v>
      </c>
      <c r="AB826" t="s">
        <v>213</v>
      </c>
      <c r="AC826" t="s">
        <v>85</v>
      </c>
      <c r="AD826" t="s">
        <v>214</v>
      </c>
      <c r="AE826" t="s">
        <v>215</v>
      </c>
      <c r="AF826" t="s">
        <v>216</v>
      </c>
      <c r="AG826" t="s">
        <v>58</v>
      </c>
      <c r="AH826">
        <v>13440</v>
      </c>
      <c r="AK826">
        <v>1</v>
      </c>
      <c r="AL826" t="s">
        <v>61</v>
      </c>
      <c r="AM826" t="s">
        <v>4013</v>
      </c>
      <c r="AN826" t="s">
        <v>4014</v>
      </c>
    </row>
    <row r="827" spans="1:40" x14ac:dyDescent="0.35">
      <c r="A827" t="s">
        <v>37</v>
      </c>
      <c r="B827" t="s">
        <v>4015</v>
      </c>
      <c r="C827" t="s">
        <v>39</v>
      </c>
      <c r="D827" t="s">
        <v>2292</v>
      </c>
      <c r="E827" t="s">
        <v>321</v>
      </c>
      <c r="F827" s="1">
        <v>46076.563634259262</v>
      </c>
      <c r="G827" t="s">
        <v>91</v>
      </c>
      <c r="H827" t="s">
        <v>92</v>
      </c>
      <c r="I827" t="s">
        <v>1222</v>
      </c>
      <c r="J827" t="s">
        <v>455</v>
      </c>
      <c r="K827" t="s">
        <v>436</v>
      </c>
      <c r="M827" t="s">
        <v>76</v>
      </c>
      <c r="O827" t="s">
        <v>77</v>
      </c>
      <c r="P827" t="s">
        <v>78</v>
      </c>
      <c r="Q827" t="s">
        <v>50</v>
      </c>
      <c r="R827" t="s">
        <v>51</v>
      </c>
      <c r="S827" t="s">
        <v>52</v>
      </c>
      <c r="T827" t="s">
        <v>240</v>
      </c>
      <c r="U827" s="1">
        <v>46076.5856712963</v>
      </c>
      <c r="V827" t="s">
        <v>54</v>
      </c>
      <c r="W827" t="s">
        <v>55</v>
      </c>
      <c r="X827" t="s">
        <v>211</v>
      </c>
      <c r="Y827" t="s">
        <v>4016</v>
      </c>
      <c r="Z827" t="s">
        <v>58</v>
      </c>
      <c r="AA827" t="s">
        <v>54</v>
      </c>
      <c r="AB827" t="s">
        <v>213</v>
      </c>
      <c r="AC827" t="s">
        <v>85</v>
      </c>
      <c r="AD827" t="s">
        <v>52</v>
      </c>
      <c r="AE827" t="s">
        <v>438</v>
      </c>
      <c r="AF827" t="s">
        <v>775</v>
      </c>
      <c r="AG827" t="s">
        <v>58</v>
      </c>
      <c r="AH827">
        <v>13408</v>
      </c>
      <c r="AK827">
        <v>2</v>
      </c>
      <c r="AL827" t="s">
        <v>61</v>
      </c>
      <c r="AM827" t="s">
        <v>4017</v>
      </c>
      <c r="AN827" t="s">
        <v>4018</v>
      </c>
    </row>
    <row r="828" spans="1:40" x14ac:dyDescent="0.35">
      <c r="A828" t="s">
        <v>37</v>
      </c>
      <c r="B828" t="s">
        <v>4019</v>
      </c>
      <c r="C828" t="s">
        <v>39</v>
      </c>
      <c r="D828" t="s">
        <v>4020</v>
      </c>
      <c r="E828" t="s">
        <v>4021</v>
      </c>
      <c r="F828" s="1">
        <v>46076.561666666668</v>
      </c>
      <c r="G828" t="s">
        <v>1094</v>
      </c>
      <c r="H828" t="s">
        <v>447</v>
      </c>
      <c r="I828" t="s">
        <v>205</v>
      </c>
      <c r="J828" t="s">
        <v>603</v>
      </c>
      <c r="K828" t="s">
        <v>207</v>
      </c>
      <c r="M828" t="s">
        <v>131</v>
      </c>
      <c r="O828" t="s">
        <v>77</v>
      </c>
      <c r="P828" t="s">
        <v>78</v>
      </c>
      <c r="Q828" t="s">
        <v>50</v>
      </c>
      <c r="R828" t="s">
        <v>208</v>
      </c>
      <c r="S828" t="s">
        <v>209</v>
      </c>
      <c r="T828" t="s">
        <v>210</v>
      </c>
      <c r="U828" s="1">
        <v>46076.64880787037</v>
      </c>
      <c r="V828" t="s">
        <v>54</v>
      </c>
      <c r="W828" t="s">
        <v>55</v>
      </c>
      <c r="X828" t="s">
        <v>211</v>
      </c>
      <c r="Y828" t="s">
        <v>604</v>
      </c>
      <c r="Z828" t="s">
        <v>58</v>
      </c>
      <c r="AA828" t="s">
        <v>54</v>
      </c>
      <c r="AB828" t="s">
        <v>213</v>
      </c>
      <c r="AC828" t="s">
        <v>85</v>
      </c>
      <c r="AD828" t="s">
        <v>214</v>
      </c>
      <c r="AE828" t="s">
        <v>215</v>
      </c>
      <c r="AF828" t="s">
        <v>216</v>
      </c>
      <c r="AG828" t="s">
        <v>58</v>
      </c>
      <c r="AH828">
        <v>15834</v>
      </c>
      <c r="AK828">
        <v>1</v>
      </c>
      <c r="AL828" t="s">
        <v>61</v>
      </c>
      <c r="AM828" t="s">
        <v>4022</v>
      </c>
      <c r="AN828" t="s">
        <v>4023</v>
      </c>
    </row>
    <row r="829" spans="1:40" x14ac:dyDescent="0.35">
      <c r="A829" t="s">
        <v>37</v>
      </c>
      <c r="B829" t="s">
        <v>4024</v>
      </c>
      <c r="C829" t="s">
        <v>39</v>
      </c>
      <c r="D829" t="s">
        <v>2292</v>
      </c>
      <c r="E829" t="s">
        <v>321</v>
      </c>
      <c r="F829" s="1">
        <v>46076.561053240737</v>
      </c>
      <c r="G829" t="s">
        <v>91</v>
      </c>
      <c r="H829" t="s">
        <v>92</v>
      </c>
      <c r="I829" t="s">
        <v>1222</v>
      </c>
      <c r="J829" t="s">
        <v>435</v>
      </c>
      <c r="K829" t="s">
        <v>436</v>
      </c>
      <c r="M829" t="s">
        <v>76</v>
      </c>
      <c r="O829" t="s">
        <v>77</v>
      </c>
      <c r="P829" t="s">
        <v>78</v>
      </c>
      <c r="Q829" t="s">
        <v>50</v>
      </c>
      <c r="R829" t="s">
        <v>51</v>
      </c>
      <c r="S829" t="s">
        <v>52</v>
      </c>
      <c r="T829" t="s">
        <v>240</v>
      </c>
      <c r="U829" s="1">
        <v>46076.614085648151</v>
      </c>
      <c r="V829" t="s">
        <v>54</v>
      </c>
      <c r="W829" t="s">
        <v>55</v>
      </c>
      <c r="X829" t="s">
        <v>211</v>
      </c>
      <c r="Y829" t="s">
        <v>4025</v>
      </c>
      <c r="Z829" t="s">
        <v>58</v>
      </c>
      <c r="AA829" t="s">
        <v>54</v>
      </c>
      <c r="AB829" t="s">
        <v>213</v>
      </c>
      <c r="AC829" t="s">
        <v>85</v>
      </c>
      <c r="AD829" t="s">
        <v>52</v>
      </c>
      <c r="AE829" t="s">
        <v>438</v>
      </c>
      <c r="AF829" t="s">
        <v>2179</v>
      </c>
      <c r="AG829" t="s">
        <v>58</v>
      </c>
      <c r="AH829">
        <v>13408</v>
      </c>
      <c r="AK829">
        <v>2</v>
      </c>
      <c r="AL829" t="s">
        <v>61</v>
      </c>
      <c r="AM829" t="s">
        <v>4017</v>
      </c>
      <c r="AN829" t="s">
        <v>4018</v>
      </c>
    </row>
    <row r="830" spans="1:40" x14ac:dyDescent="0.35">
      <c r="A830" t="s">
        <v>37</v>
      </c>
      <c r="B830" t="s">
        <v>4026</v>
      </c>
      <c r="C830" t="s">
        <v>39</v>
      </c>
      <c r="D830" t="s">
        <v>4027</v>
      </c>
      <c r="E830" t="s">
        <v>770</v>
      </c>
      <c r="F830" s="1">
        <v>46076.561388888891</v>
      </c>
      <c r="G830" t="s">
        <v>540</v>
      </c>
      <c r="H830" t="s">
        <v>447</v>
      </c>
      <c r="I830" t="s">
        <v>1052</v>
      </c>
      <c r="J830" t="s">
        <v>394</v>
      </c>
      <c r="K830" t="s">
        <v>75</v>
      </c>
      <c r="M830" t="s">
        <v>76</v>
      </c>
      <c r="O830" t="s">
        <v>77</v>
      </c>
      <c r="P830" t="s">
        <v>78</v>
      </c>
      <c r="Q830" t="s">
        <v>456</v>
      </c>
      <c r="R830" t="s">
        <v>79</v>
      </c>
      <c r="S830" t="s">
        <v>975</v>
      </c>
      <c r="T830" t="s">
        <v>976</v>
      </c>
      <c r="U830" s="1">
        <v>46076.561863425923</v>
      </c>
      <c r="V830" t="s">
        <v>54</v>
      </c>
      <c r="W830" t="s">
        <v>55</v>
      </c>
      <c r="X830" t="s">
        <v>82</v>
      </c>
      <c r="Y830" t="s">
        <v>4028</v>
      </c>
      <c r="Z830" t="s">
        <v>58</v>
      </c>
      <c r="AA830" t="s">
        <v>54</v>
      </c>
      <c r="AB830" t="s">
        <v>396</v>
      </c>
      <c r="AC830" t="s">
        <v>85</v>
      </c>
      <c r="AD830" t="s">
        <v>79</v>
      </c>
      <c r="AE830" t="s">
        <v>975</v>
      </c>
      <c r="AF830" t="s">
        <v>976</v>
      </c>
      <c r="AG830" t="s">
        <v>58</v>
      </c>
      <c r="AH830">
        <v>5873</v>
      </c>
      <c r="AK830">
        <v>0</v>
      </c>
      <c r="AL830" t="s">
        <v>61</v>
      </c>
      <c r="AM830" t="s">
        <v>4029</v>
      </c>
      <c r="AN830" t="s">
        <v>4030</v>
      </c>
    </row>
    <row r="831" spans="1:40" x14ac:dyDescent="0.35">
      <c r="A831" t="s">
        <v>37</v>
      </c>
      <c r="B831" t="s">
        <v>4031</v>
      </c>
      <c r="C831" t="s">
        <v>39</v>
      </c>
      <c r="D831" t="s">
        <v>325</v>
      </c>
      <c r="E831" t="s">
        <v>4032</v>
      </c>
      <c r="F831" s="1">
        <v>46076.56013888889</v>
      </c>
      <c r="G831" t="s">
        <v>1094</v>
      </c>
      <c r="H831" t="s">
        <v>447</v>
      </c>
      <c r="I831" t="s">
        <v>205</v>
      </c>
      <c r="J831" t="s">
        <v>603</v>
      </c>
      <c r="K831" t="s">
        <v>207</v>
      </c>
      <c r="M831" t="s">
        <v>131</v>
      </c>
      <c r="O831" t="s">
        <v>77</v>
      </c>
      <c r="P831" t="s">
        <v>78</v>
      </c>
      <c r="Q831" t="s">
        <v>50</v>
      </c>
      <c r="R831" t="s">
        <v>208</v>
      </c>
      <c r="S831" t="s">
        <v>209</v>
      </c>
      <c r="T831" t="s">
        <v>210</v>
      </c>
      <c r="U831" s="1">
        <v>46076.652222222219</v>
      </c>
      <c r="V831" t="s">
        <v>54</v>
      </c>
      <c r="W831" t="s">
        <v>55</v>
      </c>
      <c r="X831" t="s">
        <v>211</v>
      </c>
      <c r="Y831" t="s">
        <v>604</v>
      </c>
      <c r="Z831" t="s">
        <v>58</v>
      </c>
      <c r="AA831" t="s">
        <v>54</v>
      </c>
      <c r="AB831" t="s">
        <v>213</v>
      </c>
      <c r="AC831" t="s">
        <v>85</v>
      </c>
      <c r="AD831" t="s">
        <v>214</v>
      </c>
      <c r="AE831" t="s">
        <v>215</v>
      </c>
      <c r="AF831" t="s">
        <v>216</v>
      </c>
      <c r="AG831" t="s">
        <v>58</v>
      </c>
      <c r="AH831">
        <v>15792</v>
      </c>
      <c r="AK831">
        <v>1</v>
      </c>
      <c r="AL831" t="s">
        <v>61</v>
      </c>
      <c r="AM831" t="s">
        <v>4033</v>
      </c>
      <c r="AN831" t="s">
        <v>4034</v>
      </c>
    </row>
    <row r="832" spans="1:40" x14ac:dyDescent="0.35">
      <c r="A832" t="s">
        <v>37</v>
      </c>
      <c r="B832" t="s">
        <v>4035</v>
      </c>
      <c r="C832" t="s">
        <v>39</v>
      </c>
      <c r="D832" t="s">
        <v>4036</v>
      </c>
      <c r="E832" t="s">
        <v>303</v>
      </c>
      <c r="F832" s="1">
        <v>46076.558379629627</v>
      </c>
      <c r="G832" t="s">
        <v>105</v>
      </c>
      <c r="H832" t="s">
        <v>106</v>
      </c>
      <c r="I832" t="s">
        <v>4037</v>
      </c>
      <c r="J832" t="s">
        <v>2117</v>
      </c>
      <c r="K832" t="s">
        <v>2118</v>
      </c>
      <c r="M832" t="s">
        <v>131</v>
      </c>
      <c r="O832" t="s">
        <v>77</v>
      </c>
      <c r="P832" t="s">
        <v>78</v>
      </c>
      <c r="Q832" t="s">
        <v>541</v>
      </c>
      <c r="R832" t="s">
        <v>51</v>
      </c>
      <c r="S832" t="s">
        <v>52</v>
      </c>
      <c r="T832" t="s">
        <v>240</v>
      </c>
      <c r="U832" s="1">
        <v>46077.405277777776</v>
      </c>
      <c r="V832" t="s">
        <v>54</v>
      </c>
      <c r="W832" t="s">
        <v>55</v>
      </c>
      <c r="X832" t="s">
        <v>134</v>
      </c>
      <c r="Y832" t="s">
        <v>4038</v>
      </c>
      <c r="Z832" t="s">
        <v>58</v>
      </c>
      <c r="AA832" t="s">
        <v>54</v>
      </c>
      <c r="AB832" t="s">
        <v>612</v>
      </c>
      <c r="AC832" t="s">
        <v>85</v>
      </c>
      <c r="AD832" t="s">
        <v>52</v>
      </c>
      <c r="AE832" t="s">
        <v>243</v>
      </c>
      <c r="AF832" t="s">
        <v>1470</v>
      </c>
      <c r="AG832" t="s">
        <v>58</v>
      </c>
      <c r="AH832">
        <v>5981</v>
      </c>
      <c r="AK832">
        <v>1</v>
      </c>
      <c r="AL832" t="s">
        <v>61</v>
      </c>
      <c r="AM832" t="s">
        <v>4039</v>
      </c>
      <c r="AN832" t="s">
        <v>4040</v>
      </c>
    </row>
    <row r="833" spans="1:40" x14ac:dyDescent="0.35">
      <c r="A833" t="s">
        <v>37</v>
      </c>
      <c r="B833" t="s">
        <v>4041</v>
      </c>
      <c r="C833" t="s">
        <v>39</v>
      </c>
      <c r="D833" t="s">
        <v>3741</v>
      </c>
      <c r="E833" t="s">
        <v>3742</v>
      </c>
      <c r="F833" s="1">
        <v>46076.555925925924</v>
      </c>
      <c r="G833" t="s">
        <v>355</v>
      </c>
      <c r="H833" t="s">
        <v>356</v>
      </c>
      <c r="I833" t="s">
        <v>4042</v>
      </c>
      <c r="J833" t="s">
        <v>1926</v>
      </c>
      <c r="K833" t="s">
        <v>1927</v>
      </c>
      <c r="M833" t="s">
        <v>76</v>
      </c>
      <c r="O833" t="s">
        <v>77</v>
      </c>
      <c r="P833" t="s">
        <v>78</v>
      </c>
      <c r="Q833" t="s">
        <v>50</v>
      </c>
      <c r="R833" t="s">
        <v>51</v>
      </c>
      <c r="S833" t="s">
        <v>52</v>
      </c>
      <c r="T833" t="s">
        <v>240</v>
      </c>
      <c r="U833" s="1">
        <v>46077.590474537035</v>
      </c>
      <c r="V833" t="s">
        <v>54</v>
      </c>
      <c r="W833" t="s">
        <v>55</v>
      </c>
      <c r="X833" t="s">
        <v>134</v>
      </c>
      <c r="Y833" t="s">
        <v>4043</v>
      </c>
      <c r="Z833" t="s">
        <v>58</v>
      </c>
      <c r="AA833" t="s">
        <v>54</v>
      </c>
      <c r="AB833" t="s">
        <v>612</v>
      </c>
      <c r="AC833" t="s">
        <v>85</v>
      </c>
      <c r="AD833" t="s">
        <v>1189</v>
      </c>
      <c r="AE833" t="s">
        <v>3746</v>
      </c>
      <c r="AF833" t="s">
        <v>3747</v>
      </c>
      <c r="AG833" t="s">
        <v>58</v>
      </c>
      <c r="AH833" t="s">
        <v>3748</v>
      </c>
      <c r="AK833">
        <v>2</v>
      </c>
      <c r="AL833" t="s">
        <v>61</v>
      </c>
      <c r="AM833" t="s">
        <v>3749</v>
      </c>
      <c r="AN833" t="s">
        <v>3750</v>
      </c>
    </row>
    <row r="834" spans="1:40" x14ac:dyDescent="0.35">
      <c r="A834" t="s">
        <v>37</v>
      </c>
      <c r="B834" t="s">
        <v>4044</v>
      </c>
      <c r="C834" t="s">
        <v>39</v>
      </c>
      <c r="D834" t="s">
        <v>657</v>
      </c>
      <c r="E834" t="s">
        <v>658</v>
      </c>
      <c r="F834" s="1">
        <v>46076.558877314812</v>
      </c>
      <c r="G834" t="s">
        <v>355</v>
      </c>
      <c r="H834" t="s">
        <v>356</v>
      </c>
      <c r="I834" t="s">
        <v>4045</v>
      </c>
      <c r="J834" t="s">
        <v>4046</v>
      </c>
      <c r="K834" t="s">
        <v>4047</v>
      </c>
      <c r="M834" t="s">
        <v>47</v>
      </c>
      <c r="O834" t="s">
        <v>77</v>
      </c>
      <c r="P834" t="s">
        <v>78</v>
      </c>
      <c r="Q834" t="s">
        <v>50</v>
      </c>
      <c r="R834" t="s">
        <v>662</v>
      </c>
      <c r="S834" t="s">
        <v>663</v>
      </c>
      <c r="T834" t="s">
        <v>4048</v>
      </c>
      <c r="U834" s="1">
        <v>46076.667337962965</v>
      </c>
      <c r="V834" t="s">
        <v>54</v>
      </c>
      <c r="W834" t="s">
        <v>55</v>
      </c>
      <c r="X834" t="s">
        <v>56</v>
      </c>
      <c r="Y834" t="s">
        <v>4049</v>
      </c>
      <c r="Z834" t="s">
        <v>58</v>
      </c>
      <c r="AA834" t="s">
        <v>54</v>
      </c>
      <c r="AB834" t="s">
        <v>4050</v>
      </c>
      <c r="AC834" t="s">
        <v>85</v>
      </c>
      <c r="AD834" t="s">
        <v>667</v>
      </c>
      <c r="AE834" t="s">
        <v>667</v>
      </c>
      <c r="AF834" t="s">
        <v>4051</v>
      </c>
      <c r="AG834" t="s">
        <v>58</v>
      </c>
      <c r="AH834" t="s">
        <v>668</v>
      </c>
      <c r="AK834">
        <v>0</v>
      </c>
      <c r="AL834" t="s">
        <v>61</v>
      </c>
      <c r="AM834" t="s">
        <v>666</v>
      </c>
      <c r="AN834" t="s">
        <v>669</v>
      </c>
    </row>
    <row r="835" spans="1:40" x14ac:dyDescent="0.35">
      <c r="A835" t="s">
        <v>37</v>
      </c>
      <c r="B835" t="s">
        <v>4052</v>
      </c>
      <c r="C835" t="s">
        <v>102</v>
      </c>
      <c r="D835" t="s">
        <v>545</v>
      </c>
      <c r="E835" t="s">
        <v>1081</v>
      </c>
      <c r="F835" s="1">
        <v>46076.553437499999</v>
      </c>
      <c r="G835" t="s">
        <v>597</v>
      </c>
      <c r="H835" t="s">
        <v>287</v>
      </c>
      <c r="I835" t="s">
        <v>4053</v>
      </c>
      <c r="J835" t="s">
        <v>2117</v>
      </c>
      <c r="K835" t="s">
        <v>2118</v>
      </c>
      <c r="M835" t="s">
        <v>131</v>
      </c>
      <c r="O835" t="s">
        <v>237</v>
      </c>
      <c r="P835" t="s">
        <v>238</v>
      </c>
      <c r="Q835" t="s">
        <v>465</v>
      </c>
      <c r="R835" t="s">
        <v>51</v>
      </c>
      <c r="S835" t="s">
        <v>52</v>
      </c>
      <c r="T835" t="s">
        <v>240</v>
      </c>
      <c r="U835" s="1">
        <v>46077.399525462963</v>
      </c>
      <c r="V835" t="s">
        <v>54</v>
      </c>
      <c r="W835" t="s">
        <v>55</v>
      </c>
      <c r="X835" t="s">
        <v>211</v>
      </c>
      <c r="Y835" t="s">
        <v>4054</v>
      </c>
      <c r="Z835" t="s">
        <v>58</v>
      </c>
      <c r="AA835" t="s">
        <v>54</v>
      </c>
      <c r="AB835" t="s">
        <v>213</v>
      </c>
      <c r="AC835" t="s">
        <v>242</v>
      </c>
      <c r="AD835" t="s">
        <v>52</v>
      </c>
      <c r="AE835" t="s">
        <v>243</v>
      </c>
      <c r="AF835" t="s">
        <v>1470</v>
      </c>
      <c r="AG835" t="s">
        <v>58</v>
      </c>
      <c r="AH835">
        <v>3081</v>
      </c>
      <c r="AK835">
        <v>1</v>
      </c>
      <c r="AL835" t="s">
        <v>61</v>
      </c>
      <c r="AM835" t="s">
        <v>1082</v>
      </c>
      <c r="AN835" t="s">
        <v>1083</v>
      </c>
    </row>
    <row r="836" spans="1:40" x14ac:dyDescent="0.35">
      <c r="A836" t="s">
        <v>37</v>
      </c>
      <c r="B836" t="s">
        <v>4055</v>
      </c>
      <c r="C836" t="s">
        <v>102</v>
      </c>
      <c r="D836" t="s">
        <v>225</v>
      </c>
      <c r="E836" t="s">
        <v>2740</v>
      </c>
      <c r="F836" s="1">
        <v>46076.553726851853</v>
      </c>
      <c r="G836" t="s">
        <v>71</v>
      </c>
      <c r="H836" t="s">
        <v>72</v>
      </c>
      <c r="I836" t="s">
        <v>2651</v>
      </c>
      <c r="J836" t="s">
        <v>194</v>
      </c>
      <c r="K836" t="s">
        <v>130</v>
      </c>
      <c r="M836" t="s">
        <v>131</v>
      </c>
      <c r="O836" t="s">
        <v>237</v>
      </c>
      <c r="P836" t="s">
        <v>238</v>
      </c>
      <c r="Q836" t="s">
        <v>50</v>
      </c>
      <c r="R836" t="s">
        <v>51</v>
      </c>
      <c r="S836" t="s">
        <v>52</v>
      </c>
      <c r="T836" t="s">
        <v>240</v>
      </c>
      <c r="U836" s="1">
        <v>46076.576979166668</v>
      </c>
      <c r="V836" t="s">
        <v>54</v>
      </c>
      <c r="W836" t="s">
        <v>55</v>
      </c>
      <c r="X836" t="s">
        <v>134</v>
      </c>
      <c r="Y836" t="s">
        <v>4056</v>
      </c>
      <c r="Z836" t="s">
        <v>58</v>
      </c>
      <c r="AA836" t="s">
        <v>54</v>
      </c>
      <c r="AB836" t="s">
        <v>612</v>
      </c>
      <c r="AC836" t="s">
        <v>242</v>
      </c>
      <c r="AD836" t="s">
        <v>51</v>
      </c>
      <c r="AE836" t="s">
        <v>52</v>
      </c>
      <c r="AF836" t="s">
        <v>195</v>
      </c>
      <c r="AG836" t="s">
        <v>58</v>
      </c>
      <c r="AH836">
        <v>12326</v>
      </c>
      <c r="AK836">
        <v>2</v>
      </c>
      <c r="AL836" t="s">
        <v>61</v>
      </c>
      <c r="AM836" t="s">
        <v>2742</v>
      </c>
      <c r="AN836" t="s">
        <v>2743</v>
      </c>
    </row>
    <row r="837" spans="1:40" x14ac:dyDescent="0.35">
      <c r="A837" t="s">
        <v>37</v>
      </c>
      <c r="B837" t="s">
        <v>4057</v>
      </c>
      <c r="C837" t="s">
        <v>39</v>
      </c>
      <c r="D837" t="s">
        <v>2292</v>
      </c>
      <c r="E837" t="s">
        <v>321</v>
      </c>
      <c r="F837" s="1">
        <v>46076.55164351852</v>
      </c>
      <c r="G837" t="s">
        <v>91</v>
      </c>
      <c r="H837" t="s">
        <v>92</v>
      </c>
      <c r="I837" t="s">
        <v>1222</v>
      </c>
      <c r="J837" t="s">
        <v>4058</v>
      </c>
      <c r="K837" t="s">
        <v>436</v>
      </c>
      <c r="M837" t="s">
        <v>76</v>
      </c>
      <c r="O837" t="s">
        <v>77</v>
      </c>
      <c r="P837" t="s">
        <v>78</v>
      </c>
      <c r="Q837" t="s">
        <v>50</v>
      </c>
      <c r="R837" t="s">
        <v>51</v>
      </c>
      <c r="S837" t="s">
        <v>52</v>
      </c>
      <c r="T837" t="s">
        <v>240</v>
      </c>
      <c r="U837" s="1">
        <v>46076.581655092596</v>
      </c>
      <c r="V837" t="s">
        <v>54</v>
      </c>
      <c r="W837" t="s">
        <v>55</v>
      </c>
      <c r="X837" t="s">
        <v>211</v>
      </c>
      <c r="Y837" t="s">
        <v>4059</v>
      </c>
      <c r="Z837" t="s">
        <v>58</v>
      </c>
      <c r="AA837" t="s">
        <v>54</v>
      </c>
      <c r="AB837" t="s">
        <v>213</v>
      </c>
      <c r="AC837" t="s">
        <v>85</v>
      </c>
      <c r="AD837" t="s">
        <v>52</v>
      </c>
      <c r="AE837" t="s">
        <v>438</v>
      </c>
      <c r="AF837" t="s">
        <v>775</v>
      </c>
      <c r="AG837" t="s">
        <v>58</v>
      </c>
      <c r="AH837">
        <v>13408</v>
      </c>
      <c r="AK837">
        <v>2</v>
      </c>
      <c r="AL837" t="s">
        <v>61</v>
      </c>
      <c r="AM837" t="s">
        <v>4017</v>
      </c>
      <c r="AN837" t="s">
        <v>4018</v>
      </c>
    </row>
    <row r="838" spans="1:40" x14ac:dyDescent="0.35">
      <c r="A838" t="s">
        <v>37</v>
      </c>
      <c r="B838" t="s">
        <v>4060</v>
      </c>
      <c r="C838" t="s">
        <v>39</v>
      </c>
      <c r="D838" t="s">
        <v>2503</v>
      </c>
      <c r="E838" t="s">
        <v>4061</v>
      </c>
      <c r="F838" s="1">
        <v>46076.549745370372</v>
      </c>
      <c r="G838" t="s">
        <v>826</v>
      </c>
      <c r="H838" t="s">
        <v>356</v>
      </c>
      <c r="I838" t="s">
        <v>4062</v>
      </c>
      <c r="J838" t="s">
        <v>1058</v>
      </c>
      <c r="K838" t="s">
        <v>436</v>
      </c>
      <c r="M838" t="s">
        <v>76</v>
      </c>
      <c r="O838" t="s">
        <v>77</v>
      </c>
      <c r="P838" t="s">
        <v>78</v>
      </c>
      <c r="Q838" t="s">
        <v>3204</v>
      </c>
      <c r="R838" t="s">
        <v>51</v>
      </c>
      <c r="S838" t="s">
        <v>52</v>
      </c>
      <c r="T838" t="s">
        <v>240</v>
      </c>
      <c r="U838" s="1">
        <v>46078.439652777779</v>
      </c>
      <c r="V838" t="s">
        <v>1338</v>
      </c>
      <c r="W838" t="s">
        <v>55</v>
      </c>
      <c r="X838" t="s">
        <v>134</v>
      </c>
      <c r="Y838" t="s">
        <v>4063</v>
      </c>
      <c r="Z838" t="s">
        <v>58</v>
      </c>
      <c r="AA838" t="s">
        <v>1338</v>
      </c>
      <c r="AB838" t="s">
        <v>612</v>
      </c>
      <c r="AC838" t="s">
        <v>85</v>
      </c>
      <c r="AD838" t="s">
        <v>52</v>
      </c>
      <c r="AE838" t="s">
        <v>438</v>
      </c>
      <c r="AF838" t="s">
        <v>439</v>
      </c>
      <c r="AG838" t="s">
        <v>58</v>
      </c>
      <c r="AH838">
        <v>10942</v>
      </c>
      <c r="AK838">
        <v>1</v>
      </c>
      <c r="AL838" t="s">
        <v>410</v>
      </c>
      <c r="AM838" t="s">
        <v>4064</v>
      </c>
      <c r="AN838" t="s">
        <v>4065</v>
      </c>
    </row>
    <row r="839" spans="1:40" x14ac:dyDescent="0.35">
      <c r="A839" t="s">
        <v>37</v>
      </c>
      <c r="B839" t="s">
        <v>4066</v>
      </c>
      <c r="C839" t="s">
        <v>102</v>
      </c>
      <c r="D839" t="s">
        <v>4067</v>
      </c>
      <c r="E839" t="s">
        <v>4068</v>
      </c>
      <c r="F839" s="1">
        <v>46076.546238425923</v>
      </c>
      <c r="G839" t="s">
        <v>1217</v>
      </c>
      <c r="H839" t="s">
        <v>92</v>
      </c>
      <c r="I839" t="s">
        <v>4069</v>
      </c>
      <c r="J839" t="s">
        <v>4070</v>
      </c>
      <c r="K839" t="s">
        <v>951</v>
      </c>
      <c r="M839" t="s">
        <v>76</v>
      </c>
      <c r="O839" t="s">
        <v>237</v>
      </c>
      <c r="P839" t="s">
        <v>238</v>
      </c>
      <c r="Q839" t="s">
        <v>50</v>
      </c>
      <c r="R839" t="s">
        <v>305</v>
      </c>
      <c r="S839" t="s">
        <v>306</v>
      </c>
      <c r="T839" t="s">
        <v>307</v>
      </c>
      <c r="U839" s="1">
        <v>46077.472951388889</v>
      </c>
      <c r="V839" t="s">
        <v>54</v>
      </c>
      <c r="W839" t="s">
        <v>55</v>
      </c>
      <c r="X839" t="s">
        <v>211</v>
      </c>
      <c r="Y839" t="s">
        <v>4071</v>
      </c>
      <c r="Z839" t="s">
        <v>58</v>
      </c>
      <c r="AA839" t="s">
        <v>54</v>
      </c>
      <c r="AB839" t="s">
        <v>213</v>
      </c>
      <c r="AC839" t="s">
        <v>242</v>
      </c>
      <c r="AD839" t="s">
        <v>51</v>
      </c>
      <c r="AE839" t="s">
        <v>52</v>
      </c>
      <c r="AF839" t="s">
        <v>3709</v>
      </c>
      <c r="AG839" t="s">
        <v>58</v>
      </c>
      <c r="AH839" t="s">
        <v>4072</v>
      </c>
      <c r="AK839">
        <v>2</v>
      </c>
      <c r="AL839" t="s">
        <v>61</v>
      </c>
      <c r="AM839" t="s">
        <v>4073</v>
      </c>
      <c r="AN839" t="s">
        <v>4074</v>
      </c>
    </row>
    <row r="840" spans="1:40" x14ac:dyDescent="0.35">
      <c r="A840" t="s">
        <v>37</v>
      </c>
      <c r="B840" t="s">
        <v>4075</v>
      </c>
      <c r="C840" t="s">
        <v>39</v>
      </c>
      <c r="D840" t="s">
        <v>4076</v>
      </c>
      <c r="E840" t="s">
        <v>4077</v>
      </c>
      <c r="F840" s="1">
        <v>46076.546666666669</v>
      </c>
      <c r="G840" t="s">
        <v>4078</v>
      </c>
      <c r="H840" t="s">
        <v>356</v>
      </c>
      <c r="I840" t="s">
        <v>4079</v>
      </c>
      <c r="J840" t="s">
        <v>455</v>
      </c>
      <c r="K840" t="s">
        <v>436</v>
      </c>
      <c r="M840" t="s">
        <v>76</v>
      </c>
      <c r="O840" t="s">
        <v>77</v>
      </c>
      <c r="P840" t="s">
        <v>78</v>
      </c>
      <c r="Q840" t="s">
        <v>50</v>
      </c>
      <c r="R840" t="s">
        <v>51</v>
      </c>
      <c r="S840" t="s">
        <v>52</v>
      </c>
      <c r="T840" t="s">
        <v>4080</v>
      </c>
      <c r="U840" s="1">
        <v>46078.432835648149</v>
      </c>
      <c r="V840" t="s">
        <v>54</v>
      </c>
      <c r="W840" t="s">
        <v>55</v>
      </c>
      <c r="X840" t="s">
        <v>134</v>
      </c>
      <c r="Y840" t="s">
        <v>4081</v>
      </c>
      <c r="Z840" t="s">
        <v>58</v>
      </c>
      <c r="AA840" t="s">
        <v>54</v>
      </c>
      <c r="AB840" t="s">
        <v>458</v>
      </c>
      <c r="AC840" t="s">
        <v>85</v>
      </c>
      <c r="AD840" t="s">
        <v>52</v>
      </c>
      <c r="AE840" t="s">
        <v>438</v>
      </c>
      <c r="AF840" t="s">
        <v>439</v>
      </c>
      <c r="AG840" t="s">
        <v>58</v>
      </c>
      <c r="AH840" t="s">
        <v>4082</v>
      </c>
      <c r="AK840">
        <v>1</v>
      </c>
      <c r="AL840" t="s">
        <v>61</v>
      </c>
      <c r="AM840" t="s">
        <v>4083</v>
      </c>
      <c r="AN840" t="s">
        <v>4084</v>
      </c>
    </row>
    <row r="841" spans="1:40" x14ac:dyDescent="0.35">
      <c r="A841" t="s">
        <v>37</v>
      </c>
      <c r="B841" t="s">
        <v>4085</v>
      </c>
      <c r="C841" t="s">
        <v>39</v>
      </c>
      <c r="D841" t="s">
        <v>391</v>
      </c>
      <c r="E841" t="s">
        <v>401</v>
      </c>
      <c r="F841" s="1">
        <v>46076.547164351854</v>
      </c>
      <c r="G841" t="s">
        <v>508</v>
      </c>
      <c r="H841" t="s">
        <v>72</v>
      </c>
      <c r="I841" t="s">
        <v>4086</v>
      </c>
      <c r="J841" t="s">
        <v>2108</v>
      </c>
      <c r="K841" t="s">
        <v>2118</v>
      </c>
      <c r="M841" t="s">
        <v>131</v>
      </c>
      <c r="O841" t="s">
        <v>77</v>
      </c>
      <c r="P841" t="s">
        <v>78</v>
      </c>
      <c r="Q841" t="s">
        <v>4087</v>
      </c>
      <c r="R841" t="s">
        <v>51</v>
      </c>
      <c r="S841" t="s">
        <v>52</v>
      </c>
      <c r="T841" t="s">
        <v>240</v>
      </c>
      <c r="U841" s="1">
        <v>46078.462314814817</v>
      </c>
      <c r="V841" t="s">
        <v>54</v>
      </c>
      <c r="W841" t="s">
        <v>55</v>
      </c>
      <c r="X841" t="s">
        <v>134</v>
      </c>
      <c r="Y841" t="s">
        <v>4088</v>
      </c>
      <c r="Z841" t="s">
        <v>58</v>
      </c>
      <c r="AA841" t="s">
        <v>54</v>
      </c>
      <c r="AB841" t="s">
        <v>612</v>
      </c>
      <c r="AC841" t="s">
        <v>85</v>
      </c>
      <c r="AD841" t="s">
        <v>52</v>
      </c>
      <c r="AE841" t="s">
        <v>243</v>
      </c>
      <c r="AF841" t="s">
        <v>1470</v>
      </c>
      <c r="AG841" t="s">
        <v>58</v>
      </c>
      <c r="AH841">
        <v>10315</v>
      </c>
      <c r="AK841">
        <v>1</v>
      </c>
      <c r="AL841" t="s">
        <v>61</v>
      </c>
      <c r="AM841" t="s">
        <v>4089</v>
      </c>
      <c r="AN841" t="s">
        <v>4090</v>
      </c>
    </row>
    <row r="842" spans="1:40" x14ac:dyDescent="0.35">
      <c r="A842" t="s">
        <v>37</v>
      </c>
      <c r="B842" t="s">
        <v>4091</v>
      </c>
      <c r="C842" t="s">
        <v>102</v>
      </c>
      <c r="D842" t="s">
        <v>191</v>
      </c>
      <c r="E842" t="s">
        <v>192</v>
      </c>
      <c r="F842" s="1">
        <v>46076.545497685183</v>
      </c>
      <c r="G842" t="s">
        <v>71</v>
      </c>
      <c r="H842" t="s">
        <v>72</v>
      </c>
      <c r="I842" t="s">
        <v>4092</v>
      </c>
      <c r="J842" t="s">
        <v>194</v>
      </c>
      <c r="K842" t="s">
        <v>130</v>
      </c>
      <c r="M842" t="s">
        <v>131</v>
      </c>
      <c r="O842" t="s">
        <v>77</v>
      </c>
      <c r="P842" t="s">
        <v>78</v>
      </c>
      <c r="Q842" t="s">
        <v>50</v>
      </c>
      <c r="R842" t="s">
        <v>51</v>
      </c>
      <c r="S842" t="s">
        <v>52</v>
      </c>
      <c r="T842" t="s">
        <v>195</v>
      </c>
      <c r="U842" s="1">
        <v>46076.742129629631</v>
      </c>
      <c r="V842" t="s">
        <v>54</v>
      </c>
      <c r="W842" t="s">
        <v>55</v>
      </c>
      <c r="X842" t="s">
        <v>134</v>
      </c>
      <c r="Y842" t="s">
        <v>4093</v>
      </c>
      <c r="Z842" t="s">
        <v>58</v>
      </c>
      <c r="AA842" t="s">
        <v>54</v>
      </c>
      <c r="AB842" t="s">
        <v>198</v>
      </c>
      <c r="AC842" t="s">
        <v>85</v>
      </c>
      <c r="AD842" t="s">
        <v>51</v>
      </c>
      <c r="AE842" t="s">
        <v>52</v>
      </c>
      <c r="AF842" t="s">
        <v>195</v>
      </c>
      <c r="AG842" t="s">
        <v>58</v>
      </c>
      <c r="AH842" t="s">
        <v>199</v>
      </c>
      <c r="AK842">
        <v>1</v>
      </c>
      <c r="AL842" t="s">
        <v>61</v>
      </c>
      <c r="AM842" t="s">
        <v>198</v>
      </c>
      <c r="AN842" t="s">
        <v>200</v>
      </c>
    </row>
    <row r="843" spans="1:40" x14ac:dyDescent="0.35">
      <c r="A843" t="s">
        <v>37</v>
      </c>
      <c r="B843" t="s">
        <v>4094</v>
      </c>
      <c r="C843" t="s">
        <v>656</v>
      </c>
      <c r="D843" t="s">
        <v>960</v>
      </c>
      <c r="E843" t="s">
        <v>4095</v>
      </c>
      <c r="F843" s="1">
        <v>46076.542523148149</v>
      </c>
      <c r="G843" t="s">
        <v>355</v>
      </c>
      <c r="H843" t="s">
        <v>356</v>
      </c>
      <c r="I843" t="s">
        <v>3776</v>
      </c>
      <c r="J843" t="s">
        <v>2550</v>
      </c>
      <c r="K843" t="s">
        <v>2551</v>
      </c>
      <c r="M843" t="s">
        <v>131</v>
      </c>
      <c r="O843" t="s">
        <v>77</v>
      </c>
      <c r="P843" t="s">
        <v>78</v>
      </c>
      <c r="Q843" t="s">
        <v>50</v>
      </c>
      <c r="R843" t="s">
        <v>208</v>
      </c>
      <c r="S843" t="s">
        <v>209</v>
      </c>
      <c r="T843" t="s">
        <v>3776</v>
      </c>
      <c r="U843" s="1">
        <v>46078.387465277781</v>
      </c>
      <c r="V843" t="s">
        <v>54</v>
      </c>
      <c r="W843" t="s">
        <v>55</v>
      </c>
      <c r="X843" t="s">
        <v>134</v>
      </c>
      <c r="Y843" t="s">
        <v>3777</v>
      </c>
      <c r="Z843" t="s">
        <v>58</v>
      </c>
      <c r="AA843" t="s">
        <v>54</v>
      </c>
      <c r="AB843" t="s">
        <v>612</v>
      </c>
      <c r="AC843" t="s">
        <v>85</v>
      </c>
      <c r="AD843" t="s">
        <v>208</v>
      </c>
      <c r="AE843" t="s">
        <v>209</v>
      </c>
      <c r="AF843" t="s">
        <v>3776</v>
      </c>
      <c r="AG843" t="s">
        <v>58</v>
      </c>
      <c r="AH843" t="s">
        <v>4096</v>
      </c>
      <c r="AK843">
        <v>1</v>
      </c>
      <c r="AL843" t="s">
        <v>61</v>
      </c>
      <c r="AM843" t="s">
        <v>4097</v>
      </c>
      <c r="AN843" t="s">
        <v>4098</v>
      </c>
    </row>
    <row r="844" spans="1:40" x14ac:dyDescent="0.35">
      <c r="A844" t="s">
        <v>37</v>
      </c>
      <c r="B844" t="s">
        <v>4099</v>
      </c>
      <c r="C844" t="s">
        <v>39</v>
      </c>
      <c r="D844" t="s">
        <v>4100</v>
      </c>
      <c r="E844" t="s">
        <v>4101</v>
      </c>
      <c r="F844" s="1">
        <v>46076.539444444446</v>
      </c>
      <c r="G844" t="s">
        <v>3396</v>
      </c>
      <c r="H844" t="s">
        <v>106</v>
      </c>
      <c r="I844" t="s">
        <v>205</v>
      </c>
      <c r="J844" t="s">
        <v>603</v>
      </c>
      <c r="K844" t="s">
        <v>207</v>
      </c>
      <c r="M844" t="s">
        <v>131</v>
      </c>
      <c r="O844" t="s">
        <v>77</v>
      </c>
      <c r="P844" t="s">
        <v>78</v>
      </c>
      <c r="Q844" t="s">
        <v>50</v>
      </c>
      <c r="R844" t="s">
        <v>208</v>
      </c>
      <c r="S844" t="s">
        <v>209</v>
      </c>
      <c r="T844" t="s">
        <v>210</v>
      </c>
      <c r="U844" s="1">
        <v>46076.653032407405</v>
      </c>
      <c r="V844" t="s">
        <v>54</v>
      </c>
      <c r="W844" t="s">
        <v>55</v>
      </c>
      <c r="X844" t="s">
        <v>211</v>
      </c>
      <c r="Y844" t="s">
        <v>604</v>
      </c>
      <c r="Z844" t="s">
        <v>58</v>
      </c>
      <c r="AA844" t="s">
        <v>54</v>
      </c>
      <c r="AB844" t="s">
        <v>213</v>
      </c>
      <c r="AC844" t="s">
        <v>85</v>
      </c>
      <c r="AD844" t="s">
        <v>214</v>
      </c>
      <c r="AE844" t="s">
        <v>215</v>
      </c>
      <c r="AF844" t="s">
        <v>216</v>
      </c>
      <c r="AG844" t="s">
        <v>58</v>
      </c>
      <c r="AH844">
        <v>1472</v>
      </c>
      <c r="AK844">
        <v>1</v>
      </c>
      <c r="AL844" t="s">
        <v>61</v>
      </c>
      <c r="AM844" t="s">
        <v>4102</v>
      </c>
      <c r="AN844" t="s">
        <v>4103</v>
      </c>
    </row>
    <row r="845" spans="1:40" x14ac:dyDescent="0.35">
      <c r="A845" t="s">
        <v>37</v>
      </c>
      <c r="B845" t="s">
        <v>4104</v>
      </c>
      <c r="C845" t="s">
        <v>102</v>
      </c>
      <c r="D845" t="s">
        <v>4105</v>
      </c>
      <c r="E845" t="s">
        <v>1537</v>
      </c>
      <c r="F845" s="1">
        <v>46076.5391087963</v>
      </c>
      <c r="G845" t="s">
        <v>286</v>
      </c>
      <c r="H845" t="s">
        <v>287</v>
      </c>
      <c r="I845" t="s">
        <v>4106</v>
      </c>
      <c r="J845" t="s">
        <v>4107</v>
      </c>
      <c r="K845" t="s">
        <v>130</v>
      </c>
      <c r="M845" t="s">
        <v>131</v>
      </c>
      <c r="O845" t="s">
        <v>77</v>
      </c>
      <c r="P845" t="s">
        <v>78</v>
      </c>
      <c r="Q845" t="s">
        <v>50</v>
      </c>
      <c r="R845" t="s">
        <v>51</v>
      </c>
      <c r="S845" t="s">
        <v>195</v>
      </c>
      <c r="T845" t="s">
        <v>680</v>
      </c>
      <c r="U845" s="1">
        <v>46076.564085648148</v>
      </c>
      <c r="V845" t="s">
        <v>54</v>
      </c>
      <c r="W845" t="s">
        <v>55</v>
      </c>
      <c r="X845" t="s">
        <v>134</v>
      </c>
      <c r="Y845" t="s">
        <v>4108</v>
      </c>
      <c r="Z845" t="s">
        <v>58</v>
      </c>
      <c r="AA845" t="s">
        <v>54</v>
      </c>
      <c r="AB845" t="s">
        <v>4109</v>
      </c>
      <c r="AC845" t="s">
        <v>85</v>
      </c>
      <c r="AD845" t="s">
        <v>51</v>
      </c>
      <c r="AE845" t="s">
        <v>195</v>
      </c>
      <c r="AF845" t="s">
        <v>680</v>
      </c>
      <c r="AG845" t="s">
        <v>58</v>
      </c>
      <c r="AH845" t="s">
        <v>4110</v>
      </c>
      <c r="AK845">
        <v>1</v>
      </c>
      <c r="AL845" t="s">
        <v>61</v>
      </c>
      <c r="AM845" t="s">
        <v>4109</v>
      </c>
      <c r="AN845" t="s">
        <v>4111</v>
      </c>
    </row>
    <row r="846" spans="1:40" x14ac:dyDescent="0.35">
      <c r="A846" t="s">
        <v>37</v>
      </c>
      <c r="B846" t="s">
        <v>4112</v>
      </c>
      <c r="C846" t="s">
        <v>39</v>
      </c>
      <c r="D846" t="s">
        <v>4113</v>
      </c>
      <c r="E846" t="s">
        <v>4114</v>
      </c>
      <c r="F846" s="1">
        <v>46076.537835648145</v>
      </c>
      <c r="G846" t="s">
        <v>355</v>
      </c>
      <c r="H846" t="s">
        <v>356</v>
      </c>
      <c r="I846" t="s">
        <v>205</v>
      </c>
      <c r="J846" t="s">
        <v>1692</v>
      </c>
      <c r="K846" t="s">
        <v>207</v>
      </c>
      <c r="M846" t="s">
        <v>131</v>
      </c>
      <c r="O846" t="s">
        <v>77</v>
      </c>
      <c r="P846" t="s">
        <v>78</v>
      </c>
      <c r="Q846" t="s">
        <v>50</v>
      </c>
      <c r="R846" t="s">
        <v>305</v>
      </c>
      <c r="S846" t="s">
        <v>306</v>
      </c>
      <c r="T846" t="s">
        <v>307</v>
      </c>
      <c r="U846" s="1">
        <v>46078.00240740741</v>
      </c>
      <c r="V846" t="s">
        <v>54</v>
      </c>
      <c r="W846" t="s">
        <v>55</v>
      </c>
      <c r="X846" t="s">
        <v>211</v>
      </c>
      <c r="Y846" t="s">
        <v>4115</v>
      </c>
      <c r="Z846" t="s">
        <v>58</v>
      </c>
      <c r="AA846" t="s">
        <v>54</v>
      </c>
      <c r="AB846" t="s">
        <v>213</v>
      </c>
      <c r="AC846" t="s">
        <v>85</v>
      </c>
      <c r="AD846" t="s">
        <v>214</v>
      </c>
      <c r="AE846" t="s">
        <v>215</v>
      </c>
      <c r="AF846" t="s">
        <v>161</v>
      </c>
      <c r="AG846" t="s">
        <v>58</v>
      </c>
      <c r="AH846" t="s">
        <v>4116</v>
      </c>
      <c r="AK846">
        <v>3</v>
      </c>
      <c r="AL846" t="s">
        <v>61</v>
      </c>
      <c r="AM846" t="s">
        <v>4117</v>
      </c>
      <c r="AN846" t="s">
        <v>4118</v>
      </c>
    </row>
    <row r="847" spans="1:40" x14ac:dyDescent="0.35">
      <c r="A847" t="s">
        <v>37</v>
      </c>
      <c r="B847" t="s">
        <v>4119</v>
      </c>
      <c r="C847" t="s">
        <v>39</v>
      </c>
      <c r="D847" t="s">
        <v>1352</v>
      </c>
      <c r="E847" t="s">
        <v>1353</v>
      </c>
      <c r="F847" s="1">
        <v>46076.536840277775</v>
      </c>
      <c r="G847" t="s">
        <v>377</v>
      </c>
      <c r="H847" t="s">
        <v>287</v>
      </c>
      <c r="I847" t="s">
        <v>1446</v>
      </c>
      <c r="J847" t="s">
        <v>2406</v>
      </c>
      <c r="K847" t="s">
        <v>1187</v>
      </c>
      <c r="M847" t="s">
        <v>131</v>
      </c>
      <c r="O847" t="s">
        <v>77</v>
      </c>
      <c r="P847" t="s">
        <v>78</v>
      </c>
      <c r="Q847" t="s">
        <v>50</v>
      </c>
      <c r="R847" t="s">
        <v>51</v>
      </c>
      <c r="S847" t="s">
        <v>52</v>
      </c>
      <c r="T847" t="s">
        <v>773</v>
      </c>
      <c r="U847" s="1">
        <v>46077.60297453704</v>
      </c>
      <c r="V847" t="s">
        <v>54</v>
      </c>
      <c r="W847" t="s">
        <v>55</v>
      </c>
      <c r="X847" t="s">
        <v>211</v>
      </c>
      <c r="Y847" t="s">
        <v>4120</v>
      </c>
      <c r="Z847" t="s">
        <v>58</v>
      </c>
      <c r="AA847" t="s">
        <v>54</v>
      </c>
      <c r="AB847" t="s">
        <v>213</v>
      </c>
      <c r="AC847" t="s">
        <v>85</v>
      </c>
      <c r="AD847" t="s">
        <v>1189</v>
      </c>
      <c r="AE847" t="s">
        <v>3436</v>
      </c>
      <c r="AF847" t="s">
        <v>3437</v>
      </c>
      <c r="AG847" t="s">
        <v>58</v>
      </c>
      <c r="AH847" t="s">
        <v>1357</v>
      </c>
      <c r="AK847">
        <v>6</v>
      </c>
      <c r="AL847" t="s">
        <v>61</v>
      </c>
      <c r="AM847" t="s">
        <v>1358</v>
      </c>
      <c r="AN847" t="s">
        <v>1359</v>
      </c>
    </row>
    <row r="848" spans="1:40" x14ac:dyDescent="0.35">
      <c r="A848" t="s">
        <v>37</v>
      </c>
      <c r="B848" t="s">
        <v>4121</v>
      </c>
      <c r="C848" t="s">
        <v>39</v>
      </c>
      <c r="D848" t="s">
        <v>4122</v>
      </c>
      <c r="E848" t="s">
        <v>4123</v>
      </c>
      <c r="F848" s="1">
        <v>46076.536793981482</v>
      </c>
      <c r="G848" t="s">
        <v>42</v>
      </c>
      <c r="H848" t="s">
        <v>43</v>
      </c>
      <c r="I848" t="s">
        <v>1185</v>
      </c>
      <c r="J848" t="s">
        <v>2406</v>
      </c>
      <c r="K848" t="s">
        <v>1187</v>
      </c>
      <c r="M848" t="s">
        <v>131</v>
      </c>
      <c r="O848" t="s">
        <v>77</v>
      </c>
      <c r="P848" t="s">
        <v>78</v>
      </c>
      <c r="Q848" t="s">
        <v>50</v>
      </c>
      <c r="R848" t="s">
        <v>305</v>
      </c>
      <c r="S848" t="s">
        <v>306</v>
      </c>
      <c r="T848" t="s">
        <v>307</v>
      </c>
      <c r="U848" s="1">
        <v>46077.576064814813</v>
      </c>
      <c r="V848" t="s">
        <v>54</v>
      </c>
      <c r="W848" t="s">
        <v>55</v>
      </c>
      <c r="X848" t="s">
        <v>211</v>
      </c>
      <c r="Y848" t="s">
        <v>4124</v>
      </c>
      <c r="Z848" t="s">
        <v>58</v>
      </c>
      <c r="AA848" t="s">
        <v>54</v>
      </c>
      <c r="AB848" t="s">
        <v>213</v>
      </c>
      <c r="AC848" t="s">
        <v>85</v>
      </c>
      <c r="AD848" t="s">
        <v>1189</v>
      </c>
      <c r="AE848" t="s">
        <v>1190</v>
      </c>
      <c r="AF848" t="s">
        <v>1191</v>
      </c>
      <c r="AG848" t="s">
        <v>58</v>
      </c>
      <c r="AH848" t="s">
        <v>4125</v>
      </c>
      <c r="AK848">
        <v>3</v>
      </c>
      <c r="AL848" t="s">
        <v>61</v>
      </c>
      <c r="AM848" t="s">
        <v>4126</v>
      </c>
      <c r="AN848" t="s">
        <v>4127</v>
      </c>
    </row>
    <row r="849" spans="1:40" x14ac:dyDescent="0.35">
      <c r="A849" t="s">
        <v>37</v>
      </c>
      <c r="B849" t="s">
        <v>4128</v>
      </c>
      <c r="C849" t="s">
        <v>39</v>
      </c>
      <c r="D849" t="s">
        <v>2588</v>
      </c>
      <c r="E849" t="s">
        <v>4129</v>
      </c>
      <c r="F849" s="1">
        <v>46076.536481481482</v>
      </c>
      <c r="G849" t="s">
        <v>432</v>
      </c>
      <c r="H849" t="s">
        <v>433</v>
      </c>
      <c r="I849" t="s">
        <v>1422</v>
      </c>
      <c r="J849" t="s">
        <v>4130</v>
      </c>
      <c r="K849" t="s">
        <v>1424</v>
      </c>
      <c r="M849" t="s">
        <v>131</v>
      </c>
      <c r="O849" t="s">
        <v>77</v>
      </c>
      <c r="P849" t="s">
        <v>78</v>
      </c>
      <c r="Q849" t="s">
        <v>50</v>
      </c>
      <c r="R849" t="s">
        <v>305</v>
      </c>
      <c r="S849" t="s">
        <v>306</v>
      </c>
      <c r="T849" t="s">
        <v>307</v>
      </c>
      <c r="U849" s="1">
        <v>46077.360277777778</v>
      </c>
      <c r="V849" t="s">
        <v>54</v>
      </c>
      <c r="X849" t="s">
        <v>211</v>
      </c>
      <c r="Y849" t="s">
        <v>4131</v>
      </c>
      <c r="Z849" t="s">
        <v>58</v>
      </c>
      <c r="AA849" t="s">
        <v>54</v>
      </c>
      <c r="AB849" t="s">
        <v>213</v>
      </c>
      <c r="AC849" t="s">
        <v>85</v>
      </c>
      <c r="AD849" t="s">
        <v>305</v>
      </c>
      <c r="AE849" t="s">
        <v>306</v>
      </c>
      <c r="AF849" t="s">
        <v>307</v>
      </c>
      <c r="AG849" t="s">
        <v>58</v>
      </c>
      <c r="AH849">
        <v>14715</v>
      </c>
      <c r="AK849">
        <v>1</v>
      </c>
      <c r="AL849" t="s">
        <v>61</v>
      </c>
      <c r="AM849" t="s">
        <v>4132</v>
      </c>
      <c r="AN849" t="s">
        <v>4133</v>
      </c>
    </row>
    <row r="850" spans="1:40" x14ac:dyDescent="0.35">
      <c r="A850" t="s">
        <v>37</v>
      </c>
      <c r="B850" t="s">
        <v>4134</v>
      </c>
      <c r="C850" t="s">
        <v>39</v>
      </c>
      <c r="D850" t="s">
        <v>89</v>
      </c>
      <c r="E850" t="s">
        <v>747</v>
      </c>
      <c r="F850" s="1">
        <v>46076.53528935185</v>
      </c>
      <c r="G850" t="s">
        <v>1094</v>
      </c>
      <c r="H850" t="s">
        <v>447</v>
      </c>
      <c r="I850" t="s">
        <v>205</v>
      </c>
      <c r="J850" t="s">
        <v>603</v>
      </c>
      <c r="K850" t="s">
        <v>207</v>
      </c>
      <c r="M850" t="s">
        <v>131</v>
      </c>
      <c r="O850" t="s">
        <v>77</v>
      </c>
      <c r="P850" t="s">
        <v>78</v>
      </c>
      <c r="Q850" t="s">
        <v>4135</v>
      </c>
      <c r="R850" t="s">
        <v>208</v>
      </c>
      <c r="S850" t="s">
        <v>209</v>
      </c>
      <c r="T850" t="s">
        <v>210</v>
      </c>
      <c r="U850" s="1">
        <v>46076.653993055559</v>
      </c>
      <c r="V850" t="s">
        <v>54</v>
      </c>
      <c r="W850" t="s">
        <v>55</v>
      </c>
      <c r="X850" t="s">
        <v>211</v>
      </c>
      <c r="Y850" t="s">
        <v>604</v>
      </c>
      <c r="Z850" t="s">
        <v>58</v>
      </c>
      <c r="AA850" t="s">
        <v>54</v>
      </c>
      <c r="AB850" t="s">
        <v>213</v>
      </c>
      <c r="AC850" t="s">
        <v>85</v>
      </c>
      <c r="AD850" t="s">
        <v>214</v>
      </c>
      <c r="AE850" t="s">
        <v>215</v>
      </c>
      <c r="AF850" t="s">
        <v>216</v>
      </c>
      <c r="AG850" t="s">
        <v>58</v>
      </c>
      <c r="AH850">
        <v>11148</v>
      </c>
      <c r="AK850">
        <v>1</v>
      </c>
      <c r="AL850" t="s">
        <v>61</v>
      </c>
      <c r="AM850" t="s">
        <v>4136</v>
      </c>
      <c r="AN850" t="s">
        <v>4137</v>
      </c>
    </row>
    <row r="851" spans="1:40" x14ac:dyDescent="0.35">
      <c r="A851" t="s">
        <v>37</v>
      </c>
      <c r="B851" t="s">
        <v>4138</v>
      </c>
      <c r="C851" t="s">
        <v>102</v>
      </c>
      <c r="D851" t="s">
        <v>676</v>
      </c>
      <c r="E851" t="s">
        <v>677</v>
      </c>
      <c r="F851" s="1">
        <v>46076.536944444444</v>
      </c>
      <c r="G851" t="s">
        <v>71</v>
      </c>
      <c r="H851" t="s">
        <v>72</v>
      </c>
      <c r="I851" t="s">
        <v>4139</v>
      </c>
      <c r="J851" t="s">
        <v>679</v>
      </c>
      <c r="K851" t="s">
        <v>130</v>
      </c>
      <c r="M851" t="s">
        <v>131</v>
      </c>
      <c r="O851" t="s">
        <v>77</v>
      </c>
      <c r="P851" t="s">
        <v>78</v>
      </c>
      <c r="Q851" t="s">
        <v>50</v>
      </c>
      <c r="R851" t="s">
        <v>51</v>
      </c>
      <c r="S851" t="s">
        <v>195</v>
      </c>
      <c r="T851" t="s">
        <v>680</v>
      </c>
      <c r="U851" s="1">
        <v>46076.563680555555</v>
      </c>
      <c r="V851" t="s">
        <v>54</v>
      </c>
      <c r="W851" t="s">
        <v>55</v>
      </c>
      <c r="X851" t="s">
        <v>134</v>
      </c>
      <c r="Y851" t="s">
        <v>4140</v>
      </c>
      <c r="Z851" t="s">
        <v>58</v>
      </c>
      <c r="AA851" t="s">
        <v>54</v>
      </c>
      <c r="AB851" t="s">
        <v>682</v>
      </c>
      <c r="AC851" t="s">
        <v>85</v>
      </c>
      <c r="AD851" t="s">
        <v>51</v>
      </c>
      <c r="AE851" t="s">
        <v>195</v>
      </c>
      <c r="AF851" t="s">
        <v>680</v>
      </c>
      <c r="AG851" t="s">
        <v>58</v>
      </c>
      <c r="AH851" t="s">
        <v>683</v>
      </c>
      <c r="AK851">
        <v>1</v>
      </c>
      <c r="AL851" t="s">
        <v>61</v>
      </c>
      <c r="AM851" t="s">
        <v>682</v>
      </c>
      <c r="AN851" t="s">
        <v>684</v>
      </c>
    </row>
    <row r="852" spans="1:40" x14ac:dyDescent="0.35">
      <c r="A852" t="s">
        <v>37</v>
      </c>
      <c r="B852" t="s">
        <v>4141</v>
      </c>
      <c r="C852" t="s">
        <v>39</v>
      </c>
      <c r="D852" t="s">
        <v>555</v>
      </c>
      <c r="E852" t="s">
        <v>757</v>
      </c>
      <c r="F852" s="1">
        <v>46076.539004629631</v>
      </c>
      <c r="G852" t="s">
        <v>913</v>
      </c>
      <c r="H852" t="s">
        <v>72</v>
      </c>
      <c r="I852" t="s">
        <v>1071</v>
      </c>
      <c r="J852" t="s">
        <v>1518</v>
      </c>
      <c r="K852" t="s">
        <v>75</v>
      </c>
      <c r="M852" t="s">
        <v>76</v>
      </c>
      <c r="O852" t="s">
        <v>77</v>
      </c>
      <c r="P852" t="s">
        <v>78</v>
      </c>
      <c r="Q852" t="s">
        <v>476</v>
      </c>
      <c r="R852" t="s">
        <v>79</v>
      </c>
      <c r="S852" t="s">
        <v>967</v>
      </c>
      <c r="T852" t="s">
        <v>1072</v>
      </c>
      <c r="U852" s="1">
        <v>46076.539305555554</v>
      </c>
      <c r="V852" t="s">
        <v>54</v>
      </c>
      <c r="W852" t="s">
        <v>55</v>
      </c>
      <c r="X852" t="s">
        <v>82</v>
      </c>
      <c r="Y852" t="s">
        <v>4142</v>
      </c>
      <c r="Z852" t="s">
        <v>58</v>
      </c>
      <c r="AA852" t="s">
        <v>54</v>
      </c>
      <c r="AB852" t="s">
        <v>1503</v>
      </c>
      <c r="AC852" t="s">
        <v>85</v>
      </c>
      <c r="AD852" t="s">
        <v>79</v>
      </c>
      <c r="AE852" t="s">
        <v>967</v>
      </c>
      <c r="AF852" t="s">
        <v>1072</v>
      </c>
      <c r="AG852" t="s">
        <v>58</v>
      </c>
      <c r="AH852">
        <v>11503</v>
      </c>
      <c r="AK852">
        <v>0</v>
      </c>
      <c r="AL852" t="s">
        <v>61</v>
      </c>
      <c r="AM852" t="s">
        <v>2833</v>
      </c>
      <c r="AN852" t="s">
        <v>2834</v>
      </c>
    </row>
    <row r="853" spans="1:40" x14ac:dyDescent="0.35">
      <c r="A853" t="s">
        <v>37</v>
      </c>
      <c r="B853" t="s">
        <v>4143</v>
      </c>
      <c r="C853" t="s">
        <v>102</v>
      </c>
      <c r="D853" t="s">
        <v>617</v>
      </c>
      <c r="E853" t="s">
        <v>618</v>
      </c>
      <c r="F853" s="1">
        <v>46076.525983796295</v>
      </c>
      <c r="G853" t="s">
        <v>286</v>
      </c>
      <c r="H853" t="s">
        <v>287</v>
      </c>
      <c r="I853" t="s">
        <v>4144</v>
      </c>
      <c r="J853" t="s">
        <v>620</v>
      </c>
      <c r="K853" t="s">
        <v>565</v>
      </c>
      <c r="M853" t="s">
        <v>76</v>
      </c>
      <c r="O853" t="s">
        <v>77</v>
      </c>
      <c r="P853" t="s">
        <v>78</v>
      </c>
      <c r="Q853" t="s">
        <v>50</v>
      </c>
      <c r="R853" t="s">
        <v>132</v>
      </c>
      <c r="S853" t="s">
        <v>133</v>
      </c>
      <c r="T853" t="s">
        <v>133</v>
      </c>
      <c r="U853" s="1">
        <v>46076.579456018517</v>
      </c>
      <c r="V853" t="s">
        <v>54</v>
      </c>
      <c r="W853" t="s">
        <v>55</v>
      </c>
      <c r="X853" t="s">
        <v>134</v>
      </c>
      <c r="Y853" t="s">
        <v>4145</v>
      </c>
      <c r="Z853" t="s">
        <v>58</v>
      </c>
      <c r="AA853" t="s">
        <v>54</v>
      </c>
      <c r="AB853" t="s">
        <v>622</v>
      </c>
      <c r="AC853" t="s">
        <v>85</v>
      </c>
      <c r="AD853" t="s">
        <v>132</v>
      </c>
      <c r="AE853" t="s">
        <v>133</v>
      </c>
      <c r="AF853" t="s">
        <v>133</v>
      </c>
      <c r="AG853" t="s">
        <v>58</v>
      </c>
      <c r="AH853" t="s">
        <v>623</v>
      </c>
      <c r="AK853">
        <v>1</v>
      </c>
      <c r="AL853" t="s">
        <v>61</v>
      </c>
      <c r="AM853" t="s">
        <v>622</v>
      </c>
      <c r="AN853" t="s">
        <v>624</v>
      </c>
    </row>
    <row r="854" spans="1:40" x14ac:dyDescent="0.35">
      <c r="A854" t="s">
        <v>37</v>
      </c>
      <c r="B854" t="s">
        <v>4146</v>
      </c>
      <c r="C854" t="s">
        <v>39</v>
      </c>
      <c r="D854" t="s">
        <v>444</v>
      </c>
      <c r="E854" t="s">
        <v>4147</v>
      </c>
      <c r="F854" s="1">
        <v>46076.525509259256</v>
      </c>
      <c r="G854" t="s">
        <v>515</v>
      </c>
      <c r="H854" t="s">
        <v>92</v>
      </c>
      <c r="I854" t="s">
        <v>1052</v>
      </c>
      <c r="J854" t="s">
        <v>394</v>
      </c>
      <c r="K854" t="s">
        <v>75</v>
      </c>
      <c r="M854" t="s">
        <v>76</v>
      </c>
      <c r="O854" t="s">
        <v>77</v>
      </c>
      <c r="P854" t="s">
        <v>78</v>
      </c>
      <c r="Q854" t="s">
        <v>50</v>
      </c>
      <c r="R854" t="s">
        <v>79</v>
      </c>
      <c r="S854" t="s">
        <v>975</v>
      </c>
      <c r="T854" t="s">
        <v>976</v>
      </c>
      <c r="U854" s="1">
        <v>46076.537395833337</v>
      </c>
      <c r="V854" t="s">
        <v>54</v>
      </c>
      <c r="W854" t="s">
        <v>55</v>
      </c>
      <c r="X854" t="s">
        <v>82</v>
      </c>
      <c r="Y854" t="s">
        <v>4148</v>
      </c>
      <c r="Z854" t="s">
        <v>58</v>
      </c>
      <c r="AA854" t="s">
        <v>54</v>
      </c>
      <c r="AB854" t="s">
        <v>396</v>
      </c>
      <c r="AC854" t="s">
        <v>85</v>
      </c>
      <c r="AD854" t="s">
        <v>79</v>
      </c>
      <c r="AE854" t="s">
        <v>975</v>
      </c>
      <c r="AF854" t="s">
        <v>976</v>
      </c>
      <c r="AG854" t="s">
        <v>58</v>
      </c>
      <c r="AH854">
        <v>15837</v>
      </c>
      <c r="AK854">
        <v>0</v>
      </c>
      <c r="AL854" t="s">
        <v>61</v>
      </c>
      <c r="AM854" t="s">
        <v>4149</v>
      </c>
      <c r="AN854" t="s">
        <v>4150</v>
      </c>
    </row>
    <row r="855" spans="1:40" x14ac:dyDescent="0.35">
      <c r="A855" t="s">
        <v>37</v>
      </c>
      <c r="B855" t="s">
        <v>4151</v>
      </c>
      <c r="C855" t="s">
        <v>39</v>
      </c>
      <c r="D855" t="s">
        <v>40</v>
      </c>
      <c r="E855" t="s">
        <v>41</v>
      </c>
      <c r="F855" s="1">
        <v>46076.524074074077</v>
      </c>
      <c r="G855" t="s">
        <v>42</v>
      </c>
      <c r="H855" t="s">
        <v>43</v>
      </c>
      <c r="I855" t="s">
        <v>4152</v>
      </c>
      <c r="J855" t="s">
        <v>45</v>
      </c>
      <c r="K855" t="s">
        <v>46</v>
      </c>
      <c r="M855" t="s">
        <v>47</v>
      </c>
      <c r="O855" t="s">
        <v>48</v>
      </c>
      <c r="P855" t="s">
        <v>49</v>
      </c>
      <c r="Q855" t="s">
        <v>50</v>
      </c>
      <c r="R855" t="s">
        <v>51</v>
      </c>
      <c r="S855" t="s">
        <v>52</v>
      </c>
      <c r="T855" t="s">
        <v>53</v>
      </c>
      <c r="U855" s="1">
        <v>46076.525196759256</v>
      </c>
      <c r="V855" t="s">
        <v>54</v>
      </c>
      <c r="W855" t="s">
        <v>55</v>
      </c>
      <c r="X855" t="s">
        <v>56</v>
      </c>
      <c r="Y855" t="s">
        <v>57</v>
      </c>
      <c r="Z855" t="s">
        <v>58</v>
      </c>
      <c r="AA855" t="s">
        <v>54</v>
      </c>
      <c r="AB855" t="s">
        <v>59</v>
      </c>
      <c r="AC855" t="s">
        <v>60</v>
      </c>
      <c r="AD855" t="s">
        <v>51</v>
      </c>
      <c r="AE855" t="s">
        <v>52</v>
      </c>
      <c r="AF855" t="s">
        <v>53</v>
      </c>
      <c r="AG855" t="s">
        <v>58</v>
      </c>
      <c r="AK855">
        <v>0</v>
      </c>
      <c r="AL855" t="s">
        <v>61</v>
      </c>
      <c r="AM855" t="s">
        <v>59</v>
      </c>
      <c r="AN855" t="s">
        <v>62</v>
      </c>
    </row>
    <row r="856" spans="1:40" x14ac:dyDescent="0.35">
      <c r="A856" t="s">
        <v>37</v>
      </c>
      <c r="B856" t="s">
        <v>4153</v>
      </c>
      <c r="C856" t="s">
        <v>39</v>
      </c>
      <c r="D856" t="s">
        <v>40</v>
      </c>
      <c r="E856" t="s">
        <v>41</v>
      </c>
      <c r="F856" s="1">
        <v>46076.523958333331</v>
      </c>
      <c r="G856" t="s">
        <v>42</v>
      </c>
      <c r="H856" t="s">
        <v>43</v>
      </c>
      <c r="I856" t="s">
        <v>4154</v>
      </c>
      <c r="J856" t="s">
        <v>45</v>
      </c>
      <c r="K856" t="s">
        <v>46</v>
      </c>
      <c r="M856" t="s">
        <v>47</v>
      </c>
      <c r="O856" t="s">
        <v>48</v>
      </c>
      <c r="P856" t="s">
        <v>49</v>
      </c>
      <c r="Q856" t="s">
        <v>50</v>
      </c>
      <c r="R856" t="s">
        <v>51</v>
      </c>
      <c r="S856" t="s">
        <v>52</v>
      </c>
      <c r="T856" t="s">
        <v>53</v>
      </c>
      <c r="U856" s="1">
        <v>46076.525046296294</v>
      </c>
      <c r="V856" t="s">
        <v>54</v>
      </c>
      <c r="W856" t="s">
        <v>55</v>
      </c>
      <c r="X856" t="s">
        <v>56</v>
      </c>
      <c r="Y856" t="s">
        <v>57</v>
      </c>
      <c r="Z856" t="s">
        <v>58</v>
      </c>
      <c r="AA856" t="s">
        <v>54</v>
      </c>
      <c r="AB856" t="s">
        <v>59</v>
      </c>
      <c r="AC856" t="s">
        <v>60</v>
      </c>
      <c r="AD856" t="s">
        <v>51</v>
      </c>
      <c r="AE856" t="s">
        <v>52</v>
      </c>
      <c r="AF856" t="s">
        <v>53</v>
      </c>
      <c r="AG856" t="s">
        <v>58</v>
      </c>
      <c r="AK856">
        <v>0</v>
      </c>
      <c r="AL856" t="s">
        <v>61</v>
      </c>
      <c r="AM856" t="s">
        <v>59</v>
      </c>
      <c r="AN856" t="s">
        <v>62</v>
      </c>
    </row>
    <row r="857" spans="1:40" x14ac:dyDescent="0.35">
      <c r="A857" t="s">
        <v>37</v>
      </c>
      <c r="B857" t="s">
        <v>4155</v>
      </c>
      <c r="C857" t="s">
        <v>39</v>
      </c>
      <c r="D857" t="s">
        <v>40</v>
      </c>
      <c r="E857" t="s">
        <v>41</v>
      </c>
      <c r="F857" s="1">
        <v>46076.523854166669</v>
      </c>
      <c r="G857" t="s">
        <v>42</v>
      </c>
      <c r="H857" t="s">
        <v>43</v>
      </c>
      <c r="I857" t="s">
        <v>4156</v>
      </c>
      <c r="J857" t="s">
        <v>45</v>
      </c>
      <c r="K857" t="s">
        <v>46</v>
      </c>
      <c r="M857" t="s">
        <v>47</v>
      </c>
      <c r="O857" t="s">
        <v>48</v>
      </c>
      <c r="P857" t="s">
        <v>49</v>
      </c>
      <c r="Q857" t="s">
        <v>50</v>
      </c>
      <c r="R857" t="s">
        <v>51</v>
      </c>
      <c r="S857" t="s">
        <v>52</v>
      </c>
      <c r="T857" t="s">
        <v>53</v>
      </c>
      <c r="U857" s="1">
        <v>46076.524594907409</v>
      </c>
      <c r="V857" t="s">
        <v>54</v>
      </c>
      <c r="W857" t="s">
        <v>55</v>
      </c>
      <c r="X857" t="s">
        <v>56</v>
      </c>
      <c r="Y857" t="s">
        <v>57</v>
      </c>
      <c r="Z857" t="s">
        <v>58</v>
      </c>
      <c r="AA857" t="s">
        <v>54</v>
      </c>
      <c r="AB857" t="s">
        <v>59</v>
      </c>
      <c r="AC857" t="s">
        <v>60</v>
      </c>
      <c r="AD857" t="s">
        <v>51</v>
      </c>
      <c r="AE857" t="s">
        <v>52</v>
      </c>
      <c r="AF857" t="s">
        <v>53</v>
      </c>
      <c r="AG857" t="s">
        <v>58</v>
      </c>
      <c r="AK857">
        <v>0</v>
      </c>
      <c r="AL857" t="s">
        <v>61</v>
      </c>
      <c r="AM857" t="s">
        <v>59</v>
      </c>
      <c r="AN857" t="s">
        <v>62</v>
      </c>
    </row>
    <row r="858" spans="1:40" x14ac:dyDescent="0.35">
      <c r="A858" t="s">
        <v>37</v>
      </c>
      <c r="B858" t="s">
        <v>4157</v>
      </c>
      <c r="C858" t="s">
        <v>39</v>
      </c>
      <c r="D858" t="s">
        <v>799</v>
      </c>
      <c r="E858" t="s">
        <v>1421</v>
      </c>
      <c r="F858" s="1">
        <v>46076.522615740738</v>
      </c>
      <c r="G858" t="s">
        <v>273</v>
      </c>
      <c r="H858" t="s">
        <v>233</v>
      </c>
      <c r="I858" t="s">
        <v>205</v>
      </c>
      <c r="J858" t="s">
        <v>603</v>
      </c>
      <c r="K858" t="s">
        <v>207</v>
      </c>
      <c r="M858" t="s">
        <v>131</v>
      </c>
      <c r="O858" t="s">
        <v>77</v>
      </c>
      <c r="P858" t="s">
        <v>78</v>
      </c>
      <c r="Q858" t="s">
        <v>50</v>
      </c>
      <c r="R858" t="s">
        <v>208</v>
      </c>
      <c r="S858" t="s">
        <v>209</v>
      </c>
      <c r="T858" t="s">
        <v>210</v>
      </c>
      <c r="U858" s="1">
        <v>46076.65934027778</v>
      </c>
      <c r="V858" t="s">
        <v>54</v>
      </c>
      <c r="W858" t="s">
        <v>55</v>
      </c>
      <c r="X858" t="s">
        <v>211</v>
      </c>
      <c r="Y858" t="s">
        <v>604</v>
      </c>
      <c r="Z858" t="s">
        <v>58</v>
      </c>
      <c r="AA858" t="s">
        <v>54</v>
      </c>
      <c r="AB858" t="s">
        <v>213</v>
      </c>
      <c r="AC858" t="s">
        <v>85</v>
      </c>
      <c r="AD858" t="s">
        <v>214</v>
      </c>
      <c r="AE858" t="s">
        <v>215</v>
      </c>
      <c r="AF858" t="s">
        <v>216</v>
      </c>
      <c r="AG858" t="s">
        <v>58</v>
      </c>
      <c r="AH858">
        <v>14460</v>
      </c>
      <c r="AK858">
        <v>1</v>
      </c>
      <c r="AL858" t="s">
        <v>61</v>
      </c>
      <c r="AM858" t="s">
        <v>4158</v>
      </c>
      <c r="AN858" t="s">
        <v>4159</v>
      </c>
    </row>
    <row r="859" spans="1:40" x14ac:dyDescent="0.35">
      <c r="A859" t="s">
        <v>37</v>
      </c>
      <c r="B859" t="s">
        <v>4160</v>
      </c>
      <c r="C859" t="s">
        <v>39</v>
      </c>
      <c r="D859" t="s">
        <v>2688</v>
      </c>
      <c r="E859" t="s">
        <v>482</v>
      </c>
      <c r="F859" s="1">
        <v>46076.521423611113</v>
      </c>
      <c r="G859" t="s">
        <v>3050</v>
      </c>
      <c r="H859" t="s">
        <v>233</v>
      </c>
      <c r="I859" t="s">
        <v>1185</v>
      </c>
      <c r="J859" t="s">
        <v>2406</v>
      </c>
      <c r="K859" t="s">
        <v>1187</v>
      </c>
      <c r="M859" t="s">
        <v>131</v>
      </c>
      <c r="O859" t="s">
        <v>77</v>
      </c>
      <c r="P859" t="s">
        <v>78</v>
      </c>
      <c r="R859" t="s">
        <v>305</v>
      </c>
      <c r="S859" t="s">
        <v>306</v>
      </c>
      <c r="T859" t="s">
        <v>307</v>
      </c>
      <c r="U859" s="1">
        <v>46077.574606481481</v>
      </c>
      <c r="V859" t="s">
        <v>54</v>
      </c>
      <c r="W859" t="s">
        <v>55</v>
      </c>
      <c r="X859" t="s">
        <v>211</v>
      </c>
      <c r="Y859" t="s">
        <v>4161</v>
      </c>
      <c r="Z859" t="s">
        <v>58</v>
      </c>
      <c r="AA859" t="s">
        <v>54</v>
      </c>
      <c r="AB859" t="s">
        <v>213</v>
      </c>
      <c r="AC859" t="s">
        <v>85</v>
      </c>
      <c r="AD859" t="s">
        <v>1189</v>
      </c>
      <c r="AE859" t="s">
        <v>1190</v>
      </c>
      <c r="AF859" t="s">
        <v>1191</v>
      </c>
      <c r="AG859" t="s">
        <v>58</v>
      </c>
      <c r="AH859">
        <v>15034</v>
      </c>
      <c r="AK859">
        <v>3</v>
      </c>
      <c r="AL859" t="s">
        <v>61</v>
      </c>
      <c r="AM859" t="s">
        <v>4162</v>
      </c>
      <c r="AN859" t="s">
        <v>4163</v>
      </c>
    </row>
    <row r="860" spans="1:40" x14ac:dyDescent="0.35">
      <c r="A860" t="s">
        <v>37</v>
      </c>
      <c r="B860" t="s">
        <v>4164</v>
      </c>
      <c r="C860" t="s">
        <v>39</v>
      </c>
      <c r="D860" t="s">
        <v>640</v>
      </c>
      <c r="E860" t="s">
        <v>4165</v>
      </c>
      <c r="F860" s="1">
        <v>46076.520300925928</v>
      </c>
      <c r="G860" t="s">
        <v>2053</v>
      </c>
      <c r="H860" t="s">
        <v>106</v>
      </c>
      <c r="I860" t="s">
        <v>205</v>
      </c>
      <c r="J860" t="s">
        <v>603</v>
      </c>
      <c r="K860" t="s">
        <v>207</v>
      </c>
      <c r="M860" t="s">
        <v>131</v>
      </c>
      <c r="O860" t="s">
        <v>77</v>
      </c>
      <c r="P860" t="s">
        <v>78</v>
      </c>
      <c r="Q860" t="s">
        <v>4166</v>
      </c>
      <c r="R860" t="s">
        <v>208</v>
      </c>
      <c r="S860" t="s">
        <v>209</v>
      </c>
      <c r="T860" t="s">
        <v>210</v>
      </c>
      <c r="U860" s="1">
        <v>46076.663078703707</v>
      </c>
      <c r="V860" t="s">
        <v>1338</v>
      </c>
      <c r="W860" t="s">
        <v>55</v>
      </c>
      <c r="X860" t="s">
        <v>211</v>
      </c>
      <c r="Y860" t="s">
        <v>604</v>
      </c>
      <c r="Z860" t="s">
        <v>58</v>
      </c>
      <c r="AA860" t="s">
        <v>1338</v>
      </c>
      <c r="AB860" t="s">
        <v>213</v>
      </c>
      <c r="AC860" t="s">
        <v>85</v>
      </c>
      <c r="AD860" t="s">
        <v>214</v>
      </c>
      <c r="AE860" t="s">
        <v>215</v>
      </c>
      <c r="AF860" t="s">
        <v>216</v>
      </c>
      <c r="AG860" t="s">
        <v>58</v>
      </c>
      <c r="AH860">
        <v>4381</v>
      </c>
      <c r="AK860">
        <v>1</v>
      </c>
      <c r="AL860" t="s">
        <v>410</v>
      </c>
      <c r="AM860" t="s">
        <v>4167</v>
      </c>
      <c r="AN860" t="s">
        <v>4168</v>
      </c>
    </row>
    <row r="861" spans="1:40" x14ac:dyDescent="0.35">
      <c r="A861" t="s">
        <v>37</v>
      </c>
      <c r="B861" t="s">
        <v>4169</v>
      </c>
      <c r="C861" t="s">
        <v>39</v>
      </c>
      <c r="D861" t="s">
        <v>2268</v>
      </c>
      <c r="E861" t="s">
        <v>2269</v>
      </c>
      <c r="F861" s="1">
        <v>46076.520185185182</v>
      </c>
      <c r="G861" t="s">
        <v>355</v>
      </c>
      <c r="H861" t="s">
        <v>356</v>
      </c>
      <c r="I861" t="s">
        <v>1446</v>
      </c>
      <c r="J861" t="s">
        <v>695</v>
      </c>
      <c r="K861" t="s">
        <v>75</v>
      </c>
      <c r="M861" t="s">
        <v>76</v>
      </c>
      <c r="O861" t="s">
        <v>77</v>
      </c>
      <c r="P861" t="s">
        <v>78</v>
      </c>
      <c r="Q861" t="s">
        <v>50</v>
      </c>
      <c r="R861" t="s">
        <v>305</v>
      </c>
      <c r="S861" t="s">
        <v>306</v>
      </c>
      <c r="T861" t="s">
        <v>307</v>
      </c>
      <c r="U861" s="1">
        <v>46077.472280092596</v>
      </c>
      <c r="V861" t="s">
        <v>54</v>
      </c>
      <c r="W861" t="s">
        <v>55</v>
      </c>
      <c r="X861" t="s">
        <v>211</v>
      </c>
      <c r="Y861" t="s">
        <v>4170</v>
      </c>
      <c r="Z861" t="s">
        <v>58</v>
      </c>
      <c r="AA861" t="s">
        <v>54</v>
      </c>
      <c r="AB861" t="s">
        <v>213</v>
      </c>
      <c r="AC861" t="s">
        <v>85</v>
      </c>
      <c r="AD861" t="s">
        <v>79</v>
      </c>
      <c r="AE861" t="s">
        <v>80</v>
      </c>
      <c r="AF861" t="s">
        <v>4171</v>
      </c>
      <c r="AG861" t="s">
        <v>58</v>
      </c>
      <c r="AH861">
        <v>15060</v>
      </c>
      <c r="AK861">
        <v>2</v>
      </c>
      <c r="AL861" t="s">
        <v>61</v>
      </c>
      <c r="AM861" t="s">
        <v>2273</v>
      </c>
      <c r="AN861" t="s">
        <v>2274</v>
      </c>
    </row>
    <row r="862" spans="1:40" x14ac:dyDescent="0.35">
      <c r="A862" t="s">
        <v>37</v>
      </c>
      <c r="B862" t="s">
        <v>4172</v>
      </c>
      <c r="C862" t="s">
        <v>39</v>
      </c>
      <c r="D862" t="s">
        <v>4173</v>
      </c>
      <c r="E862" t="s">
        <v>4174</v>
      </c>
      <c r="F862" s="1">
        <v>46076.520138888889</v>
      </c>
      <c r="I862" t="s">
        <v>1295</v>
      </c>
      <c r="J862" t="s">
        <v>455</v>
      </c>
      <c r="K862" t="s">
        <v>436</v>
      </c>
      <c r="M862" t="s">
        <v>76</v>
      </c>
      <c r="O862" t="s">
        <v>77</v>
      </c>
      <c r="P862" t="s">
        <v>78</v>
      </c>
      <c r="Q862" t="s">
        <v>50</v>
      </c>
      <c r="R862" t="s">
        <v>51</v>
      </c>
      <c r="S862" t="s">
        <v>52</v>
      </c>
      <c r="T862" t="s">
        <v>240</v>
      </c>
      <c r="U862" s="1">
        <v>46078.499074074076</v>
      </c>
      <c r="V862" t="s">
        <v>54</v>
      </c>
      <c r="W862" t="s">
        <v>55</v>
      </c>
      <c r="X862" t="s">
        <v>134</v>
      </c>
      <c r="Y862" t="s">
        <v>4175</v>
      </c>
      <c r="Z862" t="s">
        <v>58</v>
      </c>
      <c r="AA862" t="s">
        <v>54</v>
      </c>
      <c r="AB862" t="s">
        <v>458</v>
      </c>
      <c r="AC862" t="s">
        <v>85</v>
      </c>
      <c r="AD862" t="s">
        <v>52</v>
      </c>
      <c r="AE862" t="s">
        <v>438</v>
      </c>
      <c r="AF862" t="s">
        <v>775</v>
      </c>
      <c r="AG862" t="s">
        <v>58</v>
      </c>
      <c r="AH862" t="s">
        <v>4176</v>
      </c>
      <c r="AK862">
        <v>1</v>
      </c>
      <c r="AL862" t="s">
        <v>61</v>
      </c>
      <c r="AM862" t="s">
        <v>4177</v>
      </c>
      <c r="AN862" t="s">
        <v>4178</v>
      </c>
    </row>
    <row r="863" spans="1:40" x14ac:dyDescent="0.35">
      <c r="A863" t="s">
        <v>37</v>
      </c>
      <c r="B863" t="s">
        <v>4179</v>
      </c>
      <c r="C863" t="s">
        <v>39</v>
      </c>
      <c r="D863" t="s">
        <v>2268</v>
      </c>
      <c r="E863" t="s">
        <v>2269</v>
      </c>
      <c r="F863" s="1">
        <v>46076.519363425927</v>
      </c>
      <c r="G863" t="s">
        <v>355</v>
      </c>
      <c r="H863" t="s">
        <v>356</v>
      </c>
      <c r="I863" t="s">
        <v>1446</v>
      </c>
      <c r="J863" t="s">
        <v>394</v>
      </c>
      <c r="K863" t="s">
        <v>75</v>
      </c>
      <c r="M863" t="s">
        <v>76</v>
      </c>
      <c r="O863" t="s">
        <v>77</v>
      </c>
      <c r="P863" t="s">
        <v>78</v>
      </c>
      <c r="Q863" t="s">
        <v>50</v>
      </c>
      <c r="R863" t="s">
        <v>305</v>
      </c>
      <c r="S863" t="s">
        <v>306</v>
      </c>
      <c r="T863" t="s">
        <v>307</v>
      </c>
      <c r="U863" s="1">
        <v>46078.543553240743</v>
      </c>
      <c r="V863" t="s">
        <v>54</v>
      </c>
      <c r="W863" t="s">
        <v>55</v>
      </c>
      <c r="X863" t="s">
        <v>211</v>
      </c>
      <c r="Y863" t="s">
        <v>4180</v>
      </c>
      <c r="Z863" t="s">
        <v>58</v>
      </c>
      <c r="AA863" t="s">
        <v>54</v>
      </c>
      <c r="AB863" t="s">
        <v>213</v>
      </c>
      <c r="AC863" t="s">
        <v>85</v>
      </c>
      <c r="AD863" t="s">
        <v>79</v>
      </c>
      <c r="AE863" t="s">
        <v>1016</v>
      </c>
      <c r="AF863" t="s">
        <v>4181</v>
      </c>
      <c r="AG863" t="s">
        <v>58</v>
      </c>
      <c r="AH863">
        <v>15060</v>
      </c>
      <c r="AK863">
        <v>11</v>
      </c>
      <c r="AL863" t="s">
        <v>61</v>
      </c>
      <c r="AM863" t="s">
        <v>2273</v>
      </c>
      <c r="AN863" t="s">
        <v>2274</v>
      </c>
    </row>
    <row r="864" spans="1:40" x14ac:dyDescent="0.35">
      <c r="A864" t="s">
        <v>37</v>
      </c>
      <c r="B864" t="s">
        <v>4182</v>
      </c>
      <c r="C864" t="s">
        <v>39</v>
      </c>
      <c r="D864" t="s">
        <v>4183</v>
      </c>
      <c r="E864" t="s">
        <v>4184</v>
      </c>
      <c r="F864" s="1">
        <v>46076.520532407405</v>
      </c>
      <c r="G864" t="s">
        <v>487</v>
      </c>
      <c r="H864" t="s">
        <v>447</v>
      </c>
      <c r="I864" t="s">
        <v>4185</v>
      </c>
      <c r="J864" t="s">
        <v>741</v>
      </c>
      <c r="K864" t="s">
        <v>207</v>
      </c>
      <c r="M864" t="s">
        <v>131</v>
      </c>
      <c r="O864" t="s">
        <v>77</v>
      </c>
      <c r="P864" t="s">
        <v>78</v>
      </c>
      <c r="Q864" t="s">
        <v>4186</v>
      </c>
      <c r="R864" t="s">
        <v>79</v>
      </c>
      <c r="S864" t="s">
        <v>967</v>
      </c>
      <c r="T864" t="s">
        <v>1072</v>
      </c>
      <c r="U864" s="1">
        <v>46076.55263888889</v>
      </c>
      <c r="V864" t="s">
        <v>54</v>
      </c>
      <c r="W864" t="s">
        <v>55</v>
      </c>
      <c r="X864" t="s">
        <v>82</v>
      </c>
      <c r="Y864" t="s">
        <v>4187</v>
      </c>
      <c r="Z864" t="s">
        <v>58</v>
      </c>
      <c r="AA864" t="s">
        <v>54</v>
      </c>
      <c r="AB864" t="s">
        <v>954</v>
      </c>
      <c r="AC864" t="s">
        <v>85</v>
      </c>
      <c r="AD864" t="s">
        <v>214</v>
      </c>
      <c r="AE864" t="s">
        <v>215</v>
      </c>
      <c r="AF864" t="s">
        <v>216</v>
      </c>
      <c r="AG864" t="s">
        <v>58</v>
      </c>
      <c r="AH864">
        <v>3945</v>
      </c>
      <c r="AK864">
        <v>1</v>
      </c>
      <c r="AL864" t="s">
        <v>61</v>
      </c>
      <c r="AM864" t="s">
        <v>4188</v>
      </c>
      <c r="AN864" t="s">
        <v>4189</v>
      </c>
    </row>
    <row r="865" spans="1:40" x14ac:dyDescent="0.35">
      <c r="A865" t="s">
        <v>37</v>
      </c>
      <c r="B865" t="s">
        <v>4190</v>
      </c>
      <c r="C865" t="s">
        <v>39</v>
      </c>
      <c r="D865" t="s">
        <v>4191</v>
      </c>
      <c r="E865" t="s">
        <v>4192</v>
      </c>
      <c r="F865" s="1">
        <v>46076.518217592595</v>
      </c>
      <c r="G865" t="s">
        <v>42</v>
      </c>
      <c r="H865" t="s">
        <v>43</v>
      </c>
      <c r="I865" t="s">
        <v>205</v>
      </c>
      <c r="J865" t="s">
        <v>603</v>
      </c>
      <c r="K865" t="s">
        <v>207</v>
      </c>
      <c r="M865" t="s">
        <v>131</v>
      </c>
      <c r="O865" t="s">
        <v>77</v>
      </c>
      <c r="P865" t="s">
        <v>78</v>
      </c>
      <c r="Q865" t="s">
        <v>50</v>
      </c>
      <c r="R865" t="s">
        <v>208</v>
      </c>
      <c r="S865" t="s">
        <v>209</v>
      </c>
      <c r="T865" t="s">
        <v>210</v>
      </c>
      <c r="U865" s="1">
        <v>46076.663877314815</v>
      </c>
      <c r="V865" t="s">
        <v>54</v>
      </c>
      <c r="W865" t="s">
        <v>55</v>
      </c>
      <c r="X865" t="s">
        <v>211</v>
      </c>
      <c r="Y865" t="s">
        <v>604</v>
      </c>
      <c r="Z865" t="s">
        <v>58</v>
      </c>
      <c r="AA865" t="s">
        <v>54</v>
      </c>
      <c r="AB865" t="s">
        <v>213</v>
      </c>
      <c r="AC865" t="s">
        <v>85</v>
      </c>
      <c r="AD865" t="s">
        <v>214</v>
      </c>
      <c r="AE865" t="s">
        <v>215</v>
      </c>
      <c r="AF865" t="s">
        <v>216</v>
      </c>
      <c r="AG865" t="s">
        <v>58</v>
      </c>
      <c r="AH865" t="s">
        <v>4193</v>
      </c>
      <c r="AK865">
        <v>1</v>
      </c>
      <c r="AL865" t="s">
        <v>61</v>
      </c>
      <c r="AM865" t="s">
        <v>4194</v>
      </c>
      <c r="AN865" t="s">
        <v>4195</v>
      </c>
    </row>
    <row r="866" spans="1:40" x14ac:dyDescent="0.35">
      <c r="A866" t="s">
        <v>37</v>
      </c>
      <c r="B866" t="s">
        <v>4196</v>
      </c>
      <c r="C866" t="s">
        <v>39</v>
      </c>
      <c r="D866" t="s">
        <v>635</v>
      </c>
      <c r="E866" t="s">
        <v>303</v>
      </c>
      <c r="F866" s="1">
        <v>46076.518912037034</v>
      </c>
      <c r="G866" t="s">
        <v>393</v>
      </c>
      <c r="H866" t="s">
        <v>92</v>
      </c>
      <c r="I866" t="s">
        <v>4197</v>
      </c>
      <c r="J866" t="s">
        <v>2117</v>
      </c>
      <c r="K866" t="s">
        <v>2109</v>
      </c>
      <c r="M866" t="s">
        <v>131</v>
      </c>
      <c r="O866" t="s">
        <v>77</v>
      </c>
      <c r="P866" t="s">
        <v>78</v>
      </c>
      <c r="Q866" t="s">
        <v>50</v>
      </c>
      <c r="R866" t="s">
        <v>51</v>
      </c>
      <c r="S866" t="s">
        <v>52</v>
      </c>
      <c r="T866" t="s">
        <v>240</v>
      </c>
      <c r="U866" s="1">
        <v>46077.3983912037</v>
      </c>
      <c r="V866" t="s">
        <v>54</v>
      </c>
      <c r="W866" t="s">
        <v>55</v>
      </c>
      <c r="X866" t="s">
        <v>134</v>
      </c>
      <c r="Y866" t="s">
        <v>2918</v>
      </c>
      <c r="Z866" t="s">
        <v>58</v>
      </c>
      <c r="AA866" t="s">
        <v>54</v>
      </c>
      <c r="AB866" t="s">
        <v>458</v>
      </c>
      <c r="AC866" t="s">
        <v>85</v>
      </c>
      <c r="AD866" t="s">
        <v>52</v>
      </c>
      <c r="AE866" t="s">
        <v>438</v>
      </c>
      <c r="AF866" t="s">
        <v>2111</v>
      </c>
      <c r="AG866" t="s">
        <v>58</v>
      </c>
      <c r="AH866">
        <v>15912</v>
      </c>
      <c r="AK866">
        <v>1</v>
      </c>
      <c r="AL866" t="s">
        <v>61</v>
      </c>
      <c r="AM866" t="s">
        <v>4198</v>
      </c>
      <c r="AN866" t="s">
        <v>4199</v>
      </c>
    </row>
    <row r="867" spans="1:40" x14ac:dyDescent="0.35">
      <c r="A867" t="s">
        <v>37</v>
      </c>
      <c r="B867" t="s">
        <v>4200</v>
      </c>
      <c r="C867" t="s">
        <v>102</v>
      </c>
      <c r="D867" t="s">
        <v>3786</v>
      </c>
      <c r="E867" t="s">
        <v>469</v>
      </c>
      <c r="F867" s="1">
        <v>46076.519803240742</v>
      </c>
      <c r="G867" t="s">
        <v>105</v>
      </c>
      <c r="H867" t="s">
        <v>106</v>
      </c>
      <c r="I867" t="s">
        <v>107</v>
      </c>
      <c r="J867" t="s">
        <v>108</v>
      </c>
      <c r="K867" t="s">
        <v>109</v>
      </c>
      <c r="M867" t="s">
        <v>76</v>
      </c>
      <c r="O867" t="s">
        <v>77</v>
      </c>
      <c r="P867" t="s">
        <v>78</v>
      </c>
      <c r="Q867" t="s">
        <v>541</v>
      </c>
      <c r="R867" t="s">
        <v>111</v>
      </c>
      <c r="S867" t="s">
        <v>51</v>
      </c>
      <c r="T867" t="s">
        <v>112</v>
      </c>
      <c r="U867" s="1">
        <v>46076.647337962961</v>
      </c>
      <c r="V867" t="s">
        <v>54</v>
      </c>
      <c r="W867" t="s">
        <v>55</v>
      </c>
      <c r="X867" t="s">
        <v>113</v>
      </c>
      <c r="Y867" t="s">
        <v>4201</v>
      </c>
      <c r="Z867" t="s">
        <v>58</v>
      </c>
      <c r="AA867" t="s">
        <v>54</v>
      </c>
      <c r="AB867" t="s">
        <v>115</v>
      </c>
      <c r="AC867" t="s">
        <v>85</v>
      </c>
      <c r="AD867" t="s">
        <v>116</v>
      </c>
      <c r="AE867" t="s">
        <v>117</v>
      </c>
      <c r="AF867" t="s">
        <v>118</v>
      </c>
      <c r="AG867" t="s">
        <v>58</v>
      </c>
      <c r="AH867">
        <v>5935</v>
      </c>
      <c r="AK867">
        <v>1</v>
      </c>
      <c r="AL867" t="s">
        <v>61</v>
      </c>
      <c r="AM867" t="s">
        <v>3789</v>
      </c>
      <c r="AN867" t="s">
        <v>3790</v>
      </c>
    </row>
    <row r="868" spans="1:40" x14ac:dyDescent="0.35">
      <c r="A868" t="s">
        <v>37</v>
      </c>
      <c r="B868" t="s">
        <v>4202</v>
      </c>
      <c r="C868" t="s">
        <v>102</v>
      </c>
      <c r="D868" t="s">
        <v>191</v>
      </c>
      <c r="E868" t="s">
        <v>192</v>
      </c>
      <c r="F868" s="1">
        <v>46076.51834490741</v>
      </c>
      <c r="G868" t="s">
        <v>71</v>
      </c>
      <c r="H868" t="s">
        <v>72</v>
      </c>
      <c r="I868" t="s">
        <v>2212</v>
      </c>
      <c r="J868" t="s">
        <v>194</v>
      </c>
      <c r="K868" t="s">
        <v>130</v>
      </c>
      <c r="M868" t="s">
        <v>131</v>
      </c>
      <c r="O868" t="s">
        <v>77</v>
      </c>
      <c r="P868" t="s">
        <v>78</v>
      </c>
      <c r="Q868" t="s">
        <v>50</v>
      </c>
      <c r="R868" t="s">
        <v>51</v>
      </c>
      <c r="S868" t="s">
        <v>52</v>
      </c>
      <c r="T868" t="s">
        <v>195</v>
      </c>
      <c r="U868" s="1">
        <v>46076.560844907406</v>
      </c>
      <c r="V868" t="s">
        <v>54</v>
      </c>
      <c r="W868" t="s">
        <v>55</v>
      </c>
      <c r="X868" t="s">
        <v>134</v>
      </c>
      <c r="Y868" t="s">
        <v>4203</v>
      </c>
      <c r="Z868" t="s">
        <v>58</v>
      </c>
      <c r="AA868" t="s">
        <v>54</v>
      </c>
      <c r="AB868" t="s">
        <v>198</v>
      </c>
      <c r="AC868" t="s">
        <v>85</v>
      </c>
      <c r="AD868" t="s">
        <v>51</v>
      </c>
      <c r="AE868" t="s">
        <v>52</v>
      </c>
      <c r="AF868" t="s">
        <v>195</v>
      </c>
      <c r="AG868" t="s">
        <v>58</v>
      </c>
      <c r="AH868" t="s">
        <v>199</v>
      </c>
      <c r="AK868">
        <v>1</v>
      </c>
      <c r="AL868" t="s">
        <v>61</v>
      </c>
      <c r="AM868" t="s">
        <v>198</v>
      </c>
      <c r="AN868" t="s">
        <v>200</v>
      </c>
    </row>
    <row r="869" spans="1:40" x14ac:dyDescent="0.35">
      <c r="A869" t="s">
        <v>37</v>
      </c>
      <c r="B869" t="s">
        <v>4204</v>
      </c>
      <c r="C869" t="s">
        <v>39</v>
      </c>
      <c r="D869" t="s">
        <v>4205</v>
      </c>
      <c r="E869" t="s">
        <v>4206</v>
      </c>
      <c r="F869" s="1">
        <v>46076.516689814816</v>
      </c>
      <c r="G869" t="s">
        <v>42</v>
      </c>
      <c r="H869" t="s">
        <v>43</v>
      </c>
      <c r="I869" t="s">
        <v>205</v>
      </c>
      <c r="J869" t="s">
        <v>603</v>
      </c>
      <c r="K869" t="s">
        <v>207</v>
      </c>
      <c r="M869" t="s">
        <v>131</v>
      </c>
      <c r="O869" t="s">
        <v>77</v>
      </c>
      <c r="P869" t="s">
        <v>78</v>
      </c>
      <c r="Q869" t="s">
        <v>50</v>
      </c>
      <c r="R869" t="s">
        <v>208</v>
      </c>
      <c r="S869" t="s">
        <v>209</v>
      </c>
      <c r="T869" t="s">
        <v>210</v>
      </c>
      <c r="U869" s="1">
        <v>46076.665324074071</v>
      </c>
      <c r="V869" t="s">
        <v>54</v>
      </c>
      <c r="W869" t="s">
        <v>55</v>
      </c>
      <c r="X869" t="s">
        <v>211</v>
      </c>
      <c r="Y869" t="s">
        <v>604</v>
      </c>
      <c r="Z869" t="s">
        <v>58</v>
      </c>
      <c r="AA869" t="s">
        <v>54</v>
      </c>
      <c r="AB869" t="s">
        <v>213</v>
      </c>
      <c r="AC869" t="s">
        <v>85</v>
      </c>
      <c r="AD869" t="s">
        <v>214</v>
      </c>
      <c r="AE869" t="s">
        <v>215</v>
      </c>
      <c r="AF869" t="s">
        <v>216</v>
      </c>
      <c r="AG869" t="s">
        <v>58</v>
      </c>
      <c r="AH869" t="s">
        <v>4207</v>
      </c>
      <c r="AK869">
        <v>1</v>
      </c>
      <c r="AL869" t="s">
        <v>61</v>
      </c>
      <c r="AM869" t="s">
        <v>4208</v>
      </c>
      <c r="AN869" t="s">
        <v>4209</v>
      </c>
    </row>
    <row r="870" spans="1:40" x14ac:dyDescent="0.35">
      <c r="A870" t="s">
        <v>37</v>
      </c>
      <c r="B870" t="s">
        <v>4210</v>
      </c>
      <c r="C870" t="s">
        <v>39</v>
      </c>
      <c r="D870" t="s">
        <v>469</v>
      </c>
      <c r="E870" t="s">
        <v>4211</v>
      </c>
      <c r="F870" s="1">
        <v>46076.516493055555</v>
      </c>
      <c r="G870" t="s">
        <v>355</v>
      </c>
      <c r="H870" t="s">
        <v>356</v>
      </c>
      <c r="I870" t="s">
        <v>1446</v>
      </c>
      <c r="J870" t="s">
        <v>4212</v>
      </c>
      <c r="K870" t="s">
        <v>4213</v>
      </c>
      <c r="M870" t="s">
        <v>131</v>
      </c>
      <c r="O870" t="s">
        <v>77</v>
      </c>
      <c r="P870" t="s">
        <v>78</v>
      </c>
      <c r="Q870" t="s">
        <v>50</v>
      </c>
      <c r="R870" t="s">
        <v>51</v>
      </c>
      <c r="S870" t="s">
        <v>52</v>
      </c>
      <c r="T870" t="s">
        <v>773</v>
      </c>
      <c r="U870" s="1">
        <v>46077.484317129631</v>
      </c>
      <c r="V870" t="s">
        <v>54</v>
      </c>
      <c r="W870" t="s">
        <v>55</v>
      </c>
      <c r="X870" t="s">
        <v>211</v>
      </c>
      <c r="Y870" t="s">
        <v>4214</v>
      </c>
      <c r="Z870" t="s">
        <v>58</v>
      </c>
      <c r="AA870" t="s">
        <v>54</v>
      </c>
      <c r="AB870" t="s">
        <v>213</v>
      </c>
      <c r="AC870" t="s">
        <v>85</v>
      </c>
      <c r="AD870" t="s">
        <v>52</v>
      </c>
      <c r="AE870" t="s">
        <v>438</v>
      </c>
      <c r="AF870" t="s">
        <v>775</v>
      </c>
      <c r="AG870" t="s">
        <v>58</v>
      </c>
      <c r="AH870" t="s">
        <v>4215</v>
      </c>
      <c r="AK870">
        <v>3</v>
      </c>
      <c r="AL870" t="s">
        <v>61</v>
      </c>
      <c r="AM870" t="s">
        <v>4216</v>
      </c>
      <c r="AN870" t="s">
        <v>4217</v>
      </c>
    </row>
    <row r="871" spans="1:40" x14ac:dyDescent="0.35">
      <c r="A871" t="s">
        <v>37</v>
      </c>
      <c r="B871" t="s">
        <v>4218</v>
      </c>
      <c r="C871" t="s">
        <v>39</v>
      </c>
      <c r="D871" t="s">
        <v>608</v>
      </c>
      <c r="E871" t="s">
        <v>609</v>
      </c>
      <c r="F871" s="1">
        <v>46076.515902777777</v>
      </c>
      <c r="G871" t="s">
        <v>42</v>
      </c>
      <c r="H871" t="s">
        <v>43</v>
      </c>
      <c r="I871" t="s">
        <v>205</v>
      </c>
      <c r="J871" t="s">
        <v>206</v>
      </c>
      <c r="K871" t="s">
        <v>207</v>
      </c>
      <c r="M871" t="s">
        <v>131</v>
      </c>
      <c r="O871" t="s">
        <v>77</v>
      </c>
      <c r="P871" t="s">
        <v>78</v>
      </c>
      <c r="Q871" t="s">
        <v>50</v>
      </c>
      <c r="R871" t="s">
        <v>305</v>
      </c>
      <c r="S871" t="s">
        <v>306</v>
      </c>
      <c r="T871" t="s">
        <v>307</v>
      </c>
      <c r="U871" s="1">
        <v>46077.863437499997</v>
      </c>
      <c r="V871" t="s">
        <v>54</v>
      </c>
      <c r="W871" t="s">
        <v>55</v>
      </c>
      <c r="X871" t="s">
        <v>211</v>
      </c>
      <c r="Y871" t="s">
        <v>4219</v>
      </c>
      <c r="Z871" t="s">
        <v>58</v>
      </c>
      <c r="AA871" t="s">
        <v>54</v>
      </c>
      <c r="AB871" t="s">
        <v>213</v>
      </c>
      <c r="AC871" t="s">
        <v>85</v>
      </c>
      <c r="AD871" t="s">
        <v>214</v>
      </c>
      <c r="AE871" t="s">
        <v>215</v>
      </c>
      <c r="AF871" t="s">
        <v>216</v>
      </c>
      <c r="AG871" t="s">
        <v>58</v>
      </c>
      <c r="AH871" t="s">
        <v>613</v>
      </c>
      <c r="AK871">
        <v>4</v>
      </c>
      <c r="AL871" t="s">
        <v>61</v>
      </c>
      <c r="AM871" t="s">
        <v>614</v>
      </c>
      <c r="AN871" t="s">
        <v>615</v>
      </c>
    </row>
    <row r="872" spans="1:40" x14ac:dyDescent="0.35">
      <c r="A872" t="s">
        <v>37</v>
      </c>
      <c r="B872" t="s">
        <v>4220</v>
      </c>
      <c r="C872" t="s">
        <v>102</v>
      </c>
      <c r="D872" t="s">
        <v>1429</v>
      </c>
      <c r="E872" t="s">
        <v>3115</v>
      </c>
      <c r="F872" s="1">
        <v>46076.514803240738</v>
      </c>
      <c r="G872" t="s">
        <v>688</v>
      </c>
      <c r="H872" t="s">
        <v>106</v>
      </c>
      <c r="I872" t="s">
        <v>4221</v>
      </c>
      <c r="J872" t="s">
        <v>724</v>
      </c>
      <c r="K872" t="s">
        <v>75</v>
      </c>
      <c r="M872" t="s">
        <v>76</v>
      </c>
      <c r="O872" t="s">
        <v>237</v>
      </c>
      <c r="P872" t="s">
        <v>238</v>
      </c>
      <c r="Q872" t="s">
        <v>50</v>
      </c>
      <c r="R872" t="s">
        <v>79</v>
      </c>
      <c r="S872" t="s">
        <v>955</v>
      </c>
      <c r="T872" t="s">
        <v>2460</v>
      </c>
      <c r="U872" s="1">
        <v>46076.527962962966</v>
      </c>
      <c r="V872" t="s">
        <v>54</v>
      </c>
      <c r="W872" t="s">
        <v>55</v>
      </c>
      <c r="X872" t="s">
        <v>82</v>
      </c>
      <c r="Y872" t="s">
        <v>4222</v>
      </c>
      <c r="Z872" t="s">
        <v>58</v>
      </c>
      <c r="AA872" t="s">
        <v>54</v>
      </c>
      <c r="AB872" t="s">
        <v>727</v>
      </c>
      <c r="AC872" t="s">
        <v>242</v>
      </c>
      <c r="AD872" t="s">
        <v>79</v>
      </c>
      <c r="AE872" t="s">
        <v>955</v>
      </c>
      <c r="AF872" t="s">
        <v>2460</v>
      </c>
      <c r="AG872" t="s">
        <v>58</v>
      </c>
      <c r="AH872">
        <v>15347</v>
      </c>
      <c r="AK872">
        <v>2</v>
      </c>
      <c r="AL872" t="s">
        <v>61</v>
      </c>
      <c r="AM872" t="s">
        <v>3121</v>
      </c>
      <c r="AN872" t="s">
        <v>3122</v>
      </c>
    </row>
    <row r="873" spans="1:40" x14ac:dyDescent="0.35">
      <c r="A873" t="s">
        <v>37</v>
      </c>
      <c r="B873" t="s">
        <v>4223</v>
      </c>
      <c r="C873" t="s">
        <v>39</v>
      </c>
      <c r="D873" t="s">
        <v>4224</v>
      </c>
      <c r="E873" t="s">
        <v>4225</v>
      </c>
      <c r="F873" s="1">
        <v>46076.512546296297</v>
      </c>
      <c r="G873" t="s">
        <v>487</v>
      </c>
      <c r="H873" t="s">
        <v>447</v>
      </c>
      <c r="I873" t="s">
        <v>4226</v>
      </c>
      <c r="J873" t="s">
        <v>695</v>
      </c>
      <c r="K873" t="s">
        <v>75</v>
      </c>
      <c r="M873" t="s">
        <v>76</v>
      </c>
      <c r="O873" t="s">
        <v>77</v>
      </c>
      <c r="P873" t="s">
        <v>78</v>
      </c>
      <c r="Q873" t="s">
        <v>1141</v>
      </c>
      <c r="R873" t="s">
        <v>79</v>
      </c>
      <c r="S873" t="s">
        <v>4227</v>
      </c>
      <c r="T873" t="s">
        <v>4228</v>
      </c>
      <c r="U873" s="1">
        <v>46076.524733796294</v>
      </c>
      <c r="V873" t="s">
        <v>54</v>
      </c>
      <c r="W873" t="s">
        <v>55</v>
      </c>
      <c r="X873" t="s">
        <v>134</v>
      </c>
      <c r="Y873" t="s">
        <v>4229</v>
      </c>
      <c r="Z873" t="s">
        <v>58</v>
      </c>
      <c r="AA873" t="s">
        <v>54</v>
      </c>
      <c r="AB873" t="s">
        <v>458</v>
      </c>
      <c r="AC873" t="s">
        <v>85</v>
      </c>
      <c r="AD873" t="s">
        <v>79</v>
      </c>
      <c r="AE873" t="s">
        <v>975</v>
      </c>
      <c r="AF873" t="s">
        <v>3622</v>
      </c>
      <c r="AG873" t="s">
        <v>58</v>
      </c>
      <c r="AH873">
        <v>3102</v>
      </c>
      <c r="AK873">
        <v>1</v>
      </c>
      <c r="AL873" t="s">
        <v>410</v>
      </c>
      <c r="AM873" t="s">
        <v>4230</v>
      </c>
      <c r="AN873" t="s">
        <v>4231</v>
      </c>
    </row>
    <row r="874" spans="1:40" x14ac:dyDescent="0.35">
      <c r="A874" t="s">
        <v>37</v>
      </c>
      <c r="B874" t="s">
        <v>4232</v>
      </c>
      <c r="C874" t="s">
        <v>39</v>
      </c>
      <c r="D874" t="s">
        <v>4233</v>
      </c>
      <c r="E874" t="s">
        <v>230</v>
      </c>
      <c r="F874" s="1">
        <v>46076.511331018519</v>
      </c>
      <c r="G874" t="s">
        <v>4234</v>
      </c>
      <c r="H874" t="s">
        <v>233</v>
      </c>
      <c r="I874" t="s">
        <v>2543</v>
      </c>
      <c r="J874" t="s">
        <v>2256</v>
      </c>
      <c r="K874" t="s">
        <v>2257</v>
      </c>
      <c r="M874" t="s">
        <v>131</v>
      </c>
      <c r="O874" t="s">
        <v>77</v>
      </c>
      <c r="P874" t="s">
        <v>78</v>
      </c>
      <c r="Q874" t="s">
        <v>4235</v>
      </c>
      <c r="R874" t="s">
        <v>51</v>
      </c>
      <c r="S874" t="s">
        <v>52</v>
      </c>
      <c r="T874" t="s">
        <v>773</v>
      </c>
      <c r="U874" s="1">
        <v>46077.405162037037</v>
      </c>
      <c r="V874" t="s">
        <v>54</v>
      </c>
      <c r="W874" t="s">
        <v>55</v>
      </c>
      <c r="X874" t="s">
        <v>134</v>
      </c>
      <c r="Y874" t="s">
        <v>4236</v>
      </c>
      <c r="Z874" t="s">
        <v>58</v>
      </c>
      <c r="AA874" t="s">
        <v>54</v>
      </c>
      <c r="AB874" t="s">
        <v>408</v>
      </c>
      <c r="AC874" t="s">
        <v>85</v>
      </c>
      <c r="AD874" t="s">
        <v>52</v>
      </c>
      <c r="AE874" t="s">
        <v>438</v>
      </c>
      <c r="AF874" t="s">
        <v>2204</v>
      </c>
      <c r="AG874" t="s">
        <v>58</v>
      </c>
      <c r="AH874">
        <v>6558</v>
      </c>
      <c r="AK874">
        <v>1</v>
      </c>
      <c r="AL874" t="s">
        <v>61</v>
      </c>
      <c r="AM874" t="s">
        <v>4237</v>
      </c>
      <c r="AN874" t="s">
        <v>4238</v>
      </c>
    </row>
    <row r="875" spans="1:40" x14ac:dyDescent="0.35">
      <c r="A875" t="s">
        <v>37</v>
      </c>
      <c r="B875" t="s">
        <v>4239</v>
      </c>
      <c r="C875" t="s">
        <v>39</v>
      </c>
      <c r="D875" t="s">
        <v>527</v>
      </c>
      <c r="E875" t="s">
        <v>528</v>
      </c>
      <c r="F875" s="1">
        <v>46076.510567129626</v>
      </c>
      <c r="G875" t="s">
        <v>508</v>
      </c>
      <c r="H875" t="s">
        <v>72</v>
      </c>
      <c r="I875" t="s">
        <v>2821</v>
      </c>
      <c r="J875" t="s">
        <v>557</v>
      </c>
      <c r="K875" t="s">
        <v>75</v>
      </c>
      <c r="M875" t="s">
        <v>76</v>
      </c>
      <c r="O875" t="s">
        <v>77</v>
      </c>
      <c r="P875" t="s">
        <v>78</v>
      </c>
      <c r="Q875" t="s">
        <v>50</v>
      </c>
      <c r="R875" t="s">
        <v>79</v>
      </c>
      <c r="S875" t="s">
        <v>967</v>
      </c>
      <c r="T875" t="s">
        <v>1072</v>
      </c>
      <c r="U875" s="1">
        <v>46077.393437500003</v>
      </c>
      <c r="V875" t="s">
        <v>54</v>
      </c>
      <c r="W875" t="s">
        <v>55</v>
      </c>
      <c r="X875" t="s">
        <v>82</v>
      </c>
      <c r="Y875" t="s">
        <v>2822</v>
      </c>
      <c r="Z875" t="s">
        <v>58</v>
      </c>
      <c r="AA875" t="s">
        <v>54</v>
      </c>
      <c r="AB875" t="s">
        <v>645</v>
      </c>
      <c r="AC875" t="s">
        <v>85</v>
      </c>
      <c r="AD875" t="s">
        <v>79</v>
      </c>
      <c r="AE875" t="s">
        <v>967</v>
      </c>
      <c r="AF875" t="s">
        <v>1072</v>
      </c>
      <c r="AG875" t="s">
        <v>58</v>
      </c>
      <c r="AH875">
        <v>12824</v>
      </c>
      <c r="AK875">
        <v>0</v>
      </c>
      <c r="AL875" t="s">
        <v>61</v>
      </c>
      <c r="AM875" t="s">
        <v>529</v>
      </c>
      <c r="AN875" t="s">
        <v>530</v>
      </c>
    </row>
    <row r="876" spans="1:40" x14ac:dyDescent="0.35">
      <c r="A876" t="s">
        <v>37</v>
      </c>
      <c r="B876" t="s">
        <v>4240</v>
      </c>
      <c r="C876" t="s">
        <v>102</v>
      </c>
      <c r="D876" t="s">
        <v>4241</v>
      </c>
      <c r="E876" t="s">
        <v>4242</v>
      </c>
      <c r="F876" s="1">
        <v>46076.510798611111</v>
      </c>
      <c r="G876" t="s">
        <v>597</v>
      </c>
      <c r="H876" t="s">
        <v>287</v>
      </c>
      <c r="I876" t="s">
        <v>4243</v>
      </c>
      <c r="J876" t="s">
        <v>4244</v>
      </c>
      <c r="K876" t="s">
        <v>951</v>
      </c>
      <c r="M876" t="s">
        <v>131</v>
      </c>
      <c r="O876" t="s">
        <v>237</v>
      </c>
      <c r="P876" t="s">
        <v>238</v>
      </c>
      <c r="Q876" t="s">
        <v>50</v>
      </c>
      <c r="R876" t="s">
        <v>79</v>
      </c>
      <c r="S876" t="s">
        <v>4245</v>
      </c>
      <c r="T876" t="s">
        <v>4246</v>
      </c>
      <c r="U876" s="1">
        <v>46076.632592592592</v>
      </c>
      <c r="V876" t="s">
        <v>54</v>
      </c>
      <c r="W876" t="s">
        <v>55</v>
      </c>
      <c r="X876" t="s">
        <v>82</v>
      </c>
      <c r="Y876" t="s">
        <v>4247</v>
      </c>
      <c r="Z876" t="s">
        <v>58</v>
      </c>
      <c r="AA876" t="s">
        <v>54</v>
      </c>
      <c r="AB876" t="s">
        <v>2721</v>
      </c>
      <c r="AC876" t="s">
        <v>242</v>
      </c>
      <c r="AD876" t="s">
        <v>79</v>
      </c>
      <c r="AE876" t="s">
        <v>4248</v>
      </c>
      <c r="AF876" t="s">
        <v>4248</v>
      </c>
      <c r="AG876" t="s">
        <v>58</v>
      </c>
      <c r="AH876">
        <v>6141</v>
      </c>
      <c r="AK876">
        <v>1</v>
      </c>
      <c r="AL876" t="s">
        <v>61</v>
      </c>
      <c r="AM876" t="s">
        <v>4249</v>
      </c>
      <c r="AN876" t="s">
        <v>4250</v>
      </c>
    </row>
    <row r="877" spans="1:40" x14ac:dyDescent="0.35">
      <c r="A877" t="s">
        <v>37</v>
      </c>
      <c r="B877" t="s">
        <v>4251</v>
      </c>
      <c r="C877" t="s">
        <v>39</v>
      </c>
      <c r="D877" t="s">
        <v>4233</v>
      </c>
      <c r="E877" t="s">
        <v>230</v>
      </c>
      <c r="F877" s="1">
        <v>46076.508726851855</v>
      </c>
      <c r="G877" t="s">
        <v>4234</v>
      </c>
      <c r="H877" t="s">
        <v>233</v>
      </c>
      <c r="I877" t="s">
        <v>4252</v>
      </c>
      <c r="J877" t="s">
        <v>2200</v>
      </c>
      <c r="K877" t="s">
        <v>2201</v>
      </c>
      <c r="M877" t="s">
        <v>131</v>
      </c>
      <c r="O877" t="s">
        <v>77</v>
      </c>
      <c r="P877" t="s">
        <v>78</v>
      </c>
      <c r="Q877" t="s">
        <v>4235</v>
      </c>
      <c r="R877" t="s">
        <v>51</v>
      </c>
      <c r="S877" t="s">
        <v>52</v>
      </c>
      <c r="T877" t="s">
        <v>773</v>
      </c>
      <c r="U877" s="1">
        <v>46077.636145833334</v>
      </c>
      <c r="V877" t="s">
        <v>54</v>
      </c>
      <c r="W877" t="s">
        <v>55</v>
      </c>
      <c r="X877" t="s">
        <v>134</v>
      </c>
      <c r="Y877" t="s">
        <v>4253</v>
      </c>
      <c r="Z877" t="s">
        <v>58</v>
      </c>
      <c r="AA877" t="s">
        <v>54</v>
      </c>
      <c r="AB877" t="s">
        <v>408</v>
      </c>
      <c r="AC877" t="s">
        <v>85</v>
      </c>
      <c r="AD877" t="s">
        <v>52</v>
      </c>
      <c r="AE877" t="s">
        <v>438</v>
      </c>
      <c r="AF877" t="s">
        <v>439</v>
      </c>
      <c r="AG877" t="s">
        <v>58</v>
      </c>
      <c r="AH877">
        <v>6558</v>
      </c>
      <c r="AK877">
        <v>1</v>
      </c>
      <c r="AL877" t="s">
        <v>61</v>
      </c>
      <c r="AM877" t="s">
        <v>4237</v>
      </c>
      <c r="AN877" t="s">
        <v>4238</v>
      </c>
    </row>
    <row r="878" spans="1:40" x14ac:dyDescent="0.35">
      <c r="A878" t="s">
        <v>37</v>
      </c>
      <c r="B878" t="s">
        <v>4254</v>
      </c>
      <c r="C878" t="s">
        <v>39</v>
      </c>
      <c r="D878" t="s">
        <v>4255</v>
      </c>
      <c r="E878" t="s">
        <v>469</v>
      </c>
      <c r="F878" s="1">
        <v>46076.50712962963</v>
      </c>
      <c r="G878" t="s">
        <v>304</v>
      </c>
      <c r="H878" t="s">
        <v>106</v>
      </c>
      <c r="I878" t="s">
        <v>4256</v>
      </c>
      <c r="J878" t="s">
        <v>4257</v>
      </c>
      <c r="K878" t="s">
        <v>75</v>
      </c>
      <c r="M878" t="s">
        <v>76</v>
      </c>
      <c r="O878" t="s">
        <v>77</v>
      </c>
      <c r="P878" t="s">
        <v>78</v>
      </c>
      <c r="Q878" t="s">
        <v>50</v>
      </c>
      <c r="R878" t="s">
        <v>305</v>
      </c>
      <c r="S878" t="s">
        <v>306</v>
      </c>
      <c r="T878" t="s">
        <v>307</v>
      </c>
      <c r="U878" s="1">
        <v>46076.57234953704</v>
      </c>
      <c r="V878" t="s">
        <v>54</v>
      </c>
      <c r="W878" t="s">
        <v>55</v>
      </c>
      <c r="X878" t="s">
        <v>211</v>
      </c>
      <c r="Y878" t="s">
        <v>4258</v>
      </c>
      <c r="Z878" t="s">
        <v>58</v>
      </c>
      <c r="AA878" t="s">
        <v>54</v>
      </c>
      <c r="AB878" t="s">
        <v>213</v>
      </c>
      <c r="AC878" t="s">
        <v>85</v>
      </c>
      <c r="AD878" t="s">
        <v>214</v>
      </c>
      <c r="AE878" t="s">
        <v>4259</v>
      </c>
      <c r="AF878" t="s">
        <v>4260</v>
      </c>
      <c r="AG878" t="s">
        <v>58</v>
      </c>
      <c r="AH878" t="s">
        <v>4261</v>
      </c>
      <c r="AK878">
        <v>3</v>
      </c>
      <c r="AL878" t="s">
        <v>61</v>
      </c>
      <c r="AM878" t="s">
        <v>4262</v>
      </c>
      <c r="AN878" t="s">
        <v>4263</v>
      </c>
    </row>
    <row r="879" spans="1:40" x14ac:dyDescent="0.35">
      <c r="A879" t="s">
        <v>37</v>
      </c>
      <c r="B879" t="s">
        <v>4264</v>
      </c>
      <c r="C879" t="s">
        <v>39</v>
      </c>
      <c r="D879" t="s">
        <v>4265</v>
      </c>
      <c r="E879" t="s">
        <v>4266</v>
      </c>
      <c r="F879" s="1">
        <v>46076.505937499998</v>
      </c>
      <c r="G879" t="s">
        <v>1363</v>
      </c>
      <c r="H879" t="s">
        <v>106</v>
      </c>
      <c r="I879" t="s">
        <v>4267</v>
      </c>
      <c r="J879" t="s">
        <v>2117</v>
      </c>
      <c r="K879" t="s">
        <v>2109</v>
      </c>
      <c r="M879" t="s">
        <v>131</v>
      </c>
      <c r="O879" t="s">
        <v>77</v>
      </c>
      <c r="P879" t="s">
        <v>78</v>
      </c>
      <c r="Q879" t="s">
        <v>50</v>
      </c>
      <c r="R879" t="s">
        <v>51</v>
      </c>
      <c r="S879" t="s">
        <v>52</v>
      </c>
      <c r="T879" t="s">
        <v>240</v>
      </c>
      <c r="U879" s="1">
        <v>46077.392060185186</v>
      </c>
      <c r="V879" t="s">
        <v>54</v>
      </c>
      <c r="W879" t="s">
        <v>55</v>
      </c>
      <c r="X879" t="s">
        <v>134</v>
      </c>
      <c r="Y879" t="s">
        <v>2918</v>
      </c>
      <c r="Z879" t="s">
        <v>58</v>
      </c>
      <c r="AA879" t="s">
        <v>54</v>
      </c>
      <c r="AB879" t="s">
        <v>458</v>
      </c>
      <c r="AC879" t="s">
        <v>85</v>
      </c>
      <c r="AD879" t="s">
        <v>52</v>
      </c>
      <c r="AE879" t="s">
        <v>438</v>
      </c>
      <c r="AF879" t="s">
        <v>2111</v>
      </c>
      <c r="AG879" t="s">
        <v>58</v>
      </c>
      <c r="AH879">
        <v>15972</v>
      </c>
      <c r="AK879">
        <v>1</v>
      </c>
      <c r="AL879" t="s">
        <v>61</v>
      </c>
      <c r="AM879" t="s">
        <v>4268</v>
      </c>
      <c r="AN879" t="s">
        <v>4269</v>
      </c>
    </row>
    <row r="880" spans="1:40" x14ac:dyDescent="0.35">
      <c r="A880" t="s">
        <v>37</v>
      </c>
      <c r="B880" t="s">
        <v>4270</v>
      </c>
      <c r="C880" t="s">
        <v>39</v>
      </c>
      <c r="D880" t="s">
        <v>3696</v>
      </c>
      <c r="E880" t="s">
        <v>1116</v>
      </c>
      <c r="F880" s="1">
        <v>46076.503877314812</v>
      </c>
      <c r="G880" t="s">
        <v>42</v>
      </c>
      <c r="H880" t="s">
        <v>43</v>
      </c>
      <c r="I880" t="s">
        <v>205</v>
      </c>
      <c r="J880" t="s">
        <v>603</v>
      </c>
      <c r="K880" t="s">
        <v>207</v>
      </c>
      <c r="M880" t="s">
        <v>131</v>
      </c>
      <c r="O880" t="s">
        <v>77</v>
      </c>
      <c r="P880" t="s">
        <v>78</v>
      </c>
      <c r="Q880" t="s">
        <v>50</v>
      </c>
      <c r="R880" t="s">
        <v>208</v>
      </c>
      <c r="S880" t="s">
        <v>209</v>
      </c>
      <c r="T880" t="s">
        <v>210</v>
      </c>
      <c r="U880" s="1">
        <v>46076.666875000003</v>
      </c>
      <c r="V880" t="s">
        <v>54</v>
      </c>
      <c r="W880" t="s">
        <v>55</v>
      </c>
      <c r="X880" t="s">
        <v>211</v>
      </c>
      <c r="Y880" t="s">
        <v>604</v>
      </c>
      <c r="Z880" t="s">
        <v>58</v>
      </c>
      <c r="AA880" t="s">
        <v>54</v>
      </c>
      <c r="AB880" t="s">
        <v>213</v>
      </c>
      <c r="AC880" t="s">
        <v>85</v>
      </c>
      <c r="AD880" t="s">
        <v>214</v>
      </c>
      <c r="AE880" t="s">
        <v>215</v>
      </c>
      <c r="AF880" t="s">
        <v>216</v>
      </c>
      <c r="AG880" t="s">
        <v>58</v>
      </c>
      <c r="AH880">
        <v>15797</v>
      </c>
      <c r="AK880">
        <v>1</v>
      </c>
      <c r="AL880" t="s">
        <v>61</v>
      </c>
      <c r="AM880" t="s">
        <v>4271</v>
      </c>
      <c r="AN880" t="s">
        <v>4272</v>
      </c>
    </row>
    <row r="881" spans="1:40" x14ac:dyDescent="0.35">
      <c r="A881" t="s">
        <v>37</v>
      </c>
      <c r="B881" t="s">
        <v>4273</v>
      </c>
      <c r="C881" t="s">
        <v>39</v>
      </c>
      <c r="D881" t="s">
        <v>2503</v>
      </c>
      <c r="E881" t="s">
        <v>4274</v>
      </c>
      <c r="F881" s="1">
        <v>46076.504641203705</v>
      </c>
      <c r="G881" t="s">
        <v>464</v>
      </c>
      <c r="H881" t="s">
        <v>287</v>
      </c>
      <c r="I881" t="s">
        <v>1087</v>
      </c>
      <c r="J881" t="s">
        <v>1015</v>
      </c>
      <c r="K881" t="s">
        <v>75</v>
      </c>
      <c r="M881" t="s">
        <v>76</v>
      </c>
      <c r="O881" t="s">
        <v>77</v>
      </c>
      <c r="P881" t="s">
        <v>78</v>
      </c>
      <c r="Q881" t="s">
        <v>50</v>
      </c>
      <c r="R881" t="s">
        <v>79</v>
      </c>
      <c r="S881" t="s">
        <v>1078</v>
      </c>
      <c r="T881" t="s">
        <v>1078</v>
      </c>
      <c r="U881" s="1">
        <v>46076.505173611113</v>
      </c>
      <c r="V881" t="s">
        <v>54</v>
      </c>
      <c r="W881" t="s">
        <v>55</v>
      </c>
      <c r="X881" t="s">
        <v>82</v>
      </c>
      <c r="Y881" t="s">
        <v>4275</v>
      </c>
      <c r="Z881" t="s">
        <v>58</v>
      </c>
      <c r="AA881" t="s">
        <v>54</v>
      </c>
      <c r="AB881" t="s">
        <v>954</v>
      </c>
      <c r="AC881" t="s">
        <v>85</v>
      </c>
      <c r="AD881" t="s">
        <v>79</v>
      </c>
      <c r="AE881" t="s">
        <v>1078</v>
      </c>
      <c r="AF881" t="s">
        <v>1078</v>
      </c>
      <c r="AG881" t="s">
        <v>58</v>
      </c>
      <c r="AH881">
        <v>14326</v>
      </c>
      <c r="AK881">
        <v>0</v>
      </c>
      <c r="AL881" t="s">
        <v>61</v>
      </c>
      <c r="AM881" t="s">
        <v>4276</v>
      </c>
      <c r="AN881" t="s">
        <v>4277</v>
      </c>
    </row>
    <row r="882" spans="1:40" x14ac:dyDescent="0.35">
      <c r="A882" t="s">
        <v>37</v>
      </c>
      <c r="B882" t="s">
        <v>4278</v>
      </c>
      <c r="C882" t="s">
        <v>39</v>
      </c>
      <c r="D882" t="s">
        <v>40</v>
      </c>
      <c r="E882" t="s">
        <v>41</v>
      </c>
      <c r="F882" s="1">
        <v>46076.503020833334</v>
      </c>
      <c r="G882" t="s">
        <v>42</v>
      </c>
      <c r="H882" t="s">
        <v>43</v>
      </c>
      <c r="I882" t="s">
        <v>4279</v>
      </c>
      <c r="J882" t="s">
        <v>45</v>
      </c>
      <c r="K882" t="s">
        <v>46</v>
      </c>
      <c r="M882" t="s">
        <v>47</v>
      </c>
      <c r="O882" t="s">
        <v>48</v>
      </c>
      <c r="P882" t="s">
        <v>49</v>
      </c>
      <c r="Q882" t="s">
        <v>50</v>
      </c>
      <c r="R882" t="s">
        <v>51</v>
      </c>
      <c r="S882" t="s">
        <v>52</v>
      </c>
      <c r="T882" t="s">
        <v>53</v>
      </c>
      <c r="U882" s="1">
        <v>46076.503738425927</v>
      </c>
      <c r="V882" t="s">
        <v>54</v>
      </c>
      <c r="W882" t="s">
        <v>55</v>
      </c>
      <c r="X882" t="s">
        <v>56</v>
      </c>
      <c r="Y882" t="s">
        <v>57</v>
      </c>
      <c r="Z882" t="s">
        <v>58</v>
      </c>
      <c r="AA882" t="s">
        <v>54</v>
      </c>
      <c r="AB882" t="s">
        <v>59</v>
      </c>
      <c r="AC882" t="s">
        <v>60</v>
      </c>
      <c r="AD882" t="s">
        <v>51</v>
      </c>
      <c r="AE882" t="s">
        <v>52</v>
      </c>
      <c r="AF882" t="s">
        <v>53</v>
      </c>
      <c r="AG882" t="s">
        <v>58</v>
      </c>
      <c r="AK882">
        <v>0</v>
      </c>
      <c r="AL882" t="s">
        <v>61</v>
      </c>
      <c r="AM882" t="s">
        <v>59</v>
      </c>
      <c r="AN882" t="s">
        <v>62</v>
      </c>
    </row>
    <row r="883" spans="1:40" x14ac:dyDescent="0.35">
      <c r="A883" t="s">
        <v>37</v>
      </c>
      <c r="B883" t="s">
        <v>4280</v>
      </c>
      <c r="C883" t="s">
        <v>102</v>
      </c>
      <c r="D883" t="s">
        <v>761</v>
      </c>
      <c r="E883" t="s">
        <v>762</v>
      </c>
      <c r="F883" s="1">
        <v>46076.503738425927</v>
      </c>
      <c r="G883" t="s">
        <v>105</v>
      </c>
      <c r="H883" t="s">
        <v>106</v>
      </c>
      <c r="I883" t="s">
        <v>4281</v>
      </c>
      <c r="J883" t="s">
        <v>108</v>
      </c>
      <c r="K883" t="s">
        <v>571</v>
      </c>
      <c r="M883" t="s">
        <v>76</v>
      </c>
      <c r="O883" t="s">
        <v>77</v>
      </c>
      <c r="P883" t="s">
        <v>78</v>
      </c>
      <c r="Q883" t="s">
        <v>50</v>
      </c>
      <c r="R883" t="s">
        <v>111</v>
      </c>
      <c r="S883" t="s">
        <v>51</v>
      </c>
      <c r="T883" t="s">
        <v>112</v>
      </c>
      <c r="U883" s="1">
        <v>46077.145914351851</v>
      </c>
      <c r="V883" t="s">
        <v>54</v>
      </c>
      <c r="W883" t="s">
        <v>55</v>
      </c>
      <c r="X883" t="s">
        <v>134</v>
      </c>
      <c r="Y883" t="s">
        <v>4282</v>
      </c>
      <c r="Z883" t="s">
        <v>58</v>
      </c>
      <c r="AA883" t="s">
        <v>54</v>
      </c>
      <c r="AB883" t="s">
        <v>115</v>
      </c>
      <c r="AC883" t="s">
        <v>85</v>
      </c>
      <c r="AD883" t="s">
        <v>116</v>
      </c>
      <c r="AE883" t="s">
        <v>1541</v>
      </c>
      <c r="AF883" t="s">
        <v>1569</v>
      </c>
      <c r="AG883" t="s">
        <v>58</v>
      </c>
      <c r="AH883" t="s">
        <v>765</v>
      </c>
      <c r="AK883">
        <v>1</v>
      </c>
      <c r="AL883" t="s">
        <v>61</v>
      </c>
      <c r="AM883" t="s">
        <v>766</v>
      </c>
      <c r="AN883" t="s">
        <v>767</v>
      </c>
    </row>
    <row r="884" spans="1:40" x14ac:dyDescent="0.35">
      <c r="A884" t="s">
        <v>37</v>
      </c>
      <c r="B884" t="s">
        <v>4283</v>
      </c>
      <c r="C884" t="s">
        <v>39</v>
      </c>
      <c r="D884" t="s">
        <v>1407</v>
      </c>
      <c r="E884" t="s">
        <v>469</v>
      </c>
      <c r="F884" s="1">
        <v>46076.502476851849</v>
      </c>
      <c r="G884" t="s">
        <v>4284</v>
      </c>
      <c r="H884" t="s">
        <v>4284</v>
      </c>
      <c r="I884" t="s">
        <v>1185</v>
      </c>
      <c r="J884" t="s">
        <v>2333</v>
      </c>
      <c r="K884" t="s">
        <v>1187</v>
      </c>
      <c r="M884" t="s">
        <v>76</v>
      </c>
      <c r="O884" t="s">
        <v>77</v>
      </c>
      <c r="P884" t="s">
        <v>78</v>
      </c>
      <c r="Q884" t="s">
        <v>50</v>
      </c>
      <c r="R884" t="s">
        <v>305</v>
      </c>
      <c r="S884" t="s">
        <v>306</v>
      </c>
      <c r="T884" t="s">
        <v>307</v>
      </c>
      <c r="U884" s="1">
        <v>46078.414097222223</v>
      </c>
      <c r="V884" t="s">
        <v>54</v>
      </c>
      <c r="W884" t="s">
        <v>55</v>
      </c>
      <c r="X884" t="s">
        <v>211</v>
      </c>
      <c r="Y884" t="s">
        <v>4285</v>
      </c>
      <c r="Z884" t="s">
        <v>58</v>
      </c>
      <c r="AA884" t="s">
        <v>54</v>
      </c>
      <c r="AB884" t="s">
        <v>213</v>
      </c>
      <c r="AC884" t="s">
        <v>85</v>
      </c>
      <c r="AD884" t="s">
        <v>1189</v>
      </c>
      <c r="AE884" t="s">
        <v>1190</v>
      </c>
      <c r="AF884" t="s">
        <v>1191</v>
      </c>
      <c r="AG884" t="s">
        <v>58</v>
      </c>
      <c r="AH884" t="s">
        <v>4286</v>
      </c>
      <c r="AK884">
        <v>3</v>
      </c>
      <c r="AL884" t="s">
        <v>61</v>
      </c>
      <c r="AM884" t="s">
        <v>4287</v>
      </c>
      <c r="AN884" t="s">
        <v>4288</v>
      </c>
    </row>
    <row r="885" spans="1:40" x14ac:dyDescent="0.35">
      <c r="A885" t="s">
        <v>37</v>
      </c>
      <c r="B885" t="s">
        <v>4289</v>
      </c>
      <c r="C885" t="s">
        <v>39</v>
      </c>
      <c r="D885" t="s">
        <v>4233</v>
      </c>
      <c r="E885" t="s">
        <v>230</v>
      </c>
      <c r="F885" s="1">
        <v>46076.504942129628</v>
      </c>
      <c r="G885" t="s">
        <v>4234</v>
      </c>
      <c r="H885" t="s">
        <v>233</v>
      </c>
      <c r="I885" t="s">
        <v>4290</v>
      </c>
      <c r="J885" t="s">
        <v>435</v>
      </c>
      <c r="K885" t="s">
        <v>436</v>
      </c>
      <c r="M885" t="s">
        <v>76</v>
      </c>
      <c r="O885" t="s">
        <v>77</v>
      </c>
      <c r="P885" t="s">
        <v>78</v>
      </c>
      <c r="Q885" t="s">
        <v>4235</v>
      </c>
      <c r="R885" t="s">
        <v>51</v>
      </c>
      <c r="S885" t="s">
        <v>52</v>
      </c>
      <c r="T885" t="s">
        <v>4080</v>
      </c>
      <c r="U885" s="1">
        <v>46076.927951388891</v>
      </c>
      <c r="V885" t="s">
        <v>54</v>
      </c>
      <c r="W885" t="s">
        <v>55</v>
      </c>
      <c r="X885" t="s">
        <v>134</v>
      </c>
      <c r="Y885" t="s">
        <v>4291</v>
      </c>
      <c r="Z885" t="s">
        <v>58</v>
      </c>
      <c r="AA885" t="s">
        <v>54</v>
      </c>
      <c r="AB885" t="s">
        <v>408</v>
      </c>
      <c r="AC885" t="s">
        <v>85</v>
      </c>
      <c r="AD885" t="s">
        <v>52</v>
      </c>
      <c r="AE885" t="s">
        <v>438</v>
      </c>
      <c r="AF885" t="s">
        <v>439</v>
      </c>
      <c r="AG885" t="s">
        <v>58</v>
      </c>
      <c r="AH885">
        <v>6558</v>
      </c>
      <c r="AK885">
        <v>1</v>
      </c>
      <c r="AL885" t="s">
        <v>61</v>
      </c>
      <c r="AM885" t="s">
        <v>4237</v>
      </c>
      <c r="AN885" t="s">
        <v>4238</v>
      </c>
    </row>
    <row r="886" spans="1:40" x14ac:dyDescent="0.35">
      <c r="A886" t="s">
        <v>37</v>
      </c>
      <c r="B886" t="s">
        <v>4292</v>
      </c>
      <c r="C886" t="s">
        <v>39</v>
      </c>
      <c r="D886" t="s">
        <v>4293</v>
      </c>
      <c r="E886" t="s">
        <v>4294</v>
      </c>
      <c r="F886" s="1">
        <v>46076.501307870371</v>
      </c>
      <c r="G886" t="s">
        <v>71</v>
      </c>
      <c r="H886" t="s">
        <v>72</v>
      </c>
      <c r="I886" t="s">
        <v>4295</v>
      </c>
      <c r="J886" t="s">
        <v>557</v>
      </c>
      <c r="K886" t="s">
        <v>75</v>
      </c>
      <c r="M886" t="s">
        <v>76</v>
      </c>
      <c r="O886" t="s">
        <v>77</v>
      </c>
      <c r="P886" t="s">
        <v>78</v>
      </c>
      <c r="Q886" t="s">
        <v>50</v>
      </c>
      <c r="R886" t="s">
        <v>51</v>
      </c>
      <c r="S886" t="s">
        <v>52</v>
      </c>
      <c r="T886" t="s">
        <v>2248</v>
      </c>
      <c r="U886" s="1">
        <v>46077.392777777779</v>
      </c>
      <c r="V886" t="s">
        <v>54</v>
      </c>
      <c r="W886" t="s">
        <v>55</v>
      </c>
      <c r="X886" t="s">
        <v>82</v>
      </c>
      <c r="Y886" t="s">
        <v>4296</v>
      </c>
      <c r="Z886" t="s">
        <v>58</v>
      </c>
      <c r="AA886" t="s">
        <v>54</v>
      </c>
      <c r="AB886" t="s">
        <v>645</v>
      </c>
      <c r="AC886" t="s">
        <v>85</v>
      </c>
      <c r="AD886" t="s">
        <v>51</v>
      </c>
      <c r="AE886" t="s">
        <v>52</v>
      </c>
      <c r="AF886" t="s">
        <v>2248</v>
      </c>
      <c r="AG886" t="s">
        <v>58</v>
      </c>
      <c r="AH886">
        <v>13774</v>
      </c>
      <c r="AK886">
        <v>0</v>
      </c>
      <c r="AL886" t="s">
        <v>61</v>
      </c>
      <c r="AM886" t="s">
        <v>4297</v>
      </c>
      <c r="AN886" t="s">
        <v>4298</v>
      </c>
    </row>
    <row r="887" spans="1:40" x14ac:dyDescent="0.35">
      <c r="A887" t="s">
        <v>37</v>
      </c>
      <c r="B887" t="s">
        <v>4299</v>
      </c>
      <c r="C887" t="s">
        <v>102</v>
      </c>
      <c r="D887" t="s">
        <v>761</v>
      </c>
      <c r="E887" t="s">
        <v>762</v>
      </c>
      <c r="F887" s="1">
        <v>46076.499942129631</v>
      </c>
      <c r="G887" t="s">
        <v>105</v>
      </c>
      <c r="H887" t="s">
        <v>106</v>
      </c>
      <c r="I887" t="s">
        <v>4300</v>
      </c>
      <c r="J887" t="s">
        <v>108</v>
      </c>
      <c r="K887" t="s">
        <v>109</v>
      </c>
      <c r="M887" t="s">
        <v>150</v>
      </c>
      <c r="O887" t="s">
        <v>77</v>
      </c>
      <c r="P887" t="s">
        <v>78</v>
      </c>
      <c r="Q887" t="s">
        <v>50</v>
      </c>
      <c r="R887" t="s">
        <v>111</v>
      </c>
      <c r="S887" t="s">
        <v>51</v>
      </c>
      <c r="T887" t="s">
        <v>1583</v>
      </c>
      <c r="U887" s="1">
        <v>46076.581921296296</v>
      </c>
      <c r="V887" t="s">
        <v>54</v>
      </c>
      <c r="W887" t="s">
        <v>55</v>
      </c>
      <c r="X887" t="s">
        <v>82</v>
      </c>
      <c r="Y887" t="s">
        <v>4301</v>
      </c>
      <c r="Z887" t="s">
        <v>58</v>
      </c>
      <c r="AA887" t="s">
        <v>54</v>
      </c>
      <c r="AB887" t="s">
        <v>115</v>
      </c>
      <c r="AC887" t="s">
        <v>85</v>
      </c>
      <c r="AD887" t="s">
        <v>116</v>
      </c>
      <c r="AE887" t="s">
        <v>1586</v>
      </c>
      <c r="AF887" t="s">
        <v>144</v>
      </c>
      <c r="AG887" t="s">
        <v>58</v>
      </c>
      <c r="AH887" t="s">
        <v>765</v>
      </c>
      <c r="AK887">
        <v>1</v>
      </c>
      <c r="AL887" t="s">
        <v>61</v>
      </c>
      <c r="AM887" t="s">
        <v>766</v>
      </c>
      <c r="AN887" t="s">
        <v>767</v>
      </c>
    </row>
    <row r="888" spans="1:40" x14ac:dyDescent="0.35">
      <c r="A888" t="s">
        <v>37</v>
      </c>
      <c r="B888" t="s">
        <v>4302</v>
      </c>
      <c r="C888" t="s">
        <v>39</v>
      </c>
      <c r="D888" t="s">
        <v>4303</v>
      </c>
      <c r="E888" t="s">
        <v>4304</v>
      </c>
      <c r="F888" s="1">
        <v>46076.538449074076</v>
      </c>
      <c r="G888" t="s">
        <v>3050</v>
      </c>
      <c r="H888" t="s">
        <v>233</v>
      </c>
      <c r="I888" t="s">
        <v>4305</v>
      </c>
      <c r="J888" t="s">
        <v>1518</v>
      </c>
      <c r="K888" t="s">
        <v>75</v>
      </c>
      <c r="M888" t="s">
        <v>76</v>
      </c>
      <c r="O888" t="s">
        <v>77</v>
      </c>
      <c r="P888" t="s">
        <v>78</v>
      </c>
      <c r="Q888" t="s">
        <v>50</v>
      </c>
      <c r="R888" t="s">
        <v>79</v>
      </c>
      <c r="S888" t="s">
        <v>1078</v>
      </c>
      <c r="T888" t="s">
        <v>1078</v>
      </c>
      <c r="U888" s="1">
        <v>46076.538738425923</v>
      </c>
      <c r="V888" t="s">
        <v>54</v>
      </c>
      <c r="W888" t="s">
        <v>55</v>
      </c>
      <c r="X888" t="s">
        <v>82</v>
      </c>
      <c r="Y888" t="s">
        <v>4305</v>
      </c>
      <c r="Z888" t="s">
        <v>58</v>
      </c>
      <c r="AA888" t="s">
        <v>54</v>
      </c>
      <c r="AB888" t="s">
        <v>1503</v>
      </c>
      <c r="AC888" t="s">
        <v>85</v>
      </c>
      <c r="AD888" t="s">
        <v>79</v>
      </c>
      <c r="AE888" t="s">
        <v>1078</v>
      </c>
      <c r="AF888" t="s">
        <v>1078</v>
      </c>
      <c r="AG888" t="s">
        <v>58</v>
      </c>
      <c r="AH888">
        <v>15831</v>
      </c>
      <c r="AK888">
        <v>0</v>
      </c>
      <c r="AL888" t="s">
        <v>61</v>
      </c>
      <c r="AM888" t="s">
        <v>4306</v>
      </c>
      <c r="AN888" t="s">
        <v>4307</v>
      </c>
    </row>
    <row r="889" spans="1:40" x14ac:dyDescent="0.35">
      <c r="A889" t="s">
        <v>37</v>
      </c>
      <c r="B889" t="s">
        <v>4308</v>
      </c>
      <c r="C889" t="s">
        <v>656</v>
      </c>
      <c r="D889" t="s">
        <v>657</v>
      </c>
      <c r="E889" t="s">
        <v>658</v>
      </c>
      <c r="F889" s="1">
        <v>46076.498298611114</v>
      </c>
      <c r="G889" t="s">
        <v>355</v>
      </c>
      <c r="H889" t="s">
        <v>356</v>
      </c>
      <c r="I889" t="s">
        <v>4309</v>
      </c>
      <c r="J889" t="s">
        <v>660</v>
      </c>
      <c r="K889" t="s">
        <v>661</v>
      </c>
      <c r="M889" t="s">
        <v>131</v>
      </c>
      <c r="O889" t="s">
        <v>77</v>
      </c>
      <c r="P889" t="s">
        <v>78</v>
      </c>
      <c r="Q889" t="s">
        <v>50</v>
      </c>
      <c r="R889" t="s">
        <v>662</v>
      </c>
      <c r="S889" t="s">
        <v>663</v>
      </c>
      <c r="T889" t="s">
        <v>664</v>
      </c>
      <c r="U889" s="1">
        <v>46078.552766203706</v>
      </c>
      <c r="V889" t="s">
        <v>54</v>
      </c>
      <c r="W889" t="s">
        <v>55</v>
      </c>
      <c r="X889" t="s">
        <v>56</v>
      </c>
      <c r="Y889" t="s">
        <v>4011</v>
      </c>
      <c r="Z889" t="s">
        <v>58</v>
      </c>
      <c r="AA889" t="s">
        <v>54</v>
      </c>
      <c r="AB889" t="s">
        <v>666</v>
      </c>
      <c r="AC889" t="s">
        <v>85</v>
      </c>
      <c r="AD889" t="s">
        <v>667</v>
      </c>
      <c r="AE889" t="s">
        <v>667</v>
      </c>
      <c r="AF889" t="s">
        <v>664</v>
      </c>
      <c r="AG889" t="s">
        <v>58</v>
      </c>
      <c r="AH889" t="s">
        <v>668</v>
      </c>
      <c r="AK889">
        <v>0</v>
      </c>
      <c r="AL889" t="s">
        <v>61</v>
      </c>
      <c r="AM889" t="s">
        <v>666</v>
      </c>
      <c r="AN889" t="s">
        <v>669</v>
      </c>
    </row>
    <row r="890" spans="1:40" x14ac:dyDescent="0.35">
      <c r="A890" t="s">
        <v>37</v>
      </c>
      <c r="B890" t="s">
        <v>4310</v>
      </c>
      <c r="C890" t="s">
        <v>39</v>
      </c>
      <c r="D890" t="s">
        <v>4311</v>
      </c>
      <c r="E890" t="s">
        <v>4312</v>
      </c>
      <c r="F890" s="1">
        <v>46076.496805555558</v>
      </c>
      <c r="G890" t="s">
        <v>297</v>
      </c>
      <c r="H890" t="s">
        <v>287</v>
      </c>
      <c r="I890" t="s">
        <v>205</v>
      </c>
      <c r="J890" t="s">
        <v>603</v>
      </c>
      <c r="K890" t="s">
        <v>207</v>
      </c>
      <c r="M890" t="s">
        <v>131</v>
      </c>
      <c r="O890" t="s">
        <v>77</v>
      </c>
      <c r="P890" t="s">
        <v>78</v>
      </c>
      <c r="Q890" t="s">
        <v>4087</v>
      </c>
      <c r="R890" t="s">
        <v>208</v>
      </c>
      <c r="S890" t="s">
        <v>209</v>
      </c>
      <c r="T890" t="s">
        <v>210</v>
      </c>
      <c r="U890" s="1">
        <v>46076.667754629627</v>
      </c>
      <c r="V890" t="s">
        <v>54</v>
      </c>
      <c r="W890" t="s">
        <v>55</v>
      </c>
      <c r="X890" t="s">
        <v>211</v>
      </c>
      <c r="Y890" t="s">
        <v>604</v>
      </c>
      <c r="Z890" t="s">
        <v>58</v>
      </c>
      <c r="AA890" t="s">
        <v>54</v>
      </c>
      <c r="AB890" t="s">
        <v>213</v>
      </c>
      <c r="AC890" t="s">
        <v>85</v>
      </c>
      <c r="AD890" t="s">
        <v>214</v>
      </c>
      <c r="AE890" t="s">
        <v>215</v>
      </c>
      <c r="AF890" t="s">
        <v>216</v>
      </c>
      <c r="AG890" t="s">
        <v>58</v>
      </c>
      <c r="AH890">
        <v>6018</v>
      </c>
      <c r="AK890">
        <v>1</v>
      </c>
      <c r="AL890" t="s">
        <v>61</v>
      </c>
      <c r="AM890" t="s">
        <v>4313</v>
      </c>
      <c r="AN890" t="s">
        <v>4314</v>
      </c>
    </row>
    <row r="891" spans="1:40" x14ac:dyDescent="0.35">
      <c r="A891" t="s">
        <v>37</v>
      </c>
      <c r="B891" t="s">
        <v>4315</v>
      </c>
      <c r="C891" t="s">
        <v>39</v>
      </c>
      <c r="D891" t="s">
        <v>4316</v>
      </c>
      <c r="E891" t="s">
        <v>4317</v>
      </c>
      <c r="F891" s="1">
        <v>46076.497465277775</v>
      </c>
      <c r="G891" t="s">
        <v>71</v>
      </c>
      <c r="H891" t="s">
        <v>72</v>
      </c>
      <c r="I891" t="s">
        <v>4318</v>
      </c>
      <c r="J891" t="s">
        <v>695</v>
      </c>
      <c r="K891" t="s">
        <v>75</v>
      </c>
      <c r="M891" t="s">
        <v>76</v>
      </c>
      <c r="O891" t="s">
        <v>77</v>
      </c>
      <c r="P891" t="s">
        <v>78</v>
      </c>
      <c r="Q891" t="s">
        <v>3880</v>
      </c>
      <c r="R891" t="s">
        <v>79</v>
      </c>
      <c r="S891" t="s">
        <v>80</v>
      </c>
      <c r="T891" t="s">
        <v>81</v>
      </c>
      <c r="U891" s="1">
        <v>46076.497708333336</v>
      </c>
      <c r="V891" t="s">
        <v>54</v>
      </c>
      <c r="W891" t="s">
        <v>55</v>
      </c>
      <c r="X891" t="s">
        <v>82</v>
      </c>
      <c r="Y891" t="s">
        <v>4319</v>
      </c>
      <c r="Z891" t="s">
        <v>58</v>
      </c>
      <c r="AA891" t="s">
        <v>54</v>
      </c>
      <c r="AB891" t="s">
        <v>698</v>
      </c>
      <c r="AC891" t="s">
        <v>85</v>
      </c>
      <c r="AD891" t="s">
        <v>79</v>
      </c>
      <c r="AE891" t="s">
        <v>80</v>
      </c>
      <c r="AF891" t="s">
        <v>81</v>
      </c>
      <c r="AG891" t="s">
        <v>58</v>
      </c>
      <c r="AH891">
        <v>10635</v>
      </c>
      <c r="AK891">
        <v>0</v>
      </c>
      <c r="AL891" t="s">
        <v>61</v>
      </c>
      <c r="AM891" t="s">
        <v>4320</v>
      </c>
      <c r="AN891" t="s">
        <v>4321</v>
      </c>
    </row>
    <row r="892" spans="1:40" x14ac:dyDescent="0.35">
      <c r="A892" t="s">
        <v>37</v>
      </c>
      <c r="B892" t="s">
        <v>4322</v>
      </c>
      <c r="C892" t="s">
        <v>39</v>
      </c>
      <c r="D892" t="s">
        <v>4323</v>
      </c>
      <c r="E892" t="s">
        <v>4324</v>
      </c>
      <c r="F892" s="1">
        <v>46076.496365740742</v>
      </c>
      <c r="G892" t="s">
        <v>393</v>
      </c>
      <c r="H892" t="s">
        <v>92</v>
      </c>
      <c r="I892" t="s">
        <v>4325</v>
      </c>
      <c r="J892" t="s">
        <v>2117</v>
      </c>
      <c r="K892" t="s">
        <v>2118</v>
      </c>
      <c r="M892" t="s">
        <v>131</v>
      </c>
      <c r="O892" t="s">
        <v>77</v>
      </c>
      <c r="P892" t="s">
        <v>78</v>
      </c>
      <c r="Q892" t="s">
        <v>50</v>
      </c>
      <c r="R892" t="s">
        <v>51</v>
      </c>
      <c r="S892" t="s">
        <v>52</v>
      </c>
      <c r="T892" t="s">
        <v>240</v>
      </c>
      <c r="U892" s="1">
        <v>46077.367581018516</v>
      </c>
      <c r="V892" t="s">
        <v>54</v>
      </c>
      <c r="W892" t="s">
        <v>55</v>
      </c>
      <c r="X892" t="s">
        <v>134</v>
      </c>
      <c r="Y892" t="s">
        <v>4326</v>
      </c>
      <c r="Z892" t="s">
        <v>58</v>
      </c>
      <c r="AA892" t="s">
        <v>54</v>
      </c>
      <c r="AB892" t="s">
        <v>408</v>
      </c>
      <c r="AC892" t="s">
        <v>85</v>
      </c>
      <c r="AD892" t="s">
        <v>52</v>
      </c>
      <c r="AE892" t="s">
        <v>243</v>
      </c>
      <c r="AF892" t="s">
        <v>1470</v>
      </c>
      <c r="AG892" t="s">
        <v>58</v>
      </c>
      <c r="AH892">
        <v>11973</v>
      </c>
      <c r="AK892">
        <v>1</v>
      </c>
      <c r="AL892" t="s">
        <v>61</v>
      </c>
      <c r="AM892" t="s">
        <v>4327</v>
      </c>
      <c r="AN892" t="s">
        <v>4328</v>
      </c>
    </row>
    <row r="893" spans="1:40" x14ac:dyDescent="0.35">
      <c r="A893" t="s">
        <v>37</v>
      </c>
      <c r="B893" t="s">
        <v>4329</v>
      </c>
      <c r="C893" t="s">
        <v>39</v>
      </c>
      <c r="D893" t="s">
        <v>4330</v>
      </c>
      <c r="E893" t="s">
        <v>321</v>
      </c>
      <c r="F893" s="1">
        <v>46076.494976851849</v>
      </c>
      <c r="G893" t="s">
        <v>42</v>
      </c>
      <c r="H893" t="s">
        <v>43</v>
      </c>
      <c r="I893" t="s">
        <v>4256</v>
      </c>
      <c r="J893" t="s">
        <v>4257</v>
      </c>
      <c r="K893" t="s">
        <v>75</v>
      </c>
      <c r="M893" t="s">
        <v>76</v>
      </c>
      <c r="O893" t="s">
        <v>77</v>
      </c>
      <c r="P893" t="s">
        <v>78</v>
      </c>
      <c r="Q893" t="s">
        <v>50</v>
      </c>
      <c r="R893" t="s">
        <v>305</v>
      </c>
      <c r="S893" t="s">
        <v>306</v>
      </c>
      <c r="T893" t="s">
        <v>307</v>
      </c>
      <c r="U893" s="1">
        <v>46076.538912037038</v>
      </c>
      <c r="V893" t="s">
        <v>54</v>
      </c>
      <c r="W893" t="s">
        <v>55</v>
      </c>
      <c r="X893" t="s">
        <v>211</v>
      </c>
      <c r="Y893" t="s">
        <v>4331</v>
      </c>
      <c r="Z893" t="s">
        <v>58</v>
      </c>
      <c r="AA893" t="s">
        <v>54</v>
      </c>
      <c r="AB893" t="s">
        <v>213</v>
      </c>
      <c r="AC893" t="s">
        <v>85</v>
      </c>
      <c r="AD893" t="s">
        <v>214</v>
      </c>
      <c r="AE893" t="s">
        <v>4259</v>
      </c>
      <c r="AF893" t="s">
        <v>4260</v>
      </c>
      <c r="AG893" t="s">
        <v>58</v>
      </c>
      <c r="AH893">
        <v>15376</v>
      </c>
      <c r="AK893">
        <v>5</v>
      </c>
      <c r="AL893" t="s">
        <v>61</v>
      </c>
      <c r="AM893" t="s">
        <v>4332</v>
      </c>
      <c r="AN893" t="s">
        <v>4333</v>
      </c>
    </row>
    <row r="894" spans="1:40" x14ac:dyDescent="0.35">
      <c r="A894" t="s">
        <v>37</v>
      </c>
      <c r="B894" t="s">
        <v>4334</v>
      </c>
      <c r="C894" t="s">
        <v>102</v>
      </c>
      <c r="D894" t="s">
        <v>761</v>
      </c>
      <c r="E894" t="s">
        <v>762</v>
      </c>
      <c r="F894" s="1">
        <v>46076.497442129628</v>
      </c>
      <c r="G894" t="s">
        <v>105</v>
      </c>
      <c r="H894" t="s">
        <v>106</v>
      </c>
      <c r="I894" t="s">
        <v>4335</v>
      </c>
      <c r="J894" t="s">
        <v>108</v>
      </c>
      <c r="K894" t="s">
        <v>109</v>
      </c>
      <c r="M894" t="s">
        <v>76</v>
      </c>
      <c r="O894" t="s">
        <v>77</v>
      </c>
      <c r="P894" t="s">
        <v>78</v>
      </c>
      <c r="Q894" t="s">
        <v>50</v>
      </c>
      <c r="R894" t="s">
        <v>111</v>
      </c>
      <c r="S894" t="s">
        <v>51</v>
      </c>
      <c r="T894" t="s">
        <v>1583</v>
      </c>
      <c r="U894" s="1">
        <v>46076.581412037034</v>
      </c>
      <c r="V894" t="s">
        <v>54</v>
      </c>
      <c r="W894" t="s">
        <v>55</v>
      </c>
      <c r="X894" t="s">
        <v>82</v>
      </c>
      <c r="Y894" t="s">
        <v>4336</v>
      </c>
      <c r="Z894" t="s">
        <v>58</v>
      </c>
      <c r="AA894" t="s">
        <v>54</v>
      </c>
      <c r="AB894" t="s">
        <v>115</v>
      </c>
      <c r="AC894" t="s">
        <v>85</v>
      </c>
      <c r="AD894" t="s">
        <v>116</v>
      </c>
      <c r="AE894" t="s">
        <v>1586</v>
      </c>
      <c r="AF894" t="s">
        <v>144</v>
      </c>
      <c r="AG894" t="s">
        <v>58</v>
      </c>
      <c r="AH894" t="s">
        <v>765</v>
      </c>
      <c r="AK894">
        <v>1</v>
      </c>
      <c r="AL894" t="s">
        <v>61</v>
      </c>
      <c r="AM894" t="s">
        <v>766</v>
      </c>
      <c r="AN894" t="s">
        <v>767</v>
      </c>
    </row>
    <row r="895" spans="1:40" x14ac:dyDescent="0.35">
      <c r="A895" t="s">
        <v>37</v>
      </c>
      <c r="B895" t="s">
        <v>4337</v>
      </c>
      <c r="C895" t="s">
        <v>39</v>
      </c>
      <c r="D895" t="s">
        <v>747</v>
      </c>
      <c r="E895" t="s">
        <v>2058</v>
      </c>
      <c r="F895" s="1">
        <v>46076.495266203703</v>
      </c>
      <c r="G895" t="s">
        <v>734</v>
      </c>
      <c r="H895" t="s">
        <v>356</v>
      </c>
      <c r="I895" t="s">
        <v>2096</v>
      </c>
      <c r="J895" t="s">
        <v>4338</v>
      </c>
      <c r="K895" t="s">
        <v>405</v>
      </c>
      <c r="M895" t="s">
        <v>76</v>
      </c>
      <c r="O895" t="s">
        <v>77</v>
      </c>
      <c r="P895" t="s">
        <v>78</v>
      </c>
      <c r="Q895" t="s">
        <v>406</v>
      </c>
      <c r="R895" t="s">
        <v>51</v>
      </c>
      <c r="S895" t="s">
        <v>52</v>
      </c>
      <c r="T895" t="s">
        <v>240</v>
      </c>
      <c r="U895" s="1">
        <v>46078.319594907407</v>
      </c>
      <c r="V895" t="s">
        <v>54</v>
      </c>
      <c r="W895" t="s">
        <v>55</v>
      </c>
      <c r="X895" t="s">
        <v>134</v>
      </c>
      <c r="Y895" t="s">
        <v>4339</v>
      </c>
      <c r="Z895" t="s">
        <v>58</v>
      </c>
      <c r="AA895" t="s">
        <v>54</v>
      </c>
      <c r="AB895" t="s">
        <v>458</v>
      </c>
      <c r="AC895" t="s">
        <v>85</v>
      </c>
      <c r="AD895" t="s">
        <v>52</v>
      </c>
      <c r="AE895" t="s">
        <v>243</v>
      </c>
      <c r="AF895" t="s">
        <v>4340</v>
      </c>
      <c r="AG895" t="s">
        <v>58</v>
      </c>
      <c r="AH895">
        <v>5736</v>
      </c>
      <c r="AK895">
        <v>1</v>
      </c>
      <c r="AL895" t="s">
        <v>61</v>
      </c>
      <c r="AM895" t="s">
        <v>2059</v>
      </c>
      <c r="AN895" t="s">
        <v>2060</v>
      </c>
    </row>
    <row r="896" spans="1:40" x14ac:dyDescent="0.35">
      <c r="A896" t="s">
        <v>37</v>
      </c>
      <c r="B896" t="s">
        <v>4341</v>
      </c>
      <c r="C896" t="s">
        <v>39</v>
      </c>
      <c r="D896" t="s">
        <v>2879</v>
      </c>
      <c r="E896" t="s">
        <v>2880</v>
      </c>
      <c r="F896" s="1">
        <v>46076.493993055556</v>
      </c>
      <c r="G896" t="s">
        <v>297</v>
      </c>
      <c r="H896" t="s">
        <v>287</v>
      </c>
      <c r="I896" t="s">
        <v>205</v>
      </c>
      <c r="J896" t="s">
        <v>1692</v>
      </c>
      <c r="K896" t="s">
        <v>207</v>
      </c>
      <c r="M896" t="s">
        <v>131</v>
      </c>
      <c r="O896" t="s">
        <v>77</v>
      </c>
      <c r="P896" t="s">
        <v>78</v>
      </c>
      <c r="Q896" t="s">
        <v>2882</v>
      </c>
      <c r="R896" t="s">
        <v>305</v>
      </c>
      <c r="S896" t="s">
        <v>306</v>
      </c>
      <c r="T896" t="s">
        <v>307</v>
      </c>
      <c r="U896" s="1">
        <v>46078.001111111109</v>
      </c>
      <c r="V896" t="s">
        <v>54</v>
      </c>
      <c r="W896" t="s">
        <v>55</v>
      </c>
      <c r="X896" t="s">
        <v>211</v>
      </c>
      <c r="Y896" t="s">
        <v>4115</v>
      </c>
      <c r="Z896" t="s">
        <v>58</v>
      </c>
      <c r="AA896" t="s">
        <v>54</v>
      </c>
      <c r="AB896" t="s">
        <v>213</v>
      </c>
      <c r="AC896" t="s">
        <v>85</v>
      </c>
      <c r="AD896" t="s">
        <v>214</v>
      </c>
      <c r="AE896" t="s">
        <v>215</v>
      </c>
      <c r="AF896" t="s">
        <v>161</v>
      </c>
      <c r="AG896" t="s">
        <v>58</v>
      </c>
      <c r="AH896">
        <v>5505</v>
      </c>
      <c r="AK896">
        <v>3</v>
      </c>
      <c r="AL896" t="s">
        <v>61</v>
      </c>
      <c r="AM896" t="s">
        <v>2884</v>
      </c>
      <c r="AN896" t="s">
        <v>2885</v>
      </c>
    </row>
    <row r="897" spans="1:40" x14ac:dyDescent="0.35">
      <c r="A897" t="s">
        <v>37</v>
      </c>
      <c r="B897" t="s">
        <v>4342</v>
      </c>
      <c r="C897" t="s">
        <v>39</v>
      </c>
      <c r="D897" t="s">
        <v>799</v>
      </c>
      <c r="E897" t="s">
        <v>4343</v>
      </c>
      <c r="F897" s="1">
        <v>46076.493657407409</v>
      </c>
      <c r="G897" t="s">
        <v>855</v>
      </c>
      <c r="H897" t="s">
        <v>447</v>
      </c>
      <c r="I897" t="s">
        <v>1422</v>
      </c>
      <c r="J897" t="s">
        <v>4130</v>
      </c>
      <c r="K897" t="s">
        <v>1424</v>
      </c>
      <c r="M897" t="s">
        <v>131</v>
      </c>
      <c r="O897" t="s">
        <v>77</v>
      </c>
      <c r="P897" t="s">
        <v>78</v>
      </c>
      <c r="Q897" t="s">
        <v>50</v>
      </c>
      <c r="R897" t="s">
        <v>305</v>
      </c>
      <c r="S897" t="s">
        <v>306</v>
      </c>
      <c r="T897" t="s">
        <v>307</v>
      </c>
      <c r="U897" s="1">
        <v>46077.361747685187</v>
      </c>
      <c r="V897" t="s">
        <v>54</v>
      </c>
      <c r="X897" t="s">
        <v>211</v>
      </c>
      <c r="Y897" t="s">
        <v>4344</v>
      </c>
      <c r="Z897" t="s">
        <v>58</v>
      </c>
      <c r="AA897" t="s">
        <v>54</v>
      </c>
      <c r="AB897" t="s">
        <v>213</v>
      </c>
      <c r="AC897" t="s">
        <v>85</v>
      </c>
      <c r="AD897" t="s">
        <v>305</v>
      </c>
      <c r="AE897" t="s">
        <v>306</v>
      </c>
      <c r="AF897" t="s">
        <v>307</v>
      </c>
      <c r="AG897" t="s">
        <v>58</v>
      </c>
      <c r="AH897">
        <v>15445</v>
      </c>
      <c r="AK897">
        <v>1</v>
      </c>
      <c r="AL897" t="s">
        <v>61</v>
      </c>
      <c r="AM897" t="s">
        <v>4345</v>
      </c>
      <c r="AN897" t="s">
        <v>4346</v>
      </c>
    </row>
    <row r="898" spans="1:40" x14ac:dyDescent="0.35">
      <c r="A898" t="s">
        <v>37</v>
      </c>
      <c r="B898" t="s">
        <v>4347</v>
      </c>
      <c r="C898" t="s">
        <v>102</v>
      </c>
      <c r="D898" t="s">
        <v>4348</v>
      </c>
      <c r="E898" t="s">
        <v>303</v>
      </c>
      <c r="F898" s="1">
        <v>46076.493645833332</v>
      </c>
      <c r="G898" t="s">
        <v>297</v>
      </c>
      <c r="H898" t="s">
        <v>287</v>
      </c>
      <c r="I898" t="s">
        <v>4349</v>
      </c>
      <c r="J898" t="s">
        <v>235</v>
      </c>
      <c r="K898" t="s">
        <v>236</v>
      </c>
      <c r="M898" t="s">
        <v>76</v>
      </c>
      <c r="O898" t="s">
        <v>237</v>
      </c>
      <c r="P898" t="s">
        <v>238</v>
      </c>
      <c r="Q898" t="s">
        <v>50</v>
      </c>
      <c r="R898" t="s">
        <v>51</v>
      </c>
      <c r="S898" t="s">
        <v>52</v>
      </c>
      <c r="T898" t="s">
        <v>240</v>
      </c>
      <c r="U898" s="1">
        <v>46076.583356481482</v>
      </c>
      <c r="V898" t="s">
        <v>54</v>
      </c>
      <c r="W898" t="s">
        <v>55</v>
      </c>
      <c r="X898" t="s">
        <v>211</v>
      </c>
      <c r="Y898" t="s">
        <v>4350</v>
      </c>
      <c r="Z898" t="s">
        <v>58</v>
      </c>
      <c r="AA898" t="s">
        <v>54</v>
      </c>
      <c r="AB898" t="s">
        <v>213</v>
      </c>
      <c r="AC898" t="s">
        <v>242</v>
      </c>
      <c r="AD898" t="s">
        <v>52</v>
      </c>
      <c r="AE898" t="s">
        <v>243</v>
      </c>
      <c r="AF898" t="s">
        <v>244</v>
      </c>
      <c r="AG898" t="s">
        <v>58</v>
      </c>
      <c r="AH898">
        <v>13678</v>
      </c>
      <c r="AK898">
        <v>1</v>
      </c>
      <c r="AL898" t="s">
        <v>61</v>
      </c>
      <c r="AM898" t="s">
        <v>4351</v>
      </c>
      <c r="AN898" t="s">
        <v>4352</v>
      </c>
    </row>
    <row r="899" spans="1:40" x14ac:dyDescent="0.35">
      <c r="A899" t="s">
        <v>37</v>
      </c>
      <c r="B899" t="s">
        <v>4353</v>
      </c>
      <c r="C899" t="s">
        <v>39</v>
      </c>
      <c r="D899" t="s">
        <v>4076</v>
      </c>
      <c r="E899" t="s">
        <v>4077</v>
      </c>
      <c r="F899" s="1">
        <v>46076.494120370371</v>
      </c>
      <c r="G899" t="s">
        <v>4078</v>
      </c>
      <c r="H899" t="s">
        <v>356</v>
      </c>
      <c r="I899" t="s">
        <v>403</v>
      </c>
      <c r="J899" t="s">
        <v>404</v>
      </c>
      <c r="K899" t="s">
        <v>405</v>
      </c>
      <c r="M899" t="s">
        <v>76</v>
      </c>
      <c r="O899" t="s">
        <v>77</v>
      </c>
      <c r="P899" t="s">
        <v>78</v>
      </c>
      <c r="Q899" t="s">
        <v>50</v>
      </c>
      <c r="R899" t="s">
        <v>51</v>
      </c>
      <c r="S899" t="s">
        <v>52</v>
      </c>
      <c r="T899" t="s">
        <v>240</v>
      </c>
      <c r="U899" s="1">
        <v>46076.508750000001</v>
      </c>
      <c r="V899" t="s">
        <v>54</v>
      </c>
      <c r="W899" t="s">
        <v>55</v>
      </c>
      <c r="X899" t="s">
        <v>134</v>
      </c>
      <c r="Y899" t="s">
        <v>4354</v>
      </c>
      <c r="Z899" t="s">
        <v>58</v>
      </c>
      <c r="AA899" t="s">
        <v>54</v>
      </c>
      <c r="AB899" t="s">
        <v>458</v>
      </c>
      <c r="AC899" t="s">
        <v>85</v>
      </c>
      <c r="AD899" t="s">
        <v>52</v>
      </c>
      <c r="AE899" t="s">
        <v>243</v>
      </c>
      <c r="AF899" t="s">
        <v>2913</v>
      </c>
      <c r="AG899" t="s">
        <v>58</v>
      </c>
      <c r="AH899" t="s">
        <v>4082</v>
      </c>
      <c r="AK899">
        <v>1</v>
      </c>
      <c r="AL899" t="s">
        <v>61</v>
      </c>
      <c r="AM899" t="s">
        <v>4083</v>
      </c>
      <c r="AN899" t="s">
        <v>4084</v>
      </c>
    </row>
    <row r="900" spans="1:40" x14ac:dyDescent="0.35">
      <c r="A900" t="s">
        <v>37</v>
      </c>
      <c r="B900" t="s">
        <v>4355</v>
      </c>
      <c r="C900" t="s">
        <v>39</v>
      </c>
      <c r="D900" t="s">
        <v>4356</v>
      </c>
      <c r="E900" t="s">
        <v>4357</v>
      </c>
      <c r="F900" s="1">
        <v>46076.494664351849</v>
      </c>
      <c r="G900" t="s">
        <v>250</v>
      </c>
      <c r="H900" t="s">
        <v>106</v>
      </c>
      <c r="I900" t="s">
        <v>4358</v>
      </c>
      <c r="J900" t="s">
        <v>3763</v>
      </c>
      <c r="K900" t="s">
        <v>4359</v>
      </c>
      <c r="M900" t="s">
        <v>131</v>
      </c>
      <c r="O900" t="s">
        <v>77</v>
      </c>
      <c r="P900" t="s">
        <v>78</v>
      </c>
      <c r="Q900" t="s">
        <v>4360</v>
      </c>
      <c r="R900" t="s">
        <v>51</v>
      </c>
      <c r="S900" t="s">
        <v>819</v>
      </c>
      <c r="T900" t="s">
        <v>819</v>
      </c>
      <c r="U900" s="1">
        <v>46078.445104166669</v>
      </c>
      <c r="V900" t="s">
        <v>54</v>
      </c>
      <c r="W900" t="s">
        <v>55</v>
      </c>
      <c r="X900" t="s">
        <v>134</v>
      </c>
      <c r="Y900" t="s">
        <v>4361</v>
      </c>
      <c r="Z900" t="s">
        <v>58</v>
      </c>
      <c r="AA900" t="s">
        <v>54</v>
      </c>
      <c r="AB900" t="s">
        <v>408</v>
      </c>
      <c r="AC900" t="s">
        <v>85</v>
      </c>
      <c r="AD900" t="s">
        <v>51</v>
      </c>
      <c r="AE900" t="s">
        <v>819</v>
      </c>
      <c r="AF900" t="s">
        <v>4362</v>
      </c>
      <c r="AG900" t="s">
        <v>58</v>
      </c>
      <c r="AH900">
        <v>1621</v>
      </c>
      <c r="AK900">
        <v>1</v>
      </c>
      <c r="AL900" t="s">
        <v>61</v>
      </c>
      <c r="AM900" t="s">
        <v>4363</v>
      </c>
      <c r="AN900" t="s">
        <v>4364</v>
      </c>
    </row>
    <row r="901" spans="1:40" x14ac:dyDescent="0.35">
      <c r="A901" t="s">
        <v>37</v>
      </c>
      <c r="B901" t="s">
        <v>4365</v>
      </c>
      <c r="C901" t="s">
        <v>39</v>
      </c>
      <c r="D901" t="s">
        <v>40</v>
      </c>
      <c r="E901" t="s">
        <v>41</v>
      </c>
      <c r="F901" s="1">
        <v>46076.492627314816</v>
      </c>
      <c r="G901" t="s">
        <v>42</v>
      </c>
      <c r="H901" t="s">
        <v>43</v>
      </c>
      <c r="I901" t="s">
        <v>4366</v>
      </c>
      <c r="J901" t="s">
        <v>45</v>
      </c>
      <c r="K901" t="s">
        <v>46</v>
      </c>
      <c r="M901" t="s">
        <v>47</v>
      </c>
      <c r="O901" t="s">
        <v>48</v>
      </c>
      <c r="P901" t="s">
        <v>49</v>
      </c>
      <c r="Q901" t="s">
        <v>50</v>
      </c>
      <c r="R901" t="s">
        <v>51</v>
      </c>
      <c r="S901" t="s">
        <v>52</v>
      </c>
      <c r="T901" t="s">
        <v>53</v>
      </c>
      <c r="U901" s="1">
        <v>46076.493738425925</v>
      </c>
      <c r="V901" t="s">
        <v>54</v>
      </c>
      <c r="W901" t="s">
        <v>55</v>
      </c>
      <c r="X901" t="s">
        <v>56</v>
      </c>
      <c r="Y901" t="s">
        <v>57</v>
      </c>
      <c r="Z901" t="s">
        <v>58</v>
      </c>
      <c r="AA901" t="s">
        <v>54</v>
      </c>
      <c r="AB901" t="s">
        <v>59</v>
      </c>
      <c r="AC901" t="s">
        <v>60</v>
      </c>
      <c r="AD901" t="s">
        <v>51</v>
      </c>
      <c r="AE901" t="s">
        <v>52</v>
      </c>
      <c r="AF901" t="s">
        <v>53</v>
      </c>
      <c r="AG901" t="s">
        <v>58</v>
      </c>
      <c r="AK901">
        <v>0</v>
      </c>
      <c r="AL901" t="s">
        <v>61</v>
      </c>
      <c r="AM901" t="s">
        <v>59</v>
      </c>
      <c r="AN901" t="s">
        <v>62</v>
      </c>
    </row>
    <row r="902" spans="1:40" x14ac:dyDescent="0.35">
      <c r="A902" t="s">
        <v>37</v>
      </c>
      <c r="B902" t="s">
        <v>4367</v>
      </c>
      <c r="C902" t="s">
        <v>102</v>
      </c>
      <c r="D902" t="s">
        <v>469</v>
      </c>
      <c r="E902" t="s">
        <v>70</v>
      </c>
      <c r="F902" s="1">
        <v>46076.490717592591</v>
      </c>
      <c r="G902" t="s">
        <v>464</v>
      </c>
      <c r="H902" t="s">
        <v>287</v>
      </c>
      <c r="I902" t="s">
        <v>4368</v>
      </c>
      <c r="J902" t="s">
        <v>750</v>
      </c>
      <c r="K902" t="s">
        <v>751</v>
      </c>
      <c r="M902" t="s">
        <v>131</v>
      </c>
      <c r="O902" t="s">
        <v>237</v>
      </c>
      <c r="P902" t="s">
        <v>238</v>
      </c>
      <c r="Q902" t="s">
        <v>50</v>
      </c>
      <c r="R902" t="s">
        <v>305</v>
      </c>
      <c r="S902" t="s">
        <v>306</v>
      </c>
      <c r="T902" t="s">
        <v>307</v>
      </c>
      <c r="U902" s="1">
        <v>46076.627002314817</v>
      </c>
      <c r="V902" t="s">
        <v>54</v>
      </c>
      <c r="W902" t="s">
        <v>55</v>
      </c>
      <c r="X902" t="s">
        <v>211</v>
      </c>
      <c r="Y902" t="s">
        <v>4369</v>
      </c>
      <c r="Z902" t="s">
        <v>58</v>
      </c>
      <c r="AA902" t="s">
        <v>54</v>
      </c>
      <c r="AB902" t="s">
        <v>213</v>
      </c>
      <c r="AC902" t="s">
        <v>242</v>
      </c>
      <c r="AD902" t="s">
        <v>305</v>
      </c>
      <c r="AE902" t="s">
        <v>306</v>
      </c>
      <c r="AF902" t="s">
        <v>307</v>
      </c>
      <c r="AG902" t="s">
        <v>58</v>
      </c>
      <c r="AH902">
        <v>13123</v>
      </c>
      <c r="AK902">
        <v>1</v>
      </c>
      <c r="AL902" t="s">
        <v>61</v>
      </c>
      <c r="AM902" t="s">
        <v>4370</v>
      </c>
      <c r="AN902" t="s">
        <v>4371</v>
      </c>
    </row>
    <row r="903" spans="1:40" x14ac:dyDescent="0.35">
      <c r="A903" t="s">
        <v>37</v>
      </c>
      <c r="B903" t="s">
        <v>4372</v>
      </c>
      <c r="C903" t="s">
        <v>39</v>
      </c>
      <c r="D903" t="s">
        <v>391</v>
      </c>
      <c r="E903" t="s">
        <v>4373</v>
      </c>
      <c r="F903" s="1">
        <v>46076.49082175926</v>
      </c>
      <c r="G903" t="s">
        <v>297</v>
      </c>
      <c r="H903" t="s">
        <v>287</v>
      </c>
      <c r="I903" t="s">
        <v>205</v>
      </c>
      <c r="J903" t="s">
        <v>1692</v>
      </c>
      <c r="K903" t="s">
        <v>207</v>
      </c>
      <c r="M903" t="s">
        <v>131</v>
      </c>
      <c r="O903" t="s">
        <v>77</v>
      </c>
      <c r="P903" t="s">
        <v>78</v>
      </c>
      <c r="Q903" t="s">
        <v>4374</v>
      </c>
      <c r="R903" t="s">
        <v>208</v>
      </c>
      <c r="S903" t="s">
        <v>209</v>
      </c>
      <c r="T903" t="s">
        <v>210</v>
      </c>
      <c r="U903" s="1">
        <v>46077.187337962961</v>
      </c>
      <c r="V903" t="s">
        <v>54</v>
      </c>
      <c r="W903" t="s">
        <v>55</v>
      </c>
      <c r="X903" t="s">
        <v>211</v>
      </c>
      <c r="Y903" t="s">
        <v>1693</v>
      </c>
      <c r="Z903" t="s">
        <v>58</v>
      </c>
      <c r="AA903" t="s">
        <v>54</v>
      </c>
      <c r="AB903" t="s">
        <v>213</v>
      </c>
      <c r="AC903" t="s">
        <v>85</v>
      </c>
      <c r="AD903" t="s">
        <v>214</v>
      </c>
      <c r="AE903" t="s">
        <v>215</v>
      </c>
      <c r="AF903" t="s">
        <v>216</v>
      </c>
      <c r="AG903" t="s">
        <v>58</v>
      </c>
      <c r="AH903">
        <v>11091</v>
      </c>
      <c r="AK903">
        <v>1</v>
      </c>
      <c r="AL903" t="s">
        <v>61</v>
      </c>
      <c r="AM903" t="s">
        <v>4375</v>
      </c>
      <c r="AN903" t="s">
        <v>4376</v>
      </c>
    </row>
    <row r="904" spans="1:40" x14ac:dyDescent="0.35">
      <c r="A904" t="s">
        <v>37</v>
      </c>
      <c r="B904" t="s">
        <v>4377</v>
      </c>
      <c r="C904" t="s">
        <v>39</v>
      </c>
      <c r="D904" t="s">
        <v>4378</v>
      </c>
      <c r="E904" t="s">
        <v>4379</v>
      </c>
      <c r="F904" s="1">
        <v>46076.489895833336</v>
      </c>
      <c r="G904" t="s">
        <v>250</v>
      </c>
      <c r="H904" t="s">
        <v>106</v>
      </c>
      <c r="I904" t="s">
        <v>4380</v>
      </c>
      <c r="J904" t="s">
        <v>455</v>
      </c>
      <c r="K904" t="s">
        <v>436</v>
      </c>
      <c r="M904" t="s">
        <v>76</v>
      </c>
      <c r="O904" t="s">
        <v>237</v>
      </c>
      <c r="P904" t="s">
        <v>238</v>
      </c>
      <c r="Q904" t="s">
        <v>50</v>
      </c>
      <c r="R904" t="s">
        <v>51</v>
      </c>
      <c r="S904" t="s">
        <v>52</v>
      </c>
      <c r="T904" t="s">
        <v>240</v>
      </c>
      <c r="U904" s="1">
        <v>46078.477685185186</v>
      </c>
      <c r="V904" t="s">
        <v>54</v>
      </c>
      <c r="W904" t="s">
        <v>55</v>
      </c>
      <c r="X904" t="s">
        <v>211</v>
      </c>
      <c r="Y904" t="s">
        <v>4381</v>
      </c>
      <c r="Z904" t="s">
        <v>58</v>
      </c>
      <c r="AA904" t="s">
        <v>54</v>
      </c>
      <c r="AB904" t="s">
        <v>213</v>
      </c>
      <c r="AC904" t="s">
        <v>242</v>
      </c>
      <c r="AD904" t="s">
        <v>52</v>
      </c>
      <c r="AE904" t="s">
        <v>243</v>
      </c>
      <c r="AF904" t="s">
        <v>2533</v>
      </c>
      <c r="AG904" t="s">
        <v>58</v>
      </c>
      <c r="AH904" t="s">
        <v>4382</v>
      </c>
      <c r="AK904">
        <v>1</v>
      </c>
      <c r="AL904" t="s">
        <v>61</v>
      </c>
      <c r="AM904" t="s">
        <v>4383</v>
      </c>
      <c r="AN904" t="s">
        <v>4384</v>
      </c>
    </row>
    <row r="905" spans="1:40" x14ac:dyDescent="0.35">
      <c r="A905" t="s">
        <v>37</v>
      </c>
      <c r="B905" t="s">
        <v>4385</v>
      </c>
      <c r="C905" t="s">
        <v>39</v>
      </c>
      <c r="D905" t="s">
        <v>4386</v>
      </c>
      <c r="E905" t="s">
        <v>705</v>
      </c>
      <c r="F905" s="1">
        <v>46076.489803240744</v>
      </c>
      <c r="G905" t="s">
        <v>446</v>
      </c>
      <c r="H905" t="s">
        <v>447</v>
      </c>
      <c r="I905" t="s">
        <v>205</v>
      </c>
      <c r="J905" t="s">
        <v>603</v>
      </c>
      <c r="K905" t="s">
        <v>207</v>
      </c>
      <c r="M905" t="s">
        <v>131</v>
      </c>
      <c r="O905" t="s">
        <v>77</v>
      </c>
      <c r="P905" t="s">
        <v>78</v>
      </c>
      <c r="Q905" t="s">
        <v>4387</v>
      </c>
      <c r="R905" t="s">
        <v>208</v>
      </c>
      <c r="S905" t="s">
        <v>209</v>
      </c>
      <c r="T905" t="s">
        <v>210</v>
      </c>
      <c r="U905" s="1">
        <v>46076.67119212963</v>
      </c>
      <c r="V905" t="s">
        <v>1338</v>
      </c>
      <c r="W905" t="s">
        <v>55</v>
      </c>
      <c r="X905" t="s">
        <v>211</v>
      </c>
      <c r="Y905" t="s">
        <v>604</v>
      </c>
      <c r="Z905" t="s">
        <v>58</v>
      </c>
      <c r="AA905" t="s">
        <v>1338</v>
      </c>
      <c r="AB905" t="s">
        <v>213</v>
      </c>
      <c r="AC905" t="s">
        <v>85</v>
      </c>
      <c r="AD905" t="s">
        <v>214</v>
      </c>
      <c r="AE905" t="s">
        <v>215</v>
      </c>
      <c r="AF905" t="s">
        <v>216</v>
      </c>
      <c r="AG905" t="s">
        <v>58</v>
      </c>
      <c r="AH905">
        <v>10190</v>
      </c>
      <c r="AK905">
        <v>1</v>
      </c>
      <c r="AL905" t="s">
        <v>61</v>
      </c>
      <c r="AM905" t="s">
        <v>4388</v>
      </c>
      <c r="AN905" t="s">
        <v>4389</v>
      </c>
    </row>
    <row r="906" spans="1:40" x14ac:dyDescent="0.35">
      <c r="A906" t="s">
        <v>37</v>
      </c>
      <c r="B906" t="s">
        <v>4390</v>
      </c>
      <c r="C906" t="s">
        <v>39</v>
      </c>
      <c r="D906" t="s">
        <v>4391</v>
      </c>
      <c r="E906" t="s">
        <v>4392</v>
      </c>
      <c r="F906" s="1">
        <v>46076.489710648151</v>
      </c>
      <c r="G906" t="s">
        <v>393</v>
      </c>
      <c r="H906" t="s">
        <v>92</v>
      </c>
      <c r="I906" t="s">
        <v>4393</v>
      </c>
      <c r="J906" t="s">
        <v>2531</v>
      </c>
      <c r="K906" t="s">
        <v>2532</v>
      </c>
      <c r="M906" t="s">
        <v>76</v>
      </c>
      <c r="O906" t="s">
        <v>77</v>
      </c>
      <c r="P906" t="s">
        <v>78</v>
      </c>
      <c r="Q906" t="s">
        <v>50</v>
      </c>
      <c r="R906" t="s">
        <v>51</v>
      </c>
      <c r="S906" t="s">
        <v>52</v>
      </c>
      <c r="T906" t="s">
        <v>240</v>
      </c>
      <c r="U906" s="1">
        <v>46076.538807870369</v>
      </c>
      <c r="V906" t="s">
        <v>54</v>
      </c>
      <c r="W906" t="s">
        <v>55</v>
      </c>
      <c r="X906" t="s">
        <v>134</v>
      </c>
      <c r="Y906" t="e">
        <f>- Please note that, your username has been whitelisted now. kindly ensure that you are using only one device to punch.</f>
        <v>#NAME?</v>
      </c>
      <c r="Z906" t="s">
        <v>58</v>
      </c>
      <c r="AA906" t="s">
        <v>54</v>
      </c>
      <c r="AB906" t="s">
        <v>458</v>
      </c>
      <c r="AC906" t="s">
        <v>85</v>
      </c>
      <c r="AD906" t="s">
        <v>52</v>
      </c>
      <c r="AE906" t="s">
        <v>243</v>
      </c>
      <c r="AF906" t="s">
        <v>2533</v>
      </c>
      <c r="AG906" t="s">
        <v>58</v>
      </c>
      <c r="AH906">
        <v>15908</v>
      </c>
      <c r="AK906">
        <v>1</v>
      </c>
      <c r="AL906" t="s">
        <v>61</v>
      </c>
      <c r="AM906" t="s">
        <v>4394</v>
      </c>
      <c r="AN906" t="s">
        <v>4395</v>
      </c>
    </row>
    <row r="907" spans="1:40" x14ac:dyDescent="0.35">
      <c r="A907" t="s">
        <v>37</v>
      </c>
      <c r="B907" t="s">
        <v>4396</v>
      </c>
      <c r="C907" t="s">
        <v>102</v>
      </c>
      <c r="D907" t="s">
        <v>2780</v>
      </c>
      <c r="E907" t="s">
        <v>4397</v>
      </c>
      <c r="F907" s="1">
        <v>46076.488842592589</v>
      </c>
      <c r="G907" t="s">
        <v>464</v>
      </c>
      <c r="H907" t="s">
        <v>287</v>
      </c>
      <c r="I907" t="s">
        <v>4398</v>
      </c>
      <c r="J907" t="s">
        <v>724</v>
      </c>
      <c r="K907" t="s">
        <v>75</v>
      </c>
      <c r="M907" t="s">
        <v>76</v>
      </c>
      <c r="O907" t="s">
        <v>237</v>
      </c>
      <c r="P907" t="s">
        <v>238</v>
      </c>
      <c r="Q907" t="s">
        <v>4399</v>
      </c>
      <c r="R907" t="s">
        <v>79</v>
      </c>
      <c r="S907" t="s">
        <v>967</v>
      </c>
      <c r="T907" t="s">
        <v>4400</v>
      </c>
      <c r="U907" s="1">
        <v>46076.495324074072</v>
      </c>
      <c r="V907" t="s">
        <v>54</v>
      </c>
      <c r="W907" t="s">
        <v>55</v>
      </c>
      <c r="X907" t="s">
        <v>82</v>
      </c>
      <c r="Y907" t="s">
        <v>4401</v>
      </c>
      <c r="Z907" t="s">
        <v>58</v>
      </c>
      <c r="AA907" t="s">
        <v>54</v>
      </c>
      <c r="AB907" t="s">
        <v>727</v>
      </c>
      <c r="AC907" t="s">
        <v>242</v>
      </c>
      <c r="AD907" t="s">
        <v>79</v>
      </c>
      <c r="AE907" t="s">
        <v>967</v>
      </c>
      <c r="AF907" t="s">
        <v>4400</v>
      </c>
      <c r="AG907" t="s">
        <v>58</v>
      </c>
      <c r="AH907">
        <v>4210</v>
      </c>
      <c r="AK907">
        <v>0</v>
      </c>
      <c r="AL907" t="s">
        <v>61</v>
      </c>
      <c r="AM907" t="s">
        <v>4402</v>
      </c>
      <c r="AN907" t="s">
        <v>4403</v>
      </c>
    </row>
    <row r="908" spans="1:40" x14ac:dyDescent="0.35">
      <c r="A908" t="s">
        <v>37</v>
      </c>
      <c r="B908" t="s">
        <v>4404</v>
      </c>
      <c r="C908" t="s">
        <v>102</v>
      </c>
      <c r="D908" t="s">
        <v>676</v>
      </c>
      <c r="E908" t="s">
        <v>677</v>
      </c>
      <c r="F908" s="1">
        <v>46076.490833333337</v>
      </c>
      <c r="G908" t="s">
        <v>71</v>
      </c>
      <c r="H908" t="s">
        <v>72</v>
      </c>
      <c r="I908" t="s">
        <v>4405</v>
      </c>
      <c r="J908" t="s">
        <v>620</v>
      </c>
      <c r="K908" t="s">
        <v>565</v>
      </c>
      <c r="M908" t="s">
        <v>76</v>
      </c>
      <c r="O908" t="s">
        <v>77</v>
      </c>
      <c r="P908" t="s">
        <v>78</v>
      </c>
      <c r="Q908" t="s">
        <v>50</v>
      </c>
      <c r="R908" t="s">
        <v>51</v>
      </c>
      <c r="S908" t="s">
        <v>240</v>
      </c>
      <c r="T908" t="s">
        <v>4406</v>
      </c>
      <c r="U908" s="1">
        <v>46076.547592592593</v>
      </c>
      <c r="V908" t="s">
        <v>54</v>
      </c>
      <c r="W908" t="s">
        <v>55</v>
      </c>
      <c r="X908" t="s">
        <v>134</v>
      </c>
      <c r="Y908" t="s">
        <v>4407</v>
      </c>
      <c r="Z908" t="s">
        <v>58</v>
      </c>
      <c r="AA908" t="s">
        <v>54</v>
      </c>
      <c r="AB908" t="s">
        <v>682</v>
      </c>
      <c r="AC908" t="s">
        <v>85</v>
      </c>
      <c r="AD908" t="s">
        <v>51</v>
      </c>
      <c r="AE908" t="s">
        <v>240</v>
      </c>
      <c r="AF908" t="s">
        <v>4406</v>
      </c>
      <c r="AG908" t="s">
        <v>58</v>
      </c>
      <c r="AH908" t="s">
        <v>683</v>
      </c>
      <c r="AK908">
        <v>1</v>
      </c>
      <c r="AL908" t="s">
        <v>61</v>
      </c>
      <c r="AM908" t="s">
        <v>682</v>
      </c>
      <c r="AN908" t="s">
        <v>684</v>
      </c>
    </row>
    <row r="909" spans="1:40" x14ac:dyDescent="0.35">
      <c r="A909" t="s">
        <v>37</v>
      </c>
      <c r="B909" t="s">
        <v>4408</v>
      </c>
      <c r="C909" t="s">
        <v>102</v>
      </c>
      <c r="D909" t="s">
        <v>325</v>
      </c>
      <c r="E909" t="s">
        <v>4409</v>
      </c>
      <c r="F909" s="1">
        <v>46076.488993055558</v>
      </c>
      <c r="G909" t="s">
        <v>793</v>
      </c>
      <c r="H909" t="s">
        <v>356</v>
      </c>
      <c r="I909" t="s">
        <v>4410</v>
      </c>
      <c r="J909" t="s">
        <v>4411</v>
      </c>
      <c r="K909" t="s">
        <v>4412</v>
      </c>
      <c r="M909" t="s">
        <v>131</v>
      </c>
      <c r="O909" t="s">
        <v>77</v>
      </c>
      <c r="P909" t="s">
        <v>78</v>
      </c>
      <c r="Q909" t="s">
        <v>4413</v>
      </c>
      <c r="R909" t="s">
        <v>51</v>
      </c>
      <c r="S909" t="s">
        <v>52</v>
      </c>
      <c r="T909" t="s">
        <v>4414</v>
      </c>
      <c r="U909" s="1">
        <v>46076.49013888889</v>
      </c>
      <c r="V909" t="s">
        <v>54</v>
      </c>
      <c r="W909" t="s">
        <v>55</v>
      </c>
      <c r="X909" t="s">
        <v>196</v>
      </c>
      <c r="Y909" t="s">
        <v>4415</v>
      </c>
      <c r="Z909" t="s">
        <v>58</v>
      </c>
      <c r="AA909" t="s">
        <v>54</v>
      </c>
      <c r="AB909" t="s">
        <v>4416</v>
      </c>
      <c r="AC909" t="s">
        <v>85</v>
      </c>
      <c r="AD909" t="s">
        <v>51</v>
      </c>
      <c r="AE909" t="s">
        <v>52</v>
      </c>
      <c r="AF909" t="s">
        <v>4414</v>
      </c>
      <c r="AG909" t="s">
        <v>58</v>
      </c>
      <c r="AH909" t="s">
        <v>4417</v>
      </c>
      <c r="AK909">
        <v>0</v>
      </c>
      <c r="AL909" t="s">
        <v>61</v>
      </c>
      <c r="AM909" t="s">
        <v>4416</v>
      </c>
      <c r="AN909" t="s">
        <v>4418</v>
      </c>
    </row>
    <row r="910" spans="1:40" x14ac:dyDescent="0.35">
      <c r="A910" t="s">
        <v>37</v>
      </c>
      <c r="B910" t="s">
        <v>4419</v>
      </c>
      <c r="C910" t="s">
        <v>39</v>
      </c>
      <c r="D910" t="s">
        <v>320</v>
      </c>
      <c r="E910" t="s">
        <v>4420</v>
      </c>
      <c r="F910" s="1">
        <v>46076.484513888892</v>
      </c>
      <c r="G910" t="s">
        <v>4421</v>
      </c>
      <c r="H910" t="s">
        <v>92</v>
      </c>
      <c r="I910" t="s">
        <v>1185</v>
      </c>
      <c r="J910" t="s">
        <v>2406</v>
      </c>
      <c r="K910" t="s">
        <v>1187</v>
      </c>
      <c r="M910" t="s">
        <v>131</v>
      </c>
      <c r="O910" t="s">
        <v>77</v>
      </c>
      <c r="P910" t="s">
        <v>78</v>
      </c>
      <c r="Q910" t="s">
        <v>818</v>
      </c>
      <c r="R910" t="s">
        <v>305</v>
      </c>
      <c r="S910" t="s">
        <v>306</v>
      </c>
      <c r="T910" t="s">
        <v>307</v>
      </c>
      <c r="U910" s="1">
        <v>46077.572256944448</v>
      </c>
      <c r="V910" t="s">
        <v>54</v>
      </c>
      <c r="W910" t="s">
        <v>55</v>
      </c>
      <c r="X910" t="s">
        <v>211</v>
      </c>
      <c r="Y910" t="s">
        <v>4422</v>
      </c>
      <c r="Z910" t="s">
        <v>58</v>
      </c>
      <c r="AA910" t="s">
        <v>54</v>
      </c>
      <c r="AB910" t="s">
        <v>213</v>
      </c>
      <c r="AC910" t="s">
        <v>85</v>
      </c>
      <c r="AD910" t="s">
        <v>1189</v>
      </c>
      <c r="AE910" t="s">
        <v>1190</v>
      </c>
      <c r="AF910" t="s">
        <v>1191</v>
      </c>
      <c r="AG910" t="s">
        <v>58</v>
      </c>
      <c r="AH910">
        <v>12313</v>
      </c>
      <c r="AK910">
        <v>3</v>
      </c>
      <c r="AL910" t="s">
        <v>410</v>
      </c>
      <c r="AM910" t="s">
        <v>4423</v>
      </c>
      <c r="AN910" t="s">
        <v>4424</v>
      </c>
    </row>
    <row r="911" spans="1:40" x14ac:dyDescent="0.35">
      <c r="A911" t="s">
        <v>37</v>
      </c>
      <c r="B911" t="s">
        <v>4425</v>
      </c>
      <c r="C911" t="s">
        <v>39</v>
      </c>
      <c r="D911" t="s">
        <v>4426</v>
      </c>
      <c r="E911" t="s">
        <v>4427</v>
      </c>
      <c r="F911" s="1">
        <v>46076.483842592592</v>
      </c>
      <c r="G911" t="s">
        <v>508</v>
      </c>
      <c r="H911" t="s">
        <v>72</v>
      </c>
      <c r="I911" t="s">
        <v>1196</v>
      </c>
      <c r="J911" t="s">
        <v>394</v>
      </c>
      <c r="K911" t="s">
        <v>75</v>
      </c>
      <c r="M911" t="s">
        <v>76</v>
      </c>
      <c r="O911" t="s">
        <v>77</v>
      </c>
      <c r="P911" t="s">
        <v>78</v>
      </c>
      <c r="Q911" t="s">
        <v>50</v>
      </c>
      <c r="R911" t="s">
        <v>79</v>
      </c>
      <c r="S911" t="s">
        <v>1078</v>
      </c>
      <c r="T911" t="s">
        <v>1078</v>
      </c>
      <c r="U911" s="1">
        <v>46076.4840625</v>
      </c>
      <c r="V911" t="s">
        <v>54</v>
      </c>
      <c r="W911" t="s">
        <v>55</v>
      </c>
      <c r="X911" t="s">
        <v>82</v>
      </c>
      <c r="Y911" t="s">
        <v>1197</v>
      </c>
      <c r="Z911" t="s">
        <v>58</v>
      </c>
      <c r="AA911" t="s">
        <v>54</v>
      </c>
      <c r="AB911" t="s">
        <v>396</v>
      </c>
      <c r="AC911" t="s">
        <v>85</v>
      </c>
      <c r="AD911" t="s">
        <v>79</v>
      </c>
      <c r="AE911" t="s">
        <v>1078</v>
      </c>
      <c r="AF911" t="s">
        <v>1078</v>
      </c>
      <c r="AG911" t="s">
        <v>58</v>
      </c>
      <c r="AH911">
        <v>15878</v>
      </c>
      <c r="AK911">
        <v>0</v>
      </c>
      <c r="AL911" t="s">
        <v>61</v>
      </c>
      <c r="AM911" t="s">
        <v>4428</v>
      </c>
      <c r="AN911" t="s">
        <v>4429</v>
      </c>
    </row>
    <row r="912" spans="1:40" x14ac:dyDescent="0.35">
      <c r="A912" t="s">
        <v>37</v>
      </c>
      <c r="B912" t="s">
        <v>4430</v>
      </c>
      <c r="C912" t="s">
        <v>102</v>
      </c>
      <c r="D912" t="s">
        <v>1982</v>
      </c>
      <c r="E912" t="s">
        <v>4431</v>
      </c>
      <c r="F912" s="1">
        <v>46076.482430555552</v>
      </c>
      <c r="G912" t="s">
        <v>304</v>
      </c>
      <c r="H912" t="s">
        <v>106</v>
      </c>
      <c r="I912" t="s">
        <v>4432</v>
      </c>
      <c r="J912" t="s">
        <v>3680</v>
      </c>
      <c r="K912" t="s">
        <v>3681</v>
      </c>
      <c r="M912" t="s">
        <v>76</v>
      </c>
      <c r="O912" t="s">
        <v>237</v>
      </c>
      <c r="P912" t="s">
        <v>238</v>
      </c>
      <c r="Q912" t="s">
        <v>50</v>
      </c>
      <c r="R912" t="s">
        <v>51</v>
      </c>
      <c r="S912" t="s">
        <v>52</v>
      </c>
      <c r="T912" t="s">
        <v>2563</v>
      </c>
      <c r="U912" s="1">
        <v>46076.566504629627</v>
      </c>
      <c r="V912" t="s">
        <v>54</v>
      </c>
      <c r="W912" t="s">
        <v>55</v>
      </c>
      <c r="X912" t="s">
        <v>211</v>
      </c>
      <c r="Y912" t="s">
        <v>4433</v>
      </c>
      <c r="Z912" t="s">
        <v>58</v>
      </c>
      <c r="AA912" t="s">
        <v>54</v>
      </c>
      <c r="AB912" t="s">
        <v>213</v>
      </c>
      <c r="AC912" t="s">
        <v>242</v>
      </c>
      <c r="AD912" t="s">
        <v>52</v>
      </c>
      <c r="AE912" t="s">
        <v>243</v>
      </c>
      <c r="AF912" t="s">
        <v>1470</v>
      </c>
      <c r="AG912" t="s">
        <v>58</v>
      </c>
      <c r="AH912">
        <v>13172</v>
      </c>
      <c r="AK912">
        <v>1</v>
      </c>
      <c r="AL912" t="s">
        <v>61</v>
      </c>
      <c r="AM912" t="s">
        <v>4434</v>
      </c>
      <c r="AN912" t="s">
        <v>4435</v>
      </c>
    </row>
    <row r="913" spans="1:40" x14ac:dyDescent="0.35">
      <c r="A913" t="s">
        <v>37</v>
      </c>
      <c r="B913" t="s">
        <v>4436</v>
      </c>
      <c r="C913" t="s">
        <v>39</v>
      </c>
      <c r="D913" t="s">
        <v>481</v>
      </c>
      <c r="E913" t="s">
        <v>4373</v>
      </c>
      <c r="F913" s="1">
        <v>46076.482361111113</v>
      </c>
      <c r="G913" t="s">
        <v>4421</v>
      </c>
      <c r="H913" t="s">
        <v>92</v>
      </c>
      <c r="I913" t="s">
        <v>1185</v>
      </c>
      <c r="J913" t="s">
        <v>2406</v>
      </c>
      <c r="K913" t="s">
        <v>1187</v>
      </c>
      <c r="M913" t="s">
        <v>131</v>
      </c>
      <c r="O913" t="s">
        <v>48</v>
      </c>
      <c r="P913" t="s">
        <v>49</v>
      </c>
      <c r="Q913" t="s">
        <v>50</v>
      </c>
      <c r="R913" t="s">
        <v>305</v>
      </c>
      <c r="S913" t="s">
        <v>306</v>
      </c>
      <c r="T913" t="s">
        <v>307</v>
      </c>
      <c r="U913" s="1">
        <v>46076.664004629631</v>
      </c>
      <c r="V913" t="s">
        <v>54</v>
      </c>
      <c r="W913" t="s">
        <v>55</v>
      </c>
      <c r="X913" t="s">
        <v>211</v>
      </c>
      <c r="Y913" t="s">
        <v>4437</v>
      </c>
      <c r="Z913" t="s">
        <v>58</v>
      </c>
      <c r="AA913" t="s">
        <v>54</v>
      </c>
      <c r="AB913" t="s">
        <v>213</v>
      </c>
      <c r="AC913" t="s">
        <v>60</v>
      </c>
      <c r="AD913" t="s">
        <v>1189</v>
      </c>
      <c r="AE913" t="s">
        <v>1190</v>
      </c>
      <c r="AF913" t="s">
        <v>1191</v>
      </c>
      <c r="AG913" t="s">
        <v>58</v>
      </c>
      <c r="AH913">
        <v>15915</v>
      </c>
      <c r="AK913">
        <v>3</v>
      </c>
      <c r="AL913" t="s">
        <v>61</v>
      </c>
      <c r="AM913" t="s">
        <v>4438</v>
      </c>
      <c r="AN913" t="s">
        <v>4439</v>
      </c>
    </row>
    <row r="914" spans="1:40" x14ac:dyDescent="0.35">
      <c r="A914" t="s">
        <v>37</v>
      </c>
      <c r="B914" t="s">
        <v>4440</v>
      </c>
      <c r="C914" t="s">
        <v>102</v>
      </c>
      <c r="D914" t="s">
        <v>191</v>
      </c>
      <c r="E914" t="s">
        <v>192</v>
      </c>
      <c r="F914" s="1">
        <v>46076.480717592596</v>
      </c>
      <c r="G914" t="s">
        <v>71</v>
      </c>
      <c r="H914" t="s">
        <v>72</v>
      </c>
      <c r="I914" t="s">
        <v>4441</v>
      </c>
      <c r="J914" t="s">
        <v>194</v>
      </c>
      <c r="K914" t="s">
        <v>130</v>
      </c>
      <c r="M914" t="s">
        <v>131</v>
      </c>
      <c r="O914" t="s">
        <v>77</v>
      </c>
      <c r="P914" t="s">
        <v>78</v>
      </c>
      <c r="Q914" t="s">
        <v>50</v>
      </c>
      <c r="R914" t="s">
        <v>51</v>
      </c>
      <c r="S914" t="s">
        <v>52</v>
      </c>
      <c r="T914" t="s">
        <v>195</v>
      </c>
      <c r="U914" s="1">
        <v>46076.524456018517</v>
      </c>
      <c r="V914" t="s">
        <v>54</v>
      </c>
      <c r="W914" t="s">
        <v>55</v>
      </c>
      <c r="X914" t="s">
        <v>196</v>
      </c>
      <c r="Y914" t="s">
        <v>4442</v>
      </c>
      <c r="Z914" t="s">
        <v>58</v>
      </c>
      <c r="AA914" t="s">
        <v>54</v>
      </c>
      <c r="AB914" t="s">
        <v>198</v>
      </c>
      <c r="AC914" t="s">
        <v>85</v>
      </c>
      <c r="AD914" t="s">
        <v>51</v>
      </c>
      <c r="AE914" t="s">
        <v>52</v>
      </c>
      <c r="AF914" t="s">
        <v>195</v>
      </c>
      <c r="AG914" t="s">
        <v>58</v>
      </c>
      <c r="AH914" t="s">
        <v>199</v>
      </c>
      <c r="AK914">
        <v>1</v>
      </c>
      <c r="AL914" t="s">
        <v>61</v>
      </c>
      <c r="AM914" t="s">
        <v>198</v>
      </c>
      <c r="AN914" t="s">
        <v>200</v>
      </c>
    </row>
    <row r="915" spans="1:40" x14ac:dyDescent="0.35">
      <c r="A915" t="s">
        <v>37</v>
      </c>
      <c r="B915" t="s">
        <v>4443</v>
      </c>
      <c r="C915" t="s">
        <v>102</v>
      </c>
      <c r="D915" t="s">
        <v>568</v>
      </c>
      <c r="E915" t="s">
        <v>569</v>
      </c>
      <c r="F915" s="1">
        <v>46076.47996527778</v>
      </c>
      <c r="G915" t="s">
        <v>105</v>
      </c>
      <c r="H915" t="s">
        <v>106</v>
      </c>
      <c r="I915" t="s">
        <v>4444</v>
      </c>
      <c r="J915" t="s">
        <v>4445</v>
      </c>
      <c r="K915" t="s">
        <v>2345</v>
      </c>
      <c r="M915" t="s">
        <v>131</v>
      </c>
      <c r="O915" t="s">
        <v>77</v>
      </c>
      <c r="P915" t="s">
        <v>78</v>
      </c>
      <c r="Q915" t="s">
        <v>448</v>
      </c>
      <c r="R915" t="s">
        <v>51</v>
      </c>
      <c r="S915" t="s">
        <v>2563</v>
      </c>
      <c r="T915" t="s">
        <v>2563</v>
      </c>
      <c r="U915" s="1">
        <v>46076.496921296297</v>
      </c>
      <c r="V915" t="s">
        <v>54</v>
      </c>
      <c r="W915" t="s">
        <v>55</v>
      </c>
      <c r="X915" t="s">
        <v>134</v>
      </c>
      <c r="Y915" t="s">
        <v>4446</v>
      </c>
      <c r="Z915" t="s">
        <v>58</v>
      </c>
      <c r="AA915" t="s">
        <v>54</v>
      </c>
      <c r="AB915" t="s">
        <v>4447</v>
      </c>
      <c r="AC915" t="s">
        <v>85</v>
      </c>
      <c r="AD915" t="s">
        <v>51</v>
      </c>
      <c r="AE915" t="s">
        <v>2563</v>
      </c>
      <c r="AF915" t="s">
        <v>2563</v>
      </c>
      <c r="AG915" t="s">
        <v>58</v>
      </c>
      <c r="AK915">
        <v>0</v>
      </c>
      <c r="AL915" t="s">
        <v>61</v>
      </c>
      <c r="AM915" t="s">
        <v>576</v>
      </c>
      <c r="AN915" t="s">
        <v>577</v>
      </c>
    </row>
    <row r="916" spans="1:40" x14ac:dyDescent="0.35">
      <c r="A916" t="s">
        <v>37</v>
      </c>
      <c r="B916" t="s">
        <v>4448</v>
      </c>
      <c r="C916" t="s">
        <v>39</v>
      </c>
      <c r="D916" t="s">
        <v>2230</v>
      </c>
      <c r="E916" t="s">
        <v>2231</v>
      </c>
      <c r="F916" s="1">
        <v>46076.476365740738</v>
      </c>
      <c r="G916" t="s">
        <v>71</v>
      </c>
      <c r="H916" t="s">
        <v>72</v>
      </c>
      <c r="I916" t="s">
        <v>4449</v>
      </c>
      <c r="J916" t="s">
        <v>724</v>
      </c>
      <c r="K916" t="s">
        <v>75</v>
      </c>
      <c r="M916" t="s">
        <v>76</v>
      </c>
      <c r="O916" t="s">
        <v>77</v>
      </c>
      <c r="P916" t="s">
        <v>78</v>
      </c>
      <c r="Q916" t="s">
        <v>1027</v>
      </c>
      <c r="R916" t="s">
        <v>79</v>
      </c>
      <c r="S916" t="s">
        <v>967</v>
      </c>
      <c r="T916" t="s">
        <v>1072</v>
      </c>
      <c r="U916" s="1">
        <v>46076.476736111108</v>
      </c>
      <c r="V916" t="s">
        <v>54</v>
      </c>
      <c r="W916" t="s">
        <v>55</v>
      </c>
      <c r="X916" t="s">
        <v>82</v>
      </c>
      <c r="Y916" t="s">
        <v>4450</v>
      </c>
      <c r="Z916" t="s">
        <v>58</v>
      </c>
      <c r="AA916" t="s">
        <v>54</v>
      </c>
      <c r="AB916" t="s">
        <v>727</v>
      </c>
      <c r="AC916" t="s">
        <v>85</v>
      </c>
      <c r="AD916" t="s">
        <v>79</v>
      </c>
      <c r="AE916" t="s">
        <v>967</v>
      </c>
      <c r="AF916" t="s">
        <v>1072</v>
      </c>
      <c r="AG916" t="s">
        <v>58</v>
      </c>
      <c r="AH916">
        <v>5392</v>
      </c>
      <c r="AK916">
        <v>0</v>
      </c>
      <c r="AL916" t="s">
        <v>410</v>
      </c>
      <c r="AM916" t="s">
        <v>2234</v>
      </c>
      <c r="AN916" t="s">
        <v>2235</v>
      </c>
    </row>
    <row r="917" spans="1:40" x14ac:dyDescent="0.35">
      <c r="A917" t="s">
        <v>37</v>
      </c>
      <c r="B917" t="s">
        <v>4451</v>
      </c>
      <c r="C917" t="s">
        <v>102</v>
      </c>
      <c r="D917" t="s">
        <v>506</v>
      </c>
      <c r="E917" t="s">
        <v>507</v>
      </c>
      <c r="F917" s="1">
        <v>46076.474756944444</v>
      </c>
      <c r="G917" t="s">
        <v>508</v>
      </c>
      <c r="H917" t="s">
        <v>72</v>
      </c>
      <c r="I917" t="s">
        <v>4452</v>
      </c>
      <c r="J917" t="s">
        <v>404</v>
      </c>
      <c r="K917" t="s">
        <v>405</v>
      </c>
      <c r="M917" t="s">
        <v>76</v>
      </c>
      <c r="O917" t="s">
        <v>237</v>
      </c>
      <c r="P917" t="s">
        <v>238</v>
      </c>
      <c r="Q917" t="s">
        <v>50</v>
      </c>
      <c r="R917" t="s">
        <v>51</v>
      </c>
      <c r="S917" t="s">
        <v>52</v>
      </c>
      <c r="T917" t="s">
        <v>240</v>
      </c>
      <c r="U917" s="1">
        <v>46077.497476851851</v>
      </c>
      <c r="V917" t="s">
        <v>54</v>
      </c>
      <c r="W917" t="s">
        <v>55</v>
      </c>
      <c r="X917" t="s">
        <v>211</v>
      </c>
      <c r="Y917" t="s">
        <v>4453</v>
      </c>
      <c r="Z917" t="s">
        <v>58</v>
      </c>
      <c r="AA917" t="s">
        <v>54</v>
      </c>
      <c r="AB917" t="s">
        <v>213</v>
      </c>
      <c r="AC917" t="s">
        <v>242</v>
      </c>
      <c r="AD917" t="s">
        <v>52</v>
      </c>
      <c r="AE917" t="s">
        <v>243</v>
      </c>
      <c r="AF917" t="s">
        <v>409</v>
      </c>
      <c r="AG917" t="s">
        <v>58</v>
      </c>
      <c r="AH917" t="s">
        <v>509</v>
      </c>
      <c r="AK917">
        <v>5</v>
      </c>
      <c r="AL917" t="s">
        <v>61</v>
      </c>
      <c r="AM917" t="s">
        <v>510</v>
      </c>
      <c r="AN917" t="s">
        <v>511</v>
      </c>
    </row>
    <row r="918" spans="1:40" x14ac:dyDescent="0.35">
      <c r="A918" t="s">
        <v>37</v>
      </c>
      <c r="B918" t="s">
        <v>4454</v>
      </c>
      <c r="C918" t="s">
        <v>102</v>
      </c>
      <c r="D918" t="s">
        <v>4455</v>
      </c>
      <c r="E918" t="s">
        <v>4456</v>
      </c>
      <c r="F918" s="1">
        <v>46076.474212962959</v>
      </c>
      <c r="G918" t="s">
        <v>261</v>
      </c>
      <c r="H918" t="s">
        <v>72</v>
      </c>
      <c r="I918" t="s">
        <v>4457</v>
      </c>
      <c r="J918" t="s">
        <v>724</v>
      </c>
      <c r="K918" t="s">
        <v>75</v>
      </c>
      <c r="M918" t="s">
        <v>76</v>
      </c>
      <c r="O918" t="s">
        <v>237</v>
      </c>
      <c r="P918" t="s">
        <v>238</v>
      </c>
      <c r="Q918" t="s">
        <v>50</v>
      </c>
      <c r="R918" t="s">
        <v>79</v>
      </c>
      <c r="S918" t="s">
        <v>1124</v>
      </c>
      <c r="T918" t="s">
        <v>81</v>
      </c>
      <c r="U918" s="1">
        <v>46076.47515046296</v>
      </c>
      <c r="V918" t="s">
        <v>54</v>
      </c>
      <c r="W918" t="s">
        <v>55</v>
      </c>
      <c r="X918" t="s">
        <v>82</v>
      </c>
      <c r="Y918" t="s">
        <v>4458</v>
      </c>
      <c r="Z918" t="s">
        <v>58</v>
      </c>
      <c r="AA918" t="s">
        <v>54</v>
      </c>
      <c r="AB918" t="s">
        <v>727</v>
      </c>
      <c r="AC918" t="s">
        <v>242</v>
      </c>
      <c r="AD918" t="s">
        <v>79</v>
      </c>
      <c r="AE918" t="s">
        <v>1124</v>
      </c>
      <c r="AF918" t="s">
        <v>1126</v>
      </c>
      <c r="AG918" t="s">
        <v>58</v>
      </c>
      <c r="AH918">
        <v>14560</v>
      </c>
      <c r="AK918">
        <v>0</v>
      </c>
      <c r="AL918" t="s">
        <v>61</v>
      </c>
      <c r="AM918" t="s">
        <v>4459</v>
      </c>
      <c r="AN918" t="s">
        <v>4460</v>
      </c>
    </row>
    <row r="919" spans="1:40" x14ac:dyDescent="0.35">
      <c r="A919" t="s">
        <v>37</v>
      </c>
      <c r="B919" t="s">
        <v>4461</v>
      </c>
      <c r="C919" t="s">
        <v>102</v>
      </c>
      <c r="D919" t="s">
        <v>4462</v>
      </c>
      <c r="E919" t="s">
        <v>4463</v>
      </c>
      <c r="F919" s="1">
        <v>46076.475162037037</v>
      </c>
      <c r="G919" t="s">
        <v>1363</v>
      </c>
      <c r="H919" t="s">
        <v>106</v>
      </c>
      <c r="I919" t="s">
        <v>4464</v>
      </c>
      <c r="J919" t="s">
        <v>950</v>
      </c>
      <c r="K919" t="s">
        <v>951</v>
      </c>
      <c r="M919" t="s">
        <v>76</v>
      </c>
      <c r="O919" t="s">
        <v>48</v>
      </c>
      <c r="P919" t="s">
        <v>49</v>
      </c>
      <c r="Q919" t="s">
        <v>818</v>
      </c>
      <c r="R919" t="s">
        <v>79</v>
      </c>
      <c r="S919" t="s">
        <v>4465</v>
      </c>
      <c r="T919" t="s">
        <v>4466</v>
      </c>
      <c r="U919" s="1">
        <v>46076.711168981485</v>
      </c>
      <c r="V919" t="s">
        <v>54</v>
      </c>
      <c r="W919" t="s">
        <v>55</v>
      </c>
      <c r="X919" t="s">
        <v>134</v>
      </c>
      <c r="Y919" t="s">
        <v>4467</v>
      </c>
      <c r="Z919" t="s">
        <v>58</v>
      </c>
      <c r="AA919" t="s">
        <v>54</v>
      </c>
      <c r="AB919" t="s">
        <v>408</v>
      </c>
      <c r="AC919" t="s">
        <v>60</v>
      </c>
      <c r="AD919" t="s">
        <v>79</v>
      </c>
      <c r="AE919" t="s">
        <v>1339</v>
      </c>
      <c r="AF919" t="s">
        <v>4468</v>
      </c>
      <c r="AG919" t="s">
        <v>58</v>
      </c>
      <c r="AH919">
        <v>357</v>
      </c>
      <c r="AK919">
        <v>1</v>
      </c>
      <c r="AL919" t="s">
        <v>410</v>
      </c>
      <c r="AM919" t="s">
        <v>4469</v>
      </c>
      <c r="AN919" t="s">
        <v>4470</v>
      </c>
    </row>
    <row r="920" spans="1:40" x14ac:dyDescent="0.35">
      <c r="A920" t="s">
        <v>37</v>
      </c>
      <c r="B920" t="s">
        <v>4471</v>
      </c>
      <c r="C920" t="s">
        <v>39</v>
      </c>
      <c r="D920" t="s">
        <v>4472</v>
      </c>
      <c r="E920" t="s">
        <v>4473</v>
      </c>
      <c r="F920" s="1">
        <v>46076.47148148148</v>
      </c>
      <c r="G920" t="s">
        <v>232</v>
      </c>
      <c r="H920" t="s">
        <v>233</v>
      </c>
      <c r="I920" t="s">
        <v>205</v>
      </c>
      <c r="J920" t="s">
        <v>603</v>
      </c>
      <c r="K920" t="s">
        <v>207</v>
      </c>
      <c r="M920" t="s">
        <v>131</v>
      </c>
      <c r="O920" t="s">
        <v>77</v>
      </c>
      <c r="P920" t="s">
        <v>78</v>
      </c>
      <c r="Q920" t="s">
        <v>50</v>
      </c>
      <c r="R920" t="s">
        <v>208</v>
      </c>
      <c r="S920" t="s">
        <v>209</v>
      </c>
      <c r="T920" t="s">
        <v>210</v>
      </c>
      <c r="U920" s="1">
        <v>46076.672048611108</v>
      </c>
      <c r="V920" t="s">
        <v>54</v>
      </c>
      <c r="W920" t="s">
        <v>55</v>
      </c>
      <c r="X920" t="s">
        <v>211</v>
      </c>
      <c r="Y920" t="s">
        <v>604</v>
      </c>
      <c r="Z920" t="s">
        <v>58</v>
      </c>
      <c r="AA920" t="s">
        <v>54</v>
      </c>
      <c r="AB920" t="s">
        <v>213</v>
      </c>
      <c r="AC920" t="s">
        <v>85</v>
      </c>
      <c r="AD920" t="s">
        <v>214</v>
      </c>
      <c r="AE920" t="s">
        <v>215</v>
      </c>
      <c r="AF920" t="s">
        <v>216</v>
      </c>
      <c r="AG920" t="s">
        <v>58</v>
      </c>
      <c r="AH920">
        <v>12030</v>
      </c>
      <c r="AK920">
        <v>1</v>
      </c>
      <c r="AL920" t="s">
        <v>61</v>
      </c>
      <c r="AM920" t="s">
        <v>4474</v>
      </c>
      <c r="AN920" t="s">
        <v>4475</v>
      </c>
    </row>
    <row r="921" spans="1:40" x14ac:dyDescent="0.35">
      <c r="A921" t="s">
        <v>37</v>
      </c>
      <c r="B921" t="s">
        <v>4476</v>
      </c>
      <c r="C921" t="s">
        <v>39</v>
      </c>
      <c r="D921" t="s">
        <v>853</v>
      </c>
      <c r="E921" t="s">
        <v>4477</v>
      </c>
      <c r="F921" s="1">
        <v>46076.470509259256</v>
      </c>
      <c r="G921" t="s">
        <v>204</v>
      </c>
      <c r="H921" t="s">
        <v>92</v>
      </c>
      <c r="I921" t="s">
        <v>205</v>
      </c>
      <c r="J921" t="s">
        <v>603</v>
      </c>
      <c r="K921" t="s">
        <v>207</v>
      </c>
      <c r="M921" t="s">
        <v>131</v>
      </c>
      <c r="O921" t="s">
        <v>77</v>
      </c>
      <c r="P921" t="s">
        <v>78</v>
      </c>
      <c r="Q921" t="s">
        <v>1218</v>
      </c>
      <c r="R921" t="s">
        <v>208</v>
      </c>
      <c r="S921" t="s">
        <v>209</v>
      </c>
      <c r="T921" t="s">
        <v>210</v>
      </c>
      <c r="U921" s="1">
        <v>46076.672789351855</v>
      </c>
      <c r="V921" t="s">
        <v>54</v>
      </c>
      <c r="W921" t="s">
        <v>55</v>
      </c>
      <c r="X921" t="s">
        <v>211</v>
      </c>
      <c r="Y921" t="s">
        <v>604</v>
      </c>
      <c r="Z921" t="s">
        <v>58</v>
      </c>
      <c r="AA921" t="s">
        <v>54</v>
      </c>
      <c r="AB921" t="s">
        <v>213</v>
      </c>
      <c r="AC921" t="s">
        <v>85</v>
      </c>
      <c r="AD921" t="s">
        <v>214</v>
      </c>
      <c r="AE921" t="s">
        <v>215</v>
      </c>
      <c r="AF921" t="s">
        <v>216</v>
      </c>
      <c r="AG921" t="s">
        <v>58</v>
      </c>
      <c r="AH921">
        <v>10427</v>
      </c>
      <c r="AK921">
        <v>1</v>
      </c>
      <c r="AL921" t="s">
        <v>61</v>
      </c>
      <c r="AM921" t="s">
        <v>4478</v>
      </c>
      <c r="AN921" t="s">
        <v>4479</v>
      </c>
    </row>
    <row r="922" spans="1:40" x14ac:dyDescent="0.35">
      <c r="A922" t="s">
        <v>37</v>
      </c>
      <c r="B922" t="s">
        <v>4480</v>
      </c>
      <c r="C922" t="s">
        <v>102</v>
      </c>
      <c r="D922" t="s">
        <v>4481</v>
      </c>
      <c r="E922" t="s">
        <v>4482</v>
      </c>
      <c r="F922" s="1">
        <v>46076.470717592594</v>
      </c>
      <c r="G922" t="s">
        <v>1363</v>
      </c>
      <c r="H922" t="s">
        <v>106</v>
      </c>
      <c r="I922" t="s">
        <v>1500</v>
      </c>
      <c r="J922" t="s">
        <v>950</v>
      </c>
      <c r="K922" t="s">
        <v>951</v>
      </c>
      <c r="M922" t="s">
        <v>76</v>
      </c>
      <c r="O922" t="s">
        <v>1501</v>
      </c>
      <c r="P922" t="s">
        <v>1502</v>
      </c>
      <c r="Q922" t="s">
        <v>4087</v>
      </c>
      <c r="R922" t="s">
        <v>79</v>
      </c>
      <c r="S922" t="s">
        <v>955</v>
      </c>
      <c r="T922" t="s">
        <v>1500</v>
      </c>
      <c r="U922" s="1">
        <v>46076.526388888888</v>
      </c>
      <c r="V922" t="s">
        <v>54</v>
      </c>
      <c r="W922" t="s">
        <v>55</v>
      </c>
      <c r="X922" t="s">
        <v>82</v>
      </c>
      <c r="Y922" t="e">
        <f>-the Monitor has been connected, and All PC and Monitor are working fine now.</f>
        <v>#NAME?</v>
      </c>
      <c r="Z922" t="s">
        <v>58</v>
      </c>
      <c r="AA922" t="s">
        <v>54</v>
      </c>
      <c r="AB922" t="s">
        <v>954</v>
      </c>
      <c r="AC922" t="s">
        <v>1504</v>
      </c>
      <c r="AD922" t="s">
        <v>79</v>
      </c>
      <c r="AE922" t="s">
        <v>955</v>
      </c>
      <c r="AF922" t="s">
        <v>1500</v>
      </c>
      <c r="AG922" t="s">
        <v>58</v>
      </c>
      <c r="AH922">
        <v>3673</v>
      </c>
      <c r="AK922">
        <v>1</v>
      </c>
      <c r="AL922" t="s">
        <v>61</v>
      </c>
      <c r="AM922" t="s">
        <v>4483</v>
      </c>
      <c r="AN922" t="s">
        <v>4484</v>
      </c>
    </row>
    <row r="923" spans="1:40" x14ac:dyDescent="0.35">
      <c r="A923" t="s">
        <v>37</v>
      </c>
      <c r="B923" t="s">
        <v>4485</v>
      </c>
      <c r="C923" t="s">
        <v>39</v>
      </c>
      <c r="D923" t="s">
        <v>4486</v>
      </c>
      <c r="E923" t="s">
        <v>4487</v>
      </c>
      <c r="F923" s="1">
        <v>46076.468229166669</v>
      </c>
      <c r="G923" t="s">
        <v>250</v>
      </c>
      <c r="H923" t="s">
        <v>106</v>
      </c>
      <c r="I923" t="s">
        <v>4488</v>
      </c>
      <c r="J923" t="s">
        <v>455</v>
      </c>
      <c r="K923" t="s">
        <v>436</v>
      </c>
      <c r="M923" t="s">
        <v>76</v>
      </c>
      <c r="O923" t="s">
        <v>237</v>
      </c>
      <c r="P923" t="s">
        <v>238</v>
      </c>
      <c r="Q923" t="s">
        <v>50</v>
      </c>
      <c r="R923" t="s">
        <v>51</v>
      </c>
      <c r="S923" t="s">
        <v>52</v>
      </c>
      <c r="T923" t="s">
        <v>4080</v>
      </c>
      <c r="U923" s="1">
        <v>46078.407905092594</v>
      </c>
      <c r="V923" t="s">
        <v>54</v>
      </c>
      <c r="W923" t="s">
        <v>55</v>
      </c>
      <c r="X923" t="s">
        <v>211</v>
      </c>
      <c r="Y923" t="s">
        <v>4489</v>
      </c>
      <c r="Z923" t="s">
        <v>58</v>
      </c>
      <c r="AA923" t="s">
        <v>54</v>
      </c>
      <c r="AB923" t="s">
        <v>213</v>
      </c>
      <c r="AC923" t="s">
        <v>242</v>
      </c>
      <c r="AD923" t="s">
        <v>52</v>
      </c>
      <c r="AE923" t="s">
        <v>438</v>
      </c>
      <c r="AF923" t="s">
        <v>775</v>
      </c>
      <c r="AG923" t="s">
        <v>58</v>
      </c>
      <c r="AH923" t="s">
        <v>4490</v>
      </c>
      <c r="AK923">
        <v>1</v>
      </c>
      <c r="AL923" t="s">
        <v>61</v>
      </c>
      <c r="AM923" t="s">
        <v>4491</v>
      </c>
      <c r="AN923" t="s">
        <v>4492</v>
      </c>
    </row>
    <row r="924" spans="1:40" x14ac:dyDescent="0.35">
      <c r="A924" t="s">
        <v>37</v>
      </c>
      <c r="B924" t="s">
        <v>4493</v>
      </c>
      <c r="C924" t="s">
        <v>39</v>
      </c>
      <c r="D924" t="s">
        <v>40</v>
      </c>
      <c r="E924" t="s">
        <v>41</v>
      </c>
      <c r="F924" s="1">
        <v>46076.468009259261</v>
      </c>
      <c r="G924" t="s">
        <v>42</v>
      </c>
      <c r="H924" t="s">
        <v>43</v>
      </c>
      <c r="I924" t="s">
        <v>4494</v>
      </c>
      <c r="J924" t="s">
        <v>45</v>
      </c>
      <c r="K924" t="s">
        <v>46</v>
      </c>
      <c r="M924" t="s">
        <v>47</v>
      </c>
      <c r="O924" t="s">
        <v>48</v>
      </c>
      <c r="P924" t="s">
        <v>49</v>
      </c>
      <c r="Q924" t="s">
        <v>50</v>
      </c>
      <c r="R924" t="s">
        <v>51</v>
      </c>
      <c r="S924" t="s">
        <v>52</v>
      </c>
      <c r="T924" t="s">
        <v>53</v>
      </c>
      <c r="U924" s="1">
        <v>46076.470069444447</v>
      </c>
      <c r="V924" t="s">
        <v>54</v>
      </c>
      <c r="W924" t="s">
        <v>55</v>
      </c>
      <c r="X924" t="s">
        <v>56</v>
      </c>
      <c r="Y924" t="s">
        <v>65</v>
      </c>
      <c r="Z924" t="s">
        <v>58</v>
      </c>
      <c r="AA924" t="s">
        <v>54</v>
      </c>
      <c r="AB924" t="s">
        <v>59</v>
      </c>
      <c r="AC924" t="s">
        <v>60</v>
      </c>
      <c r="AD924" t="s">
        <v>51</v>
      </c>
      <c r="AE924" t="s">
        <v>52</v>
      </c>
      <c r="AF924" t="s">
        <v>53</v>
      </c>
      <c r="AG924" t="s">
        <v>58</v>
      </c>
      <c r="AK924">
        <v>0</v>
      </c>
      <c r="AL924" t="s">
        <v>61</v>
      </c>
      <c r="AM924" t="s">
        <v>59</v>
      </c>
      <c r="AN924" t="s">
        <v>62</v>
      </c>
    </row>
    <row r="925" spans="1:40" x14ac:dyDescent="0.35">
      <c r="A925" t="s">
        <v>37</v>
      </c>
      <c r="B925" t="s">
        <v>4495</v>
      </c>
      <c r="C925" t="s">
        <v>39</v>
      </c>
      <c r="D925" t="s">
        <v>4496</v>
      </c>
      <c r="E925" t="s">
        <v>4497</v>
      </c>
      <c r="F925" s="1">
        <v>46076.468090277776</v>
      </c>
      <c r="G925" t="s">
        <v>540</v>
      </c>
      <c r="H925" t="s">
        <v>447</v>
      </c>
      <c r="I925" t="s">
        <v>205</v>
      </c>
      <c r="J925" t="s">
        <v>603</v>
      </c>
      <c r="K925" t="s">
        <v>207</v>
      </c>
      <c r="M925" t="s">
        <v>131</v>
      </c>
      <c r="O925" t="s">
        <v>77</v>
      </c>
      <c r="P925" t="s">
        <v>78</v>
      </c>
      <c r="Q925" t="s">
        <v>1102</v>
      </c>
      <c r="R925" t="s">
        <v>208</v>
      </c>
      <c r="S925" t="s">
        <v>209</v>
      </c>
      <c r="T925" t="s">
        <v>210</v>
      </c>
      <c r="U925" s="1">
        <v>46076.673807870371</v>
      </c>
      <c r="V925" t="s">
        <v>54</v>
      </c>
      <c r="W925" t="s">
        <v>55</v>
      </c>
      <c r="X925" t="s">
        <v>211</v>
      </c>
      <c r="Y925" t="s">
        <v>604</v>
      </c>
      <c r="Z925" t="s">
        <v>58</v>
      </c>
      <c r="AA925" t="s">
        <v>54</v>
      </c>
      <c r="AB925" t="s">
        <v>213</v>
      </c>
      <c r="AC925" t="s">
        <v>85</v>
      </c>
      <c r="AD925" t="s">
        <v>214</v>
      </c>
      <c r="AE925" t="s">
        <v>215</v>
      </c>
      <c r="AF925" t="s">
        <v>216</v>
      </c>
      <c r="AG925" t="s">
        <v>58</v>
      </c>
      <c r="AH925">
        <v>5632</v>
      </c>
      <c r="AK925">
        <v>1</v>
      </c>
      <c r="AL925" t="s">
        <v>61</v>
      </c>
      <c r="AM925" t="s">
        <v>4498</v>
      </c>
      <c r="AN925" t="s">
        <v>4499</v>
      </c>
    </row>
    <row r="926" spans="1:40" x14ac:dyDescent="0.35">
      <c r="A926" t="s">
        <v>37</v>
      </c>
      <c r="B926" t="s">
        <v>4500</v>
      </c>
      <c r="C926" t="s">
        <v>102</v>
      </c>
      <c r="D926" t="s">
        <v>4501</v>
      </c>
      <c r="E926" t="s">
        <v>4502</v>
      </c>
      <c r="F926" s="1">
        <v>46076.468159722222</v>
      </c>
      <c r="G926" t="s">
        <v>688</v>
      </c>
      <c r="H926" t="s">
        <v>106</v>
      </c>
      <c r="I926" t="s">
        <v>4221</v>
      </c>
      <c r="J926" t="s">
        <v>950</v>
      </c>
      <c r="K926" t="s">
        <v>951</v>
      </c>
      <c r="M926" t="s">
        <v>76</v>
      </c>
      <c r="O926" t="s">
        <v>237</v>
      </c>
      <c r="P926" t="s">
        <v>238</v>
      </c>
      <c r="Q926" t="s">
        <v>50</v>
      </c>
      <c r="R926" t="s">
        <v>79</v>
      </c>
      <c r="S926" t="s">
        <v>955</v>
      </c>
      <c r="T926" t="s">
        <v>1500</v>
      </c>
      <c r="U926" s="1">
        <v>46076.712835648148</v>
      </c>
      <c r="V926" t="s">
        <v>54</v>
      </c>
      <c r="W926" t="s">
        <v>55</v>
      </c>
      <c r="X926" t="s">
        <v>82</v>
      </c>
      <c r="Y926" t="e">
        <f>- Network Driver has been reset and reconnected successfully.</f>
        <v>#NAME?</v>
      </c>
      <c r="Z926" t="s">
        <v>58</v>
      </c>
      <c r="AA926" t="s">
        <v>54</v>
      </c>
      <c r="AB926" t="s">
        <v>727</v>
      </c>
      <c r="AC926" t="s">
        <v>242</v>
      </c>
      <c r="AD926" t="s">
        <v>79</v>
      </c>
      <c r="AE926" t="s">
        <v>4503</v>
      </c>
      <c r="AF926" t="s">
        <v>4504</v>
      </c>
      <c r="AG926" t="s">
        <v>58</v>
      </c>
      <c r="AH926">
        <v>15613</v>
      </c>
      <c r="AK926">
        <v>1</v>
      </c>
      <c r="AL926" t="s">
        <v>61</v>
      </c>
      <c r="AM926" t="s">
        <v>4505</v>
      </c>
      <c r="AN926" t="s">
        <v>4506</v>
      </c>
    </row>
    <row r="927" spans="1:40" x14ac:dyDescent="0.35">
      <c r="A927" t="s">
        <v>37</v>
      </c>
      <c r="B927" t="s">
        <v>4507</v>
      </c>
      <c r="C927" t="s">
        <v>39</v>
      </c>
      <c r="D927" t="s">
        <v>1216</v>
      </c>
      <c r="E927" t="s">
        <v>4508</v>
      </c>
      <c r="F927" s="1">
        <v>46076.468391203707</v>
      </c>
      <c r="G927" t="s">
        <v>631</v>
      </c>
      <c r="H927" t="s">
        <v>447</v>
      </c>
      <c r="I927" t="s">
        <v>4509</v>
      </c>
      <c r="J927" t="s">
        <v>2333</v>
      </c>
      <c r="K927" t="s">
        <v>1187</v>
      </c>
      <c r="M927" t="s">
        <v>76</v>
      </c>
      <c r="O927" t="s">
        <v>77</v>
      </c>
      <c r="P927" t="s">
        <v>78</v>
      </c>
      <c r="Q927" t="s">
        <v>2895</v>
      </c>
      <c r="R927" t="s">
        <v>79</v>
      </c>
      <c r="S927" t="s">
        <v>172</v>
      </c>
      <c r="T927" t="s">
        <v>4510</v>
      </c>
      <c r="U927" s="1">
        <v>46076.495069444441</v>
      </c>
      <c r="V927" t="s">
        <v>54</v>
      </c>
      <c r="W927" t="s">
        <v>55</v>
      </c>
      <c r="X927" t="s">
        <v>134</v>
      </c>
      <c r="Y927" t="s">
        <v>4511</v>
      </c>
      <c r="Z927" t="s">
        <v>58</v>
      </c>
      <c r="AA927" t="s">
        <v>54</v>
      </c>
      <c r="AB927" t="s">
        <v>408</v>
      </c>
      <c r="AC927" t="s">
        <v>85</v>
      </c>
      <c r="AD927" t="s">
        <v>1189</v>
      </c>
      <c r="AE927" t="s">
        <v>1190</v>
      </c>
      <c r="AF927" t="s">
        <v>4512</v>
      </c>
      <c r="AG927" t="s">
        <v>58</v>
      </c>
      <c r="AH927">
        <v>685</v>
      </c>
      <c r="AK927">
        <v>1</v>
      </c>
      <c r="AL927" t="s">
        <v>61</v>
      </c>
      <c r="AM927" t="s">
        <v>4513</v>
      </c>
      <c r="AN927" t="s">
        <v>4514</v>
      </c>
    </row>
    <row r="928" spans="1:40" x14ac:dyDescent="0.35">
      <c r="A928" t="s">
        <v>37</v>
      </c>
      <c r="B928" t="s">
        <v>4515</v>
      </c>
      <c r="C928" t="s">
        <v>102</v>
      </c>
      <c r="D928" t="s">
        <v>617</v>
      </c>
      <c r="E928" t="s">
        <v>618</v>
      </c>
      <c r="F928" s="1">
        <v>46076.464548611111</v>
      </c>
      <c r="G928" t="s">
        <v>286</v>
      </c>
      <c r="H928" t="s">
        <v>287</v>
      </c>
      <c r="I928" t="s">
        <v>4516</v>
      </c>
      <c r="J928" t="s">
        <v>620</v>
      </c>
      <c r="K928" t="s">
        <v>130</v>
      </c>
      <c r="M928" t="s">
        <v>131</v>
      </c>
      <c r="O928" t="s">
        <v>77</v>
      </c>
      <c r="P928" t="s">
        <v>78</v>
      </c>
      <c r="Q928" t="s">
        <v>50</v>
      </c>
      <c r="R928" t="s">
        <v>132</v>
      </c>
      <c r="S928" t="s">
        <v>133</v>
      </c>
      <c r="T928" t="s">
        <v>133</v>
      </c>
      <c r="U928" s="1">
        <v>46076.523958333331</v>
      </c>
      <c r="V928" t="s">
        <v>54</v>
      </c>
      <c r="W928" t="s">
        <v>55</v>
      </c>
      <c r="X928" t="s">
        <v>134</v>
      </c>
      <c r="Y928" t="s">
        <v>3801</v>
      </c>
      <c r="Z928" t="s">
        <v>58</v>
      </c>
      <c r="AA928" t="s">
        <v>54</v>
      </c>
      <c r="AB928" t="s">
        <v>622</v>
      </c>
      <c r="AC928" t="s">
        <v>85</v>
      </c>
      <c r="AD928" t="s">
        <v>132</v>
      </c>
      <c r="AE928" t="s">
        <v>133</v>
      </c>
      <c r="AF928" t="s">
        <v>133</v>
      </c>
      <c r="AG928" t="s">
        <v>58</v>
      </c>
      <c r="AH928" t="s">
        <v>623</v>
      </c>
      <c r="AK928">
        <v>1</v>
      </c>
      <c r="AL928" t="s">
        <v>61</v>
      </c>
      <c r="AM928" t="s">
        <v>622</v>
      </c>
      <c r="AN928" t="s">
        <v>624</v>
      </c>
    </row>
    <row r="929" spans="1:40" x14ac:dyDescent="0.35">
      <c r="A929" t="s">
        <v>37</v>
      </c>
      <c r="B929" t="s">
        <v>4517</v>
      </c>
      <c r="C929" t="s">
        <v>39</v>
      </c>
      <c r="D929" t="s">
        <v>4518</v>
      </c>
      <c r="E929" t="s">
        <v>4519</v>
      </c>
      <c r="F929" s="1">
        <v>46076.462488425925</v>
      </c>
      <c r="G929" t="s">
        <v>42</v>
      </c>
      <c r="H929" t="s">
        <v>43</v>
      </c>
      <c r="I929" t="s">
        <v>1185</v>
      </c>
      <c r="J929" t="s">
        <v>2406</v>
      </c>
      <c r="K929" t="s">
        <v>1187</v>
      </c>
      <c r="M929" t="s">
        <v>131</v>
      </c>
      <c r="O929" t="s">
        <v>77</v>
      </c>
      <c r="P929" t="s">
        <v>78</v>
      </c>
      <c r="Q929" t="s">
        <v>50</v>
      </c>
      <c r="R929" t="s">
        <v>305</v>
      </c>
      <c r="S929" t="s">
        <v>306</v>
      </c>
      <c r="T929" t="s">
        <v>307</v>
      </c>
      <c r="U929" s="1">
        <v>46077.568703703706</v>
      </c>
      <c r="V929" t="s">
        <v>54</v>
      </c>
      <c r="W929" t="s">
        <v>55</v>
      </c>
      <c r="X929" t="s">
        <v>211</v>
      </c>
      <c r="Y929" t="s">
        <v>4520</v>
      </c>
      <c r="Z929" t="s">
        <v>58</v>
      </c>
      <c r="AA929" t="s">
        <v>54</v>
      </c>
      <c r="AB929" t="s">
        <v>213</v>
      </c>
      <c r="AC929" t="s">
        <v>85</v>
      </c>
      <c r="AD929" t="s">
        <v>1189</v>
      </c>
      <c r="AE929" t="s">
        <v>1190</v>
      </c>
      <c r="AF929" t="s">
        <v>1191</v>
      </c>
      <c r="AG929" t="s">
        <v>58</v>
      </c>
      <c r="AH929" t="s">
        <v>4521</v>
      </c>
      <c r="AK929">
        <v>3</v>
      </c>
      <c r="AL929" t="s">
        <v>61</v>
      </c>
      <c r="AM929" t="s">
        <v>4522</v>
      </c>
      <c r="AN929" t="s">
        <v>4523</v>
      </c>
    </row>
    <row r="930" spans="1:40" x14ac:dyDescent="0.35">
      <c r="A930" t="s">
        <v>37</v>
      </c>
      <c r="B930" t="s">
        <v>4524</v>
      </c>
      <c r="C930" t="s">
        <v>39</v>
      </c>
      <c r="D930" t="s">
        <v>4525</v>
      </c>
      <c r="E930" t="s">
        <v>4526</v>
      </c>
      <c r="F930" s="1">
        <v>46076.465486111112</v>
      </c>
      <c r="G930" t="s">
        <v>464</v>
      </c>
      <c r="H930" t="s">
        <v>287</v>
      </c>
      <c r="I930" t="s">
        <v>4527</v>
      </c>
      <c r="J930" t="s">
        <v>1518</v>
      </c>
      <c r="K930" t="s">
        <v>75</v>
      </c>
      <c r="M930" t="s">
        <v>76</v>
      </c>
      <c r="O930" t="s">
        <v>77</v>
      </c>
      <c r="P930" t="s">
        <v>78</v>
      </c>
      <c r="Q930" t="s">
        <v>4528</v>
      </c>
      <c r="R930" t="s">
        <v>79</v>
      </c>
      <c r="S930" t="s">
        <v>1078</v>
      </c>
      <c r="T930" t="s">
        <v>1078</v>
      </c>
      <c r="U930" s="1">
        <v>46076.476921296293</v>
      </c>
      <c r="V930" t="s">
        <v>54</v>
      </c>
      <c r="W930" t="s">
        <v>55</v>
      </c>
      <c r="X930" t="s">
        <v>82</v>
      </c>
      <c r="Y930" t="s">
        <v>4527</v>
      </c>
      <c r="Z930" t="s">
        <v>58</v>
      </c>
      <c r="AA930" t="s">
        <v>54</v>
      </c>
      <c r="AB930" t="s">
        <v>1503</v>
      </c>
      <c r="AC930" t="s">
        <v>85</v>
      </c>
      <c r="AD930" t="s">
        <v>79</v>
      </c>
      <c r="AE930" t="s">
        <v>1078</v>
      </c>
      <c r="AF930" t="s">
        <v>1078</v>
      </c>
      <c r="AG930" t="s">
        <v>58</v>
      </c>
      <c r="AH930">
        <v>3190</v>
      </c>
      <c r="AK930">
        <v>0</v>
      </c>
      <c r="AL930" t="s">
        <v>61</v>
      </c>
      <c r="AM930" t="s">
        <v>4529</v>
      </c>
      <c r="AN930" t="s">
        <v>4530</v>
      </c>
    </row>
    <row r="931" spans="1:40" x14ac:dyDescent="0.35">
      <c r="A931" t="s">
        <v>37</v>
      </c>
      <c r="B931" t="s">
        <v>4531</v>
      </c>
      <c r="C931" t="s">
        <v>39</v>
      </c>
      <c r="D931" t="s">
        <v>4532</v>
      </c>
      <c r="E931" t="s">
        <v>4533</v>
      </c>
      <c r="F931" s="1">
        <v>46076.461655092593</v>
      </c>
      <c r="G931" t="s">
        <v>540</v>
      </c>
      <c r="H931" t="s">
        <v>447</v>
      </c>
      <c r="I931" t="s">
        <v>205</v>
      </c>
      <c r="J931" t="s">
        <v>1692</v>
      </c>
      <c r="K931" t="s">
        <v>207</v>
      </c>
      <c r="M931" t="s">
        <v>131</v>
      </c>
      <c r="O931" t="s">
        <v>77</v>
      </c>
      <c r="P931" t="s">
        <v>78</v>
      </c>
      <c r="Q931" t="s">
        <v>1102</v>
      </c>
      <c r="R931" t="s">
        <v>208</v>
      </c>
      <c r="S931" t="s">
        <v>209</v>
      </c>
      <c r="T931" t="s">
        <v>210</v>
      </c>
      <c r="U931" s="1">
        <v>46077.183298611111</v>
      </c>
      <c r="V931" t="s">
        <v>54</v>
      </c>
      <c r="W931" t="s">
        <v>55</v>
      </c>
      <c r="X931" t="s">
        <v>211</v>
      </c>
      <c r="Y931" t="s">
        <v>1693</v>
      </c>
      <c r="Z931" t="s">
        <v>58</v>
      </c>
      <c r="AA931" t="s">
        <v>54</v>
      </c>
      <c r="AB931" t="s">
        <v>213</v>
      </c>
      <c r="AC931" t="s">
        <v>85</v>
      </c>
      <c r="AD931" t="s">
        <v>214</v>
      </c>
      <c r="AE931" t="s">
        <v>215</v>
      </c>
      <c r="AF931" t="s">
        <v>216</v>
      </c>
      <c r="AG931" t="s">
        <v>58</v>
      </c>
      <c r="AH931">
        <v>2976</v>
      </c>
      <c r="AK931">
        <v>1</v>
      </c>
      <c r="AL931" t="s">
        <v>61</v>
      </c>
      <c r="AM931" t="s">
        <v>4534</v>
      </c>
      <c r="AN931" t="s">
        <v>4535</v>
      </c>
    </row>
    <row r="932" spans="1:40" x14ac:dyDescent="0.35">
      <c r="A932" t="s">
        <v>37</v>
      </c>
      <c r="B932" t="s">
        <v>4536</v>
      </c>
      <c r="C932" t="s">
        <v>39</v>
      </c>
      <c r="D932" t="s">
        <v>506</v>
      </c>
      <c r="E932" t="s">
        <v>4537</v>
      </c>
      <c r="F932" s="1">
        <v>46076.462175925924</v>
      </c>
      <c r="G932" t="s">
        <v>377</v>
      </c>
      <c r="H932" t="s">
        <v>287</v>
      </c>
      <c r="I932" t="s">
        <v>4538</v>
      </c>
      <c r="J932" t="s">
        <v>1015</v>
      </c>
      <c r="K932" t="s">
        <v>75</v>
      </c>
      <c r="M932" t="s">
        <v>76</v>
      </c>
      <c r="O932" t="s">
        <v>77</v>
      </c>
      <c r="P932" t="s">
        <v>78</v>
      </c>
      <c r="Q932" t="s">
        <v>50</v>
      </c>
      <c r="R932" t="s">
        <v>79</v>
      </c>
      <c r="S932" t="s">
        <v>975</v>
      </c>
      <c r="T932" t="s">
        <v>976</v>
      </c>
      <c r="U932" s="1">
        <v>46076.463229166664</v>
      </c>
      <c r="V932" t="s">
        <v>54</v>
      </c>
      <c r="W932" t="s">
        <v>55</v>
      </c>
      <c r="X932" t="s">
        <v>82</v>
      </c>
      <c r="Y932" t="s">
        <v>4539</v>
      </c>
      <c r="Z932" t="s">
        <v>58</v>
      </c>
      <c r="AA932" t="s">
        <v>54</v>
      </c>
      <c r="AB932" t="s">
        <v>954</v>
      </c>
      <c r="AC932" t="s">
        <v>85</v>
      </c>
      <c r="AD932" t="s">
        <v>79</v>
      </c>
      <c r="AE932" t="s">
        <v>975</v>
      </c>
      <c r="AF932" t="s">
        <v>976</v>
      </c>
      <c r="AG932" t="s">
        <v>58</v>
      </c>
      <c r="AH932" t="s">
        <v>4540</v>
      </c>
      <c r="AK932">
        <v>0</v>
      </c>
      <c r="AL932" t="s">
        <v>61</v>
      </c>
      <c r="AM932" t="s">
        <v>4541</v>
      </c>
      <c r="AN932" t="s">
        <v>4542</v>
      </c>
    </row>
    <row r="933" spans="1:40" x14ac:dyDescent="0.35">
      <c r="A933" t="s">
        <v>37</v>
      </c>
      <c r="B933" t="s">
        <v>4543</v>
      </c>
      <c r="C933" t="s">
        <v>39</v>
      </c>
      <c r="D933" t="s">
        <v>325</v>
      </c>
      <c r="E933" t="s">
        <v>4409</v>
      </c>
      <c r="F933" s="1">
        <v>46076.464907407404</v>
      </c>
      <c r="G933" t="s">
        <v>793</v>
      </c>
      <c r="H933" t="s">
        <v>356</v>
      </c>
      <c r="I933" t="s">
        <v>4544</v>
      </c>
      <c r="J933" t="s">
        <v>4411</v>
      </c>
      <c r="K933" t="s">
        <v>4412</v>
      </c>
      <c r="M933" t="s">
        <v>131</v>
      </c>
      <c r="O933" t="s">
        <v>77</v>
      </c>
      <c r="P933" t="s">
        <v>78</v>
      </c>
      <c r="Q933" t="s">
        <v>4413</v>
      </c>
      <c r="R933" t="s">
        <v>51</v>
      </c>
      <c r="S933" t="s">
        <v>52</v>
      </c>
      <c r="T933" t="s">
        <v>2248</v>
      </c>
      <c r="U933" s="1">
        <v>46076.465555555558</v>
      </c>
      <c r="V933" t="s">
        <v>54</v>
      </c>
      <c r="W933" t="s">
        <v>55</v>
      </c>
      <c r="X933" t="s">
        <v>134</v>
      </c>
      <c r="Y933" t="s">
        <v>4545</v>
      </c>
      <c r="Z933" t="s">
        <v>58</v>
      </c>
      <c r="AA933" t="s">
        <v>54</v>
      </c>
      <c r="AB933" t="s">
        <v>4416</v>
      </c>
      <c r="AC933" t="s">
        <v>85</v>
      </c>
      <c r="AD933" t="s">
        <v>51</v>
      </c>
      <c r="AE933" t="s">
        <v>52</v>
      </c>
      <c r="AF933" t="s">
        <v>2248</v>
      </c>
      <c r="AG933" t="s">
        <v>58</v>
      </c>
      <c r="AH933" t="s">
        <v>4417</v>
      </c>
      <c r="AK933">
        <v>0</v>
      </c>
      <c r="AL933" t="s">
        <v>61</v>
      </c>
      <c r="AM933" t="s">
        <v>4416</v>
      </c>
      <c r="AN933" t="s">
        <v>4418</v>
      </c>
    </row>
    <row r="934" spans="1:40" x14ac:dyDescent="0.35">
      <c r="A934" t="s">
        <v>37</v>
      </c>
      <c r="B934" t="s">
        <v>4546</v>
      </c>
      <c r="C934" t="s">
        <v>102</v>
      </c>
      <c r="D934" t="s">
        <v>568</v>
      </c>
      <c r="E934" t="s">
        <v>569</v>
      </c>
      <c r="F934" s="1">
        <v>46076.462395833332</v>
      </c>
      <c r="G934" t="s">
        <v>105</v>
      </c>
      <c r="H934" t="s">
        <v>106</v>
      </c>
      <c r="I934" t="s">
        <v>2736</v>
      </c>
      <c r="J934" t="s">
        <v>108</v>
      </c>
      <c r="K934" t="s">
        <v>571</v>
      </c>
      <c r="M934" t="s">
        <v>76</v>
      </c>
      <c r="O934" t="s">
        <v>77</v>
      </c>
      <c r="P934" t="s">
        <v>78</v>
      </c>
      <c r="Q934" t="s">
        <v>448</v>
      </c>
      <c r="R934" t="s">
        <v>111</v>
      </c>
      <c r="S934" t="s">
        <v>51</v>
      </c>
      <c r="T934" t="s">
        <v>112</v>
      </c>
      <c r="U934" s="1">
        <v>46077.712997685187</v>
      </c>
      <c r="V934" t="s">
        <v>54</v>
      </c>
      <c r="W934" t="s">
        <v>55</v>
      </c>
      <c r="X934" t="s">
        <v>113</v>
      </c>
      <c r="Y934" t="s">
        <v>2737</v>
      </c>
      <c r="Z934" t="s">
        <v>58</v>
      </c>
      <c r="AA934" t="s">
        <v>54</v>
      </c>
      <c r="AB934" t="s">
        <v>1212</v>
      </c>
      <c r="AC934" t="s">
        <v>85</v>
      </c>
      <c r="AD934" t="s">
        <v>116</v>
      </c>
      <c r="AE934" t="s">
        <v>1541</v>
      </c>
      <c r="AF934" t="s">
        <v>2738</v>
      </c>
      <c r="AG934" t="s">
        <v>58</v>
      </c>
      <c r="AK934">
        <v>1</v>
      </c>
      <c r="AL934" t="s">
        <v>61</v>
      </c>
      <c r="AM934" t="s">
        <v>576</v>
      </c>
      <c r="AN934" t="s">
        <v>577</v>
      </c>
    </row>
    <row r="935" spans="1:40" x14ac:dyDescent="0.35">
      <c r="A935" t="s">
        <v>37</v>
      </c>
      <c r="B935" t="s">
        <v>4547</v>
      </c>
      <c r="C935" t="s">
        <v>39</v>
      </c>
      <c r="D935" t="s">
        <v>4548</v>
      </c>
      <c r="E935" t="s">
        <v>4549</v>
      </c>
      <c r="F935" s="1">
        <v>46076.461296296293</v>
      </c>
      <c r="G935" t="s">
        <v>722</v>
      </c>
      <c r="H935" t="s">
        <v>356</v>
      </c>
      <c r="I935" t="s">
        <v>1087</v>
      </c>
      <c r="J935" t="s">
        <v>1015</v>
      </c>
      <c r="K935" t="s">
        <v>75</v>
      </c>
      <c r="M935" t="s">
        <v>76</v>
      </c>
      <c r="O935" t="s">
        <v>77</v>
      </c>
      <c r="P935" t="s">
        <v>78</v>
      </c>
      <c r="Q935" t="s">
        <v>4550</v>
      </c>
      <c r="R935" t="s">
        <v>79</v>
      </c>
      <c r="S935" t="s">
        <v>1078</v>
      </c>
      <c r="T935" t="s">
        <v>1078</v>
      </c>
      <c r="U935" s="1">
        <v>46076.464189814818</v>
      </c>
      <c r="V935" t="s">
        <v>54</v>
      </c>
      <c r="W935" t="s">
        <v>55</v>
      </c>
      <c r="X935" t="s">
        <v>82</v>
      </c>
      <c r="Y935" t="s">
        <v>4551</v>
      </c>
      <c r="Z935" t="s">
        <v>58</v>
      </c>
      <c r="AA935" t="s">
        <v>54</v>
      </c>
      <c r="AB935" t="s">
        <v>954</v>
      </c>
      <c r="AC935" t="s">
        <v>85</v>
      </c>
      <c r="AD935" t="s">
        <v>79</v>
      </c>
      <c r="AE935" t="s">
        <v>1078</v>
      </c>
      <c r="AF935" t="s">
        <v>1078</v>
      </c>
      <c r="AG935" t="s">
        <v>58</v>
      </c>
      <c r="AH935">
        <v>9942</v>
      </c>
      <c r="AK935">
        <v>0</v>
      </c>
      <c r="AL935" t="s">
        <v>61</v>
      </c>
      <c r="AM935" t="s">
        <v>4552</v>
      </c>
      <c r="AN935" t="s">
        <v>4553</v>
      </c>
    </row>
    <row r="936" spans="1:40" x14ac:dyDescent="0.35">
      <c r="A936" t="s">
        <v>37</v>
      </c>
      <c r="B936" t="s">
        <v>4554</v>
      </c>
      <c r="C936" t="s">
        <v>102</v>
      </c>
      <c r="D936" t="s">
        <v>4555</v>
      </c>
      <c r="E936" t="s">
        <v>4556</v>
      </c>
      <c r="F936" s="1">
        <v>46076.459780092591</v>
      </c>
      <c r="G936" t="s">
        <v>2015</v>
      </c>
      <c r="H936" t="s">
        <v>447</v>
      </c>
      <c r="I936" t="s">
        <v>2452</v>
      </c>
      <c r="J936" t="s">
        <v>1015</v>
      </c>
      <c r="K936" t="s">
        <v>75</v>
      </c>
      <c r="M936" t="s">
        <v>76</v>
      </c>
      <c r="O936" t="s">
        <v>237</v>
      </c>
      <c r="P936" t="s">
        <v>238</v>
      </c>
      <c r="Q936" t="s">
        <v>456</v>
      </c>
      <c r="R936" t="s">
        <v>79</v>
      </c>
      <c r="S936" t="s">
        <v>781</v>
      </c>
      <c r="T936" t="s">
        <v>2453</v>
      </c>
      <c r="U936" s="1">
        <v>46076.467291666668</v>
      </c>
      <c r="V936" t="s">
        <v>54</v>
      </c>
      <c r="W936" t="s">
        <v>55</v>
      </c>
      <c r="X936" t="s">
        <v>82</v>
      </c>
      <c r="Y936" t="e">
        <f>- Run gpupdate/force - PC restarted  - has confirmed able to browse and access hence closing the ticket</f>
        <v>#NAME?</v>
      </c>
      <c r="Z936" t="s">
        <v>58</v>
      </c>
      <c r="AA936" t="s">
        <v>54</v>
      </c>
      <c r="AB936" t="s">
        <v>954</v>
      </c>
      <c r="AC936" t="s">
        <v>242</v>
      </c>
      <c r="AD936" t="s">
        <v>79</v>
      </c>
      <c r="AE936" t="s">
        <v>784</v>
      </c>
      <c r="AF936" t="s">
        <v>2454</v>
      </c>
      <c r="AG936" t="s">
        <v>58</v>
      </c>
      <c r="AH936">
        <v>10175</v>
      </c>
      <c r="AK936">
        <v>0</v>
      </c>
      <c r="AL936" t="s">
        <v>410</v>
      </c>
      <c r="AM936" t="s">
        <v>4557</v>
      </c>
      <c r="AN936" t="s">
        <v>4558</v>
      </c>
    </row>
    <row r="937" spans="1:40" x14ac:dyDescent="0.35">
      <c r="A937" t="s">
        <v>37</v>
      </c>
      <c r="B937" t="s">
        <v>4559</v>
      </c>
      <c r="C937" t="s">
        <v>39</v>
      </c>
      <c r="D937" t="s">
        <v>225</v>
      </c>
      <c r="E937" t="s">
        <v>4560</v>
      </c>
      <c r="F937" s="1">
        <v>46076.458703703705</v>
      </c>
      <c r="G937" t="s">
        <v>515</v>
      </c>
      <c r="H937" t="s">
        <v>92</v>
      </c>
      <c r="I937" t="s">
        <v>205</v>
      </c>
      <c r="J937" t="s">
        <v>603</v>
      </c>
      <c r="K937" t="s">
        <v>207</v>
      </c>
      <c r="M937" t="s">
        <v>131</v>
      </c>
      <c r="O937" t="s">
        <v>77</v>
      </c>
      <c r="P937" t="s">
        <v>78</v>
      </c>
      <c r="Q937" t="s">
        <v>4561</v>
      </c>
      <c r="R937" t="s">
        <v>208</v>
      </c>
      <c r="S937" t="s">
        <v>209</v>
      </c>
      <c r="T937" t="s">
        <v>210</v>
      </c>
      <c r="U937" s="1">
        <v>46076.674537037034</v>
      </c>
      <c r="V937" t="s">
        <v>54</v>
      </c>
      <c r="W937" t="s">
        <v>55</v>
      </c>
      <c r="X937" t="s">
        <v>211</v>
      </c>
      <c r="Y937" t="s">
        <v>604</v>
      </c>
      <c r="Z937" t="s">
        <v>58</v>
      </c>
      <c r="AA937" t="s">
        <v>54</v>
      </c>
      <c r="AB937" t="s">
        <v>213</v>
      </c>
      <c r="AC937" t="s">
        <v>85</v>
      </c>
      <c r="AD937" t="s">
        <v>214</v>
      </c>
      <c r="AE937" t="s">
        <v>215</v>
      </c>
      <c r="AF937" t="s">
        <v>216</v>
      </c>
      <c r="AG937" t="s">
        <v>58</v>
      </c>
      <c r="AH937">
        <v>11478</v>
      </c>
      <c r="AK937">
        <v>1</v>
      </c>
      <c r="AL937" t="s">
        <v>61</v>
      </c>
      <c r="AM937" t="s">
        <v>4562</v>
      </c>
      <c r="AN937" t="s">
        <v>4563</v>
      </c>
    </row>
    <row r="938" spans="1:40" x14ac:dyDescent="0.35">
      <c r="A938" t="s">
        <v>37</v>
      </c>
      <c r="B938" t="s">
        <v>4564</v>
      </c>
      <c r="C938" t="s">
        <v>39</v>
      </c>
      <c r="D938" t="s">
        <v>1215</v>
      </c>
      <c r="E938" t="s">
        <v>4565</v>
      </c>
      <c r="F938" s="1">
        <v>46076.459143518521</v>
      </c>
      <c r="G938" t="s">
        <v>297</v>
      </c>
      <c r="H938" t="s">
        <v>287</v>
      </c>
      <c r="I938" t="s">
        <v>4566</v>
      </c>
      <c r="J938" t="s">
        <v>1015</v>
      </c>
      <c r="K938" t="s">
        <v>75</v>
      </c>
      <c r="M938" t="s">
        <v>76</v>
      </c>
      <c r="O938" t="s">
        <v>77</v>
      </c>
      <c r="P938" t="s">
        <v>78</v>
      </c>
      <c r="R938" t="s">
        <v>79</v>
      </c>
      <c r="S938" t="s">
        <v>80</v>
      </c>
      <c r="T938" t="s">
        <v>81</v>
      </c>
      <c r="U938" s="1">
        <v>46076.472418981481</v>
      </c>
      <c r="V938" t="s">
        <v>54</v>
      </c>
      <c r="W938" t="s">
        <v>55</v>
      </c>
      <c r="X938" t="s">
        <v>82</v>
      </c>
      <c r="Y938" t="s">
        <v>4567</v>
      </c>
      <c r="Z938" t="s">
        <v>58</v>
      </c>
      <c r="AA938" t="s">
        <v>54</v>
      </c>
      <c r="AB938" t="s">
        <v>954</v>
      </c>
      <c r="AC938" t="s">
        <v>85</v>
      </c>
      <c r="AD938" t="s">
        <v>79</v>
      </c>
      <c r="AE938" t="s">
        <v>80</v>
      </c>
      <c r="AF938" t="s">
        <v>81</v>
      </c>
      <c r="AG938" t="s">
        <v>58</v>
      </c>
      <c r="AH938">
        <v>15258</v>
      </c>
      <c r="AK938">
        <v>0</v>
      </c>
      <c r="AL938" t="s">
        <v>61</v>
      </c>
      <c r="AM938" t="s">
        <v>4568</v>
      </c>
      <c r="AN938" t="s">
        <v>4569</v>
      </c>
    </row>
    <row r="939" spans="1:40" x14ac:dyDescent="0.35">
      <c r="A939" t="s">
        <v>37</v>
      </c>
      <c r="B939" t="s">
        <v>4570</v>
      </c>
      <c r="C939" t="s">
        <v>39</v>
      </c>
      <c r="D939" t="s">
        <v>981</v>
      </c>
      <c r="E939" t="s">
        <v>4571</v>
      </c>
      <c r="F939" s="1">
        <v>46076.457615740743</v>
      </c>
      <c r="G939" t="s">
        <v>631</v>
      </c>
      <c r="H939" t="s">
        <v>447</v>
      </c>
      <c r="I939" t="s">
        <v>171</v>
      </c>
      <c r="J939" t="s">
        <v>695</v>
      </c>
      <c r="K939" t="s">
        <v>75</v>
      </c>
      <c r="M939" t="s">
        <v>76</v>
      </c>
      <c r="O939" t="s">
        <v>77</v>
      </c>
      <c r="P939" t="s">
        <v>78</v>
      </c>
      <c r="Q939" t="s">
        <v>50</v>
      </c>
      <c r="R939" t="s">
        <v>79</v>
      </c>
      <c r="S939" t="s">
        <v>172</v>
      </c>
      <c r="T939" t="s">
        <v>173</v>
      </c>
      <c r="U939" s="1">
        <v>46076.457881944443</v>
      </c>
      <c r="V939" t="s">
        <v>54</v>
      </c>
      <c r="W939" t="s">
        <v>55</v>
      </c>
      <c r="X939" t="s">
        <v>82</v>
      </c>
      <c r="Y939" t="s">
        <v>2901</v>
      </c>
      <c r="Z939" t="s">
        <v>58</v>
      </c>
      <c r="AA939" t="s">
        <v>54</v>
      </c>
      <c r="AB939" t="s">
        <v>698</v>
      </c>
      <c r="AC939" t="s">
        <v>85</v>
      </c>
      <c r="AD939" t="s">
        <v>79</v>
      </c>
      <c r="AE939" t="s">
        <v>172</v>
      </c>
      <c r="AF939" t="s">
        <v>173</v>
      </c>
      <c r="AG939" t="s">
        <v>58</v>
      </c>
      <c r="AH939">
        <v>13000</v>
      </c>
      <c r="AK939">
        <v>0</v>
      </c>
      <c r="AL939" t="s">
        <v>61</v>
      </c>
      <c r="AM939" t="s">
        <v>4572</v>
      </c>
      <c r="AN939" t="s">
        <v>4573</v>
      </c>
    </row>
    <row r="940" spans="1:40" x14ac:dyDescent="0.35">
      <c r="A940" t="s">
        <v>37</v>
      </c>
      <c r="B940" t="s">
        <v>4574</v>
      </c>
      <c r="C940" t="s">
        <v>102</v>
      </c>
      <c r="D940" t="s">
        <v>761</v>
      </c>
      <c r="E940" t="s">
        <v>762</v>
      </c>
      <c r="F940" s="1">
        <v>46076.460810185185</v>
      </c>
      <c r="G940" t="s">
        <v>105</v>
      </c>
      <c r="H940" t="s">
        <v>106</v>
      </c>
      <c r="I940" t="s">
        <v>4575</v>
      </c>
      <c r="J940" t="s">
        <v>108</v>
      </c>
      <c r="K940" t="s">
        <v>571</v>
      </c>
      <c r="M940" t="s">
        <v>76</v>
      </c>
      <c r="O940" t="s">
        <v>77</v>
      </c>
      <c r="P940" t="s">
        <v>78</v>
      </c>
      <c r="Q940" t="s">
        <v>50</v>
      </c>
      <c r="R940" t="s">
        <v>111</v>
      </c>
      <c r="S940" t="s">
        <v>51</v>
      </c>
      <c r="T940" t="s">
        <v>112</v>
      </c>
      <c r="U940" s="1">
        <v>46077.713888888888</v>
      </c>
      <c r="V940" t="s">
        <v>54</v>
      </c>
      <c r="W940" t="s">
        <v>55</v>
      </c>
      <c r="X940" t="s">
        <v>113</v>
      </c>
      <c r="Y940" t="s">
        <v>4576</v>
      </c>
      <c r="Z940" t="s">
        <v>58</v>
      </c>
      <c r="AA940" t="s">
        <v>54</v>
      </c>
      <c r="AB940" t="s">
        <v>115</v>
      </c>
      <c r="AC940" t="s">
        <v>85</v>
      </c>
      <c r="AD940" t="s">
        <v>116</v>
      </c>
      <c r="AE940" t="s">
        <v>574</v>
      </c>
      <c r="AF940" t="s">
        <v>4577</v>
      </c>
      <c r="AG940" t="s">
        <v>58</v>
      </c>
      <c r="AH940" t="s">
        <v>765</v>
      </c>
      <c r="AK940">
        <v>1</v>
      </c>
      <c r="AL940" t="s">
        <v>61</v>
      </c>
      <c r="AM940" t="s">
        <v>766</v>
      </c>
      <c r="AN940" t="s">
        <v>767</v>
      </c>
    </row>
    <row r="941" spans="1:40" x14ac:dyDescent="0.35">
      <c r="A941" t="s">
        <v>37</v>
      </c>
      <c r="B941" t="s">
        <v>4578</v>
      </c>
      <c r="C941" t="s">
        <v>102</v>
      </c>
      <c r="D941" t="s">
        <v>4579</v>
      </c>
      <c r="E941" t="s">
        <v>4580</v>
      </c>
      <c r="F941" s="1">
        <v>46076.457719907405</v>
      </c>
      <c r="G941" t="s">
        <v>508</v>
      </c>
      <c r="H941" t="s">
        <v>72</v>
      </c>
      <c r="I941" t="s">
        <v>4581</v>
      </c>
      <c r="J941" t="s">
        <v>1518</v>
      </c>
      <c r="K941" t="s">
        <v>75</v>
      </c>
      <c r="M941" t="s">
        <v>76</v>
      </c>
      <c r="O941" t="s">
        <v>237</v>
      </c>
      <c r="P941" t="s">
        <v>238</v>
      </c>
      <c r="Q941" t="s">
        <v>50</v>
      </c>
      <c r="R941" t="s">
        <v>79</v>
      </c>
      <c r="S941" t="s">
        <v>558</v>
      </c>
      <c r="T941" t="s">
        <v>1108</v>
      </c>
      <c r="U941" s="1">
        <v>46076.477372685185</v>
      </c>
      <c r="V941" t="s">
        <v>54</v>
      </c>
      <c r="W941" t="s">
        <v>55</v>
      </c>
      <c r="X941" t="s">
        <v>82</v>
      </c>
      <c r="Y941" t="s">
        <v>4582</v>
      </c>
      <c r="Z941" t="s">
        <v>58</v>
      </c>
      <c r="AA941" t="s">
        <v>54</v>
      </c>
      <c r="AB941" t="s">
        <v>1503</v>
      </c>
      <c r="AC941" t="s">
        <v>242</v>
      </c>
      <c r="AD941" t="s">
        <v>79</v>
      </c>
      <c r="AE941" t="s">
        <v>558</v>
      </c>
      <c r="AF941" t="s">
        <v>1110</v>
      </c>
      <c r="AG941" t="s">
        <v>58</v>
      </c>
      <c r="AH941">
        <v>15907</v>
      </c>
      <c r="AK941">
        <v>0</v>
      </c>
      <c r="AL941" t="s">
        <v>61</v>
      </c>
      <c r="AM941" t="s">
        <v>4583</v>
      </c>
      <c r="AN941" t="s">
        <v>4584</v>
      </c>
    </row>
    <row r="942" spans="1:40" x14ac:dyDescent="0.35">
      <c r="A942" t="s">
        <v>37</v>
      </c>
      <c r="B942" t="s">
        <v>4585</v>
      </c>
      <c r="C942" t="s">
        <v>102</v>
      </c>
      <c r="D942" t="s">
        <v>4462</v>
      </c>
      <c r="E942" t="s">
        <v>4463</v>
      </c>
      <c r="F942" s="1">
        <v>46076.456701388888</v>
      </c>
      <c r="G942" t="s">
        <v>1363</v>
      </c>
      <c r="H942" t="s">
        <v>106</v>
      </c>
      <c r="I942" t="s">
        <v>4586</v>
      </c>
      <c r="J942" t="s">
        <v>950</v>
      </c>
      <c r="K942" t="s">
        <v>951</v>
      </c>
      <c r="M942" t="s">
        <v>76</v>
      </c>
      <c r="O942" t="s">
        <v>237</v>
      </c>
      <c r="P942" t="s">
        <v>238</v>
      </c>
      <c r="Q942" t="s">
        <v>818</v>
      </c>
      <c r="R942" t="s">
        <v>79</v>
      </c>
      <c r="S942" t="s">
        <v>967</v>
      </c>
      <c r="T942" t="s">
        <v>4400</v>
      </c>
      <c r="U942" s="1">
        <v>46076.714525462965</v>
      </c>
      <c r="V942" t="s">
        <v>54</v>
      </c>
      <c r="W942" t="s">
        <v>55</v>
      </c>
      <c r="X942" t="s">
        <v>82</v>
      </c>
      <c r="Y942" t="e">
        <f>- Adobe Acrobat has been Updated and All the windows drives and BOIS Updated successfully. - issue resolved.</f>
        <v>#NAME?</v>
      </c>
      <c r="Z942" t="s">
        <v>58</v>
      </c>
      <c r="AA942" t="s">
        <v>54</v>
      </c>
      <c r="AB942" t="s">
        <v>954</v>
      </c>
      <c r="AC942" t="s">
        <v>242</v>
      </c>
      <c r="AD942" t="s">
        <v>79</v>
      </c>
      <c r="AE942" t="s">
        <v>696</v>
      </c>
      <c r="AF942" t="s">
        <v>1266</v>
      </c>
      <c r="AG942" t="s">
        <v>58</v>
      </c>
      <c r="AH942">
        <v>357</v>
      </c>
      <c r="AK942">
        <v>1</v>
      </c>
      <c r="AL942" t="s">
        <v>410</v>
      </c>
      <c r="AM942" t="s">
        <v>4469</v>
      </c>
      <c r="AN942" t="s">
        <v>4470</v>
      </c>
    </row>
    <row r="943" spans="1:40" x14ac:dyDescent="0.35">
      <c r="A943" t="s">
        <v>37</v>
      </c>
      <c r="B943" t="s">
        <v>4587</v>
      </c>
      <c r="C943" t="s">
        <v>39</v>
      </c>
      <c r="D943" t="s">
        <v>527</v>
      </c>
      <c r="E943" t="s">
        <v>4588</v>
      </c>
      <c r="F943" s="1">
        <v>46076.456400462965</v>
      </c>
      <c r="G943" t="s">
        <v>2053</v>
      </c>
      <c r="H943" t="s">
        <v>106</v>
      </c>
      <c r="I943" t="s">
        <v>4589</v>
      </c>
      <c r="J943" t="s">
        <v>455</v>
      </c>
      <c r="K943" t="s">
        <v>436</v>
      </c>
      <c r="M943" t="s">
        <v>76</v>
      </c>
      <c r="O943" t="s">
        <v>237</v>
      </c>
      <c r="P943" t="s">
        <v>238</v>
      </c>
      <c r="Q943" t="s">
        <v>50</v>
      </c>
      <c r="R943" t="s">
        <v>51</v>
      </c>
      <c r="S943" t="s">
        <v>52</v>
      </c>
      <c r="T943" t="s">
        <v>240</v>
      </c>
      <c r="U943" s="1">
        <v>46078.403796296298</v>
      </c>
      <c r="V943" t="s">
        <v>54</v>
      </c>
      <c r="W943" t="s">
        <v>55</v>
      </c>
      <c r="X943" t="s">
        <v>211</v>
      </c>
      <c r="Y943" t="s">
        <v>4590</v>
      </c>
      <c r="Z943" t="s">
        <v>58</v>
      </c>
      <c r="AA943" t="s">
        <v>54</v>
      </c>
      <c r="AB943" t="s">
        <v>213</v>
      </c>
      <c r="AC943" t="s">
        <v>242</v>
      </c>
      <c r="AD943" t="s">
        <v>52</v>
      </c>
      <c r="AE943" t="s">
        <v>243</v>
      </c>
      <c r="AF943" t="s">
        <v>244</v>
      </c>
      <c r="AG943" t="s">
        <v>58</v>
      </c>
      <c r="AH943" t="s">
        <v>4591</v>
      </c>
      <c r="AK943">
        <v>1</v>
      </c>
      <c r="AL943" t="s">
        <v>61</v>
      </c>
      <c r="AM943" t="s">
        <v>4592</v>
      </c>
      <c r="AN943" t="s">
        <v>4593</v>
      </c>
    </row>
    <row r="944" spans="1:40" x14ac:dyDescent="0.35">
      <c r="A944" t="s">
        <v>37</v>
      </c>
      <c r="B944" t="s">
        <v>4594</v>
      </c>
      <c r="C944" t="s">
        <v>102</v>
      </c>
      <c r="D944" t="s">
        <v>4595</v>
      </c>
      <c r="E944" t="s">
        <v>4596</v>
      </c>
      <c r="F944" s="1">
        <v>46076.455868055556</v>
      </c>
      <c r="G944" t="s">
        <v>631</v>
      </c>
      <c r="H944" t="s">
        <v>447</v>
      </c>
      <c r="I944" t="s">
        <v>4597</v>
      </c>
      <c r="J944" t="s">
        <v>695</v>
      </c>
      <c r="K944" t="s">
        <v>75</v>
      </c>
      <c r="M944" t="s">
        <v>76</v>
      </c>
      <c r="O944" t="s">
        <v>1501</v>
      </c>
      <c r="P944" t="s">
        <v>1502</v>
      </c>
      <c r="Q944" t="s">
        <v>2895</v>
      </c>
      <c r="R944" t="s">
        <v>305</v>
      </c>
      <c r="S944" t="s">
        <v>306</v>
      </c>
      <c r="T944" t="s">
        <v>307</v>
      </c>
      <c r="U944" s="1">
        <v>46077.49827546296</v>
      </c>
      <c r="V944" t="s">
        <v>54</v>
      </c>
      <c r="W944" t="s">
        <v>55</v>
      </c>
      <c r="X944" t="s">
        <v>211</v>
      </c>
      <c r="Y944" t="s">
        <v>4598</v>
      </c>
      <c r="Z944" t="s">
        <v>58</v>
      </c>
      <c r="AA944" t="s">
        <v>54</v>
      </c>
      <c r="AB944" t="s">
        <v>213</v>
      </c>
      <c r="AC944" t="s">
        <v>1504</v>
      </c>
      <c r="AD944" t="s">
        <v>79</v>
      </c>
      <c r="AE944" t="s">
        <v>975</v>
      </c>
      <c r="AF944" t="s">
        <v>2280</v>
      </c>
      <c r="AG944" t="s">
        <v>58</v>
      </c>
      <c r="AH944">
        <v>389</v>
      </c>
      <c r="AK944">
        <v>4</v>
      </c>
      <c r="AL944" t="s">
        <v>410</v>
      </c>
      <c r="AM944" t="s">
        <v>4599</v>
      </c>
      <c r="AN944" t="s">
        <v>4600</v>
      </c>
    </row>
    <row r="945" spans="1:40" x14ac:dyDescent="0.35">
      <c r="A945" t="s">
        <v>37</v>
      </c>
      <c r="B945" t="s">
        <v>4601</v>
      </c>
      <c r="C945" t="s">
        <v>102</v>
      </c>
      <c r="D945" t="s">
        <v>761</v>
      </c>
      <c r="E945" t="s">
        <v>762</v>
      </c>
      <c r="F945" s="1">
        <v>46076.456226851849</v>
      </c>
      <c r="G945" t="s">
        <v>105</v>
      </c>
      <c r="H945" t="s">
        <v>106</v>
      </c>
      <c r="I945" t="s">
        <v>4602</v>
      </c>
      <c r="J945" t="s">
        <v>108</v>
      </c>
      <c r="K945" t="s">
        <v>571</v>
      </c>
      <c r="M945" t="s">
        <v>76</v>
      </c>
      <c r="O945" t="s">
        <v>77</v>
      </c>
      <c r="P945" t="s">
        <v>78</v>
      </c>
      <c r="Q945" t="s">
        <v>50</v>
      </c>
      <c r="R945" t="s">
        <v>111</v>
      </c>
      <c r="S945" t="s">
        <v>51</v>
      </c>
      <c r="T945" t="s">
        <v>112</v>
      </c>
      <c r="U945" s="1">
        <v>46076.524143518516</v>
      </c>
      <c r="V945" t="s">
        <v>54</v>
      </c>
      <c r="W945" t="s">
        <v>55</v>
      </c>
      <c r="X945" t="s">
        <v>113</v>
      </c>
      <c r="Y945" t="s">
        <v>4603</v>
      </c>
      <c r="Z945" t="s">
        <v>58</v>
      </c>
      <c r="AA945" t="s">
        <v>54</v>
      </c>
      <c r="AB945" t="s">
        <v>115</v>
      </c>
      <c r="AC945" t="s">
        <v>85</v>
      </c>
      <c r="AD945" t="s">
        <v>116</v>
      </c>
      <c r="AE945" t="s">
        <v>574</v>
      </c>
      <c r="AF945" t="s">
        <v>4604</v>
      </c>
      <c r="AG945" t="s">
        <v>58</v>
      </c>
      <c r="AH945" t="s">
        <v>765</v>
      </c>
      <c r="AK945">
        <v>1</v>
      </c>
      <c r="AL945" t="s">
        <v>61</v>
      </c>
      <c r="AM945" t="s">
        <v>766</v>
      </c>
      <c r="AN945" t="s">
        <v>767</v>
      </c>
    </row>
    <row r="946" spans="1:40" x14ac:dyDescent="0.35">
      <c r="A946" t="s">
        <v>37</v>
      </c>
      <c r="B946" t="s">
        <v>4605</v>
      </c>
      <c r="C946" t="s">
        <v>102</v>
      </c>
      <c r="D946" t="s">
        <v>568</v>
      </c>
      <c r="E946" t="s">
        <v>569</v>
      </c>
      <c r="F946" s="1">
        <v>46076.453472222223</v>
      </c>
      <c r="G946" t="s">
        <v>105</v>
      </c>
      <c r="H946" t="s">
        <v>106</v>
      </c>
      <c r="I946" t="s">
        <v>1937</v>
      </c>
      <c r="J946" t="s">
        <v>108</v>
      </c>
      <c r="K946" t="s">
        <v>571</v>
      </c>
      <c r="M946" t="s">
        <v>76</v>
      </c>
      <c r="O946" t="s">
        <v>77</v>
      </c>
      <c r="P946" t="s">
        <v>78</v>
      </c>
      <c r="Q946" t="s">
        <v>448</v>
      </c>
      <c r="R946" t="s">
        <v>111</v>
      </c>
      <c r="S946" t="s">
        <v>51</v>
      </c>
      <c r="T946" t="s">
        <v>112</v>
      </c>
      <c r="U946" s="1">
        <v>46076.47011574074</v>
      </c>
      <c r="V946" t="s">
        <v>54</v>
      </c>
      <c r="W946" t="s">
        <v>55</v>
      </c>
      <c r="X946" t="s">
        <v>113</v>
      </c>
      <c r="Y946" t="s">
        <v>4606</v>
      </c>
      <c r="Z946" t="s">
        <v>58</v>
      </c>
      <c r="AA946" t="s">
        <v>54</v>
      </c>
      <c r="AB946" t="s">
        <v>1212</v>
      </c>
      <c r="AC946" t="s">
        <v>85</v>
      </c>
      <c r="AD946" t="s">
        <v>116</v>
      </c>
      <c r="AE946" t="s">
        <v>574</v>
      </c>
      <c r="AF946" t="s">
        <v>3475</v>
      </c>
      <c r="AG946" t="s">
        <v>58</v>
      </c>
      <c r="AK946">
        <v>1</v>
      </c>
      <c r="AL946" t="s">
        <v>61</v>
      </c>
      <c r="AM946" t="s">
        <v>576</v>
      </c>
      <c r="AN946" t="s">
        <v>577</v>
      </c>
    </row>
    <row r="947" spans="1:40" x14ac:dyDescent="0.35">
      <c r="A947" t="s">
        <v>37</v>
      </c>
      <c r="B947" t="s">
        <v>4607</v>
      </c>
      <c r="C947" t="s">
        <v>39</v>
      </c>
      <c r="D947" t="s">
        <v>2517</v>
      </c>
      <c r="E947" t="s">
        <v>2518</v>
      </c>
      <c r="F947" s="1">
        <v>46076.453472222223</v>
      </c>
      <c r="G947" t="s">
        <v>355</v>
      </c>
      <c r="H947" t="s">
        <v>356</v>
      </c>
      <c r="I947" t="s">
        <v>2519</v>
      </c>
      <c r="J947" t="s">
        <v>1865</v>
      </c>
      <c r="K947" t="s">
        <v>1824</v>
      </c>
      <c r="M947" t="s">
        <v>131</v>
      </c>
      <c r="O947" t="s">
        <v>77</v>
      </c>
      <c r="P947" t="s">
        <v>78</v>
      </c>
      <c r="Q947" t="s">
        <v>50</v>
      </c>
      <c r="R947" t="s">
        <v>51</v>
      </c>
      <c r="S947" t="s">
        <v>52</v>
      </c>
      <c r="T947" t="s">
        <v>240</v>
      </c>
      <c r="U947" s="1">
        <v>46076.617199074077</v>
      </c>
      <c r="V947" t="s">
        <v>54</v>
      </c>
      <c r="W947" t="s">
        <v>55</v>
      </c>
      <c r="X947" t="s">
        <v>56</v>
      </c>
      <c r="Y947" t="s">
        <v>4608</v>
      </c>
      <c r="Z947" t="s">
        <v>58</v>
      </c>
      <c r="AA947" t="s">
        <v>54</v>
      </c>
      <c r="AB947" t="s">
        <v>2521</v>
      </c>
      <c r="AC947" t="s">
        <v>85</v>
      </c>
      <c r="AD947" t="s">
        <v>52</v>
      </c>
      <c r="AE947" t="s">
        <v>243</v>
      </c>
      <c r="AF947" t="s">
        <v>244</v>
      </c>
      <c r="AG947" t="s">
        <v>58</v>
      </c>
      <c r="AH947" t="s">
        <v>2522</v>
      </c>
      <c r="AK947">
        <v>0</v>
      </c>
      <c r="AL947" t="s">
        <v>61</v>
      </c>
      <c r="AM947" t="s">
        <v>2521</v>
      </c>
      <c r="AN947" t="s">
        <v>2523</v>
      </c>
    </row>
    <row r="948" spans="1:40" x14ac:dyDescent="0.35">
      <c r="A948" t="s">
        <v>37</v>
      </c>
      <c r="B948" t="s">
        <v>4609</v>
      </c>
      <c r="C948" t="s">
        <v>39</v>
      </c>
      <c r="D948" t="s">
        <v>191</v>
      </c>
      <c r="E948" t="s">
        <v>192</v>
      </c>
      <c r="F948" s="1">
        <v>46076.456226851849</v>
      </c>
      <c r="G948" t="s">
        <v>71</v>
      </c>
      <c r="H948" t="s">
        <v>72</v>
      </c>
      <c r="I948" t="s">
        <v>4610</v>
      </c>
      <c r="J948" t="s">
        <v>194</v>
      </c>
      <c r="K948" t="s">
        <v>565</v>
      </c>
      <c r="M948" t="s">
        <v>76</v>
      </c>
      <c r="O948" t="s">
        <v>77</v>
      </c>
      <c r="P948" t="s">
        <v>78</v>
      </c>
      <c r="Q948" t="s">
        <v>50</v>
      </c>
      <c r="R948" t="s">
        <v>51</v>
      </c>
      <c r="S948" t="s">
        <v>52</v>
      </c>
      <c r="T948" t="s">
        <v>195</v>
      </c>
      <c r="U948" s="1">
        <v>46076.549780092595</v>
      </c>
      <c r="V948" t="s">
        <v>54</v>
      </c>
      <c r="W948" t="s">
        <v>55</v>
      </c>
      <c r="X948" t="s">
        <v>134</v>
      </c>
      <c r="Y948" t="s">
        <v>4611</v>
      </c>
      <c r="Z948" t="s">
        <v>58</v>
      </c>
      <c r="AA948" t="s">
        <v>54</v>
      </c>
      <c r="AB948" t="s">
        <v>198</v>
      </c>
      <c r="AC948" t="s">
        <v>85</v>
      </c>
      <c r="AD948" t="s">
        <v>51</v>
      </c>
      <c r="AE948" t="s">
        <v>52</v>
      </c>
      <c r="AF948" t="s">
        <v>195</v>
      </c>
      <c r="AG948" t="s">
        <v>58</v>
      </c>
      <c r="AH948" t="s">
        <v>199</v>
      </c>
      <c r="AK948">
        <v>1</v>
      </c>
      <c r="AL948" t="s">
        <v>61</v>
      </c>
      <c r="AM948" t="s">
        <v>198</v>
      </c>
      <c r="AN948" t="s">
        <v>200</v>
      </c>
    </row>
    <row r="949" spans="1:40" x14ac:dyDescent="0.35">
      <c r="A949" t="s">
        <v>37</v>
      </c>
      <c r="B949" t="s">
        <v>4612</v>
      </c>
      <c r="C949" t="s">
        <v>39</v>
      </c>
      <c r="D949" t="s">
        <v>579</v>
      </c>
      <c r="E949" t="s">
        <v>4613</v>
      </c>
      <c r="F949" s="1">
        <v>46076.450659722221</v>
      </c>
      <c r="G949" t="s">
        <v>688</v>
      </c>
      <c r="H949" t="s">
        <v>106</v>
      </c>
      <c r="I949" t="s">
        <v>205</v>
      </c>
      <c r="J949" t="s">
        <v>603</v>
      </c>
      <c r="K949" t="s">
        <v>207</v>
      </c>
      <c r="M949" t="s">
        <v>131</v>
      </c>
      <c r="O949" t="s">
        <v>77</v>
      </c>
      <c r="P949" t="s">
        <v>78</v>
      </c>
      <c r="Q949" t="s">
        <v>4614</v>
      </c>
      <c r="R949" t="s">
        <v>208</v>
      </c>
      <c r="S949" t="s">
        <v>209</v>
      </c>
      <c r="T949" t="s">
        <v>210</v>
      </c>
      <c r="U949" s="1">
        <v>46076.675173611111</v>
      </c>
      <c r="V949" t="s">
        <v>54</v>
      </c>
      <c r="W949" t="s">
        <v>55</v>
      </c>
      <c r="X949" t="s">
        <v>211</v>
      </c>
      <c r="Y949" t="s">
        <v>604</v>
      </c>
      <c r="Z949" t="s">
        <v>58</v>
      </c>
      <c r="AA949" t="s">
        <v>54</v>
      </c>
      <c r="AB949" t="s">
        <v>213</v>
      </c>
      <c r="AC949" t="s">
        <v>85</v>
      </c>
      <c r="AD949" t="s">
        <v>214</v>
      </c>
      <c r="AE949" t="s">
        <v>215</v>
      </c>
      <c r="AF949" t="s">
        <v>216</v>
      </c>
      <c r="AG949" t="s">
        <v>58</v>
      </c>
      <c r="AH949">
        <v>3911</v>
      </c>
      <c r="AK949">
        <v>1</v>
      </c>
      <c r="AL949" t="s">
        <v>61</v>
      </c>
      <c r="AM949" t="s">
        <v>4615</v>
      </c>
      <c r="AN949" t="s">
        <v>4616</v>
      </c>
    </row>
    <row r="950" spans="1:40" x14ac:dyDescent="0.35">
      <c r="A950" t="s">
        <v>37</v>
      </c>
      <c r="B950" t="s">
        <v>4617</v>
      </c>
      <c r="C950" t="s">
        <v>102</v>
      </c>
      <c r="D950" t="s">
        <v>127</v>
      </c>
      <c r="E950" t="s">
        <v>4618</v>
      </c>
      <c r="F950" s="1">
        <v>46076.455636574072</v>
      </c>
      <c r="G950" t="s">
        <v>497</v>
      </c>
      <c r="H950" t="s">
        <v>72</v>
      </c>
      <c r="I950" t="s">
        <v>4619</v>
      </c>
      <c r="J950" t="s">
        <v>724</v>
      </c>
      <c r="K950" t="s">
        <v>75</v>
      </c>
      <c r="M950" t="s">
        <v>76</v>
      </c>
      <c r="O950" t="s">
        <v>237</v>
      </c>
      <c r="P950" t="s">
        <v>238</v>
      </c>
      <c r="Q950" t="s">
        <v>50</v>
      </c>
      <c r="R950" t="s">
        <v>79</v>
      </c>
      <c r="S950" t="s">
        <v>696</v>
      </c>
      <c r="T950" t="s">
        <v>4620</v>
      </c>
      <c r="U950" s="1">
        <v>46076.457858796297</v>
      </c>
      <c r="V950" t="s">
        <v>54</v>
      </c>
      <c r="W950" t="s">
        <v>55</v>
      </c>
      <c r="X950" t="s">
        <v>82</v>
      </c>
      <c r="Y950" t="s">
        <v>4621</v>
      </c>
      <c r="Z950" t="s">
        <v>58</v>
      </c>
      <c r="AA950" t="s">
        <v>54</v>
      </c>
      <c r="AB950" t="s">
        <v>727</v>
      </c>
      <c r="AC950" t="s">
        <v>242</v>
      </c>
      <c r="AD950" t="s">
        <v>79</v>
      </c>
      <c r="AE950" t="s">
        <v>1124</v>
      </c>
      <c r="AF950" t="s">
        <v>1126</v>
      </c>
      <c r="AG950" t="s">
        <v>58</v>
      </c>
      <c r="AH950" t="s">
        <v>4622</v>
      </c>
      <c r="AK950">
        <v>0</v>
      </c>
      <c r="AL950" t="s">
        <v>61</v>
      </c>
      <c r="AM950" t="s">
        <v>4623</v>
      </c>
      <c r="AN950" t="s">
        <v>4624</v>
      </c>
    </row>
    <row r="951" spans="1:40" x14ac:dyDescent="0.35">
      <c r="A951" t="s">
        <v>37</v>
      </c>
      <c r="B951" t="s">
        <v>4625</v>
      </c>
      <c r="C951" t="s">
        <v>39</v>
      </c>
      <c r="D951" t="s">
        <v>2931</v>
      </c>
      <c r="E951" t="s">
        <v>4626</v>
      </c>
      <c r="F951" s="1">
        <v>46076.450057870374</v>
      </c>
      <c r="G951" t="s">
        <v>734</v>
      </c>
      <c r="H951" t="s">
        <v>356</v>
      </c>
      <c r="I951" t="s">
        <v>4627</v>
      </c>
      <c r="J951" t="s">
        <v>1423</v>
      </c>
      <c r="K951" t="s">
        <v>1424</v>
      </c>
      <c r="M951" t="s">
        <v>131</v>
      </c>
      <c r="O951" t="s">
        <v>77</v>
      </c>
      <c r="P951" t="s">
        <v>78</v>
      </c>
      <c r="Q951" t="s">
        <v>50</v>
      </c>
      <c r="R951" t="s">
        <v>305</v>
      </c>
      <c r="S951" t="s">
        <v>306</v>
      </c>
      <c r="T951" t="s">
        <v>307</v>
      </c>
      <c r="U951" s="1">
        <v>46076.468807870369</v>
      </c>
      <c r="V951" t="s">
        <v>54</v>
      </c>
      <c r="X951" t="s">
        <v>211</v>
      </c>
      <c r="Y951" t="s">
        <v>4628</v>
      </c>
      <c r="Z951" t="s">
        <v>58</v>
      </c>
      <c r="AA951" t="s">
        <v>54</v>
      </c>
      <c r="AB951" t="s">
        <v>213</v>
      </c>
      <c r="AC951" t="s">
        <v>85</v>
      </c>
      <c r="AD951" t="s">
        <v>305</v>
      </c>
      <c r="AE951" t="s">
        <v>306</v>
      </c>
      <c r="AF951" t="s">
        <v>307</v>
      </c>
      <c r="AG951" t="s">
        <v>58</v>
      </c>
      <c r="AH951">
        <v>15788</v>
      </c>
      <c r="AK951">
        <v>0</v>
      </c>
      <c r="AL951" t="s">
        <v>61</v>
      </c>
      <c r="AM951" t="s">
        <v>4629</v>
      </c>
      <c r="AN951" t="s">
        <v>4630</v>
      </c>
    </row>
    <row r="952" spans="1:40" x14ac:dyDescent="0.35">
      <c r="A952" t="s">
        <v>37</v>
      </c>
      <c r="B952" t="s">
        <v>4631</v>
      </c>
      <c r="C952" t="s">
        <v>39</v>
      </c>
      <c r="D952" t="s">
        <v>713</v>
      </c>
      <c r="E952" t="s">
        <v>714</v>
      </c>
      <c r="F952" s="1">
        <v>46076.450057870374</v>
      </c>
      <c r="G952" t="s">
        <v>688</v>
      </c>
      <c r="H952" t="s">
        <v>106</v>
      </c>
      <c r="I952" t="s">
        <v>205</v>
      </c>
      <c r="J952" t="s">
        <v>603</v>
      </c>
      <c r="K952" t="s">
        <v>207</v>
      </c>
      <c r="M952" t="s">
        <v>131</v>
      </c>
      <c r="O952" t="s">
        <v>77</v>
      </c>
      <c r="P952" t="s">
        <v>78</v>
      </c>
      <c r="Q952" t="s">
        <v>50</v>
      </c>
      <c r="R952" t="s">
        <v>208</v>
      </c>
      <c r="S952" t="s">
        <v>209</v>
      </c>
      <c r="T952" t="s">
        <v>210</v>
      </c>
      <c r="U952" s="1">
        <v>46076.676111111112</v>
      </c>
      <c r="V952" t="s">
        <v>54</v>
      </c>
      <c r="W952" t="s">
        <v>55</v>
      </c>
      <c r="X952" t="s">
        <v>211</v>
      </c>
      <c r="Y952" t="s">
        <v>604</v>
      </c>
      <c r="Z952" t="s">
        <v>58</v>
      </c>
      <c r="AA952" t="s">
        <v>54</v>
      </c>
      <c r="AB952" t="s">
        <v>213</v>
      </c>
      <c r="AC952" t="s">
        <v>85</v>
      </c>
      <c r="AD952" t="s">
        <v>214</v>
      </c>
      <c r="AE952" t="s">
        <v>215</v>
      </c>
      <c r="AF952" t="s">
        <v>216</v>
      </c>
      <c r="AG952" t="s">
        <v>58</v>
      </c>
      <c r="AH952">
        <v>12597</v>
      </c>
      <c r="AK952">
        <v>1</v>
      </c>
      <c r="AL952" t="s">
        <v>61</v>
      </c>
      <c r="AM952" t="s">
        <v>717</v>
      </c>
      <c r="AN952" t="s">
        <v>718</v>
      </c>
    </row>
    <row r="953" spans="1:40" x14ac:dyDescent="0.35">
      <c r="A953" t="s">
        <v>37</v>
      </c>
      <c r="B953" t="s">
        <v>4632</v>
      </c>
      <c r="C953" t="s">
        <v>102</v>
      </c>
      <c r="D953" t="s">
        <v>4633</v>
      </c>
      <c r="E953" t="s">
        <v>127</v>
      </c>
      <c r="F953" s="1">
        <v>46076.449513888889</v>
      </c>
      <c r="G953" t="s">
        <v>2031</v>
      </c>
      <c r="H953" t="s">
        <v>106</v>
      </c>
      <c r="I953" t="s">
        <v>4634</v>
      </c>
      <c r="J953" t="s">
        <v>4212</v>
      </c>
      <c r="K953" t="s">
        <v>4213</v>
      </c>
      <c r="M953" t="s">
        <v>76</v>
      </c>
      <c r="O953" t="s">
        <v>237</v>
      </c>
      <c r="P953" t="s">
        <v>238</v>
      </c>
      <c r="Q953" t="s">
        <v>818</v>
      </c>
      <c r="R953" t="s">
        <v>51</v>
      </c>
      <c r="S953" t="s">
        <v>52</v>
      </c>
      <c r="T953" t="s">
        <v>240</v>
      </c>
      <c r="U953" s="1">
        <v>46077.488842592589</v>
      </c>
      <c r="V953" t="s">
        <v>54</v>
      </c>
      <c r="W953" t="s">
        <v>55</v>
      </c>
      <c r="X953" t="s">
        <v>211</v>
      </c>
      <c r="Y953" t="s">
        <v>4635</v>
      </c>
      <c r="Z953" t="s">
        <v>58</v>
      </c>
      <c r="AA953" t="s">
        <v>54</v>
      </c>
      <c r="AB953" t="s">
        <v>213</v>
      </c>
      <c r="AC953" t="s">
        <v>242</v>
      </c>
      <c r="AD953" t="s">
        <v>52</v>
      </c>
      <c r="AE953" t="s">
        <v>243</v>
      </c>
      <c r="AF953" t="s">
        <v>2533</v>
      </c>
      <c r="AG953" t="s">
        <v>58</v>
      </c>
      <c r="AH953">
        <v>6245</v>
      </c>
      <c r="AK953">
        <v>4</v>
      </c>
      <c r="AL953" t="s">
        <v>61</v>
      </c>
      <c r="AM953" t="s">
        <v>4636</v>
      </c>
      <c r="AN953" t="s">
        <v>4637</v>
      </c>
    </row>
    <row r="954" spans="1:40" x14ac:dyDescent="0.35">
      <c r="A954" t="s">
        <v>37</v>
      </c>
      <c r="B954" t="s">
        <v>4638</v>
      </c>
      <c r="C954" t="s">
        <v>39</v>
      </c>
      <c r="D954" t="s">
        <v>651</v>
      </c>
      <c r="E954" t="s">
        <v>4639</v>
      </c>
      <c r="F954" s="1">
        <v>46076.449479166666</v>
      </c>
      <c r="G954" t="s">
        <v>1094</v>
      </c>
      <c r="H954" t="s">
        <v>287</v>
      </c>
      <c r="I954" t="s">
        <v>205</v>
      </c>
      <c r="J954" t="s">
        <v>603</v>
      </c>
      <c r="K954" t="s">
        <v>207</v>
      </c>
      <c r="M954" t="s">
        <v>131</v>
      </c>
      <c r="O954" t="s">
        <v>77</v>
      </c>
      <c r="P954" t="s">
        <v>78</v>
      </c>
      <c r="Q954" t="s">
        <v>1141</v>
      </c>
      <c r="R954" t="s">
        <v>208</v>
      </c>
      <c r="S954" t="s">
        <v>209</v>
      </c>
      <c r="T954" t="s">
        <v>210</v>
      </c>
      <c r="U954" s="1">
        <v>46076.676678240743</v>
      </c>
      <c r="V954" t="s">
        <v>54</v>
      </c>
      <c r="W954" t="s">
        <v>55</v>
      </c>
      <c r="X954" t="s">
        <v>211</v>
      </c>
      <c r="Y954" t="s">
        <v>604</v>
      </c>
      <c r="Z954" t="s">
        <v>58</v>
      </c>
      <c r="AA954" t="s">
        <v>54</v>
      </c>
      <c r="AB954" t="s">
        <v>213</v>
      </c>
      <c r="AC954" t="s">
        <v>85</v>
      </c>
      <c r="AD954" t="s">
        <v>214</v>
      </c>
      <c r="AE954" t="s">
        <v>215</v>
      </c>
      <c r="AF954" t="s">
        <v>216</v>
      </c>
      <c r="AG954" t="s">
        <v>58</v>
      </c>
      <c r="AH954">
        <v>5740</v>
      </c>
      <c r="AK954">
        <v>1</v>
      </c>
      <c r="AL954" t="s">
        <v>61</v>
      </c>
      <c r="AM954" t="s">
        <v>4640</v>
      </c>
      <c r="AN954" t="s">
        <v>4641</v>
      </c>
    </row>
    <row r="955" spans="1:40" x14ac:dyDescent="0.35">
      <c r="A955" t="s">
        <v>37</v>
      </c>
      <c r="B955" t="s">
        <v>4642</v>
      </c>
      <c r="C955" t="s">
        <v>39</v>
      </c>
      <c r="D955" t="s">
        <v>4525</v>
      </c>
      <c r="E955" t="s">
        <v>4526</v>
      </c>
      <c r="F955" s="1">
        <v>46076.457337962966</v>
      </c>
      <c r="G955" t="s">
        <v>464</v>
      </c>
      <c r="H955" t="s">
        <v>287</v>
      </c>
      <c r="I955" t="s">
        <v>4643</v>
      </c>
      <c r="J955" t="s">
        <v>1518</v>
      </c>
      <c r="K955" t="s">
        <v>75</v>
      </c>
      <c r="M955" t="s">
        <v>76</v>
      </c>
      <c r="O955" t="s">
        <v>77</v>
      </c>
      <c r="P955" t="s">
        <v>78</v>
      </c>
      <c r="Q955" t="s">
        <v>4528</v>
      </c>
      <c r="R955" t="s">
        <v>79</v>
      </c>
      <c r="S955" t="s">
        <v>1078</v>
      </c>
      <c r="T955" t="s">
        <v>1078</v>
      </c>
      <c r="U955" s="1">
        <v>46076.461886574078</v>
      </c>
      <c r="V955" t="s">
        <v>54</v>
      </c>
      <c r="W955" t="s">
        <v>55</v>
      </c>
      <c r="X955" t="s">
        <v>82</v>
      </c>
      <c r="Y955" t="s">
        <v>4643</v>
      </c>
      <c r="Z955" t="s">
        <v>58</v>
      </c>
      <c r="AA955" t="s">
        <v>54</v>
      </c>
      <c r="AB955" t="s">
        <v>1503</v>
      </c>
      <c r="AC955" t="s">
        <v>85</v>
      </c>
      <c r="AD955" t="s">
        <v>79</v>
      </c>
      <c r="AE955" t="s">
        <v>1078</v>
      </c>
      <c r="AF955" t="s">
        <v>1078</v>
      </c>
      <c r="AG955" t="s">
        <v>58</v>
      </c>
      <c r="AH955">
        <v>3190</v>
      </c>
      <c r="AK955">
        <v>0</v>
      </c>
      <c r="AL955" t="s">
        <v>61</v>
      </c>
      <c r="AM955" t="s">
        <v>4529</v>
      </c>
      <c r="AN955" t="s">
        <v>4530</v>
      </c>
    </row>
    <row r="956" spans="1:40" x14ac:dyDescent="0.35">
      <c r="A956" t="s">
        <v>37</v>
      </c>
      <c r="B956" t="s">
        <v>4644</v>
      </c>
      <c r="C956" t="s">
        <v>39</v>
      </c>
      <c r="D956" t="s">
        <v>4645</v>
      </c>
      <c r="E956" t="s">
        <v>4646</v>
      </c>
      <c r="F956" s="1">
        <v>46076.448912037034</v>
      </c>
      <c r="G956" t="s">
        <v>273</v>
      </c>
      <c r="H956" t="s">
        <v>233</v>
      </c>
      <c r="I956" t="s">
        <v>4647</v>
      </c>
      <c r="J956" t="s">
        <v>2256</v>
      </c>
      <c r="K956" t="s">
        <v>2257</v>
      </c>
      <c r="M956" t="s">
        <v>131</v>
      </c>
      <c r="O956" t="s">
        <v>237</v>
      </c>
      <c r="P956" t="s">
        <v>238</v>
      </c>
      <c r="Q956" t="s">
        <v>4648</v>
      </c>
      <c r="R956" t="s">
        <v>51</v>
      </c>
      <c r="S956" t="s">
        <v>52</v>
      </c>
      <c r="T956" t="s">
        <v>240</v>
      </c>
      <c r="U956" s="1">
        <v>46077.461655092593</v>
      </c>
      <c r="V956" t="s">
        <v>54</v>
      </c>
      <c r="W956" t="s">
        <v>55</v>
      </c>
      <c r="X956" t="s">
        <v>211</v>
      </c>
      <c r="Y956" t="s">
        <v>4649</v>
      </c>
      <c r="Z956" t="s">
        <v>58</v>
      </c>
      <c r="AA956" t="s">
        <v>54</v>
      </c>
      <c r="AB956" t="s">
        <v>213</v>
      </c>
      <c r="AC956" t="s">
        <v>242</v>
      </c>
      <c r="AD956" t="s">
        <v>52</v>
      </c>
      <c r="AE956" t="s">
        <v>2575</v>
      </c>
      <c r="AF956" t="s">
        <v>2576</v>
      </c>
      <c r="AG956" t="s">
        <v>58</v>
      </c>
      <c r="AH956">
        <v>9953</v>
      </c>
      <c r="AK956">
        <v>1</v>
      </c>
      <c r="AL956" t="s">
        <v>61</v>
      </c>
      <c r="AM956" t="s">
        <v>4650</v>
      </c>
      <c r="AN956" t="s">
        <v>4651</v>
      </c>
    </row>
    <row r="957" spans="1:40" x14ac:dyDescent="0.35">
      <c r="A957" t="s">
        <v>37</v>
      </c>
      <c r="B957" t="s">
        <v>4652</v>
      </c>
      <c r="C957" t="s">
        <v>39</v>
      </c>
      <c r="D957" t="s">
        <v>2044</v>
      </c>
      <c r="E957" t="s">
        <v>303</v>
      </c>
      <c r="F957" s="1">
        <v>46076.451111111113</v>
      </c>
      <c r="G957" t="s">
        <v>232</v>
      </c>
      <c r="H957" t="s">
        <v>233</v>
      </c>
      <c r="I957" t="s">
        <v>4653</v>
      </c>
      <c r="J957" t="s">
        <v>557</v>
      </c>
      <c r="K957" t="s">
        <v>75</v>
      </c>
      <c r="M957" t="s">
        <v>76</v>
      </c>
      <c r="O957" t="s">
        <v>77</v>
      </c>
      <c r="P957" t="s">
        <v>78</v>
      </c>
      <c r="Q957" t="s">
        <v>50</v>
      </c>
      <c r="R957" t="s">
        <v>79</v>
      </c>
      <c r="S957" t="s">
        <v>172</v>
      </c>
      <c r="T957" t="s">
        <v>4654</v>
      </c>
      <c r="U957" s="1">
        <v>46076.505231481482</v>
      </c>
      <c r="V957" t="s">
        <v>54</v>
      </c>
      <c r="W957" t="s">
        <v>55</v>
      </c>
      <c r="X957" t="s">
        <v>134</v>
      </c>
      <c r="Y957" t="s">
        <v>4655</v>
      </c>
      <c r="Z957" t="s">
        <v>58</v>
      </c>
      <c r="AA957" t="s">
        <v>54</v>
      </c>
      <c r="AB957" t="s">
        <v>408</v>
      </c>
      <c r="AC957" t="s">
        <v>85</v>
      </c>
      <c r="AD957" t="s">
        <v>79</v>
      </c>
      <c r="AE957" t="s">
        <v>172</v>
      </c>
      <c r="AF957" t="s">
        <v>728</v>
      </c>
      <c r="AG957" t="s">
        <v>58</v>
      </c>
      <c r="AH957">
        <v>15313</v>
      </c>
      <c r="AK957">
        <v>1</v>
      </c>
      <c r="AL957" t="s">
        <v>61</v>
      </c>
      <c r="AM957" t="s">
        <v>2046</v>
      </c>
      <c r="AN957" t="s">
        <v>2047</v>
      </c>
    </row>
    <row r="958" spans="1:40" x14ac:dyDescent="0.35">
      <c r="A958" t="s">
        <v>37</v>
      </c>
      <c r="B958" t="s">
        <v>4656</v>
      </c>
      <c r="C958" t="s">
        <v>39</v>
      </c>
      <c r="D958" t="s">
        <v>3394</v>
      </c>
      <c r="E958" t="s">
        <v>3395</v>
      </c>
      <c r="F958" s="1">
        <v>46076.448333333334</v>
      </c>
      <c r="G958" t="s">
        <v>3396</v>
      </c>
      <c r="H958" t="s">
        <v>106</v>
      </c>
      <c r="I958" t="s">
        <v>205</v>
      </c>
      <c r="J958" t="s">
        <v>603</v>
      </c>
      <c r="K958" t="s">
        <v>207</v>
      </c>
      <c r="M958" t="s">
        <v>131</v>
      </c>
      <c r="O958" t="s">
        <v>77</v>
      </c>
      <c r="P958" t="s">
        <v>78</v>
      </c>
      <c r="Q958" t="s">
        <v>3398</v>
      </c>
      <c r="R958" t="s">
        <v>208</v>
      </c>
      <c r="S958" t="s">
        <v>209</v>
      </c>
      <c r="T958" t="s">
        <v>210</v>
      </c>
      <c r="U958" s="1">
        <v>46076.677361111113</v>
      </c>
      <c r="V958" t="s">
        <v>54</v>
      </c>
      <c r="W958" t="s">
        <v>55</v>
      </c>
      <c r="X958" t="s">
        <v>211</v>
      </c>
      <c r="Y958" t="s">
        <v>604</v>
      </c>
      <c r="Z958" t="s">
        <v>58</v>
      </c>
      <c r="AA958" t="s">
        <v>54</v>
      </c>
      <c r="AB958" t="s">
        <v>213</v>
      </c>
      <c r="AC958" t="s">
        <v>85</v>
      </c>
      <c r="AD958" t="s">
        <v>214</v>
      </c>
      <c r="AE958" t="s">
        <v>215</v>
      </c>
      <c r="AF958" t="s">
        <v>216</v>
      </c>
      <c r="AG958" t="s">
        <v>58</v>
      </c>
      <c r="AH958">
        <v>2606</v>
      </c>
      <c r="AK958">
        <v>1</v>
      </c>
      <c r="AL958" t="s">
        <v>61</v>
      </c>
      <c r="AM958" t="s">
        <v>3399</v>
      </c>
      <c r="AN958" t="s">
        <v>3400</v>
      </c>
    </row>
    <row r="959" spans="1:40" x14ac:dyDescent="0.35">
      <c r="A959" t="s">
        <v>37</v>
      </c>
      <c r="B959" t="s">
        <v>4657</v>
      </c>
      <c r="C959" t="s">
        <v>39</v>
      </c>
      <c r="D959" t="s">
        <v>4658</v>
      </c>
      <c r="E959" t="s">
        <v>4659</v>
      </c>
      <c r="F959" s="1">
        <v>46076.447592592594</v>
      </c>
      <c r="G959" t="s">
        <v>3396</v>
      </c>
      <c r="H959" t="s">
        <v>106</v>
      </c>
      <c r="I959" t="s">
        <v>205</v>
      </c>
      <c r="J959" t="s">
        <v>603</v>
      </c>
      <c r="K959" t="s">
        <v>207</v>
      </c>
      <c r="M959" t="s">
        <v>131</v>
      </c>
      <c r="O959" t="s">
        <v>77</v>
      </c>
      <c r="P959" t="s">
        <v>78</v>
      </c>
      <c r="Q959" t="s">
        <v>2169</v>
      </c>
      <c r="R959" t="s">
        <v>208</v>
      </c>
      <c r="S959" t="s">
        <v>209</v>
      </c>
      <c r="T959" t="s">
        <v>210</v>
      </c>
      <c r="U959" s="1">
        <v>46076.67796296296</v>
      </c>
      <c r="V959" t="s">
        <v>54</v>
      </c>
      <c r="W959" t="s">
        <v>55</v>
      </c>
      <c r="X959" t="s">
        <v>211</v>
      </c>
      <c r="Y959" t="s">
        <v>604</v>
      </c>
      <c r="Z959" t="s">
        <v>58</v>
      </c>
      <c r="AA959" t="s">
        <v>54</v>
      </c>
      <c r="AB959" t="s">
        <v>213</v>
      </c>
      <c r="AC959" t="s">
        <v>85</v>
      </c>
      <c r="AD959" t="s">
        <v>214</v>
      </c>
      <c r="AE959" t="s">
        <v>215</v>
      </c>
      <c r="AF959" t="s">
        <v>216</v>
      </c>
      <c r="AG959" t="s">
        <v>58</v>
      </c>
      <c r="AH959">
        <v>7114</v>
      </c>
      <c r="AK959">
        <v>1</v>
      </c>
      <c r="AL959" t="s">
        <v>61</v>
      </c>
      <c r="AM959" t="s">
        <v>4660</v>
      </c>
      <c r="AN959" t="s">
        <v>4661</v>
      </c>
    </row>
    <row r="960" spans="1:40" x14ac:dyDescent="0.35">
      <c r="A960" t="s">
        <v>37</v>
      </c>
      <c r="B960" t="s">
        <v>4662</v>
      </c>
      <c r="C960" t="s">
        <v>39</v>
      </c>
      <c r="D960" t="s">
        <v>4663</v>
      </c>
      <c r="E960" t="s">
        <v>4664</v>
      </c>
      <c r="F960" s="1">
        <v>46076.447106481479</v>
      </c>
      <c r="G960" t="s">
        <v>71</v>
      </c>
      <c r="H960" t="s">
        <v>72</v>
      </c>
      <c r="I960" t="s">
        <v>205</v>
      </c>
      <c r="J960" t="s">
        <v>603</v>
      </c>
      <c r="K960" t="s">
        <v>207</v>
      </c>
      <c r="M960" t="s">
        <v>131</v>
      </c>
      <c r="O960" t="s">
        <v>77</v>
      </c>
      <c r="P960" t="s">
        <v>78</v>
      </c>
      <c r="Q960" t="s">
        <v>50</v>
      </c>
      <c r="R960" t="s">
        <v>208</v>
      </c>
      <c r="S960" t="s">
        <v>209</v>
      </c>
      <c r="T960" t="s">
        <v>210</v>
      </c>
      <c r="U960" s="1">
        <v>46076.692349537036</v>
      </c>
      <c r="V960" t="s">
        <v>54</v>
      </c>
      <c r="W960" t="s">
        <v>55</v>
      </c>
      <c r="X960" t="s">
        <v>211</v>
      </c>
      <c r="Y960" t="s">
        <v>604</v>
      </c>
      <c r="Z960" t="s">
        <v>58</v>
      </c>
      <c r="AA960" t="s">
        <v>54</v>
      </c>
      <c r="AB960" t="s">
        <v>213</v>
      </c>
      <c r="AC960" t="s">
        <v>85</v>
      </c>
      <c r="AD960" t="s">
        <v>214</v>
      </c>
      <c r="AE960" t="s">
        <v>215</v>
      </c>
      <c r="AF960" t="s">
        <v>216</v>
      </c>
      <c r="AG960" t="s">
        <v>58</v>
      </c>
      <c r="AH960">
        <v>11764</v>
      </c>
      <c r="AK960">
        <v>1</v>
      </c>
      <c r="AL960" t="s">
        <v>61</v>
      </c>
      <c r="AM960" t="s">
        <v>4665</v>
      </c>
      <c r="AN960" t="s">
        <v>4666</v>
      </c>
    </row>
    <row r="961" spans="1:40" x14ac:dyDescent="0.35">
      <c r="A961" t="s">
        <v>37</v>
      </c>
      <c r="B961" t="s">
        <v>4667</v>
      </c>
      <c r="C961" t="s">
        <v>39</v>
      </c>
      <c r="D961" t="s">
        <v>981</v>
      </c>
      <c r="E961" t="s">
        <v>4571</v>
      </c>
      <c r="F961" s="1">
        <v>46076.45722222222</v>
      </c>
      <c r="G961" t="s">
        <v>631</v>
      </c>
      <c r="H961" t="s">
        <v>447</v>
      </c>
      <c r="I961" t="s">
        <v>4668</v>
      </c>
      <c r="J961" t="s">
        <v>1058</v>
      </c>
      <c r="K961" t="s">
        <v>436</v>
      </c>
      <c r="M961" t="s">
        <v>76</v>
      </c>
      <c r="O961" t="s">
        <v>237</v>
      </c>
      <c r="P961" t="s">
        <v>238</v>
      </c>
      <c r="Q961" t="s">
        <v>50</v>
      </c>
      <c r="R961" t="s">
        <v>51</v>
      </c>
      <c r="S961" t="s">
        <v>52</v>
      </c>
      <c r="T961" t="s">
        <v>4080</v>
      </c>
      <c r="U961" s="1">
        <v>46078.360960648148</v>
      </c>
      <c r="V961" t="s">
        <v>54</v>
      </c>
      <c r="W961" t="s">
        <v>55</v>
      </c>
      <c r="X961" t="s">
        <v>82</v>
      </c>
      <c r="Y961" t="s">
        <v>4669</v>
      </c>
      <c r="Z961" t="s">
        <v>58</v>
      </c>
      <c r="AA961" t="s">
        <v>54</v>
      </c>
      <c r="AB961" t="s">
        <v>698</v>
      </c>
      <c r="AC961" t="s">
        <v>242</v>
      </c>
      <c r="AD961" t="s">
        <v>52</v>
      </c>
      <c r="AE961" t="s">
        <v>438</v>
      </c>
      <c r="AF961" t="s">
        <v>439</v>
      </c>
      <c r="AG961" t="s">
        <v>58</v>
      </c>
      <c r="AH961">
        <v>13000</v>
      </c>
      <c r="AK961">
        <v>1</v>
      </c>
      <c r="AL961" t="s">
        <v>61</v>
      </c>
      <c r="AM961" t="s">
        <v>4572</v>
      </c>
      <c r="AN961" t="s">
        <v>4573</v>
      </c>
    </row>
    <row r="962" spans="1:40" x14ac:dyDescent="0.35">
      <c r="A962" t="s">
        <v>37</v>
      </c>
      <c r="B962" t="s">
        <v>4670</v>
      </c>
      <c r="C962" t="s">
        <v>39</v>
      </c>
      <c r="D962" t="s">
        <v>4671</v>
      </c>
      <c r="E962" t="s">
        <v>4672</v>
      </c>
      <c r="F962" s="1">
        <v>46076.446435185186</v>
      </c>
      <c r="G962" t="s">
        <v>355</v>
      </c>
      <c r="H962" t="s">
        <v>356</v>
      </c>
      <c r="I962" t="s">
        <v>205</v>
      </c>
      <c r="J962" t="s">
        <v>603</v>
      </c>
      <c r="K962" t="s">
        <v>207</v>
      </c>
      <c r="M962" t="s">
        <v>131</v>
      </c>
      <c r="O962" t="s">
        <v>77</v>
      </c>
      <c r="P962" t="s">
        <v>78</v>
      </c>
      <c r="Q962" t="s">
        <v>50</v>
      </c>
      <c r="R962" t="s">
        <v>208</v>
      </c>
      <c r="S962" t="s">
        <v>209</v>
      </c>
      <c r="T962" t="s">
        <v>210</v>
      </c>
      <c r="U962" s="1">
        <v>46076.698703703703</v>
      </c>
      <c r="V962" t="s">
        <v>54</v>
      </c>
      <c r="W962" t="s">
        <v>55</v>
      </c>
      <c r="X962" t="s">
        <v>211</v>
      </c>
      <c r="Y962" t="s">
        <v>604</v>
      </c>
      <c r="Z962" t="s">
        <v>58</v>
      </c>
      <c r="AA962" t="s">
        <v>54</v>
      </c>
      <c r="AB962" t="s">
        <v>213</v>
      </c>
      <c r="AC962" t="s">
        <v>85</v>
      </c>
      <c r="AD962" t="s">
        <v>214</v>
      </c>
      <c r="AE962" t="s">
        <v>215</v>
      </c>
      <c r="AF962" t="s">
        <v>216</v>
      </c>
      <c r="AG962" t="s">
        <v>58</v>
      </c>
      <c r="AH962" t="s">
        <v>4673</v>
      </c>
      <c r="AK962">
        <v>1</v>
      </c>
      <c r="AL962" t="s">
        <v>61</v>
      </c>
      <c r="AM962" t="s">
        <v>4674</v>
      </c>
      <c r="AN962" t="s">
        <v>4675</v>
      </c>
    </row>
    <row r="963" spans="1:40" x14ac:dyDescent="0.35">
      <c r="A963" t="s">
        <v>37</v>
      </c>
      <c r="B963" t="s">
        <v>4676</v>
      </c>
      <c r="C963" t="s">
        <v>39</v>
      </c>
      <c r="D963" t="s">
        <v>4677</v>
      </c>
      <c r="E963" t="s">
        <v>4678</v>
      </c>
      <c r="F963" s="1">
        <v>46076.446134259262</v>
      </c>
      <c r="G963" t="s">
        <v>855</v>
      </c>
      <c r="H963" t="s">
        <v>447</v>
      </c>
      <c r="I963" t="s">
        <v>1071</v>
      </c>
      <c r="J963" t="s">
        <v>724</v>
      </c>
      <c r="K963" t="s">
        <v>75</v>
      </c>
      <c r="M963" t="s">
        <v>76</v>
      </c>
      <c r="O963" t="s">
        <v>77</v>
      </c>
      <c r="P963" t="s">
        <v>78</v>
      </c>
      <c r="Q963" t="s">
        <v>456</v>
      </c>
      <c r="R963" t="s">
        <v>79</v>
      </c>
      <c r="S963" t="s">
        <v>967</v>
      </c>
      <c r="T963" t="s">
        <v>1072</v>
      </c>
      <c r="U963" s="1">
        <v>46076.446736111109</v>
      </c>
      <c r="V963" t="s">
        <v>54</v>
      </c>
      <c r="W963" t="s">
        <v>55</v>
      </c>
      <c r="X963" t="s">
        <v>82</v>
      </c>
      <c r="Y963" t="s">
        <v>4679</v>
      </c>
      <c r="Z963" t="s">
        <v>58</v>
      </c>
      <c r="AA963" t="s">
        <v>54</v>
      </c>
      <c r="AB963" t="s">
        <v>727</v>
      </c>
      <c r="AC963" t="s">
        <v>85</v>
      </c>
      <c r="AD963" t="s">
        <v>79</v>
      </c>
      <c r="AE963" t="s">
        <v>967</v>
      </c>
      <c r="AF963" t="s">
        <v>1072</v>
      </c>
      <c r="AG963" t="s">
        <v>58</v>
      </c>
      <c r="AH963">
        <v>3819</v>
      </c>
      <c r="AK963">
        <v>0</v>
      </c>
      <c r="AL963" t="s">
        <v>61</v>
      </c>
      <c r="AM963" t="s">
        <v>4680</v>
      </c>
      <c r="AN963" t="s">
        <v>4681</v>
      </c>
    </row>
    <row r="964" spans="1:40" x14ac:dyDescent="0.35">
      <c r="A964" t="s">
        <v>37</v>
      </c>
      <c r="B964" t="s">
        <v>4682</v>
      </c>
      <c r="C964" t="s">
        <v>39</v>
      </c>
      <c r="D964" t="s">
        <v>1547</v>
      </c>
      <c r="E964" t="s">
        <v>1548</v>
      </c>
      <c r="F964" s="1">
        <v>46076.444641203707</v>
      </c>
      <c r="G964" t="s">
        <v>261</v>
      </c>
      <c r="H964" t="s">
        <v>72</v>
      </c>
      <c r="I964" t="s">
        <v>205</v>
      </c>
      <c r="J964" t="s">
        <v>1692</v>
      </c>
      <c r="K964" t="s">
        <v>207</v>
      </c>
      <c r="M964" t="s">
        <v>131</v>
      </c>
      <c r="O964" t="s">
        <v>77</v>
      </c>
      <c r="P964" t="s">
        <v>78</v>
      </c>
      <c r="Q964" t="s">
        <v>50</v>
      </c>
      <c r="R964" t="s">
        <v>208</v>
      </c>
      <c r="S964" t="s">
        <v>209</v>
      </c>
      <c r="T964" t="s">
        <v>210</v>
      </c>
      <c r="U964" s="1">
        <v>46077.181886574072</v>
      </c>
      <c r="V964" t="s">
        <v>54</v>
      </c>
      <c r="W964" t="s">
        <v>55</v>
      </c>
      <c r="X964" t="s">
        <v>211</v>
      </c>
      <c r="Y964" t="s">
        <v>1693</v>
      </c>
      <c r="Z964" t="s">
        <v>58</v>
      </c>
      <c r="AA964" t="s">
        <v>54</v>
      </c>
      <c r="AB964" t="s">
        <v>213</v>
      </c>
      <c r="AC964" t="s">
        <v>85</v>
      </c>
      <c r="AD964" t="s">
        <v>214</v>
      </c>
      <c r="AE964" t="s">
        <v>215</v>
      </c>
      <c r="AF964" t="s">
        <v>216</v>
      </c>
      <c r="AG964" t="s">
        <v>58</v>
      </c>
      <c r="AH964" t="s">
        <v>1550</v>
      </c>
      <c r="AK964">
        <v>1</v>
      </c>
      <c r="AL964" t="s">
        <v>61</v>
      </c>
      <c r="AM964" t="s">
        <v>1551</v>
      </c>
      <c r="AN964" t="s">
        <v>1552</v>
      </c>
    </row>
    <row r="965" spans="1:40" x14ac:dyDescent="0.35">
      <c r="A965" t="s">
        <v>37</v>
      </c>
      <c r="B965" t="s">
        <v>4683</v>
      </c>
      <c r="C965" t="s">
        <v>39</v>
      </c>
      <c r="D965" t="s">
        <v>4684</v>
      </c>
      <c r="E965" t="s">
        <v>4685</v>
      </c>
      <c r="F965" s="1">
        <v>46076.443912037037</v>
      </c>
      <c r="G965" t="s">
        <v>261</v>
      </c>
      <c r="H965" t="s">
        <v>72</v>
      </c>
      <c r="I965" t="s">
        <v>205</v>
      </c>
      <c r="J965" t="s">
        <v>603</v>
      </c>
      <c r="K965" t="s">
        <v>207</v>
      </c>
      <c r="M965" t="s">
        <v>131</v>
      </c>
      <c r="O965" t="s">
        <v>77</v>
      </c>
      <c r="P965" t="s">
        <v>78</v>
      </c>
      <c r="Q965" t="s">
        <v>50</v>
      </c>
      <c r="R965" t="s">
        <v>208</v>
      </c>
      <c r="S965" t="s">
        <v>209</v>
      </c>
      <c r="T965" t="s">
        <v>210</v>
      </c>
      <c r="U965" s="1">
        <v>46076.699664351851</v>
      </c>
      <c r="V965" t="s">
        <v>54</v>
      </c>
      <c r="W965" t="s">
        <v>55</v>
      </c>
      <c r="X965" t="s">
        <v>211</v>
      </c>
      <c r="Y965" t="s">
        <v>604</v>
      </c>
      <c r="Z965" t="s">
        <v>58</v>
      </c>
      <c r="AA965" t="s">
        <v>54</v>
      </c>
      <c r="AB965" t="s">
        <v>213</v>
      </c>
      <c r="AC965" t="s">
        <v>85</v>
      </c>
      <c r="AD965" t="s">
        <v>214</v>
      </c>
      <c r="AE965" t="s">
        <v>215</v>
      </c>
      <c r="AF965" t="s">
        <v>216</v>
      </c>
      <c r="AG965" t="s">
        <v>58</v>
      </c>
      <c r="AH965">
        <v>15360</v>
      </c>
      <c r="AK965">
        <v>1</v>
      </c>
      <c r="AL965" t="s">
        <v>61</v>
      </c>
      <c r="AM965" t="s">
        <v>4686</v>
      </c>
      <c r="AN965" t="s">
        <v>4687</v>
      </c>
    </row>
    <row r="966" spans="1:40" x14ac:dyDescent="0.35">
      <c r="A966" t="s">
        <v>37</v>
      </c>
      <c r="B966" t="s">
        <v>4688</v>
      </c>
      <c r="C966" t="s">
        <v>39</v>
      </c>
      <c r="D966" t="s">
        <v>1184</v>
      </c>
      <c r="E966" t="s">
        <v>272</v>
      </c>
      <c r="F966" s="1">
        <v>46076.443298611113</v>
      </c>
      <c r="G966" t="s">
        <v>355</v>
      </c>
      <c r="H966" t="s">
        <v>356</v>
      </c>
      <c r="I966" t="s">
        <v>205</v>
      </c>
      <c r="J966" t="s">
        <v>1692</v>
      </c>
      <c r="K966" t="s">
        <v>207</v>
      </c>
      <c r="M966" t="s">
        <v>131</v>
      </c>
      <c r="O966" t="s">
        <v>77</v>
      </c>
      <c r="P966" t="s">
        <v>78</v>
      </c>
      <c r="Q966" t="s">
        <v>50</v>
      </c>
      <c r="R966" t="s">
        <v>305</v>
      </c>
      <c r="S966" t="s">
        <v>306</v>
      </c>
      <c r="T966" t="s">
        <v>307</v>
      </c>
      <c r="U966" s="1">
        <v>46078.000069444446</v>
      </c>
      <c r="V966" t="s">
        <v>54</v>
      </c>
      <c r="W966" t="s">
        <v>55</v>
      </c>
      <c r="X966" t="s">
        <v>211</v>
      </c>
      <c r="Y966" t="s">
        <v>4115</v>
      </c>
      <c r="Z966" t="s">
        <v>58</v>
      </c>
      <c r="AA966" t="s">
        <v>54</v>
      </c>
      <c r="AB966" t="s">
        <v>213</v>
      </c>
      <c r="AC966" t="s">
        <v>85</v>
      </c>
      <c r="AD966" t="s">
        <v>214</v>
      </c>
      <c r="AE966" t="s">
        <v>215</v>
      </c>
      <c r="AF966" t="s">
        <v>161</v>
      </c>
      <c r="AG966" t="s">
        <v>58</v>
      </c>
      <c r="AH966" t="s">
        <v>1192</v>
      </c>
      <c r="AK966">
        <v>4</v>
      </c>
      <c r="AL966" t="s">
        <v>61</v>
      </c>
      <c r="AM966" t="s">
        <v>1193</v>
      </c>
      <c r="AN966" t="s">
        <v>1194</v>
      </c>
    </row>
    <row r="967" spans="1:40" x14ac:dyDescent="0.35">
      <c r="A967" t="s">
        <v>37</v>
      </c>
      <c r="B967" t="s">
        <v>4689</v>
      </c>
      <c r="C967" t="s">
        <v>39</v>
      </c>
      <c r="D967" t="s">
        <v>4690</v>
      </c>
      <c r="E967" t="s">
        <v>1316</v>
      </c>
      <c r="F967" s="1">
        <v>46076.443090277775</v>
      </c>
      <c r="G967" t="s">
        <v>4691</v>
      </c>
      <c r="H967" t="s">
        <v>287</v>
      </c>
      <c r="I967" t="s">
        <v>4692</v>
      </c>
      <c r="J967" t="s">
        <v>4693</v>
      </c>
      <c r="K967" t="s">
        <v>4694</v>
      </c>
      <c r="M967" t="s">
        <v>131</v>
      </c>
      <c r="O967" t="s">
        <v>77</v>
      </c>
      <c r="P967" t="s">
        <v>78</v>
      </c>
      <c r="Q967" t="s">
        <v>50</v>
      </c>
      <c r="R967" t="s">
        <v>51</v>
      </c>
      <c r="S967" t="s">
        <v>52</v>
      </c>
      <c r="T967" t="s">
        <v>240</v>
      </c>
      <c r="U967" s="1">
        <v>46078.37054398148</v>
      </c>
      <c r="V967" t="s">
        <v>54</v>
      </c>
      <c r="W967" t="s">
        <v>55</v>
      </c>
      <c r="X967" t="s">
        <v>134</v>
      </c>
      <c r="Y967" t="s">
        <v>4695</v>
      </c>
      <c r="Z967" t="s">
        <v>58</v>
      </c>
      <c r="AA967" t="s">
        <v>54</v>
      </c>
      <c r="AB967" t="s">
        <v>4696</v>
      </c>
      <c r="AC967" t="s">
        <v>85</v>
      </c>
      <c r="AD967" t="s">
        <v>52</v>
      </c>
      <c r="AE967" t="s">
        <v>243</v>
      </c>
      <c r="AF967" t="s">
        <v>409</v>
      </c>
      <c r="AG967" t="s">
        <v>58</v>
      </c>
      <c r="AK967">
        <v>0</v>
      </c>
      <c r="AL967" t="s">
        <v>61</v>
      </c>
      <c r="AM967" t="s">
        <v>4697</v>
      </c>
      <c r="AN967" t="s">
        <v>4698</v>
      </c>
    </row>
    <row r="968" spans="1:40" x14ac:dyDescent="0.35">
      <c r="A968" t="s">
        <v>37</v>
      </c>
      <c r="B968" t="s">
        <v>4699</v>
      </c>
      <c r="C968" t="s">
        <v>39</v>
      </c>
      <c r="D968" t="s">
        <v>4700</v>
      </c>
      <c r="E968" t="s">
        <v>392</v>
      </c>
      <c r="F968" s="1">
        <v>46076.44295138889</v>
      </c>
      <c r="G968" t="s">
        <v>393</v>
      </c>
      <c r="H968" t="s">
        <v>92</v>
      </c>
      <c r="I968" t="s">
        <v>1250</v>
      </c>
      <c r="J968" t="s">
        <v>394</v>
      </c>
      <c r="K968" t="s">
        <v>75</v>
      </c>
      <c r="M968" t="s">
        <v>76</v>
      </c>
      <c r="O968" t="s">
        <v>77</v>
      </c>
      <c r="P968" t="s">
        <v>78</v>
      </c>
      <c r="Q968" t="s">
        <v>50</v>
      </c>
      <c r="R968" t="s">
        <v>79</v>
      </c>
      <c r="S968" t="s">
        <v>1078</v>
      </c>
      <c r="T968" t="s">
        <v>1078</v>
      </c>
      <c r="U968" s="1">
        <v>46076.443495370368</v>
      </c>
      <c r="V968" t="s">
        <v>54</v>
      </c>
      <c r="W968" t="s">
        <v>55</v>
      </c>
      <c r="X968" t="s">
        <v>82</v>
      </c>
      <c r="Y968" t="s">
        <v>1251</v>
      </c>
      <c r="Z968" t="s">
        <v>58</v>
      </c>
      <c r="AA968" t="s">
        <v>54</v>
      </c>
      <c r="AB968" t="s">
        <v>396</v>
      </c>
      <c r="AC968" t="s">
        <v>85</v>
      </c>
      <c r="AD968" t="s">
        <v>79</v>
      </c>
      <c r="AE968" t="s">
        <v>1078</v>
      </c>
      <c r="AF968" t="s">
        <v>1078</v>
      </c>
      <c r="AG968" t="s">
        <v>58</v>
      </c>
      <c r="AH968">
        <v>15924</v>
      </c>
      <c r="AK968">
        <v>0</v>
      </c>
      <c r="AL968" t="s">
        <v>61</v>
      </c>
      <c r="AM968" t="s">
        <v>4701</v>
      </c>
      <c r="AN968" t="s">
        <v>4702</v>
      </c>
    </row>
    <row r="969" spans="1:40" x14ac:dyDescent="0.35">
      <c r="A969" t="s">
        <v>37</v>
      </c>
      <c r="B969" t="s">
        <v>4703</v>
      </c>
      <c r="C969" t="s">
        <v>102</v>
      </c>
      <c r="D969" t="s">
        <v>4704</v>
      </c>
      <c r="E969" t="s">
        <v>4705</v>
      </c>
      <c r="F969" s="1">
        <v>46076.442326388889</v>
      </c>
      <c r="G969" t="s">
        <v>4284</v>
      </c>
      <c r="H969" t="s">
        <v>4706</v>
      </c>
      <c r="I969" t="s">
        <v>4707</v>
      </c>
      <c r="J969" t="s">
        <v>4708</v>
      </c>
      <c r="K969" t="s">
        <v>4709</v>
      </c>
      <c r="M969" t="s">
        <v>2139</v>
      </c>
      <c r="O969" t="s">
        <v>237</v>
      </c>
      <c r="P969" t="s">
        <v>238</v>
      </c>
      <c r="Q969" t="s">
        <v>50</v>
      </c>
      <c r="R969" t="s">
        <v>51</v>
      </c>
      <c r="S969" t="s">
        <v>240</v>
      </c>
      <c r="T969" t="s">
        <v>4710</v>
      </c>
      <c r="U969" s="1">
        <v>46076.628472222219</v>
      </c>
      <c r="V969" t="s">
        <v>54</v>
      </c>
      <c r="W969" t="s">
        <v>55</v>
      </c>
      <c r="X969" t="s">
        <v>211</v>
      </c>
      <c r="Y969" t="s">
        <v>4711</v>
      </c>
      <c r="Z969" t="s">
        <v>58</v>
      </c>
      <c r="AA969" t="s">
        <v>54</v>
      </c>
      <c r="AB969" t="s">
        <v>213</v>
      </c>
      <c r="AC969" t="s">
        <v>242</v>
      </c>
      <c r="AD969" t="s">
        <v>52</v>
      </c>
      <c r="AE969" t="s">
        <v>243</v>
      </c>
      <c r="AF969" t="s">
        <v>244</v>
      </c>
      <c r="AG969" t="s">
        <v>58</v>
      </c>
      <c r="AH969" t="s">
        <v>4712</v>
      </c>
      <c r="AK969">
        <v>1</v>
      </c>
      <c r="AL969" t="s">
        <v>61</v>
      </c>
      <c r="AM969" t="s">
        <v>4713</v>
      </c>
      <c r="AN969" t="s">
        <v>4714</v>
      </c>
    </row>
    <row r="970" spans="1:40" x14ac:dyDescent="0.35">
      <c r="A970" t="s">
        <v>37</v>
      </c>
      <c r="B970" t="s">
        <v>4715</v>
      </c>
      <c r="C970" t="s">
        <v>39</v>
      </c>
      <c r="D970" t="s">
        <v>430</v>
      </c>
      <c r="E970" t="s">
        <v>4716</v>
      </c>
      <c r="F970" s="1">
        <v>46076.442303240743</v>
      </c>
      <c r="G970" t="s">
        <v>722</v>
      </c>
      <c r="H970" t="s">
        <v>356</v>
      </c>
      <c r="I970" t="s">
        <v>1185</v>
      </c>
      <c r="J970" t="s">
        <v>2333</v>
      </c>
      <c r="K970" t="s">
        <v>1187</v>
      </c>
      <c r="M970" t="s">
        <v>76</v>
      </c>
      <c r="O970" t="s">
        <v>77</v>
      </c>
      <c r="P970" t="s">
        <v>78</v>
      </c>
      <c r="Q970" t="s">
        <v>50</v>
      </c>
      <c r="R970" t="s">
        <v>305</v>
      </c>
      <c r="S970" t="s">
        <v>306</v>
      </c>
      <c r="T970" t="s">
        <v>307</v>
      </c>
      <c r="U970" s="1">
        <v>46078.549398148149</v>
      </c>
      <c r="V970" t="s">
        <v>54</v>
      </c>
      <c r="W970" t="s">
        <v>55</v>
      </c>
      <c r="X970" t="s">
        <v>211</v>
      </c>
      <c r="Y970" t="s">
        <v>4717</v>
      </c>
      <c r="Z970" t="s">
        <v>58</v>
      </c>
      <c r="AA970" t="s">
        <v>54</v>
      </c>
      <c r="AB970" t="s">
        <v>213</v>
      </c>
      <c r="AC970" t="s">
        <v>85</v>
      </c>
      <c r="AD970" t="s">
        <v>1189</v>
      </c>
      <c r="AE970" t="s">
        <v>1190</v>
      </c>
      <c r="AF970" t="s">
        <v>1191</v>
      </c>
      <c r="AG970" t="s">
        <v>58</v>
      </c>
      <c r="AH970">
        <v>15775</v>
      </c>
      <c r="AK970">
        <v>3</v>
      </c>
      <c r="AL970" t="s">
        <v>61</v>
      </c>
      <c r="AM970" t="s">
        <v>4718</v>
      </c>
      <c r="AN970" t="s">
        <v>4719</v>
      </c>
    </row>
    <row r="971" spans="1:40" x14ac:dyDescent="0.35">
      <c r="A971" t="s">
        <v>37</v>
      </c>
      <c r="B971" t="s">
        <v>4720</v>
      </c>
      <c r="C971" t="s">
        <v>39</v>
      </c>
      <c r="D971" t="s">
        <v>4721</v>
      </c>
      <c r="E971" t="s">
        <v>4722</v>
      </c>
      <c r="F971" s="1">
        <v>46076.441770833335</v>
      </c>
      <c r="G971" t="s">
        <v>355</v>
      </c>
      <c r="H971" t="s">
        <v>356</v>
      </c>
      <c r="I971" t="s">
        <v>205</v>
      </c>
      <c r="J971" t="s">
        <v>1692</v>
      </c>
      <c r="K971" t="s">
        <v>207</v>
      </c>
      <c r="M971" t="s">
        <v>131</v>
      </c>
      <c r="O971" t="s">
        <v>77</v>
      </c>
      <c r="P971" t="s">
        <v>78</v>
      </c>
      <c r="Q971" t="s">
        <v>50</v>
      </c>
      <c r="R971" t="s">
        <v>305</v>
      </c>
      <c r="S971" t="s">
        <v>306</v>
      </c>
      <c r="T971" t="s">
        <v>307</v>
      </c>
      <c r="U971" s="1">
        <v>46076.984548611108</v>
      </c>
      <c r="V971" t="s">
        <v>54</v>
      </c>
      <c r="W971" t="s">
        <v>55</v>
      </c>
      <c r="X971" t="s">
        <v>211</v>
      </c>
      <c r="Y971" t="s">
        <v>1964</v>
      </c>
      <c r="Z971" t="s">
        <v>58</v>
      </c>
      <c r="AA971" t="s">
        <v>54</v>
      </c>
      <c r="AB971" t="s">
        <v>213</v>
      </c>
      <c r="AC971" t="s">
        <v>85</v>
      </c>
      <c r="AD971" t="s">
        <v>214</v>
      </c>
      <c r="AE971" t="s">
        <v>215</v>
      </c>
      <c r="AF971" t="s">
        <v>161</v>
      </c>
      <c r="AG971" t="s">
        <v>58</v>
      </c>
      <c r="AH971" t="s">
        <v>4723</v>
      </c>
      <c r="AK971">
        <v>3</v>
      </c>
      <c r="AL971" t="s">
        <v>61</v>
      </c>
      <c r="AM971" t="s">
        <v>4724</v>
      </c>
      <c r="AN971" t="s">
        <v>4725</v>
      </c>
    </row>
    <row r="972" spans="1:40" x14ac:dyDescent="0.35">
      <c r="A972" t="s">
        <v>37</v>
      </c>
      <c r="B972" t="s">
        <v>4726</v>
      </c>
      <c r="C972" t="s">
        <v>39</v>
      </c>
      <c r="D972" t="s">
        <v>4727</v>
      </c>
      <c r="E972" t="s">
        <v>469</v>
      </c>
      <c r="F972" s="1">
        <v>46076.442997685182</v>
      </c>
      <c r="G972" t="s">
        <v>355</v>
      </c>
      <c r="H972" t="s">
        <v>356</v>
      </c>
      <c r="I972" t="s">
        <v>4728</v>
      </c>
      <c r="J972" t="s">
        <v>2357</v>
      </c>
      <c r="K972" t="s">
        <v>2358</v>
      </c>
      <c r="M972" t="s">
        <v>76</v>
      </c>
      <c r="O972" t="s">
        <v>77</v>
      </c>
      <c r="P972" t="s">
        <v>78</v>
      </c>
      <c r="Q972" t="s">
        <v>4729</v>
      </c>
      <c r="R972" t="s">
        <v>3056</v>
      </c>
      <c r="S972" t="s">
        <v>664</v>
      </c>
      <c r="T972" t="s">
        <v>4730</v>
      </c>
      <c r="U972" s="1">
        <v>46077.38559027778</v>
      </c>
      <c r="V972" t="s">
        <v>54</v>
      </c>
      <c r="W972" t="s">
        <v>55</v>
      </c>
      <c r="X972" t="s">
        <v>134</v>
      </c>
      <c r="Y972" t="s">
        <v>4731</v>
      </c>
      <c r="Z972" t="s">
        <v>58</v>
      </c>
      <c r="AA972" t="s">
        <v>54</v>
      </c>
      <c r="AB972" t="s">
        <v>612</v>
      </c>
      <c r="AC972" t="s">
        <v>85</v>
      </c>
      <c r="AD972" t="s">
        <v>3056</v>
      </c>
      <c r="AE972" t="s">
        <v>3057</v>
      </c>
      <c r="AF972" t="s">
        <v>664</v>
      </c>
      <c r="AG972" t="s">
        <v>58</v>
      </c>
      <c r="AH972" t="s">
        <v>4732</v>
      </c>
      <c r="AK972">
        <v>1</v>
      </c>
      <c r="AL972" t="s">
        <v>61</v>
      </c>
      <c r="AM972" t="s">
        <v>4733</v>
      </c>
      <c r="AN972" t="s">
        <v>4734</v>
      </c>
    </row>
    <row r="973" spans="1:40" x14ac:dyDescent="0.35">
      <c r="A973" t="s">
        <v>37</v>
      </c>
      <c r="B973" t="s">
        <v>4735</v>
      </c>
      <c r="C973" t="s">
        <v>656</v>
      </c>
      <c r="D973" t="s">
        <v>657</v>
      </c>
      <c r="E973" t="s">
        <v>658</v>
      </c>
      <c r="F973" s="1">
        <v>46076.442962962959</v>
      </c>
      <c r="G973" t="s">
        <v>355</v>
      </c>
      <c r="H973" t="s">
        <v>356</v>
      </c>
      <c r="I973" t="s">
        <v>4736</v>
      </c>
      <c r="J973" t="s">
        <v>4046</v>
      </c>
      <c r="K973" t="s">
        <v>4047</v>
      </c>
      <c r="M973" t="s">
        <v>47</v>
      </c>
      <c r="O973" t="s">
        <v>77</v>
      </c>
      <c r="P973" t="s">
        <v>78</v>
      </c>
      <c r="Q973" t="s">
        <v>50</v>
      </c>
      <c r="R973" t="s">
        <v>662</v>
      </c>
      <c r="S973" t="s">
        <v>663</v>
      </c>
      <c r="T973" t="s">
        <v>4737</v>
      </c>
      <c r="U973" s="1">
        <v>46076.660995370374</v>
      </c>
      <c r="V973" t="s">
        <v>54</v>
      </c>
      <c r="W973" t="s">
        <v>55</v>
      </c>
      <c r="X973" t="s">
        <v>56</v>
      </c>
      <c r="Y973" t="s">
        <v>4738</v>
      </c>
      <c r="Z973" t="s">
        <v>58</v>
      </c>
      <c r="AA973" t="s">
        <v>54</v>
      </c>
      <c r="AB973" t="s">
        <v>666</v>
      </c>
      <c r="AC973" t="s">
        <v>85</v>
      </c>
      <c r="AD973" t="s">
        <v>667</v>
      </c>
      <c r="AE973" t="s">
        <v>667</v>
      </c>
      <c r="AF973" t="s">
        <v>4051</v>
      </c>
      <c r="AG973" t="s">
        <v>58</v>
      </c>
      <c r="AH973" t="s">
        <v>668</v>
      </c>
      <c r="AK973">
        <v>0</v>
      </c>
      <c r="AL973" t="s">
        <v>61</v>
      </c>
      <c r="AM973" t="s">
        <v>666</v>
      </c>
      <c r="AN973" t="s">
        <v>669</v>
      </c>
    </row>
    <row r="974" spans="1:40" x14ac:dyDescent="0.35">
      <c r="A974" t="s">
        <v>37</v>
      </c>
      <c r="B974" t="s">
        <v>4739</v>
      </c>
      <c r="C974" t="s">
        <v>39</v>
      </c>
      <c r="D974" t="s">
        <v>127</v>
      </c>
      <c r="E974" t="s">
        <v>4740</v>
      </c>
      <c r="F974" s="1">
        <v>46076.439270833333</v>
      </c>
      <c r="G974" t="s">
        <v>497</v>
      </c>
      <c r="H974" t="s">
        <v>72</v>
      </c>
      <c r="I974" t="s">
        <v>205</v>
      </c>
      <c r="J974" t="s">
        <v>1692</v>
      </c>
      <c r="K974" t="s">
        <v>207</v>
      </c>
      <c r="M974" t="s">
        <v>131</v>
      </c>
      <c r="O974" t="s">
        <v>77</v>
      </c>
      <c r="P974" t="s">
        <v>78</v>
      </c>
      <c r="Q974" t="s">
        <v>818</v>
      </c>
      <c r="R974" t="s">
        <v>208</v>
      </c>
      <c r="S974" t="s">
        <v>209</v>
      </c>
      <c r="T974" t="s">
        <v>210</v>
      </c>
      <c r="U974" s="1">
        <v>46077.180601851855</v>
      </c>
      <c r="V974" t="s">
        <v>54</v>
      </c>
      <c r="W974" t="s">
        <v>55</v>
      </c>
      <c r="X974" t="s">
        <v>211</v>
      </c>
      <c r="Y974" t="s">
        <v>1693</v>
      </c>
      <c r="Z974" t="s">
        <v>58</v>
      </c>
      <c r="AA974" t="s">
        <v>54</v>
      </c>
      <c r="AB974" t="s">
        <v>213</v>
      </c>
      <c r="AC974" t="s">
        <v>85</v>
      </c>
      <c r="AD974" t="s">
        <v>214</v>
      </c>
      <c r="AE974" t="s">
        <v>215</v>
      </c>
      <c r="AF974" t="s">
        <v>216</v>
      </c>
      <c r="AG974" t="s">
        <v>58</v>
      </c>
      <c r="AH974">
        <v>5323</v>
      </c>
      <c r="AK974">
        <v>1</v>
      </c>
      <c r="AL974" t="s">
        <v>61</v>
      </c>
      <c r="AM974" t="s">
        <v>4741</v>
      </c>
      <c r="AN974" t="s">
        <v>4742</v>
      </c>
    </row>
    <row r="975" spans="1:40" x14ac:dyDescent="0.35">
      <c r="A975" t="s">
        <v>37</v>
      </c>
      <c r="B975" t="s">
        <v>4743</v>
      </c>
      <c r="C975" t="s">
        <v>39</v>
      </c>
      <c r="D975" t="s">
        <v>747</v>
      </c>
      <c r="E975" t="s">
        <v>3649</v>
      </c>
      <c r="F975" s="1">
        <v>46076.438738425924</v>
      </c>
      <c r="G975" t="s">
        <v>261</v>
      </c>
      <c r="H975" t="s">
        <v>72</v>
      </c>
      <c r="I975" t="s">
        <v>1185</v>
      </c>
      <c r="J975" t="s">
        <v>2333</v>
      </c>
      <c r="K975" t="s">
        <v>1187</v>
      </c>
      <c r="M975" t="s">
        <v>76</v>
      </c>
      <c r="O975" t="s">
        <v>77</v>
      </c>
      <c r="P975" t="s">
        <v>78</v>
      </c>
      <c r="Q975" t="s">
        <v>50</v>
      </c>
      <c r="R975" t="s">
        <v>305</v>
      </c>
      <c r="S975" t="s">
        <v>306</v>
      </c>
      <c r="T975" t="s">
        <v>307</v>
      </c>
      <c r="U975" s="1">
        <v>46076.539768518516</v>
      </c>
      <c r="V975" t="s">
        <v>54</v>
      </c>
      <c r="W975" t="s">
        <v>55</v>
      </c>
      <c r="X975" t="s">
        <v>211</v>
      </c>
      <c r="Y975" t="s">
        <v>4744</v>
      </c>
      <c r="Z975" t="s">
        <v>58</v>
      </c>
      <c r="AA975" t="s">
        <v>54</v>
      </c>
      <c r="AB975" t="s">
        <v>213</v>
      </c>
      <c r="AC975" t="s">
        <v>85</v>
      </c>
      <c r="AD975" t="s">
        <v>1189</v>
      </c>
      <c r="AE975" t="s">
        <v>1190</v>
      </c>
      <c r="AF975" t="s">
        <v>1191</v>
      </c>
      <c r="AG975" t="s">
        <v>58</v>
      </c>
      <c r="AH975">
        <v>15925</v>
      </c>
      <c r="AK975">
        <v>3</v>
      </c>
      <c r="AL975" t="s">
        <v>61</v>
      </c>
      <c r="AM975" t="s">
        <v>3651</v>
      </c>
      <c r="AN975" t="s">
        <v>3652</v>
      </c>
    </row>
    <row r="976" spans="1:40" x14ac:dyDescent="0.35">
      <c r="A976" t="s">
        <v>37</v>
      </c>
      <c r="B976" t="s">
        <v>4745</v>
      </c>
      <c r="C976" t="s">
        <v>39</v>
      </c>
      <c r="D976" t="s">
        <v>4746</v>
      </c>
      <c r="E976" t="s">
        <v>4747</v>
      </c>
      <c r="F976" s="1">
        <v>46076.438703703701</v>
      </c>
      <c r="G976" t="s">
        <v>355</v>
      </c>
      <c r="H976" t="s">
        <v>356</v>
      </c>
      <c r="I976" t="s">
        <v>205</v>
      </c>
      <c r="J976" t="s">
        <v>603</v>
      </c>
      <c r="K976" t="s">
        <v>207</v>
      </c>
      <c r="M976" t="s">
        <v>131</v>
      </c>
      <c r="O976" t="s">
        <v>77</v>
      </c>
      <c r="P976" t="s">
        <v>78</v>
      </c>
      <c r="Q976" t="s">
        <v>50</v>
      </c>
      <c r="R976" t="s">
        <v>208</v>
      </c>
      <c r="S976" t="s">
        <v>209</v>
      </c>
      <c r="T976" t="s">
        <v>210</v>
      </c>
      <c r="U976" s="1">
        <v>46076.720856481479</v>
      </c>
      <c r="V976" t="s">
        <v>54</v>
      </c>
      <c r="W976" t="s">
        <v>55</v>
      </c>
      <c r="X976" t="s">
        <v>211</v>
      </c>
      <c r="Y976" t="s">
        <v>604</v>
      </c>
      <c r="Z976" t="s">
        <v>58</v>
      </c>
      <c r="AA976" t="s">
        <v>54</v>
      </c>
      <c r="AB976" t="s">
        <v>213</v>
      </c>
      <c r="AC976" t="s">
        <v>85</v>
      </c>
      <c r="AD976" t="s">
        <v>214</v>
      </c>
      <c r="AE976" t="s">
        <v>215</v>
      </c>
      <c r="AF976" t="s">
        <v>216</v>
      </c>
      <c r="AG976" t="s">
        <v>58</v>
      </c>
      <c r="AH976" t="s">
        <v>4748</v>
      </c>
      <c r="AK976">
        <v>1</v>
      </c>
      <c r="AL976" t="s">
        <v>61</v>
      </c>
      <c r="AM976" t="s">
        <v>4749</v>
      </c>
      <c r="AN976" t="s">
        <v>4750</v>
      </c>
    </row>
    <row r="977" spans="1:40" x14ac:dyDescent="0.35">
      <c r="A977" t="s">
        <v>37</v>
      </c>
      <c r="B977" t="s">
        <v>4751</v>
      </c>
      <c r="C977" t="s">
        <v>656</v>
      </c>
      <c r="D977" t="s">
        <v>657</v>
      </c>
      <c r="E977" t="s">
        <v>658</v>
      </c>
      <c r="F977" s="1">
        <v>46076.439849537041</v>
      </c>
      <c r="G977" t="s">
        <v>355</v>
      </c>
      <c r="H977" t="s">
        <v>356</v>
      </c>
      <c r="I977" t="s">
        <v>4752</v>
      </c>
      <c r="J977" t="s">
        <v>4046</v>
      </c>
      <c r="K977" t="s">
        <v>4047</v>
      </c>
      <c r="M977" t="s">
        <v>47</v>
      </c>
      <c r="O977" t="s">
        <v>77</v>
      </c>
      <c r="P977" t="s">
        <v>78</v>
      </c>
      <c r="Q977" t="s">
        <v>50</v>
      </c>
      <c r="R977" t="s">
        <v>662</v>
      </c>
      <c r="S977" t="s">
        <v>663</v>
      </c>
      <c r="T977" t="s">
        <v>4737</v>
      </c>
      <c r="U977" s="1">
        <v>46077.636423611111</v>
      </c>
      <c r="V977" t="s">
        <v>54</v>
      </c>
      <c r="W977" t="s">
        <v>55</v>
      </c>
      <c r="X977" t="s">
        <v>134</v>
      </c>
      <c r="Y977" t="s">
        <v>4753</v>
      </c>
      <c r="Z977" t="s">
        <v>58</v>
      </c>
      <c r="AA977" t="s">
        <v>54</v>
      </c>
      <c r="AB977" t="s">
        <v>666</v>
      </c>
      <c r="AC977" t="s">
        <v>85</v>
      </c>
      <c r="AD977" t="s">
        <v>667</v>
      </c>
      <c r="AE977" t="s">
        <v>667</v>
      </c>
      <c r="AF977" t="s">
        <v>4051</v>
      </c>
      <c r="AG977" t="s">
        <v>58</v>
      </c>
      <c r="AH977" t="s">
        <v>668</v>
      </c>
      <c r="AK977">
        <v>0</v>
      </c>
      <c r="AL977" t="s">
        <v>61</v>
      </c>
      <c r="AM977" t="s">
        <v>666</v>
      </c>
      <c r="AN977" t="s">
        <v>669</v>
      </c>
    </row>
    <row r="978" spans="1:40" x14ac:dyDescent="0.35">
      <c r="A978" t="s">
        <v>37</v>
      </c>
      <c r="B978" t="s">
        <v>4754</v>
      </c>
      <c r="C978" t="s">
        <v>39</v>
      </c>
      <c r="D978" t="s">
        <v>202</v>
      </c>
      <c r="E978" t="s">
        <v>4755</v>
      </c>
      <c r="F978" s="1">
        <v>46076.4375462963</v>
      </c>
      <c r="G978" t="s">
        <v>261</v>
      </c>
      <c r="H978" t="s">
        <v>72</v>
      </c>
      <c r="I978" t="s">
        <v>205</v>
      </c>
      <c r="J978" t="s">
        <v>1692</v>
      </c>
      <c r="K978" t="s">
        <v>207</v>
      </c>
      <c r="M978" t="s">
        <v>131</v>
      </c>
      <c r="O978" t="s">
        <v>77</v>
      </c>
      <c r="P978" t="s">
        <v>78</v>
      </c>
      <c r="Q978" t="s">
        <v>50</v>
      </c>
      <c r="R978" t="s">
        <v>208</v>
      </c>
      <c r="S978" t="s">
        <v>209</v>
      </c>
      <c r="T978" t="s">
        <v>210</v>
      </c>
      <c r="U978" s="1">
        <v>46077.178668981483</v>
      </c>
      <c r="V978" t="s">
        <v>54</v>
      </c>
      <c r="W978" t="s">
        <v>55</v>
      </c>
      <c r="X978" t="s">
        <v>211</v>
      </c>
      <c r="Y978" t="s">
        <v>1693</v>
      </c>
      <c r="Z978" t="s">
        <v>58</v>
      </c>
      <c r="AA978" t="s">
        <v>54</v>
      </c>
      <c r="AB978" t="s">
        <v>213</v>
      </c>
      <c r="AC978" t="s">
        <v>85</v>
      </c>
      <c r="AD978" t="s">
        <v>214</v>
      </c>
      <c r="AE978" t="s">
        <v>215</v>
      </c>
      <c r="AF978" t="s">
        <v>216</v>
      </c>
      <c r="AG978" t="s">
        <v>58</v>
      </c>
      <c r="AH978">
        <v>13602</v>
      </c>
      <c r="AK978">
        <v>1</v>
      </c>
      <c r="AL978" t="s">
        <v>61</v>
      </c>
      <c r="AM978" t="s">
        <v>4756</v>
      </c>
      <c r="AN978" t="s">
        <v>4757</v>
      </c>
    </row>
    <row r="979" spans="1:40" x14ac:dyDescent="0.35">
      <c r="A979" t="s">
        <v>37</v>
      </c>
      <c r="B979" t="s">
        <v>4758</v>
      </c>
      <c r="C979" t="s">
        <v>39</v>
      </c>
      <c r="D979" t="s">
        <v>225</v>
      </c>
      <c r="E979" t="s">
        <v>1116</v>
      </c>
      <c r="F979" s="1">
        <v>46076.436620370368</v>
      </c>
      <c r="G979" t="s">
        <v>261</v>
      </c>
      <c r="H979" t="s">
        <v>72</v>
      </c>
      <c r="I979" t="s">
        <v>205</v>
      </c>
      <c r="J979" t="s">
        <v>1692</v>
      </c>
      <c r="K979" t="s">
        <v>207</v>
      </c>
      <c r="M979" t="s">
        <v>131</v>
      </c>
      <c r="O979" t="s">
        <v>77</v>
      </c>
      <c r="P979" t="s">
        <v>78</v>
      </c>
      <c r="Q979" t="s">
        <v>50</v>
      </c>
      <c r="R979" t="s">
        <v>208</v>
      </c>
      <c r="S979" t="s">
        <v>209</v>
      </c>
      <c r="T979" t="s">
        <v>210</v>
      </c>
      <c r="U979" s="1">
        <v>46077.176377314812</v>
      </c>
      <c r="V979" t="s">
        <v>54</v>
      </c>
      <c r="W979" t="s">
        <v>55</v>
      </c>
      <c r="X979" t="s">
        <v>211</v>
      </c>
      <c r="Y979" t="s">
        <v>1693</v>
      </c>
      <c r="Z979" t="s">
        <v>58</v>
      </c>
      <c r="AA979" t="s">
        <v>54</v>
      </c>
      <c r="AB979" t="s">
        <v>213</v>
      </c>
      <c r="AC979" t="s">
        <v>85</v>
      </c>
      <c r="AD979" t="s">
        <v>214</v>
      </c>
      <c r="AE979" t="s">
        <v>215</v>
      </c>
      <c r="AF979" t="s">
        <v>216</v>
      </c>
      <c r="AG979" t="s">
        <v>58</v>
      </c>
      <c r="AH979">
        <v>14776</v>
      </c>
      <c r="AK979">
        <v>1</v>
      </c>
      <c r="AL979" t="s">
        <v>61</v>
      </c>
      <c r="AM979" t="s">
        <v>4759</v>
      </c>
      <c r="AN979" t="s">
        <v>4760</v>
      </c>
    </row>
    <row r="980" spans="1:40" x14ac:dyDescent="0.35">
      <c r="A980" t="s">
        <v>37</v>
      </c>
      <c r="B980" t="s">
        <v>4761</v>
      </c>
      <c r="C980" t="s">
        <v>39</v>
      </c>
      <c r="D980" t="s">
        <v>4690</v>
      </c>
      <c r="E980" t="s">
        <v>1316</v>
      </c>
      <c r="F980" s="1">
        <v>46076.436249999999</v>
      </c>
      <c r="G980" t="s">
        <v>4691</v>
      </c>
      <c r="H980" t="s">
        <v>287</v>
      </c>
      <c r="I980" t="s">
        <v>4762</v>
      </c>
      <c r="J980" t="s">
        <v>4693</v>
      </c>
      <c r="K980" t="s">
        <v>4694</v>
      </c>
      <c r="M980" t="s">
        <v>131</v>
      </c>
      <c r="O980" t="s">
        <v>77</v>
      </c>
      <c r="P980" t="s">
        <v>78</v>
      </c>
      <c r="Q980" t="s">
        <v>50</v>
      </c>
      <c r="R980" t="s">
        <v>51</v>
      </c>
      <c r="S980" t="s">
        <v>52</v>
      </c>
      <c r="T980" t="s">
        <v>240</v>
      </c>
      <c r="U980" s="1">
        <v>46078.370266203703</v>
      </c>
      <c r="V980" t="s">
        <v>54</v>
      </c>
      <c r="W980" t="s">
        <v>55</v>
      </c>
      <c r="X980" t="s">
        <v>134</v>
      </c>
      <c r="Y980" t="s">
        <v>4695</v>
      </c>
      <c r="Z980" t="s">
        <v>58</v>
      </c>
      <c r="AA980" t="s">
        <v>54</v>
      </c>
      <c r="AB980" t="s">
        <v>4696</v>
      </c>
      <c r="AC980" t="s">
        <v>85</v>
      </c>
      <c r="AD980" t="s">
        <v>52</v>
      </c>
      <c r="AE980" t="s">
        <v>243</v>
      </c>
      <c r="AF980" t="s">
        <v>409</v>
      </c>
      <c r="AG980" t="s">
        <v>58</v>
      </c>
      <c r="AK980">
        <v>0</v>
      </c>
      <c r="AL980" t="s">
        <v>61</v>
      </c>
      <c r="AM980" t="s">
        <v>4697</v>
      </c>
      <c r="AN980" t="s">
        <v>4698</v>
      </c>
    </row>
    <row r="981" spans="1:40" x14ac:dyDescent="0.35">
      <c r="A981" t="s">
        <v>37</v>
      </c>
      <c r="B981" t="s">
        <v>4763</v>
      </c>
      <c r="C981" t="s">
        <v>39</v>
      </c>
      <c r="D981" t="s">
        <v>4764</v>
      </c>
      <c r="E981" t="s">
        <v>513</v>
      </c>
      <c r="F981" s="1">
        <v>46076.43545138889</v>
      </c>
      <c r="G981" t="s">
        <v>261</v>
      </c>
      <c r="H981" t="s">
        <v>72</v>
      </c>
      <c r="I981" t="s">
        <v>205</v>
      </c>
      <c r="J981" t="s">
        <v>1692</v>
      </c>
      <c r="K981" t="s">
        <v>207</v>
      </c>
      <c r="M981" t="s">
        <v>131</v>
      </c>
      <c r="O981" t="s">
        <v>77</v>
      </c>
      <c r="P981" t="s">
        <v>78</v>
      </c>
      <c r="Q981" t="s">
        <v>448</v>
      </c>
      <c r="R981" t="s">
        <v>208</v>
      </c>
      <c r="S981" t="s">
        <v>209</v>
      </c>
      <c r="T981" t="s">
        <v>210</v>
      </c>
      <c r="U981" s="1">
        <v>46077.173055555555</v>
      </c>
      <c r="V981" t="s">
        <v>54</v>
      </c>
      <c r="W981" t="s">
        <v>55</v>
      </c>
      <c r="X981" t="s">
        <v>211</v>
      </c>
      <c r="Y981" t="s">
        <v>1693</v>
      </c>
      <c r="Z981" t="s">
        <v>58</v>
      </c>
      <c r="AA981" t="s">
        <v>54</v>
      </c>
      <c r="AB981" t="s">
        <v>213</v>
      </c>
      <c r="AC981" t="s">
        <v>85</v>
      </c>
      <c r="AD981" t="s">
        <v>214</v>
      </c>
      <c r="AE981" t="s">
        <v>215</v>
      </c>
      <c r="AF981" t="s">
        <v>216</v>
      </c>
      <c r="AG981" t="s">
        <v>58</v>
      </c>
      <c r="AH981">
        <v>13746</v>
      </c>
      <c r="AK981">
        <v>1</v>
      </c>
      <c r="AL981" t="s">
        <v>61</v>
      </c>
      <c r="AM981" t="s">
        <v>4765</v>
      </c>
      <c r="AN981" t="s">
        <v>4766</v>
      </c>
    </row>
    <row r="982" spans="1:40" x14ac:dyDescent="0.35">
      <c r="A982" t="s">
        <v>37</v>
      </c>
      <c r="B982" t="s">
        <v>4767</v>
      </c>
      <c r="C982" t="s">
        <v>39</v>
      </c>
      <c r="D982" t="s">
        <v>1106</v>
      </c>
      <c r="E982" t="s">
        <v>757</v>
      </c>
      <c r="F982" s="1">
        <v>46076.434699074074</v>
      </c>
      <c r="G982" t="s">
        <v>261</v>
      </c>
      <c r="H982" t="s">
        <v>72</v>
      </c>
      <c r="I982" t="s">
        <v>205</v>
      </c>
      <c r="J982" t="s">
        <v>1692</v>
      </c>
      <c r="K982" t="s">
        <v>207</v>
      </c>
      <c r="M982" t="s">
        <v>131</v>
      </c>
      <c r="O982" t="s">
        <v>77</v>
      </c>
      <c r="P982" t="s">
        <v>78</v>
      </c>
      <c r="Q982" t="s">
        <v>50</v>
      </c>
      <c r="R982" t="s">
        <v>305</v>
      </c>
      <c r="S982" t="s">
        <v>306</v>
      </c>
      <c r="T982" t="s">
        <v>307</v>
      </c>
      <c r="U982" s="1">
        <v>46077.999421296299</v>
      </c>
      <c r="V982" t="s">
        <v>54</v>
      </c>
      <c r="W982" t="s">
        <v>55</v>
      </c>
      <c r="X982" t="s">
        <v>211</v>
      </c>
      <c r="Y982" t="s">
        <v>4115</v>
      </c>
      <c r="Z982" t="s">
        <v>58</v>
      </c>
      <c r="AA982" t="s">
        <v>54</v>
      </c>
      <c r="AB982" t="s">
        <v>213</v>
      </c>
      <c r="AC982" t="s">
        <v>85</v>
      </c>
      <c r="AD982" t="s">
        <v>214</v>
      </c>
      <c r="AE982" t="s">
        <v>215</v>
      </c>
      <c r="AF982" t="s">
        <v>161</v>
      </c>
      <c r="AG982" t="s">
        <v>58</v>
      </c>
      <c r="AH982" t="s">
        <v>1111</v>
      </c>
      <c r="AK982">
        <v>4</v>
      </c>
      <c r="AL982" t="s">
        <v>61</v>
      </c>
      <c r="AM982" t="s">
        <v>1112</v>
      </c>
      <c r="AN982" t="s">
        <v>1113</v>
      </c>
    </row>
    <row r="983" spans="1:40" x14ac:dyDescent="0.35">
      <c r="A983" t="s">
        <v>37</v>
      </c>
      <c r="B983" t="s">
        <v>4768</v>
      </c>
      <c r="C983" t="s">
        <v>39</v>
      </c>
      <c r="D983" t="s">
        <v>4690</v>
      </c>
      <c r="E983" t="s">
        <v>1316</v>
      </c>
      <c r="F983" s="1">
        <v>46076.435057870367</v>
      </c>
      <c r="G983" t="s">
        <v>4691</v>
      </c>
      <c r="H983" t="s">
        <v>287</v>
      </c>
      <c r="I983" t="s">
        <v>4769</v>
      </c>
      <c r="J983" t="s">
        <v>4693</v>
      </c>
      <c r="K983" t="s">
        <v>4694</v>
      </c>
      <c r="M983" t="s">
        <v>131</v>
      </c>
      <c r="O983" t="s">
        <v>77</v>
      </c>
      <c r="P983" t="s">
        <v>78</v>
      </c>
      <c r="Q983" t="s">
        <v>50</v>
      </c>
      <c r="R983" t="s">
        <v>51</v>
      </c>
      <c r="S983" t="s">
        <v>52</v>
      </c>
      <c r="T983" t="s">
        <v>240</v>
      </c>
      <c r="U983" s="1">
        <v>46078.369710648149</v>
      </c>
      <c r="V983" t="s">
        <v>54</v>
      </c>
      <c r="W983" t="s">
        <v>55</v>
      </c>
      <c r="X983" t="s">
        <v>134</v>
      </c>
      <c r="Y983" t="s">
        <v>4770</v>
      </c>
      <c r="Z983" t="s">
        <v>58</v>
      </c>
      <c r="AA983" t="s">
        <v>54</v>
      </c>
      <c r="AB983" t="s">
        <v>4696</v>
      </c>
      <c r="AC983" t="s">
        <v>85</v>
      </c>
      <c r="AD983" t="s">
        <v>52</v>
      </c>
      <c r="AE983" t="s">
        <v>243</v>
      </c>
      <c r="AF983" t="s">
        <v>409</v>
      </c>
      <c r="AG983" t="s">
        <v>58</v>
      </c>
      <c r="AK983">
        <v>0</v>
      </c>
      <c r="AL983" t="s">
        <v>61</v>
      </c>
      <c r="AM983" t="s">
        <v>4697</v>
      </c>
      <c r="AN983" t="s">
        <v>4698</v>
      </c>
    </row>
    <row r="984" spans="1:40" x14ac:dyDescent="0.35">
      <c r="A984" t="s">
        <v>37</v>
      </c>
      <c r="B984" t="s">
        <v>4771</v>
      </c>
      <c r="C984" t="s">
        <v>39</v>
      </c>
      <c r="D984" t="s">
        <v>4690</v>
      </c>
      <c r="E984" t="s">
        <v>1316</v>
      </c>
      <c r="F984" s="1">
        <v>46076.43445601852</v>
      </c>
      <c r="G984" t="s">
        <v>4691</v>
      </c>
      <c r="H984" t="s">
        <v>287</v>
      </c>
      <c r="I984" t="s">
        <v>4772</v>
      </c>
      <c r="J984" t="s">
        <v>4693</v>
      </c>
      <c r="K984" t="s">
        <v>4694</v>
      </c>
      <c r="M984" t="s">
        <v>131</v>
      </c>
      <c r="O984" t="s">
        <v>77</v>
      </c>
      <c r="P984" t="s">
        <v>78</v>
      </c>
      <c r="Q984" t="s">
        <v>50</v>
      </c>
      <c r="R984" t="s">
        <v>51</v>
      </c>
      <c r="S984" t="s">
        <v>52</v>
      </c>
      <c r="T984" t="s">
        <v>240</v>
      </c>
      <c r="U984" s="1">
        <v>46078.369305555556</v>
      </c>
      <c r="V984" t="s">
        <v>54</v>
      </c>
      <c r="W984" t="s">
        <v>55</v>
      </c>
      <c r="X984" t="s">
        <v>134</v>
      </c>
      <c r="Y984" t="s">
        <v>4770</v>
      </c>
      <c r="Z984" t="s">
        <v>58</v>
      </c>
      <c r="AA984" t="s">
        <v>54</v>
      </c>
      <c r="AB984" t="s">
        <v>4696</v>
      </c>
      <c r="AC984" t="s">
        <v>85</v>
      </c>
      <c r="AD984" t="s">
        <v>52</v>
      </c>
      <c r="AE984" t="s">
        <v>2140</v>
      </c>
      <c r="AF984" t="s">
        <v>2710</v>
      </c>
      <c r="AG984" t="s">
        <v>58</v>
      </c>
      <c r="AK984">
        <v>0</v>
      </c>
      <c r="AL984" t="s">
        <v>61</v>
      </c>
      <c r="AM984" t="s">
        <v>4697</v>
      </c>
      <c r="AN984" t="s">
        <v>4698</v>
      </c>
    </row>
    <row r="985" spans="1:40" x14ac:dyDescent="0.35">
      <c r="A985" t="s">
        <v>37</v>
      </c>
      <c r="B985" t="s">
        <v>4773</v>
      </c>
      <c r="C985" t="s">
        <v>656</v>
      </c>
      <c r="D985" t="s">
        <v>657</v>
      </c>
      <c r="E985" t="s">
        <v>658</v>
      </c>
      <c r="F985" s="1">
        <v>46076.435902777775</v>
      </c>
      <c r="G985" t="s">
        <v>355</v>
      </c>
      <c r="H985" t="s">
        <v>356</v>
      </c>
      <c r="I985" t="s">
        <v>4774</v>
      </c>
      <c r="J985" t="s">
        <v>4046</v>
      </c>
      <c r="K985" t="s">
        <v>4047</v>
      </c>
      <c r="M985" t="s">
        <v>47</v>
      </c>
      <c r="O985" t="s">
        <v>77</v>
      </c>
      <c r="P985" t="s">
        <v>78</v>
      </c>
      <c r="Q985" t="s">
        <v>50</v>
      </c>
      <c r="R985" t="s">
        <v>662</v>
      </c>
      <c r="S985" t="s">
        <v>663</v>
      </c>
      <c r="T985" t="s">
        <v>4737</v>
      </c>
      <c r="U985" s="1">
        <v>46076.662175925929</v>
      </c>
      <c r="V985" t="s">
        <v>54</v>
      </c>
      <c r="W985" t="s">
        <v>55</v>
      </c>
      <c r="X985" t="s">
        <v>56</v>
      </c>
      <c r="Y985" t="s">
        <v>4775</v>
      </c>
      <c r="Z985" t="s">
        <v>58</v>
      </c>
      <c r="AA985" t="s">
        <v>54</v>
      </c>
      <c r="AB985" t="s">
        <v>666</v>
      </c>
      <c r="AC985" t="s">
        <v>85</v>
      </c>
      <c r="AD985" t="s">
        <v>667</v>
      </c>
      <c r="AE985" t="s">
        <v>667</v>
      </c>
      <c r="AF985" t="s">
        <v>4051</v>
      </c>
      <c r="AG985" t="s">
        <v>58</v>
      </c>
      <c r="AH985" t="s">
        <v>668</v>
      </c>
      <c r="AK985">
        <v>0</v>
      </c>
      <c r="AL985" t="s">
        <v>61</v>
      </c>
      <c r="AM985" t="s">
        <v>666</v>
      </c>
      <c r="AN985" t="s">
        <v>669</v>
      </c>
    </row>
    <row r="986" spans="1:40" x14ac:dyDescent="0.35">
      <c r="A986" t="s">
        <v>37</v>
      </c>
      <c r="B986" t="s">
        <v>4776</v>
      </c>
      <c r="C986" t="s">
        <v>39</v>
      </c>
      <c r="D986" t="s">
        <v>4690</v>
      </c>
      <c r="E986" t="s">
        <v>1316</v>
      </c>
      <c r="F986" s="1">
        <v>46076.433831018519</v>
      </c>
      <c r="G986" t="s">
        <v>4691</v>
      </c>
      <c r="H986" t="s">
        <v>287</v>
      </c>
      <c r="I986" t="s">
        <v>4777</v>
      </c>
      <c r="J986" t="s">
        <v>4693</v>
      </c>
      <c r="K986" t="s">
        <v>4694</v>
      </c>
      <c r="M986" t="s">
        <v>131</v>
      </c>
      <c r="O986" t="s">
        <v>77</v>
      </c>
      <c r="P986" t="s">
        <v>78</v>
      </c>
      <c r="Q986" t="s">
        <v>50</v>
      </c>
      <c r="R986" t="s">
        <v>51</v>
      </c>
      <c r="S986" t="s">
        <v>52</v>
      </c>
      <c r="T986" t="s">
        <v>240</v>
      </c>
      <c r="U986" s="1">
        <v>46078.368796296294</v>
      </c>
      <c r="V986" t="s">
        <v>54</v>
      </c>
      <c r="W986" t="s">
        <v>55</v>
      </c>
      <c r="X986" t="s">
        <v>134</v>
      </c>
      <c r="Y986" t="s">
        <v>4778</v>
      </c>
      <c r="Z986" t="s">
        <v>58</v>
      </c>
      <c r="AA986" t="s">
        <v>54</v>
      </c>
      <c r="AB986" t="s">
        <v>4696</v>
      </c>
      <c r="AC986" t="s">
        <v>85</v>
      </c>
      <c r="AD986" t="s">
        <v>52</v>
      </c>
      <c r="AE986" t="s">
        <v>243</v>
      </c>
      <c r="AF986" t="s">
        <v>409</v>
      </c>
      <c r="AG986" t="s">
        <v>58</v>
      </c>
      <c r="AK986">
        <v>0</v>
      </c>
      <c r="AL986" t="s">
        <v>61</v>
      </c>
      <c r="AM986" t="s">
        <v>4697</v>
      </c>
      <c r="AN986" t="s">
        <v>4698</v>
      </c>
    </row>
    <row r="987" spans="1:40" x14ac:dyDescent="0.35">
      <c r="A987" t="s">
        <v>37</v>
      </c>
      <c r="B987" t="s">
        <v>4779</v>
      </c>
      <c r="C987" t="s">
        <v>102</v>
      </c>
      <c r="D987" t="s">
        <v>1698</v>
      </c>
      <c r="E987" t="s">
        <v>584</v>
      </c>
      <c r="F987" s="1">
        <v>46076.433587962965</v>
      </c>
      <c r="G987" t="s">
        <v>105</v>
      </c>
      <c r="H987" t="s">
        <v>106</v>
      </c>
      <c r="I987" t="s">
        <v>332</v>
      </c>
      <c r="J987" t="s">
        <v>108</v>
      </c>
      <c r="K987" t="s">
        <v>341</v>
      </c>
      <c r="M987" t="s">
        <v>76</v>
      </c>
      <c r="O987" t="s">
        <v>77</v>
      </c>
      <c r="P987" t="s">
        <v>78</v>
      </c>
      <c r="Q987" t="s">
        <v>50</v>
      </c>
      <c r="R987" t="s">
        <v>111</v>
      </c>
      <c r="S987" t="s">
        <v>51</v>
      </c>
      <c r="T987" t="s">
        <v>112</v>
      </c>
      <c r="U987" s="1">
        <v>46076.58084490741</v>
      </c>
      <c r="V987" t="s">
        <v>54</v>
      </c>
      <c r="X987" t="s">
        <v>113</v>
      </c>
      <c r="Y987" t="s">
        <v>4780</v>
      </c>
      <c r="Z987" t="s">
        <v>58</v>
      </c>
      <c r="AA987" t="s">
        <v>54</v>
      </c>
      <c r="AB987" t="s">
        <v>115</v>
      </c>
      <c r="AC987" t="s">
        <v>85</v>
      </c>
      <c r="AD987" t="s">
        <v>116</v>
      </c>
      <c r="AE987" t="s">
        <v>334</v>
      </c>
      <c r="AF987" t="s">
        <v>4781</v>
      </c>
      <c r="AG987" t="s">
        <v>58</v>
      </c>
      <c r="AK987">
        <v>1</v>
      </c>
      <c r="AL987" t="s">
        <v>61</v>
      </c>
      <c r="AM987" t="s">
        <v>1701</v>
      </c>
      <c r="AN987" t="s">
        <v>1702</v>
      </c>
    </row>
    <row r="988" spans="1:40" x14ac:dyDescent="0.35">
      <c r="A988" t="s">
        <v>37</v>
      </c>
      <c r="B988" t="s">
        <v>4782</v>
      </c>
      <c r="C988" t="s">
        <v>39</v>
      </c>
      <c r="D988" t="s">
        <v>4690</v>
      </c>
      <c r="E988" t="s">
        <v>1316</v>
      </c>
      <c r="F988" s="1">
        <v>46076.433055555557</v>
      </c>
      <c r="G988" t="s">
        <v>4691</v>
      </c>
      <c r="H988" t="s">
        <v>287</v>
      </c>
      <c r="I988" t="s">
        <v>4783</v>
      </c>
      <c r="J988" t="s">
        <v>4693</v>
      </c>
      <c r="K988" t="s">
        <v>4694</v>
      </c>
      <c r="M988" t="s">
        <v>131</v>
      </c>
      <c r="O988" t="s">
        <v>77</v>
      </c>
      <c r="P988" t="s">
        <v>78</v>
      </c>
      <c r="Q988" t="s">
        <v>50</v>
      </c>
      <c r="R988" t="s">
        <v>51</v>
      </c>
      <c r="S988" t="s">
        <v>52</v>
      </c>
      <c r="T988" t="s">
        <v>240</v>
      </c>
      <c r="U988" s="1">
        <v>46078.368587962963</v>
      </c>
      <c r="V988" t="s">
        <v>54</v>
      </c>
      <c r="W988" t="s">
        <v>55</v>
      </c>
      <c r="X988" t="s">
        <v>134</v>
      </c>
      <c r="Y988" t="s">
        <v>4778</v>
      </c>
      <c r="Z988" t="s">
        <v>58</v>
      </c>
      <c r="AA988" t="s">
        <v>54</v>
      </c>
      <c r="AB988" t="s">
        <v>4696</v>
      </c>
      <c r="AC988" t="s">
        <v>85</v>
      </c>
      <c r="AD988" t="s">
        <v>52</v>
      </c>
      <c r="AE988" t="s">
        <v>243</v>
      </c>
      <c r="AF988" t="s">
        <v>409</v>
      </c>
      <c r="AG988" t="s">
        <v>58</v>
      </c>
      <c r="AK988">
        <v>0</v>
      </c>
      <c r="AL988" t="s">
        <v>61</v>
      </c>
      <c r="AM988" t="s">
        <v>4697</v>
      </c>
      <c r="AN988" t="s">
        <v>4698</v>
      </c>
    </row>
    <row r="989" spans="1:40" x14ac:dyDescent="0.35">
      <c r="A989" t="s">
        <v>37</v>
      </c>
      <c r="B989" t="s">
        <v>4784</v>
      </c>
      <c r="C989" t="s">
        <v>39</v>
      </c>
      <c r="D989" t="s">
        <v>4690</v>
      </c>
      <c r="E989" t="s">
        <v>1316</v>
      </c>
      <c r="F989" s="1">
        <v>46076.432129629633</v>
      </c>
      <c r="G989" t="s">
        <v>4691</v>
      </c>
      <c r="H989" t="s">
        <v>287</v>
      </c>
      <c r="I989" t="s">
        <v>4785</v>
      </c>
      <c r="J989" t="s">
        <v>4693</v>
      </c>
      <c r="K989" t="s">
        <v>4694</v>
      </c>
      <c r="M989" t="s">
        <v>131</v>
      </c>
      <c r="O989" t="s">
        <v>77</v>
      </c>
      <c r="P989" t="s">
        <v>78</v>
      </c>
      <c r="Q989" t="s">
        <v>50</v>
      </c>
      <c r="R989" t="s">
        <v>51</v>
      </c>
      <c r="S989" t="s">
        <v>52</v>
      </c>
      <c r="T989" t="s">
        <v>997</v>
      </c>
      <c r="U989" s="1">
        <v>46078.367893518516</v>
      </c>
      <c r="V989" t="s">
        <v>54</v>
      </c>
      <c r="W989" t="s">
        <v>55</v>
      </c>
      <c r="X989" t="s">
        <v>134</v>
      </c>
      <c r="Y989" t="s">
        <v>4786</v>
      </c>
      <c r="Z989" t="s">
        <v>58</v>
      </c>
      <c r="AA989" t="s">
        <v>54</v>
      </c>
      <c r="AB989" t="s">
        <v>4696</v>
      </c>
      <c r="AC989" t="s">
        <v>85</v>
      </c>
      <c r="AD989" t="s">
        <v>52</v>
      </c>
      <c r="AE989" t="s">
        <v>999</v>
      </c>
      <c r="AF989" t="s">
        <v>4787</v>
      </c>
      <c r="AG989" t="s">
        <v>58</v>
      </c>
      <c r="AK989">
        <v>0</v>
      </c>
      <c r="AL989" t="s">
        <v>61</v>
      </c>
      <c r="AM989" t="s">
        <v>4697</v>
      </c>
      <c r="AN989" t="s">
        <v>4698</v>
      </c>
    </row>
    <row r="990" spans="1:40" x14ac:dyDescent="0.35">
      <c r="A990" t="s">
        <v>37</v>
      </c>
      <c r="B990" t="s">
        <v>4788</v>
      </c>
      <c r="C990" t="s">
        <v>102</v>
      </c>
      <c r="D990" t="s">
        <v>4789</v>
      </c>
      <c r="E990" t="s">
        <v>4790</v>
      </c>
      <c r="F990" s="1">
        <v>46076.431898148148</v>
      </c>
      <c r="G990" t="s">
        <v>355</v>
      </c>
      <c r="H990" t="s">
        <v>356</v>
      </c>
      <c r="I990" t="s">
        <v>4791</v>
      </c>
      <c r="J990" t="s">
        <v>4792</v>
      </c>
      <c r="K990" t="s">
        <v>4793</v>
      </c>
      <c r="M990" t="s">
        <v>131</v>
      </c>
      <c r="O990" t="s">
        <v>77</v>
      </c>
      <c r="P990" t="s">
        <v>78</v>
      </c>
      <c r="Q990" t="s">
        <v>1174</v>
      </c>
      <c r="R990" t="s">
        <v>51</v>
      </c>
      <c r="S990" t="s">
        <v>52</v>
      </c>
      <c r="T990" t="s">
        <v>240</v>
      </c>
      <c r="U990" s="1">
        <v>46076.439710648148</v>
      </c>
      <c r="V990" t="s">
        <v>54</v>
      </c>
      <c r="W990" t="s">
        <v>55</v>
      </c>
      <c r="X990" t="s">
        <v>134</v>
      </c>
      <c r="Y990" t="s">
        <v>4794</v>
      </c>
      <c r="Z990" t="s">
        <v>58</v>
      </c>
      <c r="AA990" t="s">
        <v>54</v>
      </c>
      <c r="AB990" t="s">
        <v>4795</v>
      </c>
      <c r="AC990" t="s">
        <v>85</v>
      </c>
      <c r="AD990" t="s">
        <v>51</v>
      </c>
      <c r="AE990" t="s">
        <v>52</v>
      </c>
      <c r="AF990" t="s">
        <v>240</v>
      </c>
      <c r="AG990" t="s">
        <v>58</v>
      </c>
      <c r="AH990">
        <v>14949</v>
      </c>
      <c r="AK990">
        <v>0</v>
      </c>
      <c r="AL990" t="s">
        <v>61</v>
      </c>
      <c r="AM990" t="s">
        <v>4796</v>
      </c>
      <c r="AN990" t="s">
        <v>4797</v>
      </c>
    </row>
    <row r="991" spans="1:40" x14ac:dyDescent="0.35">
      <c r="A991" t="s">
        <v>37</v>
      </c>
      <c r="B991" t="s">
        <v>4798</v>
      </c>
      <c r="C991" t="s">
        <v>39</v>
      </c>
      <c r="D991" t="s">
        <v>3943</v>
      </c>
      <c r="E991" t="s">
        <v>4799</v>
      </c>
      <c r="F991" s="1">
        <v>46076.427719907406</v>
      </c>
      <c r="G991" t="s">
        <v>286</v>
      </c>
      <c r="H991" t="s">
        <v>287</v>
      </c>
      <c r="I991" t="s">
        <v>4800</v>
      </c>
      <c r="J991" t="s">
        <v>1518</v>
      </c>
      <c r="K991" t="s">
        <v>75</v>
      </c>
      <c r="M991" t="s">
        <v>76</v>
      </c>
      <c r="O991" t="s">
        <v>77</v>
      </c>
      <c r="P991" t="s">
        <v>78</v>
      </c>
      <c r="Q991" t="s">
        <v>50</v>
      </c>
      <c r="R991" t="s">
        <v>79</v>
      </c>
      <c r="S991" t="s">
        <v>1078</v>
      </c>
      <c r="T991" t="s">
        <v>1078</v>
      </c>
      <c r="U991" s="1">
        <v>46076.428043981483</v>
      </c>
      <c r="V991" t="s">
        <v>54</v>
      </c>
      <c r="W991" t="s">
        <v>55</v>
      </c>
      <c r="X991" t="s">
        <v>82</v>
      </c>
      <c r="Y991" t="s">
        <v>4801</v>
      </c>
      <c r="Z991" t="s">
        <v>58</v>
      </c>
      <c r="AA991" t="s">
        <v>54</v>
      </c>
      <c r="AB991" t="s">
        <v>1503</v>
      </c>
      <c r="AC991" t="s">
        <v>85</v>
      </c>
      <c r="AD991" t="s">
        <v>79</v>
      </c>
      <c r="AE991" t="s">
        <v>1078</v>
      </c>
      <c r="AF991" t="s">
        <v>1078</v>
      </c>
      <c r="AG991" t="s">
        <v>58</v>
      </c>
      <c r="AH991">
        <v>15261</v>
      </c>
      <c r="AK991">
        <v>0</v>
      </c>
      <c r="AL991" t="s">
        <v>61</v>
      </c>
      <c r="AM991" t="s">
        <v>4802</v>
      </c>
      <c r="AN991" t="s">
        <v>4803</v>
      </c>
    </row>
    <row r="992" spans="1:40" x14ac:dyDescent="0.35">
      <c r="A992" t="s">
        <v>37</v>
      </c>
      <c r="B992" t="s">
        <v>4804</v>
      </c>
      <c r="C992" t="s">
        <v>39</v>
      </c>
      <c r="D992" t="s">
        <v>739</v>
      </c>
      <c r="E992" t="s">
        <v>740</v>
      </c>
      <c r="F992" s="1">
        <v>46076.426608796297</v>
      </c>
      <c r="G992" t="s">
        <v>355</v>
      </c>
      <c r="H992" t="s">
        <v>356</v>
      </c>
      <c r="I992" t="s">
        <v>205</v>
      </c>
      <c r="J992" t="s">
        <v>741</v>
      </c>
      <c r="K992" t="s">
        <v>207</v>
      </c>
      <c r="M992" t="s">
        <v>131</v>
      </c>
      <c r="O992" t="s">
        <v>77</v>
      </c>
      <c r="P992" t="s">
        <v>78</v>
      </c>
      <c r="Q992" t="s">
        <v>50</v>
      </c>
      <c r="R992" t="s">
        <v>305</v>
      </c>
      <c r="S992" t="s">
        <v>306</v>
      </c>
      <c r="T992" t="s">
        <v>307</v>
      </c>
      <c r="U992" s="1">
        <v>46077.777638888889</v>
      </c>
      <c r="V992" t="s">
        <v>54</v>
      </c>
      <c r="W992" t="s">
        <v>55</v>
      </c>
      <c r="X992" t="s">
        <v>211</v>
      </c>
      <c r="Y992" t="s">
        <v>4805</v>
      </c>
      <c r="Z992" t="s">
        <v>58</v>
      </c>
      <c r="AA992" t="s">
        <v>54</v>
      </c>
      <c r="AB992" t="s">
        <v>213</v>
      </c>
      <c r="AC992" t="s">
        <v>85</v>
      </c>
      <c r="AD992" t="s">
        <v>214</v>
      </c>
      <c r="AE992" t="s">
        <v>215</v>
      </c>
      <c r="AF992" t="s">
        <v>216</v>
      </c>
      <c r="AG992" t="s">
        <v>58</v>
      </c>
      <c r="AH992" t="s">
        <v>743</v>
      </c>
      <c r="AK992">
        <v>3</v>
      </c>
      <c r="AL992" t="s">
        <v>61</v>
      </c>
      <c r="AM992" t="s">
        <v>744</v>
      </c>
      <c r="AN992" t="s">
        <v>745</v>
      </c>
    </row>
    <row r="993" spans="1:40" x14ac:dyDescent="0.35">
      <c r="A993" t="s">
        <v>37</v>
      </c>
      <c r="B993" t="s">
        <v>4806</v>
      </c>
      <c r="C993" t="s">
        <v>102</v>
      </c>
      <c r="D993" t="s">
        <v>191</v>
      </c>
      <c r="E993" t="s">
        <v>192</v>
      </c>
      <c r="F993" s="1">
        <v>46076.426655092589</v>
      </c>
      <c r="G993" t="s">
        <v>71</v>
      </c>
      <c r="H993" t="s">
        <v>72</v>
      </c>
      <c r="I993" t="s">
        <v>4807</v>
      </c>
      <c r="J993" t="s">
        <v>194</v>
      </c>
      <c r="K993" t="s">
        <v>130</v>
      </c>
      <c r="M993" t="s">
        <v>131</v>
      </c>
      <c r="O993" t="s">
        <v>77</v>
      </c>
      <c r="P993" t="s">
        <v>78</v>
      </c>
      <c r="Q993" t="s">
        <v>50</v>
      </c>
      <c r="R993" t="s">
        <v>51</v>
      </c>
      <c r="S993" t="s">
        <v>52</v>
      </c>
      <c r="T993" t="s">
        <v>195</v>
      </c>
      <c r="U993" s="1">
        <v>46076.450543981482</v>
      </c>
      <c r="V993" t="s">
        <v>54</v>
      </c>
      <c r="W993" t="s">
        <v>55</v>
      </c>
      <c r="X993" t="s">
        <v>196</v>
      </c>
      <c r="Y993" t="s">
        <v>4808</v>
      </c>
      <c r="Z993" t="s">
        <v>58</v>
      </c>
      <c r="AA993" t="s">
        <v>54</v>
      </c>
      <c r="AB993" t="s">
        <v>198</v>
      </c>
      <c r="AC993" t="s">
        <v>85</v>
      </c>
      <c r="AD993" t="s">
        <v>51</v>
      </c>
      <c r="AE993" t="s">
        <v>52</v>
      </c>
      <c r="AF993" t="s">
        <v>195</v>
      </c>
      <c r="AG993" t="s">
        <v>58</v>
      </c>
      <c r="AH993" t="s">
        <v>199</v>
      </c>
      <c r="AK993">
        <v>1</v>
      </c>
      <c r="AL993" t="s">
        <v>61</v>
      </c>
      <c r="AM993" t="s">
        <v>198</v>
      </c>
      <c r="AN993" t="s">
        <v>200</v>
      </c>
    </row>
    <row r="994" spans="1:40" x14ac:dyDescent="0.35">
      <c r="A994" t="s">
        <v>37</v>
      </c>
      <c r="B994" t="s">
        <v>4809</v>
      </c>
      <c r="C994" t="s">
        <v>39</v>
      </c>
      <c r="D994" t="s">
        <v>4810</v>
      </c>
      <c r="E994" t="s">
        <v>230</v>
      </c>
      <c r="F994" s="1">
        <v>46076.425891203704</v>
      </c>
      <c r="G994" t="s">
        <v>402</v>
      </c>
      <c r="H994" t="s">
        <v>72</v>
      </c>
      <c r="I994" t="s">
        <v>4811</v>
      </c>
      <c r="J994" t="s">
        <v>4812</v>
      </c>
      <c r="K994" t="s">
        <v>4813</v>
      </c>
      <c r="M994" t="s">
        <v>131</v>
      </c>
      <c r="O994" t="s">
        <v>77</v>
      </c>
      <c r="P994" t="s">
        <v>78</v>
      </c>
      <c r="Q994" t="s">
        <v>818</v>
      </c>
      <c r="R994" t="s">
        <v>51</v>
      </c>
      <c r="S994" t="s">
        <v>52</v>
      </c>
      <c r="T994" t="s">
        <v>240</v>
      </c>
      <c r="U994" s="1">
        <v>46076.426469907405</v>
      </c>
      <c r="V994" t="s">
        <v>54</v>
      </c>
      <c r="W994" t="s">
        <v>55</v>
      </c>
      <c r="X994" t="s">
        <v>113</v>
      </c>
      <c r="Y994" t="s">
        <v>4814</v>
      </c>
      <c r="Z994" t="s">
        <v>58</v>
      </c>
      <c r="AA994" t="s">
        <v>54</v>
      </c>
      <c r="AB994" t="s">
        <v>4815</v>
      </c>
      <c r="AC994" t="s">
        <v>85</v>
      </c>
      <c r="AD994" t="s">
        <v>52</v>
      </c>
      <c r="AE994" t="s">
        <v>243</v>
      </c>
      <c r="AF994" t="s">
        <v>1470</v>
      </c>
      <c r="AG994" t="s">
        <v>58</v>
      </c>
      <c r="AH994">
        <v>3006</v>
      </c>
      <c r="AK994">
        <v>0</v>
      </c>
      <c r="AL994" t="s">
        <v>61</v>
      </c>
      <c r="AM994" t="s">
        <v>4816</v>
      </c>
      <c r="AN994" t="s">
        <v>4817</v>
      </c>
    </row>
    <row r="995" spans="1:40" x14ac:dyDescent="0.35">
      <c r="A995" t="s">
        <v>37</v>
      </c>
      <c r="B995" t="s">
        <v>4818</v>
      </c>
      <c r="C995" t="s">
        <v>656</v>
      </c>
      <c r="D995" t="s">
        <v>2984</v>
      </c>
      <c r="E995" t="s">
        <v>2985</v>
      </c>
      <c r="F995" s="1">
        <v>46076.42527777778</v>
      </c>
      <c r="G995" t="s">
        <v>355</v>
      </c>
      <c r="H995" t="s">
        <v>356</v>
      </c>
      <c r="I995" t="s">
        <v>4819</v>
      </c>
      <c r="J995" t="s">
        <v>3949</v>
      </c>
      <c r="K995" t="s">
        <v>3950</v>
      </c>
      <c r="M995" t="s">
        <v>150</v>
      </c>
      <c r="O995" t="s">
        <v>77</v>
      </c>
      <c r="P995" t="s">
        <v>78</v>
      </c>
      <c r="Q995" t="s">
        <v>50</v>
      </c>
      <c r="R995" t="s">
        <v>2989</v>
      </c>
      <c r="S995" t="s">
        <v>2990</v>
      </c>
      <c r="T995" t="s">
        <v>4820</v>
      </c>
      <c r="U995" s="1">
        <v>46077.30940972222</v>
      </c>
      <c r="V995" t="s">
        <v>54</v>
      </c>
      <c r="W995" t="s">
        <v>55</v>
      </c>
      <c r="X995" t="s">
        <v>56</v>
      </c>
      <c r="Y995" t="s">
        <v>4821</v>
      </c>
      <c r="Z995" t="s">
        <v>58</v>
      </c>
      <c r="AA995" t="s">
        <v>54</v>
      </c>
      <c r="AB995" t="s">
        <v>2993</v>
      </c>
      <c r="AC995" t="s">
        <v>85</v>
      </c>
      <c r="AD995" t="s">
        <v>4822</v>
      </c>
      <c r="AE995" t="s">
        <v>4823</v>
      </c>
      <c r="AF995" t="s">
        <v>4824</v>
      </c>
      <c r="AG995" t="s">
        <v>58</v>
      </c>
      <c r="AH995" t="s">
        <v>2994</v>
      </c>
      <c r="AK995">
        <v>1</v>
      </c>
      <c r="AL995" t="s">
        <v>61</v>
      </c>
      <c r="AM995" t="s">
        <v>2993</v>
      </c>
      <c r="AN995" t="s">
        <v>2995</v>
      </c>
    </row>
    <row r="996" spans="1:40" x14ac:dyDescent="0.35">
      <c r="A996" t="s">
        <v>37</v>
      </c>
      <c r="B996" t="s">
        <v>4825</v>
      </c>
      <c r="C996" t="s">
        <v>102</v>
      </c>
      <c r="D996" t="s">
        <v>824</v>
      </c>
      <c r="E996" t="s">
        <v>825</v>
      </c>
      <c r="F996" s="1">
        <v>46076.42491898148</v>
      </c>
      <c r="G996" t="s">
        <v>826</v>
      </c>
      <c r="H996" t="s">
        <v>356</v>
      </c>
      <c r="I996" t="s">
        <v>4826</v>
      </c>
      <c r="J996" t="s">
        <v>828</v>
      </c>
      <c r="K996" t="s">
        <v>829</v>
      </c>
      <c r="M996" t="s">
        <v>131</v>
      </c>
      <c r="O996" t="s">
        <v>237</v>
      </c>
      <c r="P996" t="s">
        <v>238</v>
      </c>
      <c r="Q996" t="s">
        <v>50</v>
      </c>
      <c r="R996" t="s">
        <v>51</v>
      </c>
      <c r="S996" t="s">
        <v>831</v>
      </c>
      <c r="T996" t="s">
        <v>829</v>
      </c>
      <c r="U996" s="1">
        <v>46076.522407407407</v>
      </c>
      <c r="V996" t="s">
        <v>54</v>
      </c>
      <c r="W996" t="s">
        <v>55</v>
      </c>
      <c r="X996" t="s">
        <v>196</v>
      </c>
      <c r="Y996" t="s">
        <v>4827</v>
      </c>
      <c r="Z996" t="s">
        <v>58</v>
      </c>
      <c r="AA996" t="s">
        <v>54</v>
      </c>
      <c r="AB996" t="s">
        <v>833</v>
      </c>
      <c r="AC996" t="s">
        <v>242</v>
      </c>
      <c r="AD996" t="s">
        <v>51</v>
      </c>
      <c r="AE996" t="s">
        <v>834</v>
      </c>
      <c r="AF996" t="s">
        <v>834</v>
      </c>
      <c r="AG996" t="s">
        <v>58</v>
      </c>
      <c r="AH996">
        <v>12697</v>
      </c>
      <c r="AK996">
        <v>0</v>
      </c>
      <c r="AL996" t="s">
        <v>61</v>
      </c>
      <c r="AM996" t="s">
        <v>833</v>
      </c>
      <c r="AN996" t="s">
        <v>835</v>
      </c>
    </row>
    <row r="997" spans="1:40" x14ac:dyDescent="0.35">
      <c r="A997" t="s">
        <v>37</v>
      </c>
      <c r="B997" t="s">
        <v>4828</v>
      </c>
      <c r="C997" t="s">
        <v>102</v>
      </c>
      <c r="D997" t="s">
        <v>824</v>
      </c>
      <c r="E997" t="s">
        <v>825</v>
      </c>
      <c r="F997" s="1">
        <v>46076.423217592594</v>
      </c>
      <c r="G997" t="s">
        <v>826</v>
      </c>
      <c r="H997" t="s">
        <v>356</v>
      </c>
      <c r="I997" t="s">
        <v>4829</v>
      </c>
      <c r="J997" t="s">
        <v>828</v>
      </c>
      <c r="K997" t="s">
        <v>829</v>
      </c>
      <c r="M997" t="s">
        <v>830</v>
      </c>
      <c r="O997" t="s">
        <v>237</v>
      </c>
      <c r="P997" t="s">
        <v>238</v>
      </c>
      <c r="Q997" t="s">
        <v>50</v>
      </c>
      <c r="R997" t="s">
        <v>51</v>
      </c>
      <c r="S997" t="s">
        <v>831</v>
      </c>
      <c r="T997" t="s">
        <v>829</v>
      </c>
      <c r="U997" s="1">
        <v>46076.533171296294</v>
      </c>
      <c r="V997" t="s">
        <v>54</v>
      </c>
      <c r="W997" t="s">
        <v>55</v>
      </c>
      <c r="X997" t="s">
        <v>134</v>
      </c>
      <c r="Y997" t="s">
        <v>4830</v>
      </c>
      <c r="Z997" t="s">
        <v>58</v>
      </c>
      <c r="AA997" t="s">
        <v>54</v>
      </c>
      <c r="AB997" t="s">
        <v>833</v>
      </c>
      <c r="AC997" t="s">
        <v>242</v>
      </c>
      <c r="AD997" t="s">
        <v>51</v>
      </c>
      <c r="AE997" t="s">
        <v>834</v>
      </c>
      <c r="AF997" t="s">
        <v>834</v>
      </c>
      <c r="AG997" t="s">
        <v>58</v>
      </c>
      <c r="AH997">
        <v>12697</v>
      </c>
      <c r="AK997">
        <v>0</v>
      </c>
      <c r="AL997" t="s">
        <v>61</v>
      </c>
      <c r="AM997" t="s">
        <v>833</v>
      </c>
      <c r="AN997" t="s">
        <v>835</v>
      </c>
    </row>
    <row r="998" spans="1:40" x14ac:dyDescent="0.35">
      <c r="A998" t="s">
        <v>37</v>
      </c>
      <c r="B998" t="s">
        <v>4831</v>
      </c>
      <c r="C998" t="s">
        <v>656</v>
      </c>
      <c r="D998" t="s">
        <v>657</v>
      </c>
      <c r="E998" t="s">
        <v>658</v>
      </c>
      <c r="F998" s="1">
        <v>46076.432060185187</v>
      </c>
      <c r="G998" t="s">
        <v>355</v>
      </c>
      <c r="H998" t="s">
        <v>356</v>
      </c>
      <c r="I998" t="s">
        <v>4832</v>
      </c>
      <c r="J998" t="s">
        <v>4046</v>
      </c>
      <c r="K998" t="s">
        <v>4047</v>
      </c>
      <c r="M998" t="s">
        <v>47</v>
      </c>
      <c r="O998" t="s">
        <v>77</v>
      </c>
      <c r="P998" t="s">
        <v>78</v>
      </c>
      <c r="Q998" t="s">
        <v>50</v>
      </c>
      <c r="R998" t="s">
        <v>662</v>
      </c>
      <c r="S998" t="s">
        <v>663</v>
      </c>
      <c r="T998" t="s">
        <v>4051</v>
      </c>
      <c r="U998" s="1">
        <v>46076.569351851853</v>
      </c>
      <c r="V998" t="s">
        <v>54</v>
      </c>
      <c r="W998" t="s">
        <v>55</v>
      </c>
      <c r="X998" t="s">
        <v>134</v>
      </c>
      <c r="Y998" t="s">
        <v>4833</v>
      </c>
      <c r="Z998" t="s">
        <v>58</v>
      </c>
      <c r="AA998" t="s">
        <v>54</v>
      </c>
      <c r="AB998" t="s">
        <v>666</v>
      </c>
      <c r="AC998" t="s">
        <v>85</v>
      </c>
      <c r="AD998" t="s">
        <v>667</v>
      </c>
      <c r="AE998" t="s">
        <v>667</v>
      </c>
      <c r="AF998" t="s">
        <v>4051</v>
      </c>
      <c r="AG998" t="s">
        <v>58</v>
      </c>
      <c r="AH998" t="s">
        <v>668</v>
      </c>
      <c r="AK998">
        <v>0</v>
      </c>
      <c r="AL998" t="s">
        <v>61</v>
      </c>
      <c r="AM998" t="s">
        <v>666</v>
      </c>
      <c r="AN998" t="s">
        <v>669</v>
      </c>
    </row>
    <row r="999" spans="1:40" x14ac:dyDescent="0.35">
      <c r="A999" t="s">
        <v>37</v>
      </c>
      <c r="B999" t="s">
        <v>4834</v>
      </c>
      <c r="C999" t="s">
        <v>39</v>
      </c>
      <c r="D999" t="s">
        <v>2268</v>
      </c>
      <c r="E999" t="s">
        <v>4835</v>
      </c>
      <c r="F999" s="1">
        <v>46076.421435185184</v>
      </c>
      <c r="G999" t="s">
        <v>2053</v>
      </c>
      <c r="H999" t="s">
        <v>106</v>
      </c>
      <c r="I999" t="s">
        <v>4836</v>
      </c>
      <c r="J999" t="s">
        <v>557</v>
      </c>
      <c r="K999" t="s">
        <v>75</v>
      </c>
      <c r="M999" t="s">
        <v>76</v>
      </c>
      <c r="O999" t="s">
        <v>77</v>
      </c>
      <c r="P999" t="s">
        <v>78</v>
      </c>
      <c r="R999" t="s">
        <v>51</v>
      </c>
      <c r="S999" t="s">
        <v>52</v>
      </c>
      <c r="T999" t="s">
        <v>2248</v>
      </c>
      <c r="U999" s="1">
        <v>46076.48505787037</v>
      </c>
      <c r="V999" t="s">
        <v>54</v>
      </c>
      <c r="W999" t="s">
        <v>55</v>
      </c>
      <c r="X999" t="s">
        <v>82</v>
      </c>
      <c r="Y999" t="s">
        <v>4837</v>
      </c>
      <c r="Z999" t="s">
        <v>58</v>
      </c>
      <c r="AA999" t="s">
        <v>54</v>
      </c>
      <c r="AB999" t="s">
        <v>645</v>
      </c>
      <c r="AC999" t="s">
        <v>85</v>
      </c>
      <c r="AD999" t="s">
        <v>51</v>
      </c>
      <c r="AE999" t="s">
        <v>52</v>
      </c>
      <c r="AF999" t="s">
        <v>2248</v>
      </c>
      <c r="AG999" t="s">
        <v>58</v>
      </c>
      <c r="AH999">
        <v>2501</v>
      </c>
      <c r="AK999">
        <v>2</v>
      </c>
      <c r="AL999" t="s">
        <v>61</v>
      </c>
      <c r="AM999" t="s">
        <v>4838</v>
      </c>
      <c r="AN999" t="s">
        <v>4839</v>
      </c>
    </row>
    <row r="1000" spans="1:40" x14ac:dyDescent="0.35">
      <c r="A1000" t="s">
        <v>37</v>
      </c>
      <c r="B1000" t="s">
        <v>4840</v>
      </c>
      <c r="C1000" t="s">
        <v>39</v>
      </c>
      <c r="D1000" t="s">
        <v>4841</v>
      </c>
      <c r="E1000" t="s">
        <v>4842</v>
      </c>
      <c r="F1000" s="1">
        <v>46076.419953703706</v>
      </c>
      <c r="G1000" t="s">
        <v>105</v>
      </c>
      <c r="H1000" t="s">
        <v>106</v>
      </c>
      <c r="I1000" t="s">
        <v>4843</v>
      </c>
      <c r="J1000" t="s">
        <v>557</v>
      </c>
      <c r="K1000" t="s">
        <v>75</v>
      </c>
      <c r="M1000" t="s">
        <v>76</v>
      </c>
      <c r="O1000" t="s">
        <v>77</v>
      </c>
      <c r="P1000" t="s">
        <v>78</v>
      </c>
      <c r="Q1000" t="s">
        <v>50</v>
      </c>
      <c r="R1000" t="s">
        <v>51</v>
      </c>
      <c r="S1000" t="s">
        <v>52</v>
      </c>
      <c r="T1000" t="s">
        <v>2248</v>
      </c>
      <c r="U1000" s="1">
        <v>46077.392268518517</v>
      </c>
      <c r="V1000" t="s">
        <v>54</v>
      </c>
      <c r="W1000" t="s">
        <v>55</v>
      </c>
      <c r="X1000" t="s">
        <v>82</v>
      </c>
      <c r="Y1000" t="s">
        <v>4296</v>
      </c>
      <c r="Z1000" t="s">
        <v>58</v>
      </c>
      <c r="AA1000" t="s">
        <v>54</v>
      </c>
      <c r="AB1000" t="s">
        <v>645</v>
      </c>
      <c r="AC1000" t="s">
        <v>85</v>
      </c>
      <c r="AD1000" t="s">
        <v>51</v>
      </c>
      <c r="AE1000" t="s">
        <v>52</v>
      </c>
      <c r="AF1000" t="s">
        <v>2248</v>
      </c>
      <c r="AG1000" t="s">
        <v>58</v>
      </c>
      <c r="AH1000">
        <v>14687</v>
      </c>
      <c r="AK1000">
        <v>0</v>
      </c>
      <c r="AL1000" t="s">
        <v>61</v>
      </c>
      <c r="AM1000" t="s">
        <v>4844</v>
      </c>
      <c r="AN1000" t="s">
        <v>4845</v>
      </c>
    </row>
    <row r="1001" spans="1:40" x14ac:dyDescent="0.35">
      <c r="A1001" t="s">
        <v>37</v>
      </c>
      <c r="B1001" t="s">
        <v>4846</v>
      </c>
      <c r="C1001" t="s">
        <v>102</v>
      </c>
      <c r="D1001" t="s">
        <v>824</v>
      </c>
      <c r="E1001" t="s">
        <v>825</v>
      </c>
      <c r="F1001" s="1">
        <v>46076.420138888891</v>
      </c>
      <c r="G1001" t="s">
        <v>826</v>
      </c>
      <c r="H1001" t="s">
        <v>356</v>
      </c>
      <c r="I1001" t="s">
        <v>4847</v>
      </c>
      <c r="J1001" t="s">
        <v>828</v>
      </c>
      <c r="K1001" t="s">
        <v>829</v>
      </c>
      <c r="M1001" t="s">
        <v>131</v>
      </c>
      <c r="O1001" t="s">
        <v>237</v>
      </c>
      <c r="P1001" t="s">
        <v>238</v>
      </c>
      <c r="Q1001" t="s">
        <v>50</v>
      </c>
      <c r="R1001" t="s">
        <v>51</v>
      </c>
      <c r="S1001" t="s">
        <v>831</v>
      </c>
      <c r="T1001" t="s">
        <v>829</v>
      </c>
      <c r="U1001" s="1">
        <v>46077.407384259262</v>
      </c>
      <c r="V1001" t="s">
        <v>54</v>
      </c>
      <c r="W1001" t="s">
        <v>55</v>
      </c>
      <c r="X1001" t="s">
        <v>196</v>
      </c>
      <c r="Y1001" t="s">
        <v>4848</v>
      </c>
      <c r="Z1001" t="s">
        <v>58</v>
      </c>
      <c r="AA1001" t="s">
        <v>54</v>
      </c>
      <c r="AB1001" t="s">
        <v>833</v>
      </c>
      <c r="AC1001" t="s">
        <v>242</v>
      </c>
      <c r="AD1001" t="s">
        <v>51</v>
      </c>
      <c r="AE1001" t="s">
        <v>834</v>
      </c>
      <c r="AF1001" t="s">
        <v>834</v>
      </c>
      <c r="AG1001" t="s">
        <v>58</v>
      </c>
      <c r="AH1001">
        <v>12697</v>
      </c>
      <c r="AK1001">
        <v>0</v>
      </c>
      <c r="AL1001" t="s">
        <v>61</v>
      </c>
      <c r="AM1001" t="s">
        <v>833</v>
      </c>
      <c r="AN1001" t="s">
        <v>835</v>
      </c>
    </row>
    <row r="1002" spans="1:40" x14ac:dyDescent="0.35">
      <c r="A1002" t="s">
        <v>37</v>
      </c>
      <c r="B1002" t="s">
        <v>4849</v>
      </c>
      <c r="C1002" t="s">
        <v>102</v>
      </c>
      <c r="D1002" t="s">
        <v>191</v>
      </c>
      <c r="E1002" t="s">
        <v>192</v>
      </c>
      <c r="F1002" s="1">
        <v>46076.418379629627</v>
      </c>
      <c r="G1002" t="s">
        <v>71</v>
      </c>
      <c r="H1002" t="s">
        <v>72</v>
      </c>
      <c r="I1002" t="s">
        <v>4850</v>
      </c>
      <c r="J1002" t="s">
        <v>194</v>
      </c>
      <c r="K1002" t="s">
        <v>130</v>
      </c>
      <c r="M1002" t="s">
        <v>131</v>
      </c>
      <c r="O1002" t="s">
        <v>77</v>
      </c>
      <c r="P1002" t="s">
        <v>78</v>
      </c>
      <c r="Q1002" t="s">
        <v>50</v>
      </c>
      <c r="R1002" t="s">
        <v>51</v>
      </c>
      <c r="S1002" t="s">
        <v>52</v>
      </c>
      <c r="T1002" t="s">
        <v>195</v>
      </c>
      <c r="U1002" s="1">
        <v>46076.579548611109</v>
      </c>
      <c r="V1002" t="s">
        <v>54</v>
      </c>
      <c r="W1002" t="s">
        <v>55</v>
      </c>
      <c r="X1002" t="s">
        <v>196</v>
      </c>
      <c r="Y1002" t="s">
        <v>4851</v>
      </c>
      <c r="Z1002" t="s">
        <v>58</v>
      </c>
      <c r="AA1002" t="s">
        <v>54</v>
      </c>
      <c r="AB1002" t="s">
        <v>198</v>
      </c>
      <c r="AC1002" t="s">
        <v>85</v>
      </c>
      <c r="AD1002" t="s">
        <v>51</v>
      </c>
      <c r="AE1002" t="s">
        <v>52</v>
      </c>
      <c r="AF1002" t="s">
        <v>195</v>
      </c>
      <c r="AG1002" t="s">
        <v>58</v>
      </c>
      <c r="AH1002" t="s">
        <v>199</v>
      </c>
      <c r="AK1002">
        <v>1</v>
      </c>
      <c r="AL1002" t="s">
        <v>61</v>
      </c>
      <c r="AM1002" t="s">
        <v>198</v>
      </c>
      <c r="AN1002" t="s">
        <v>200</v>
      </c>
    </row>
    <row r="1003" spans="1:40" x14ac:dyDescent="0.35">
      <c r="A1003" t="s">
        <v>37</v>
      </c>
      <c r="B1003" t="s">
        <v>4852</v>
      </c>
      <c r="C1003" t="s">
        <v>39</v>
      </c>
      <c r="D1003" t="s">
        <v>4853</v>
      </c>
      <c r="E1003" t="s">
        <v>4854</v>
      </c>
      <c r="F1003" s="1">
        <v>46076.417407407411</v>
      </c>
      <c r="G1003" t="s">
        <v>355</v>
      </c>
      <c r="H1003" t="s">
        <v>356</v>
      </c>
      <c r="I1003" t="s">
        <v>205</v>
      </c>
      <c r="J1003" t="s">
        <v>1692</v>
      </c>
      <c r="K1003" t="s">
        <v>207</v>
      </c>
      <c r="M1003" t="s">
        <v>131</v>
      </c>
      <c r="O1003" t="s">
        <v>77</v>
      </c>
      <c r="P1003" t="s">
        <v>78</v>
      </c>
      <c r="Q1003" t="s">
        <v>50</v>
      </c>
      <c r="R1003" t="s">
        <v>208</v>
      </c>
      <c r="S1003" t="s">
        <v>209</v>
      </c>
      <c r="T1003" t="s">
        <v>210</v>
      </c>
      <c r="U1003" s="1">
        <v>46077.167118055557</v>
      </c>
      <c r="V1003" t="s">
        <v>54</v>
      </c>
      <c r="W1003" t="s">
        <v>55</v>
      </c>
      <c r="X1003" t="s">
        <v>211</v>
      </c>
      <c r="Y1003" t="s">
        <v>1693</v>
      </c>
      <c r="Z1003" t="s">
        <v>58</v>
      </c>
      <c r="AA1003" t="s">
        <v>54</v>
      </c>
      <c r="AB1003" t="s">
        <v>213</v>
      </c>
      <c r="AC1003" t="s">
        <v>85</v>
      </c>
      <c r="AD1003" t="s">
        <v>214</v>
      </c>
      <c r="AE1003" t="s">
        <v>215</v>
      </c>
      <c r="AF1003" t="s">
        <v>216</v>
      </c>
      <c r="AG1003" t="s">
        <v>58</v>
      </c>
      <c r="AH1003" t="s">
        <v>4855</v>
      </c>
      <c r="AK1003">
        <v>1</v>
      </c>
      <c r="AL1003" t="s">
        <v>61</v>
      </c>
      <c r="AM1003" t="s">
        <v>4856</v>
      </c>
      <c r="AN1003" t="s">
        <v>4857</v>
      </c>
    </row>
    <row r="1004" spans="1:40" x14ac:dyDescent="0.35">
      <c r="A1004" t="s">
        <v>37</v>
      </c>
      <c r="B1004" t="s">
        <v>4858</v>
      </c>
      <c r="C1004" t="s">
        <v>102</v>
      </c>
      <c r="D1004" t="s">
        <v>824</v>
      </c>
      <c r="E1004" t="s">
        <v>825</v>
      </c>
      <c r="F1004" s="1">
        <v>46076.417743055557</v>
      </c>
      <c r="G1004" t="s">
        <v>826</v>
      </c>
      <c r="H1004" t="s">
        <v>356</v>
      </c>
      <c r="I1004" t="s">
        <v>4859</v>
      </c>
      <c r="J1004" t="s">
        <v>828</v>
      </c>
      <c r="K1004" t="s">
        <v>829</v>
      </c>
      <c r="M1004" t="s">
        <v>830</v>
      </c>
      <c r="O1004" t="s">
        <v>237</v>
      </c>
      <c r="P1004" t="s">
        <v>238</v>
      </c>
      <c r="Q1004" t="s">
        <v>50</v>
      </c>
      <c r="R1004" t="s">
        <v>51</v>
      </c>
      <c r="S1004" t="s">
        <v>831</v>
      </c>
      <c r="T1004" t="s">
        <v>829</v>
      </c>
      <c r="U1004" s="1">
        <v>46076.604270833333</v>
      </c>
      <c r="V1004" t="s">
        <v>54</v>
      </c>
      <c r="W1004" t="s">
        <v>55</v>
      </c>
      <c r="X1004" t="s">
        <v>196</v>
      </c>
      <c r="Y1004" t="s">
        <v>4860</v>
      </c>
      <c r="Z1004" t="s">
        <v>58</v>
      </c>
      <c r="AA1004" t="s">
        <v>54</v>
      </c>
      <c r="AB1004" t="s">
        <v>833</v>
      </c>
      <c r="AC1004" t="s">
        <v>242</v>
      </c>
      <c r="AD1004" t="s">
        <v>51</v>
      </c>
      <c r="AE1004" t="s">
        <v>834</v>
      </c>
      <c r="AF1004" t="s">
        <v>834</v>
      </c>
      <c r="AG1004" t="s">
        <v>58</v>
      </c>
      <c r="AH1004">
        <v>12697</v>
      </c>
      <c r="AK1004">
        <v>0</v>
      </c>
      <c r="AL1004" t="s">
        <v>61</v>
      </c>
      <c r="AM1004" t="s">
        <v>833</v>
      </c>
      <c r="AN1004" t="s">
        <v>835</v>
      </c>
    </row>
    <row r="1005" spans="1:40" x14ac:dyDescent="0.35">
      <c r="A1005" t="s">
        <v>37</v>
      </c>
      <c r="B1005" t="s">
        <v>4861</v>
      </c>
      <c r="C1005" t="s">
        <v>39</v>
      </c>
      <c r="D1005" t="s">
        <v>2688</v>
      </c>
      <c r="E1005" t="s">
        <v>230</v>
      </c>
      <c r="F1005" s="1">
        <v>46076.418229166666</v>
      </c>
      <c r="G1005" t="s">
        <v>515</v>
      </c>
      <c r="H1005" t="s">
        <v>92</v>
      </c>
      <c r="I1005" t="s">
        <v>1196</v>
      </c>
      <c r="J1005" t="s">
        <v>394</v>
      </c>
      <c r="K1005" t="s">
        <v>75</v>
      </c>
      <c r="M1005" t="s">
        <v>76</v>
      </c>
      <c r="O1005" t="s">
        <v>77</v>
      </c>
      <c r="P1005" t="s">
        <v>78</v>
      </c>
      <c r="R1005" t="s">
        <v>79</v>
      </c>
      <c r="S1005" t="s">
        <v>1078</v>
      </c>
      <c r="T1005" t="s">
        <v>1078</v>
      </c>
      <c r="U1005" s="1">
        <v>46076.423680555556</v>
      </c>
      <c r="V1005" t="s">
        <v>54</v>
      </c>
      <c r="W1005" t="s">
        <v>55</v>
      </c>
      <c r="X1005" t="s">
        <v>82</v>
      </c>
      <c r="Y1005" t="s">
        <v>1197</v>
      </c>
      <c r="Z1005" t="s">
        <v>58</v>
      </c>
      <c r="AA1005" t="s">
        <v>54</v>
      </c>
      <c r="AB1005" t="s">
        <v>396</v>
      </c>
      <c r="AC1005" t="s">
        <v>85</v>
      </c>
      <c r="AD1005" t="s">
        <v>79</v>
      </c>
      <c r="AE1005" t="s">
        <v>1078</v>
      </c>
      <c r="AF1005" t="s">
        <v>1078</v>
      </c>
      <c r="AG1005" t="s">
        <v>58</v>
      </c>
      <c r="AH1005">
        <v>13125</v>
      </c>
      <c r="AK1005">
        <v>0</v>
      </c>
      <c r="AL1005" t="s">
        <v>61</v>
      </c>
      <c r="AM1005" t="s">
        <v>4862</v>
      </c>
      <c r="AN1005" t="s">
        <v>4863</v>
      </c>
    </row>
    <row r="1006" spans="1:40" x14ac:dyDescent="0.35">
      <c r="A1006" t="s">
        <v>37</v>
      </c>
      <c r="B1006" t="s">
        <v>4864</v>
      </c>
      <c r="C1006" t="s">
        <v>102</v>
      </c>
      <c r="D1006" t="s">
        <v>824</v>
      </c>
      <c r="E1006" t="s">
        <v>825</v>
      </c>
      <c r="F1006" s="1">
        <v>46076.415844907409</v>
      </c>
      <c r="G1006" t="s">
        <v>826</v>
      </c>
      <c r="H1006" t="s">
        <v>356</v>
      </c>
      <c r="I1006" t="s">
        <v>4865</v>
      </c>
      <c r="J1006" t="s">
        <v>828</v>
      </c>
      <c r="K1006" t="s">
        <v>829</v>
      </c>
      <c r="M1006" t="s">
        <v>830</v>
      </c>
      <c r="O1006" t="s">
        <v>237</v>
      </c>
      <c r="P1006" t="s">
        <v>238</v>
      </c>
      <c r="Q1006" t="s">
        <v>50</v>
      </c>
      <c r="R1006" t="s">
        <v>51</v>
      </c>
      <c r="S1006" t="s">
        <v>831</v>
      </c>
      <c r="T1006" t="s">
        <v>829</v>
      </c>
      <c r="U1006" s="1">
        <v>46076.592141203706</v>
      </c>
      <c r="V1006" t="s">
        <v>54</v>
      </c>
      <c r="W1006" t="s">
        <v>55</v>
      </c>
      <c r="X1006" t="s">
        <v>196</v>
      </c>
      <c r="Y1006" t="s">
        <v>4866</v>
      </c>
      <c r="Z1006" t="s">
        <v>58</v>
      </c>
      <c r="AA1006" t="s">
        <v>54</v>
      </c>
      <c r="AB1006" t="s">
        <v>833</v>
      </c>
      <c r="AC1006" t="s">
        <v>242</v>
      </c>
      <c r="AD1006" t="s">
        <v>51</v>
      </c>
      <c r="AE1006" t="s">
        <v>834</v>
      </c>
      <c r="AF1006" t="s">
        <v>834</v>
      </c>
      <c r="AG1006" t="s">
        <v>58</v>
      </c>
      <c r="AH1006">
        <v>12697</v>
      </c>
      <c r="AK1006">
        <v>0</v>
      </c>
      <c r="AL1006" t="s">
        <v>61</v>
      </c>
      <c r="AM1006" t="s">
        <v>833</v>
      </c>
      <c r="AN1006" t="s">
        <v>835</v>
      </c>
    </row>
    <row r="1007" spans="1:40" x14ac:dyDescent="0.35">
      <c r="A1007" t="s">
        <v>37</v>
      </c>
      <c r="B1007" t="s">
        <v>4867</v>
      </c>
      <c r="C1007" t="s">
        <v>39</v>
      </c>
      <c r="D1007" t="s">
        <v>4496</v>
      </c>
      <c r="E1007" t="s">
        <v>4497</v>
      </c>
      <c r="F1007" s="1">
        <v>46076.414467592593</v>
      </c>
      <c r="G1007" t="s">
        <v>540</v>
      </c>
      <c r="H1007" t="s">
        <v>447</v>
      </c>
      <c r="I1007" t="s">
        <v>2746</v>
      </c>
      <c r="J1007" t="s">
        <v>2894</v>
      </c>
      <c r="K1007" t="s">
        <v>951</v>
      </c>
      <c r="M1007" t="s">
        <v>150</v>
      </c>
      <c r="O1007" t="s">
        <v>77</v>
      </c>
      <c r="P1007" t="s">
        <v>78</v>
      </c>
      <c r="Q1007" t="s">
        <v>1102</v>
      </c>
      <c r="R1007" t="s">
        <v>305</v>
      </c>
      <c r="S1007" t="s">
        <v>306</v>
      </c>
      <c r="T1007" t="s">
        <v>307</v>
      </c>
      <c r="U1007" s="1">
        <v>46076.422291666669</v>
      </c>
      <c r="V1007" t="s">
        <v>54</v>
      </c>
      <c r="W1007" t="s">
        <v>55</v>
      </c>
      <c r="X1007" t="s">
        <v>211</v>
      </c>
      <c r="Y1007" t="s">
        <v>4868</v>
      </c>
      <c r="Z1007" t="s">
        <v>58</v>
      </c>
      <c r="AA1007" t="s">
        <v>54</v>
      </c>
      <c r="AB1007" t="s">
        <v>213</v>
      </c>
      <c r="AC1007" t="s">
        <v>85</v>
      </c>
      <c r="AD1007" t="s">
        <v>79</v>
      </c>
      <c r="AE1007" t="s">
        <v>4869</v>
      </c>
      <c r="AF1007" t="s">
        <v>4870</v>
      </c>
      <c r="AG1007" t="s">
        <v>58</v>
      </c>
      <c r="AH1007">
        <v>5632</v>
      </c>
      <c r="AK1007">
        <v>2</v>
      </c>
      <c r="AL1007" t="s">
        <v>61</v>
      </c>
      <c r="AM1007" t="s">
        <v>4498</v>
      </c>
      <c r="AN1007" t="s">
        <v>4499</v>
      </c>
    </row>
    <row r="1008" spans="1:40" x14ac:dyDescent="0.35">
      <c r="A1008" t="s">
        <v>37</v>
      </c>
      <c r="B1008" t="s">
        <v>4871</v>
      </c>
      <c r="C1008" t="s">
        <v>39</v>
      </c>
      <c r="D1008" t="s">
        <v>40</v>
      </c>
      <c r="E1008" t="s">
        <v>41</v>
      </c>
      <c r="F1008" s="1">
        <v>46076.411643518521</v>
      </c>
      <c r="G1008" t="s">
        <v>42</v>
      </c>
      <c r="H1008" t="s">
        <v>43</v>
      </c>
      <c r="I1008" t="s">
        <v>4872</v>
      </c>
      <c r="J1008" t="s">
        <v>45</v>
      </c>
      <c r="K1008" t="s">
        <v>46</v>
      </c>
      <c r="M1008" t="s">
        <v>47</v>
      </c>
      <c r="O1008" t="s">
        <v>48</v>
      </c>
      <c r="P1008" t="s">
        <v>49</v>
      </c>
      <c r="Q1008" t="s">
        <v>50</v>
      </c>
      <c r="R1008" t="s">
        <v>51</v>
      </c>
      <c r="S1008" t="s">
        <v>52</v>
      </c>
      <c r="T1008" t="s">
        <v>53</v>
      </c>
      <c r="U1008" s="1">
        <v>46076.413032407407</v>
      </c>
      <c r="V1008" t="s">
        <v>54</v>
      </c>
      <c r="W1008" t="s">
        <v>55</v>
      </c>
      <c r="X1008" t="s">
        <v>56</v>
      </c>
      <c r="Y1008" t="s">
        <v>57</v>
      </c>
      <c r="Z1008" t="s">
        <v>58</v>
      </c>
      <c r="AA1008" t="s">
        <v>54</v>
      </c>
      <c r="AB1008" t="s">
        <v>59</v>
      </c>
      <c r="AC1008" t="s">
        <v>60</v>
      </c>
      <c r="AD1008" t="s">
        <v>51</v>
      </c>
      <c r="AE1008" t="s">
        <v>52</v>
      </c>
      <c r="AF1008" t="s">
        <v>53</v>
      </c>
      <c r="AG1008" t="s">
        <v>58</v>
      </c>
      <c r="AK1008">
        <v>0</v>
      </c>
      <c r="AL1008" t="s">
        <v>61</v>
      </c>
      <c r="AM1008" t="s">
        <v>59</v>
      </c>
      <c r="AN1008" t="s">
        <v>62</v>
      </c>
    </row>
    <row r="1009" spans="1:40" x14ac:dyDescent="0.35">
      <c r="A1009" t="s">
        <v>37</v>
      </c>
      <c r="B1009" t="s">
        <v>4873</v>
      </c>
      <c r="C1009" t="s">
        <v>102</v>
      </c>
      <c r="D1009" t="s">
        <v>824</v>
      </c>
      <c r="E1009" t="s">
        <v>825</v>
      </c>
      <c r="F1009" s="1">
        <v>46076.4141087963</v>
      </c>
      <c r="G1009" t="s">
        <v>826</v>
      </c>
      <c r="H1009" t="s">
        <v>356</v>
      </c>
      <c r="I1009" t="s">
        <v>4874</v>
      </c>
      <c r="J1009" t="s">
        <v>828</v>
      </c>
      <c r="K1009" t="s">
        <v>829</v>
      </c>
      <c r="M1009" t="s">
        <v>830</v>
      </c>
      <c r="O1009" t="s">
        <v>237</v>
      </c>
      <c r="P1009" t="s">
        <v>238</v>
      </c>
      <c r="Q1009" t="s">
        <v>50</v>
      </c>
      <c r="R1009" t="s">
        <v>51</v>
      </c>
      <c r="S1009" t="s">
        <v>831</v>
      </c>
      <c r="T1009" t="s">
        <v>829</v>
      </c>
      <c r="U1009" s="1">
        <v>46076.546099537038</v>
      </c>
      <c r="V1009" t="s">
        <v>54</v>
      </c>
      <c r="W1009" t="s">
        <v>55</v>
      </c>
      <c r="X1009" t="s">
        <v>196</v>
      </c>
      <c r="Y1009" t="s">
        <v>4875</v>
      </c>
      <c r="Z1009" t="s">
        <v>58</v>
      </c>
      <c r="AA1009" t="s">
        <v>54</v>
      </c>
      <c r="AB1009" t="s">
        <v>833</v>
      </c>
      <c r="AC1009" t="s">
        <v>242</v>
      </c>
      <c r="AD1009" t="s">
        <v>51</v>
      </c>
      <c r="AE1009" t="s">
        <v>834</v>
      </c>
      <c r="AF1009" t="s">
        <v>834</v>
      </c>
      <c r="AG1009" t="s">
        <v>58</v>
      </c>
      <c r="AH1009">
        <v>12697</v>
      </c>
      <c r="AK1009">
        <v>0</v>
      </c>
      <c r="AL1009" t="s">
        <v>61</v>
      </c>
      <c r="AM1009" t="s">
        <v>833</v>
      </c>
      <c r="AN1009" t="s">
        <v>835</v>
      </c>
    </row>
    <row r="1010" spans="1:40" x14ac:dyDescent="0.35">
      <c r="A1010" t="s">
        <v>37</v>
      </c>
      <c r="B1010" t="s">
        <v>4876</v>
      </c>
      <c r="C1010" t="s">
        <v>39</v>
      </c>
      <c r="D1010" t="s">
        <v>747</v>
      </c>
      <c r="E1010" t="s">
        <v>4122</v>
      </c>
      <c r="F1010" s="1">
        <v>46076.411481481482</v>
      </c>
      <c r="G1010" t="s">
        <v>1264</v>
      </c>
      <c r="H1010" t="s">
        <v>43</v>
      </c>
      <c r="I1010" t="s">
        <v>772</v>
      </c>
      <c r="J1010" t="s">
        <v>455</v>
      </c>
      <c r="K1010" t="s">
        <v>436</v>
      </c>
      <c r="M1010" t="s">
        <v>76</v>
      </c>
      <c r="O1010" t="s">
        <v>77</v>
      </c>
      <c r="P1010" t="s">
        <v>78</v>
      </c>
      <c r="Q1010" t="s">
        <v>50</v>
      </c>
      <c r="R1010" t="s">
        <v>51</v>
      </c>
      <c r="S1010" t="s">
        <v>52</v>
      </c>
      <c r="T1010" t="s">
        <v>773</v>
      </c>
      <c r="U1010" s="1">
        <v>46077.423113425924</v>
      </c>
      <c r="V1010" t="s">
        <v>54</v>
      </c>
      <c r="W1010" t="s">
        <v>55</v>
      </c>
      <c r="X1010" t="s">
        <v>211</v>
      </c>
      <c r="Y1010" t="s">
        <v>4877</v>
      </c>
      <c r="Z1010" t="s">
        <v>58</v>
      </c>
      <c r="AA1010" t="s">
        <v>54</v>
      </c>
      <c r="AB1010" t="s">
        <v>213</v>
      </c>
      <c r="AC1010" t="s">
        <v>85</v>
      </c>
      <c r="AD1010" t="s">
        <v>52</v>
      </c>
      <c r="AE1010" t="s">
        <v>438</v>
      </c>
      <c r="AF1010" t="s">
        <v>775</v>
      </c>
      <c r="AG1010" t="s">
        <v>58</v>
      </c>
      <c r="AH1010">
        <v>15800</v>
      </c>
      <c r="AK1010">
        <v>1</v>
      </c>
      <c r="AL1010" t="s">
        <v>61</v>
      </c>
      <c r="AM1010" t="s">
        <v>4878</v>
      </c>
      <c r="AN1010" t="s">
        <v>4879</v>
      </c>
    </row>
    <row r="1011" spans="1:40" x14ac:dyDescent="0.35">
      <c r="A1011" t="s">
        <v>37</v>
      </c>
      <c r="B1011" t="s">
        <v>4880</v>
      </c>
      <c r="C1011" t="s">
        <v>102</v>
      </c>
      <c r="D1011" t="s">
        <v>4841</v>
      </c>
      <c r="E1011" t="s">
        <v>4842</v>
      </c>
      <c r="F1011" s="1">
        <v>46076.412511574075</v>
      </c>
      <c r="G1011" t="s">
        <v>105</v>
      </c>
      <c r="H1011" t="s">
        <v>106</v>
      </c>
      <c r="I1011" t="s">
        <v>234</v>
      </c>
      <c r="J1011" t="s">
        <v>235</v>
      </c>
      <c r="K1011" t="s">
        <v>236</v>
      </c>
      <c r="M1011" t="s">
        <v>76</v>
      </c>
      <c r="O1011" t="s">
        <v>237</v>
      </c>
      <c r="P1011" t="s">
        <v>238</v>
      </c>
      <c r="Q1011" t="s">
        <v>50</v>
      </c>
      <c r="R1011" t="s">
        <v>51</v>
      </c>
      <c r="S1011" t="s">
        <v>52</v>
      </c>
      <c r="T1011" t="s">
        <v>240</v>
      </c>
      <c r="U1011" s="1">
        <v>46076.581412037034</v>
      </c>
      <c r="V1011" t="s">
        <v>54</v>
      </c>
      <c r="W1011" t="s">
        <v>55</v>
      </c>
      <c r="X1011" t="s">
        <v>82</v>
      </c>
      <c r="Y1011" t="s">
        <v>4881</v>
      </c>
      <c r="Z1011" t="s">
        <v>58</v>
      </c>
      <c r="AA1011" t="s">
        <v>54</v>
      </c>
      <c r="AB1011" t="s">
        <v>645</v>
      </c>
      <c r="AC1011" t="s">
        <v>242</v>
      </c>
      <c r="AD1011" t="s">
        <v>52</v>
      </c>
      <c r="AE1011" t="s">
        <v>243</v>
      </c>
      <c r="AF1011" t="s">
        <v>244</v>
      </c>
      <c r="AG1011" t="s">
        <v>58</v>
      </c>
      <c r="AH1011">
        <v>14687</v>
      </c>
      <c r="AK1011">
        <v>1</v>
      </c>
      <c r="AL1011" t="s">
        <v>61</v>
      </c>
      <c r="AM1011" t="s">
        <v>4844</v>
      </c>
      <c r="AN1011" t="s">
        <v>4845</v>
      </c>
    </row>
    <row r="1012" spans="1:40" x14ac:dyDescent="0.35">
      <c r="A1012" t="s">
        <v>37</v>
      </c>
      <c r="B1012" t="s">
        <v>4882</v>
      </c>
      <c r="C1012" t="s">
        <v>39</v>
      </c>
      <c r="D1012" t="s">
        <v>40</v>
      </c>
      <c r="E1012" t="s">
        <v>41</v>
      </c>
      <c r="F1012" s="1">
        <v>46076.411365740743</v>
      </c>
      <c r="G1012" t="s">
        <v>42</v>
      </c>
      <c r="H1012" t="s">
        <v>43</v>
      </c>
      <c r="I1012" t="s">
        <v>4883</v>
      </c>
      <c r="J1012" t="s">
        <v>45</v>
      </c>
      <c r="K1012" t="s">
        <v>46</v>
      </c>
      <c r="M1012" t="s">
        <v>47</v>
      </c>
      <c r="O1012" t="s">
        <v>48</v>
      </c>
      <c r="P1012" t="s">
        <v>49</v>
      </c>
      <c r="Q1012" t="s">
        <v>50</v>
      </c>
      <c r="R1012" t="s">
        <v>51</v>
      </c>
      <c r="S1012" t="s">
        <v>52</v>
      </c>
      <c r="T1012" t="s">
        <v>53</v>
      </c>
      <c r="U1012" s="1">
        <v>46076.412546296298</v>
      </c>
      <c r="V1012" t="s">
        <v>54</v>
      </c>
      <c r="W1012" t="s">
        <v>55</v>
      </c>
      <c r="X1012" t="s">
        <v>56</v>
      </c>
      <c r="Y1012" t="s">
        <v>57</v>
      </c>
      <c r="Z1012" t="s">
        <v>58</v>
      </c>
      <c r="AA1012" t="s">
        <v>54</v>
      </c>
      <c r="AB1012" t="s">
        <v>59</v>
      </c>
      <c r="AC1012" t="s">
        <v>60</v>
      </c>
      <c r="AD1012" t="s">
        <v>51</v>
      </c>
      <c r="AE1012" t="s">
        <v>52</v>
      </c>
      <c r="AF1012" t="s">
        <v>53</v>
      </c>
      <c r="AG1012" t="s">
        <v>58</v>
      </c>
      <c r="AK1012">
        <v>0</v>
      </c>
      <c r="AL1012" t="s">
        <v>61</v>
      </c>
      <c r="AM1012" t="s">
        <v>59</v>
      </c>
      <c r="AN1012" t="s">
        <v>62</v>
      </c>
    </row>
    <row r="1013" spans="1:40" x14ac:dyDescent="0.35">
      <c r="A1013" t="s">
        <v>37</v>
      </c>
      <c r="B1013" t="s">
        <v>4884</v>
      </c>
      <c r="C1013" t="s">
        <v>102</v>
      </c>
      <c r="D1013" t="s">
        <v>3907</v>
      </c>
      <c r="E1013" t="s">
        <v>4885</v>
      </c>
      <c r="F1013" s="1">
        <v>46076.409560185188</v>
      </c>
      <c r="G1013" t="s">
        <v>722</v>
      </c>
      <c r="H1013" t="s">
        <v>356</v>
      </c>
      <c r="I1013" t="s">
        <v>4886</v>
      </c>
      <c r="J1013" t="s">
        <v>557</v>
      </c>
      <c r="K1013" t="s">
        <v>75</v>
      </c>
      <c r="M1013" t="s">
        <v>76</v>
      </c>
      <c r="O1013" t="s">
        <v>237</v>
      </c>
      <c r="P1013" t="s">
        <v>238</v>
      </c>
      <c r="Q1013" t="s">
        <v>50</v>
      </c>
      <c r="R1013" t="s">
        <v>79</v>
      </c>
      <c r="S1013" t="s">
        <v>975</v>
      </c>
      <c r="T1013" t="s">
        <v>2280</v>
      </c>
      <c r="U1013" s="1">
        <v>46077.587858796294</v>
      </c>
      <c r="V1013" t="s">
        <v>54</v>
      </c>
      <c r="W1013" t="s">
        <v>55</v>
      </c>
      <c r="X1013" t="s">
        <v>134</v>
      </c>
      <c r="Y1013" t="s">
        <v>4887</v>
      </c>
      <c r="Z1013" t="s">
        <v>58</v>
      </c>
      <c r="AA1013" t="s">
        <v>54</v>
      </c>
      <c r="AB1013" t="s">
        <v>458</v>
      </c>
      <c r="AC1013" t="s">
        <v>242</v>
      </c>
      <c r="AD1013" t="s">
        <v>79</v>
      </c>
      <c r="AE1013" t="s">
        <v>558</v>
      </c>
      <c r="AF1013" t="s">
        <v>559</v>
      </c>
      <c r="AG1013" t="s">
        <v>58</v>
      </c>
      <c r="AH1013">
        <v>14636</v>
      </c>
      <c r="AK1013">
        <v>1</v>
      </c>
      <c r="AL1013" t="s">
        <v>61</v>
      </c>
      <c r="AM1013" t="s">
        <v>4888</v>
      </c>
      <c r="AN1013" t="s">
        <v>4889</v>
      </c>
    </row>
    <row r="1014" spans="1:40" x14ac:dyDescent="0.35">
      <c r="A1014" t="s">
        <v>37</v>
      </c>
      <c r="B1014" t="s">
        <v>4890</v>
      </c>
      <c r="C1014" t="s">
        <v>39</v>
      </c>
      <c r="D1014" t="s">
        <v>2688</v>
      </c>
      <c r="E1014" t="s">
        <v>482</v>
      </c>
      <c r="F1014" s="1">
        <v>46076.407395833332</v>
      </c>
      <c r="G1014" t="s">
        <v>631</v>
      </c>
      <c r="H1014" t="s">
        <v>447</v>
      </c>
      <c r="I1014" t="s">
        <v>205</v>
      </c>
      <c r="J1014" t="s">
        <v>603</v>
      </c>
      <c r="K1014" t="s">
        <v>207</v>
      </c>
      <c r="M1014" t="s">
        <v>131</v>
      </c>
      <c r="O1014" t="s">
        <v>77</v>
      </c>
      <c r="P1014" t="s">
        <v>78</v>
      </c>
      <c r="Q1014" t="s">
        <v>50</v>
      </c>
      <c r="R1014" t="s">
        <v>208</v>
      </c>
      <c r="S1014" t="s">
        <v>209</v>
      </c>
      <c r="T1014" t="s">
        <v>210</v>
      </c>
      <c r="U1014" s="1">
        <v>46076.886770833335</v>
      </c>
      <c r="V1014" t="s">
        <v>54</v>
      </c>
      <c r="W1014" t="s">
        <v>55</v>
      </c>
      <c r="X1014" t="s">
        <v>211</v>
      </c>
      <c r="Y1014" t="s">
        <v>604</v>
      </c>
      <c r="Z1014" t="s">
        <v>58</v>
      </c>
      <c r="AA1014" t="s">
        <v>54</v>
      </c>
      <c r="AB1014" t="s">
        <v>213</v>
      </c>
      <c r="AC1014" t="s">
        <v>85</v>
      </c>
      <c r="AD1014" t="s">
        <v>214</v>
      </c>
      <c r="AE1014" t="s">
        <v>215</v>
      </c>
      <c r="AF1014" t="s">
        <v>216</v>
      </c>
      <c r="AG1014" t="s">
        <v>58</v>
      </c>
      <c r="AH1014">
        <v>13917</v>
      </c>
      <c r="AK1014">
        <v>1</v>
      </c>
      <c r="AL1014" t="s">
        <v>61</v>
      </c>
      <c r="AM1014" t="s">
        <v>4891</v>
      </c>
      <c r="AN1014" t="s">
        <v>4892</v>
      </c>
    </row>
    <row r="1015" spans="1:40" x14ac:dyDescent="0.35">
      <c r="A1015" t="s">
        <v>37</v>
      </c>
      <c r="B1015" t="s">
        <v>4893</v>
      </c>
      <c r="C1015" t="s">
        <v>39</v>
      </c>
      <c r="D1015" t="s">
        <v>4894</v>
      </c>
      <c r="E1015" t="s">
        <v>4895</v>
      </c>
      <c r="F1015" s="1">
        <v>46076.408229166664</v>
      </c>
      <c r="G1015" t="s">
        <v>261</v>
      </c>
      <c r="H1015" t="s">
        <v>72</v>
      </c>
      <c r="I1015" t="s">
        <v>171</v>
      </c>
      <c r="J1015" t="s">
        <v>695</v>
      </c>
      <c r="K1015" t="s">
        <v>75</v>
      </c>
      <c r="M1015" t="s">
        <v>76</v>
      </c>
      <c r="O1015" t="s">
        <v>77</v>
      </c>
      <c r="P1015" t="s">
        <v>78</v>
      </c>
      <c r="Q1015" t="s">
        <v>50</v>
      </c>
      <c r="R1015" t="s">
        <v>79</v>
      </c>
      <c r="S1015" t="s">
        <v>172</v>
      </c>
      <c r="T1015" t="s">
        <v>173</v>
      </c>
      <c r="U1015" s="1">
        <v>46076.409745370373</v>
      </c>
      <c r="V1015" t="s">
        <v>1338</v>
      </c>
      <c r="W1015" t="s">
        <v>55</v>
      </c>
      <c r="X1015" t="s">
        <v>82</v>
      </c>
      <c r="Y1015" t="s">
        <v>4896</v>
      </c>
      <c r="Z1015" t="s">
        <v>58</v>
      </c>
      <c r="AA1015" t="s">
        <v>1338</v>
      </c>
      <c r="AB1015" t="s">
        <v>698</v>
      </c>
      <c r="AC1015" t="s">
        <v>85</v>
      </c>
      <c r="AD1015" t="s">
        <v>79</v>
      </c>
      <c r="AE1015" t="s">
        <v>172</v>
      </c>
      <c r="AF1015" t="s">
        <v>173</v>
      </c>
      <c r="AG1015" t="s">
        <v>58</v>
      </c>
      <c r="AH1015">
        <v>12881</v>
      </c>
      <c r="AK1015">
        <v>0</v>
      </c>
      <c r="AL1015" t="s">
        <v>61</v>
      </c>
      <c r="AM1015" t="s">
        <v>4897</v>
      </c>
      <c r="AN1015" t="s">
        <v>4898</v>
      </c>
    </row>
    <row r="1016" spans="1:40" x14ac:dyDescent="0.35">
      <c r="A1016" t="s">
        <v>37</v>
      </c>
      <c r="B1016" t="s">
        <v>4899</v>
      </c>
      <c r="C1016" t="s">
        <v>39</v>
      </c>
      <c r="D1016" t="s">
        <v>4900</v>
      </c>
      <c r="E1016" t="s">
        <v>4901</v>
      </c>
      <c r="F1016" s="1">
        <v>46076.405034722222</v>
      </c>
      <c r="G1016" t="s">
        <v>204</v>
      </c>
      <c r="H1016" t="s">
        <v>92</v>
      </c>
      <c r="I1016" t="s">
        <v>205</v>
      </c>
      <c r="J1016" t="s">
        <v>898</v>
      </c>
      <c r="K1016" t="s">
        <v>207</v>
      </c>
      <c r="M1016" t="s">
        <v>131</v>
      </c>
      <c r="O1016" t="s">
        <v>77</v>
      </c>
      <c r="P1016" t="s">
        <v>78</v>
      </c>
      <c r="Q1016" t="s">
        <v>50</v>
      </c>
      <c r="R1016" t="s">
        <v>208</v>
      </c>
      <c r="S1016" t="s">
        <v>209</v>
      </c>
      <c r="T1016" t="s">
        <v>210</v>
      </c>
      <c r="U1016" s="1">
        <v>46076.441967592589</v>
      </c>
      <c r="V1016" t="s">
        <v>54</v>
      </c>
      <c r="W1016" t="s">
        <v>55</v>
      </c>
      <c r="X1016" t="s">
        <v>211</v>
      </c>
      <c r="Y1016" t="s">
        <v>4902</v>
      </c>
      <c r="Z1016" t="s">
        <v>58</v>
      </c>
      <c r="AA1016" t="s">
        <v>54</v>
      </c>
      <c r="AB1016" t="s">
        <v>213</v>
      </c>
      <c r="AC1016" t="s">
        <v>85</v>
      </c>
      <c r="AD1016" t="s">
        <v>214</v>
      </c>
      <c r="AE1016" t="s">
        <v>215</v>
      </c>
      <c r="AF1016" t="s">
        <v>216</v>
      </c>
      <c r="AG1016" t="s">
        <v>58</v>
      </c>
      <c r="AH1016">
        <v>15221</v>
      </c>
      <c r="AK1016">
        <v>1</v>
      </c>
      <c r="AL1016" t="s">
        <v>61</v>
      </c>
      <c r="AM1016" t="s">
        <v>4903</v>
      </c>
      <c r="AN1016" t="s">
        <v>4904</v>
      </c>
    </row>
    <row r="1017" spans="1:40" x14ac:dyDescent="0.35">
      <c r="A1017" t="s">
        <v>37</v>
      </c>
      <c r="B1017" t="s">
        <v>4905</v>
      </c>
      <c r="C1017" t="s">
        <v>39</v>
      </c>
      <c r="D1017" t="s">
        <v>469</v>
      </c>
      <c r="E1017" t="s">
        <v>2798</v>
      </c>
      <c r="F1017" s="1">
        <v>46076.407048611109</v>
      </c>
      <c r="G1017" t="s">
        <v>497</v>
      </c>
      <c r="H1017" t="s">
        <v>72</v>
      </c>
      <c r="I1017" t="s">
        <v>4906</v>
      </c>
      <c r="J1017" t="s">
        <v>4907</v>
      </c>
      <c r="K1017" t="s">
        <v>2801</v>
      </c>
      <c r="M1017" t="s">
        <v>131</v>
      </c>
      <c r="O1017" t="s">
        <v>77</v>
      </c>
      <c r="P1017" t="s">
        <v>78</v>
      </c>
      <c r="Q1017" t="s">
        <v>1174</v>
      </c>
      <c r="R1017" t="s">
        <v>51</v>
      </c>
      <c r="S1017" t="s">
        <v>2563</v>
      </c>
      <c r="T1017" t="s">
        <v>2563</v>
      </c>
      <c r="U1017" s="1">
        <v>46077.474953703706</v>
      </c>
      <c r="V1017" t="s">
        <v>54</v>
      </c>
      <c r="W1017" t="s">
        <v>55</v>
      </c>
      <c r="X1017" t="s">
        <v>134</v>
      </c>
      <c r="Y1017" t="s">
        <v>4908</v>
      </c>
      <c r="Z1017" t="s">
        <v>58</v>
      </c>
      <c r="AA1017" t="s">
        <v>54</v>
      </c>
      <c r="AB1017" t="s">
        <v>458</v>
      </c>
      <c r="AC1017" t="s">
        <v>85</v>
      </c>
      <c r="AD1017" t="s">
        <v>51</v>
      </c>
      <c r="AE1017" t="s">
        <v>2563</v>
      </c>
      <c r="AF1017" t="s">
        <v>2563</v>
      </c>
      <c r="AG1017" t="s">
        <v>58</v>
      </c>
      <c r="AH1017" t="s">
        <v>2803</v>
      </c>
      <c r="AK1017">
        <v>1</v>
      </c>
      <c r="AL1017" t="s">
        <v>61</v>
      </c>
      <c r="AM1017" t="s">
        <v>2804</v>
      </c>
      <c r="AN1017" t="s">
        <v>2805</v>
      </c>
    </row>
    <row r="1018" spans="1:40" x14ac:dyDescent="0.35">
      <c r="A1018" t="s">
        <v>37</v>
      </c>
      <c r="B1018" t="s">
        <v>4909</v>
      </c>
      <c r="C1018" t="s">
        <v>39</v>
      </c>
      <c r="D1018" t="s">
        <v>4910</v>
      </c>
      <c r="E1018" t="s">
        <v>3071</v>
      </c>
      <c r="F1018" s="1">
        <v>46076.404872685183</v>
      </c>
      <c r="G1018" t="s">
        <v>297</v>
      </c>
      <c r="H1018" t="s">
        <v>287</v>
      </c>
      <c r="I1018" t="s">
        <v>4911</v>
      </c>
      <c r="J1018" t="s">
        <v>435</v>
      </c>
      <c r="K1018" t="s">
        <v>436</v>
      </c>
      <c r="M1018" t="s">
        <v>76</v>
      </c>
      <c r="O1018" t="s">
        <v>77</v>
      </c>
      <c r="P1018" t="s">
        <v>78</v>
      </c>
      <c r="Q1018" t="s">
        <v>50</v>
      </c>
      <c r="R1018" t="s">
        <v>51</v>
      </c>
      <c r="S1018" t="s">
        <v>52</v>
      </c>
      <c r="T1018" t="s">
        <v>240</v>
      </c>
      <c r="U1018" s="1">
        <v>46077.472928240742</v>
      </c>
      <c r="V1018" t="s">
        <v>54</v>
      </c>
      <c r="W1018" t="s">
        <v>55</v>
      </c>
      <c r="X1018" t="s">
        <v>82</v>
      </c>
      <c r="Y1018" t="s">
        <v>4912</v>
      </c>
      <c r="Z1018" t="s">
        <v>58</v>
      </c>
      <c r="AA1018" t="s">
        <v>54</v>
      </c>
      <c r="AB1018" t="s">
        <v>1503</v>
      </c>
      <c r="AC1018" t="s">
        <v>85</v>
      </c>
      <c r="AD1018" t="s">
        <v>52</v>
      </c>
      <c r="AE1018" t="s">
        <v>438</v>
      </c>
      <c r="AF1018" t="s">
        <v>439</v>
      </c>
      <c r="AG1018" t="s">
        <v>58</v>
      </c>
      <c r="AH1018">
        <v>15717</v>
      </c>
      <c r="AK1018">
        <v>1</v>
      </c>
      <c r="AL1018" t="s">
        <v>61</v>
      </c>
      <c r="AM1018" t="s">
        <v>4913</v>
      </c>
      <c r="AN1018" t="s">
        <v>4914</v>
      </c>
    </row>
    <row r="1019" spans="1:40" x14ac:dyDescent="0.35">
      <c r="A1019" t="s">
        <v>37</v>
      </c>
      <c r="B1019" t="s">
        <v>4915</v>
      </c>
      <c r="C1019" t="s">
        <v>39</v>
      </c>
      <c r="D1019" t="s">
        <v>4916</v>
      </c>
      <c r="E1019" t="s">
        <v>4916</v>
      </c>
      <c r="F1019" s="1">
        <v>46076.403124999997</v>
      </c>
      <c r="G1019" t="s">
        <v>370</v>
      </c>
      <c r="H1019" t="s">
        <v>371</v>
      </c>
      <c r="I1019" t="s">
        <v>205</v>
      </c>
      <c r="J1019" t="s">
        <v>603</v>
      </c>
      <c r="K1019" t="s">
        <v>207</v>
      </c>
      <c r="M1019" t="s">
        <v>131</v>
      </c>
      <c r="O1019" t="s">
        <v>77</v>
      </c>
      <c r="P1019" t="s">
        <v>78</v>
      </c>
      <c r="Q1019" t="s">
        <v>50</v>
      </c>
      <c r="R1019" t="s">
        <v>208</v>
      </c>
      <c r="S1019" t="s">
        <v>209</v>
      </c>
      <c r="T1019" t="s">
        <v>210</v>
      </c>
      <c r="U1019" s="1">
        <v>46076.86146990741</v>
      </c>
      <c r="V1019" t="s">
        <v>54</v>
      </c>
      <c r="W1019" t="s">
        <v>55</v>
      </c>
      <c r="X1019" t="s">
        <v>211</v>
      </c>
      <c r="Y1019" t="s">
        <v>604</v>
      </c>
      <c r="Z1019" t="s">
        <v>58</v>
      </c>
      <c r="AA1019" t="s">
        <v>54</v>
      </c>
      <c r="AB1019" t="s">
        <v>213</v>
      </c>
      <c r="AC1019" t="s">
        <v>85</v>
      </c>
      <c r="AD1019" t="s">
        <v>214</v>
      </c>
      <c r="AE1019" t="s">
        <v>215</v>
      </c>
      <c r="AF1019" t="s">
        <v>216</v>
      </c>
      <c r="AG1019" t="s">
        <v>58</v>
      </c>
      <c r="AH1019">
        <v>15654</v>
      </c>
      <c r="AK1019">
        <v>1</v>
      </c>
      <c r="AL1019" t="s">
        <v>61</v>
      </c>
      <c r="AM1019" t="s">
        <v>4917</v>
      </c>
      <c r="AN1019" t="s">
        <v>4918</v>
      </c>
    </row>
    <row r="1020" spans="1:40" x14ac:dyDescent="0.35">
      <c r="A1020" t="s">
        <v>37</v>
      </c>
      <c r="B1020" t="s">
        <v>4919</v>
      </c>
      <c r="C1020" t="s">
        <v>39</v>
      </c>
      <c r="D1020" t="s">
        <v>555</v>
      </c>
      <c r="E1020" t="s">
        <v>4920</v>
      </c>
      <c r="F1020" s="1">
        <v>46076.401712962965</v>
      </c>
      <c r="G1020" t="s">
        <v>273</v>
      </c>
      <c r="H1020" t="s">
        <v>233</v>
      </c>
      <c r="I1020" t="s">
        <v>205</v>
      </c>
      <c r="J1020" t="s">
        <v>603</v>
      </c>
      <c r="K1020" t="s">
        <v>207</v>
      </c>
      <c r="M1020" t="s">
        <v>131</v>
      </c>
      <c r="O1020" t="s">
        <v>77</v>
      </c>
      <c r="P1020" t="s">
        <v>78</v>
      </c>
      <c r="R1020" t="s">
        <v>208</v>
      </c>
      <c r="S1020" t="s">
        <v>209</v>
      </c>
      <c r="T1020" t="s">
        <v>210</v>
      </c>
      <c r="U1020" s="1">
        <v>46076.707974537036</v>
      </c>
      <c r="V1020" t="s">
        <v>54</v>
      </c>
      <c r="W1020" t="s">
        <v>55</v>
      </c>
      <c r="X1020" t="s">
        <v>211</v>
      </c>
      <c r="Y1020" t="s">
        <v>604</v>
      </c>
      <c r="Z1020" t="s">
        <v>58</v>
      </c>
      <c r="AA1020" t="s">
        <v>54</v>
      </c>
      <c r="AB1020" t="s">
        <v>213</v>
      </c>
      <c r="AC1020" t="s">
        <v>85</v>
      </c>
      <c r="AD1020" t="s">
        <v>214</v>
      </c>
      <c r="AE1020" t="s">
        <v>215</v>
      </c>
      <c r="AF1020" t="s">
        <v>216</v>
      </c>
      <c r="AG1020" t="s">
        <v>58</v>
      </c>
      <c r="AH1020">
        <v>14971</v>
      </c>
      <c r="AK1020">
        <v>1</v>
      </c>
      <c r="AL1020" t="s">
        <v>61</v>
      </c>
      <c r="AM1020" t="s">
        <v>4921</v>
      </c>
      <c r="AN1020" t="s">
        <v>4922</v>
      </c>
    </row>
    <row r="1021" spans="1:40" x14ac:dyDescent="0.35">
      <c r="A1021" t="s">
        <v>37</v>
      </c>
      <c r="B1021" t="s">
        <v>4923</v>
      </c>
      <c r="C1021" t="s">
        <v>39</v>
      </c>
      <c r="D1021" t="s">
        <v>4924</v>
      </c>
      <c r="E1021" t="s">
        <v>4925</v>
      </c>
      <c r="F1021" s="1">
        <v>46076.401539351849</v>
      </c>
      <c r="G1021" t="s">
        <v>540</v>
      </c>
      <c r="H1021" t="s">
        <v>447</v>
      </c>
      <c r="I1021" t="s">
        <v>1196</v>
      </c>
      <c r="J1021" t="s">
        <v>394</v>
      </c>
      <c r="K1021" t="s">
        <v>75</v>
      </c>
      <c r="M1021" t="s">
        <v>76</v>
      </c>
      <c r="O1021" t="s">
        <v>77</v>
      </c>
      <c r="P1021" t="s">
        <v>78</v>
      </c>
      <c r="Q1021" t="s">
        <v>2895</v>
      </c>
      <c r="R1021" t="s">
        <v>79</v>
      </c>
      <c r="S1021" t="s">
        <v>1078</v>
      </c>
      <c r="T1021" t="s">
        <v>1078</v>
      </c>
      <c r="U1021" s="1">
        <v>46076.402719907404</v>
      </c>
      <c r="V1021" t="s">
        <v>54</v>
      </c>
      <c r="W1021" t="s">
        <v>55</v>
      </c>
      <c r="X1021" t="s">
        <v>82</v>
      </c>
      <c r="Y1021" t="s">
        <v>1197</v>
      </c>
      <c r="Z1021" t="s">
        <v>58</v>
      </c>
      <c r="AA1021" t="s">
        <v>54</v>
      </c>
      <c r="AB1021" t="s">
        <v>396</v>
      </c>
      <c r="AC1021" t="s">
        <v>85</v>
      </c>
      <c r="AD1021" t="s">
        <v>79</v>
      </c>
      <c r="AE1021" t="s">
        <v>1078</v>
      </c>
      <c r="AF1021" t="s">
        <v>1078</v>
      </c>
      <c r="AG1021" t="s">
        <v>58</v>
      </c>
      <c r="AH1021">
        <v>3766</v>
      </c>
      <c r="AK1021">
        <v>0</v>
      </c>
      <c r="AL1021" t="s">
        <v>410</v>
      </c>
      <c r="AM1021" t="s">
        <v>4926</v>
      </c>
      <c r="AN1021" t="s">
        <v>4927</v>
      </c>
    </row>
    <row r="1022" spans="1:40" x14ac:dyDescent="0.35">
      <c r="A1022" t="s">
        <v>37</v>
      </c>
      <c r="B1022" t="s">
        <v>4928</v>
      </c>
      <c r="C1022" t="s">
        <v>39</v>
      </c>
      <c r="D1022" t="s">
        <v>4929</v>
      </c>
      <c r="E1022" t="s">
        <v>4930</v>
      </c>
      <c r="F1022" s="1">
        <v>46076.401134259257</v>
      </c>
      <c r="G1022" t="s">
        <v>71</v>
      </c>
      <c r="H1022" t="s">
        <v>72</v>
      </c>
      <c r="I1022" t="s">
        <v>4931</v>
      </c>
      <c r="J1022" t="s">
        <v>1518</v>
      </c>
      <c r="K1022" t="s">
        <v>75</v>
      </c>
      <c r="M1022" t="s">
        <v>76</v>
      </c>
      <c r="O1022" t="s">
        <v>77</v>
      </c>
      <c r="P1022" t="s">
        <v>78</v>
      </c>
      <c r="Q1022" t="s">
        <v>1174</v>
      </c>
      <c r="R1022" t="s">
        <v>79</v>
      </c>
      <c r="S1022" t="s">
        <v>975</v>
      </c>
      <c r="T1022" t="s">
        <v>976</v>
      </c>
      <c r="U1022" s="1">
        <v>46076.401666666665</v>
      </c>
      <c r="V1022" t="s">
        <v>54</v>
      </c>
      <c r="W1022" t="s">
        <v>55</v>
      </c>
      <c r="X1022" t="s">
        <v>82</v>
      </c>
      <c r="Y1022" t="s">
        <v>4932</v>
      </c>
      <c r="Z1022" t="s">
        <v>58</v>
      </c>
      <c r="AA1022" t="s">
        <v>54</v>
      </c>
      <c r="AB1022" t="s">
        <v>1503</v>
      </c>
      <c r="AC1022" t="s">
        <v>85</v>
      </c>
      <c r="AD1022" t="s">
        <v>79</v>
      </c>
      <c r="AE1022" t="s">
        <v>975</v>
      </c>
      <c r="AF1022" t="s">
        <v>3622</v>
      </c>
      <c r="AG1022" t="s">
        <v>58</v>
      </c>
      <c r="AH1022">
        <v>11998</v>
      </c>
      <c r="AK1022">
        <v>0</v>
      </c>
      <c r="AL1022" t="s">
        <v>61</v>
      </c>
      <c r="AM1022" t="s">
        <v>4933</v>
      </c>
      <c r="AN1022" t="s">
        <v>4934</v>
      </c>
    </row>
    <row r="1023" spans="1:40" x14ac:dyDescent="0.35">
      <c r="A1023" t="s">
        <v>37</v>
      </c>
      <c r="B1023" t="s">
        <v>4935</v>
      </c>
      <c r="C1023" t="s">
        <v>102</v>
      </c>
      <c r="D1023" t="s">
        <v>617</v>
      </c>
      <c r="E1023" t="s">
        <v>618</v>
      </c>
      <c r="F1023" s="1">
        <v>46076.40421296296</v>
      </c>
      <c r="G1023" t="s">
        <v>286</v>
      </c>
      <c r="H1023" t="s">
        <v>287</v>
      </c>
      <c r="I1023" t="s">
        <v>4936</v>
      </c>
      <c r="J1023" t="s">
        <v>620</v>
      </c>
      <c r="K1023" t="s">
        <v>130</v>
      </c>
      <c r="M1023" t="s">
        <v>150</v>
      </c>
      <c r="O1023" t="s">
        <v>77</v>
      </c>
      <c r="P1023" t="s">
        <v>78</v>
      </c>
      <c r="Q1023" t="s">
        <v>50</v>
      </c>
      <c r="R1023" t="s">
        <v>132</v>
      </c>
      <c r="S1023" t="s">
        <v>133</v>
      </c>
      <c r="T1023" t="s">
        <v>133</v>
      </c>
      <c r="U1023" s="1">
        <v>46076.451493055552</v>
      </c>
      <c r="V1023" t="s">
        <v>54</v>
      </c>
      <c r="W1023" t="s">
        <v>55</v>
      </c>
      <c r="X1023" t="s">
        <v>134</v>
      </c>
      <c r="Y1023" t="s">
        <v>4937</v>
      </c>
      <c r="Z1023" t="s">
        <v>58</v>
      </c>
      <c r="AA1023" t="s">
        <v>54</v>
      </c>
      <c r="AB1023" t="s">
        <v>622</v>
      </c>
      <c r="AC1023" t="s">
        <v>85</v>
      </c>
      <c r="AD1023" t="s">
        <v>132</v>
      </c>
      <c r="AE1023" t="s">
        <v>133</v>
      </c>
      <c r="AF1023" t="s">
        <v>133</v>
      </c>
      <c r="AG1023" t="s">
        <v>58</v>
      </c>
      <c r="AH1023" t="s">
        <v>623</v>
      </c>
      <c r="AK1023">
        <v>1</v>
      </c>
      <c r="AL1023" t="s">
        <v>61</v>
      </c>
      <c r="AM1023" t="s">
        <v>622</v>
      </c>
      <c r="AN1023" t="s">
        <v>624</v>
      </c>
    </row>
    <row r="1024" spans="1:40" x14ac:dyDescent="0.35">
      <c r="A1024" t="s">
        <v>37</v>
      </c>
      <c r="B1024" t="s">
        <v>4938</v>
      </c>
      <c r="C1024" t="s">
        <v>39</v>
      </c>
      <c r="D1024" t="s">
        <v>4939</v>
      </c>
      <c r="E1024" t="s">
        <v>4940</v>
      </c>
      <c r="F1024" s="1">
        <v>46076.398796296293</v>
      </c>
      <c r="G1024" t="s">
        <v>631</v>
      </c>
      <c r="H1024" t="s">
        <v>447</v>
      </c>
      <c r="I1024" t="s">
        <v>1071</v>
      </c>
      <c r="J1024" t="s">
        <v>1518</v>
      </c>
      <c r="K1024" t="s">
        <v>75</v>
      </c>
      <c r="M1024" t="s">
        <v>76</v>
      </c>
      <c r="O1024" t="s">
        <v>77</v>
      </c>
      <c r="P1024" t="s">
        <v>78</v>
      </c>
      <c r="Q1024" t="s">
        <v>161</v>
      </c>
      <c r="R1024" t="s">
        <v>79</v>
      </c>
      <c r="S1024" t="s">
        <v>967</v>
      </c>
      <c r="T1024" t="s">
        <v>1072</v>
      </c>
      <c r="U1024" s="1">
        <v>46076.399224537039</v>
      </c>
      <c r="V1024" t="s">
        <v>54</v>
      </c>
      <c r="W1024" t="s">
        <v>55</v>
      </c>
      <c r="X1024" t="s">
        <v>82</v>
      </c>
      <c r="Y1024" t="s">
        <v>4142</v>
      </c>
      <c r="Z1024" t="s">
        <v>58</v>
      </c>
      <c r="AA1024" t="s">
        <v>54</v>
      </c>
      <c r="AB1024" t="s">
        <v>1503</v>
      </c>
      <c r="AC1024" t="s">
        <v>85</v>
      </c>
      <c r="AD1024" t="s">
        <v>79</v>
      </c>
      <c r="AE1024" t="s">
        <v>967</v>
      </c>
      <c r="AF1024" t="s">
        <v>1072</v>
      </c>
      <c r="AG1024" t="s">
        <v>58</v>
      </c>
      <c r="AH1024">
        <v>4160</v>
      </c>
      <c r="AK1024">
        <v>0</v>
      </c>
      <c r="AL1024" t="s">
        <v>61</v>
      </c>
      <c r="AM1024" t="s">
        <v>4941</v>
      </c>
      <c r="AN1024" t="s">
        <v>4942</v>
      </c>
    </row>
    <row r="1025" spans="1:40" x14ac:dyDescent="0.35">
      <c r="A1025" t="s">
        <v>37</v>
      </c>
      <c r="B1025" t="s">
        <v>4943</v>
      </c>
      <c r="C1025" t="s">
        <v>39</v>
      </c>
      <c r="D1025" t="s">
        <v>747</v>
      </c>
      <c r="E1025" t="s">
        <v>303</v>
      </c>
      <c r="F1025" s="1">
        <v>46076.398020833331</v>
      </c>
      <c r="G1025" t="s">
        <v>913</v>
      </c>
      <c r="H1025" t="s">
        <v>72</v>
      </c>
      <c r="I1025" t="s">
        <v>205</v>
      </c>
      <c r="J1025" t="s">
        <v>603</v>
      </c>
      <c r="K1025" t="s">
        <v>207</v>
      </c>
      <c r="M1025" t="s">
        <v>131</v>
      </c>
      <c r="O1025" t="s">
        <v>77</v>
      </c>
      <c r="P1025" t="s">
        <v>78</v>
      </c>
      <c r="Q1025" t="s">
        <v>4944</v>
      </c>
      <c r="R1025" t="s">
        <v>208</v>
      </c>
      <c r="S1025" t="s">
        <v>209</v>
      </c>
      <c r="T1025" t="s">
        <v>210</v>
      </c>
      <c r="U1025" s="1">
        <v>46076.860856481479</v>
      </c>
      <c r="V1025" t="s">
        <v>54</v>
      </c>
      <c r="W1025" t="s">
        <v>55</v>
      </c>
      <c r="X1025" t="s">
        <v>211</v>
      </c>
      <c r="Y1025" t="s">
        <v>604</v>
      </c>
      <c r="Z1025" t="s">
        <v>58</v>
      </c>
      <c r="AA1025" t="s">
        <v>54</v>
      </c>
      <c r="AB1025" t="s">
        <v>213</v>
      </c>
      <c r="AC1025" t="s">
        <v>85</v>
      </c>
      <c r="AD1025" t="s">
        <v>214</v>
      </c>
      <c r="AE1025" t="s">
        <v>215</v>
      </c>
      <c r="AF1025" t="s">
        <v>216</v>
      </c>
      <c r="AG1025" t="s">
        <v>58</v>
      </c>
      <c r="AH1025">
        <v>10458</v>
      </c>
      <c r="AK1025">
        <v>1</v>
      </c>
      <c r="AL1025" t="s">
        <v>61</v>
      </c>
      <c r="AM1025" t="s">
        <v>4945</v>
      </c>
      <c r="AN1025" t="s">
        <v>4946</v>
      </c>
    </row>
    <row r="1026" spans="1:40" x14ac:dyDescent="0.35">
      <c r="A1026" t="s">
        <v>37</v>
      </c>
      <c r="B1026" t="s">
        <v>4947</v>
      </c>
      <c r="C1026" t="s">
        <v>39</v>
      </c>
      <c r="D1026" t="s">
        <v>4948</v>
      </c>
      <c r="E1026" t="s">
        <v>1316</v>
      </c>
      <c r="F1026" s="1">
        <v>46076.396585648145</v>
      </c>
      <c r="G1026" t="s">
        <v>355</v>
      </c>
      <c r="H1026" t="s">
        <v>356</v>
      </c>
      <c r="I1026" t="s">
        <v>4949</v>
      </c>
      <c r="J1026" t="s">
        <v>358</v>
      </c>
      <c r="K1026" t="s">
        <v>359</v>
      </c>
      <c r="M1026" t="s">
        <v>131</v>
      </c>
      <c r="O1026" t="s">
        <v>77</v>
      </c>
      <c r="P1026" t="s">
        <v>78</v>
      </c>
      <c r="Q1026" t="s">
        <v>4950</v>
      </c>
      <c r="R1026" t="s">
        <v>51</v>
      </c>
      <c r="S1026" t="s">
        <v>52</v>
      </c>
      <c r="T1026" t="s">
        <v>53</v>
      </c>
      <c r="U1026" s="1">
        <v>46076.471620370372</v>
      </c>
      <c r="V1026" t="s">
        <v>54</v>
      </c>
      <c r="W1026" t="s">
        <v>55</v>
      </c>
      <c r="X1026" t="s">
        <v>113</v>
      </c>
      <c r="Y1026" t="s">
        <v>4951</v>
      </c>
      <c r="Z1026" t="s">
        <v>58</v>
      </c>
      <c r="AA1026" t="s">
        <v>54</v>
      </c>
      <c r="AB1026" t="s">
        <v>361</v>
      </c>
      <c r="AC1026" t="s">
        <v>85</v>
      </c>
      <c r="AD1026" t="s">
        <v>52</v>
      </c>
      <c r="AE1026" t="s">
        <v>999</v>
      </c>
      <c r="AF1026" t="s">
        <v>1770</v>
      </c>
      <c r="AG1026" t="s">
        <v>58</v>
      </c>
      <c r="AK1026">
        <v>0</v>
      </c>
      <c r="AL1026" t="s">
        <v>61</v>
      </c>
      <c r="AM1026" t="s">
        <v>361</v>
      </c>
      <c r="AN1026" t="s">
        <v>4952</v>
      </c>
    </row>
    <row r="1027" spans="1:40" x14ac:dyDescent="0.35">
      <c r="A1027" t="s">
        <v>37</v>
      </c>
      <c r="B1027" t="s">
        <v>4953</v>
      </c>
      <c r="C1027" t="s">
        <v>102</v>
      </c>
      <c r="D1027" t="s">
        <v>3677</v>
      </c>
      <c r="E1027" t="s">
        <v>1982</v>
      </c>
      <c r="F1027" s="1">
        <v>46076.398611111108</v>
      </c>
      <c r="G1027" t="s">
        <v>688</v>
      </c>
      <c r="H1027" t="s">
        <v>106</v>
      </c>
      <c r="I1027" t="s">
        <v>4954</v>
      </c>
      <c r="J1027" t="s">
        <v>2406</v>
      </c>
      <c r="K1027" t="s">
        <v>1187</v>
      </c>
      <c r="M1027" t="s">
        <v>131</v>
      </c>
      <c r="O1027" t="s">
        <v>237</v>
      </c>
      <c r="P1027" t="s">
        <v>238</v>
      </c>
      <c r="Q1027" t="s">
        <v>50</v>
      </c>
      <c r="R1027" t="s">
        <v>79</v>
      </c>
      <c r="S1027" t="s">
        <v>975</v>
      </c>
      <c r="T1027" t="s">
        <v>4955</v>
      </c>
      <c r="U1027" s="1">
        <v>46078.472013888888</v>
      </c>
      <c r="V1027" t="s">
        <v>54</v>
      </c>
      <c r="W1027" t="s">
        <v>55</v>
      </c>
      <c r="X1027" t="s">
        <v>82</v>
      </c>
      <c r="Y1027" t="s">
        <v>4956</v>
      </c>
      <c r="Z1027" t="s">
        <v>58</v>
      </c>
      <c r="AA1027" t="s">
        <v>54</v>
      </c>
      <c r="AB1027" t="s">
        <v>698</v>
      </c>
      <c r="AC1027" t="s">
        <v>242</v>
      </c>
      <c r="AD1027" t="s">
        <v>1189</v>
      </c>
      <c r="AE1027" t="s">
        <v>1190</v>
      </c>
      <c r="AF1027" t="s">
        <v>4957</v>
      </c>
      <c r="AG1027" t="s">
        <v>58</v>
      </c>
      <c r="AH1027">
        <v>13220</v>
      </c>
      <c r="AK1027">
        <v>2</v>
      </c>
      <c r="AL1027" t="s">
        <v>61</v>
      </c>
      <c r="AM1027" t="s">
        <v>4958</v>
      </c>
      <c r="AN1027" t="s">
        <v>4959</v>
      </c>
    </row>
    <row r="1028" spans="1:40" x14ac:dyDescent="0.35">
      <c r="A1028" t="s">
        <v>37</v>
      </c>
      <c r="B1028" t="s">
        <v>4960</v>
      </c>
      <c r="C1028" t="s">
        <v>102</v>
      </c>
      <c r="D1028" t="s">
        <v>579</v>
      </c>
      <c r="E1028" t="s">
        <v>230</v>
      </c>
      <c r="F1028" s="1">
        <v>46076.394050925926</v>
      </c>
      <c r="G1028" t="s">
        <v>355</v>
      </c>
      <c r="H1028" t="s">
        <v>356</v>
      </c>
      <c r="I1028" t="s">
        <v>4961</v>
      </c>
      <c r="J1028" t="s">
        <v>4962</v>
      </c>
      <c r="K1028" t="s">
        <v>405</v>
      </c>
      <c r="M1028" t="s">
        <v>131</v>
      </c>
      <c r="O1028" t="s">
        <v>237</v>
      </c>
      <c r="P1028" t="s">
        <v>238</v>
      </c>
      <c r="Q1028" t="s">
        <v>50</v>
      </c>
      <c r="R1028" t="s">
        <v>51</v>
      </c>
      <c r="S1028" t="s">
        <v>52</v>
      </c>
      <c r="T1028" t="s">
        <v>240</v>
      </c>
      <c r="U1028" s="1">
        <v>46077.610729166663</v>
      </c>
      <c r="V1028" t="s">
        <v>54</v>
      </c>
      <c r="W1028" t="s">
        <v>55</v>
      </c>
      <c r="X1028" t="s">
        <v>211</v>
      </c>
      <c r="Y1028" t="s">
        <v>4963</v>
      </c>
      <c r="Z1028" t="s">
        <v>58</v>
      </c>
      <c r="AA1028" t="s">
        <v>54</v>
      </c>
      <c r="AB1028" t="s">
        <v>213</v>
      </c>
      <c r="AC1028" t="s">
        <v>242</v>
      </c>
      <c r="AD1028" t="s">
        <v>52</v>
      </c>
      <c r="AE1028" t="s">
        <v>243</v>
      </c>
      <c r="AF1028" t="s">
        <v>244</v>
      </c>
      <c r="AG1028" t="s">
        <v>58</v>
      </c>
      <c r="AH1028">
        <v>14759</v>
      </c>
      <c r="AK1028">
        <v>1</v>
      </c>
      <c r="AL1028" t="s">
        <v>61</v>
      </c>
      <c r="AM1028" t="s">
        <v>4964</v>
      </c>
      <c r="AN1028" t="s">
        <v>4965</v>
      </c>
    </row>
    <row r="1029" spans="1:40" x14ac:dyDescent="0.35">
      <c r="A1029" t="s">
        <v>37</v>
      </c>
      <c r="B1029" t="s">
        <v>4966</v>
      </c>
      <c r="C1029" t="s">
        <v>39</v>
      </c>
      <c r="D1029" t="s">
        <v>391</v>
      </c>
      <c r="E1029" t="s">
        <v>401</v>
      </c>
      <c r="F1029" s="1">
        <v>46076.394768518519</v>
      </c>
      <c r="G1029" t="s">
        <v>508</v>
      </c>
      <c r="H1029" t="s">
        <v>72</v>
      </c>
      <c r="I1029" t="s">
        <v>2641</v>
      </c>
      <c r="J1029" t="s">
        <v>4967</v>
      </c>
      <c r="K1029" t="s">
        <v>1834</v>
      </c>
      <c r="M1029" t="s">
        <v>76</v>
      </c>
      <c r="O1029" t="s">
        <v>77</v>
      </c>
      <c r="P1029" t="s">
        <v>78</v>
      </c>
      <c r="Q1029" t="s">
        <v>4087</v>
      </c>
      <c r="R1029" t="s">
        <v>51</v>
      </c>
      <c r="S1029" t="s">
        <v>52</v>
      </c>
      <c r="T1029" t="s">
        <v>773</v>
      </c>
      <c r="U1029" s="1">
        <v>46076.523993055554</v>
      </c>
      <c r="V1029" t="s">
        <v>54</v>
      </c>
      <c r="W1029" t="s">
        <v>55</v>
      </c>
      <c r="X1029" t="s">
        <v>134</v>
      </c>
      <c r="Y1029" t="s">
        <v>2642</v>
      </c>
      <c r="Z1029" t="s">
        <v>58</v>
      </c>
      <c r="AA1029" t="s">
        <v>54</v>
      </c>
      <c r="AB1029" t="s">
        <v>408</v>
      </c>
      <c r="AC1029" t="s">
        <v>85</v>
      </c>
      <c r="AD1029" t="s">
        <v>52</v>
      </c>
      <c r="AE1029" t="s">
        <v>438</v>
      </c>
      <c r="AF1029" t="s">
        <v>2204</v>
      </c>
      <c r="AG1029" t="s">
        <v>58</v>
      </c>
      <c r="AH1029">
        <v>10315</v>
      </c>
      <c r="AK1029">
        <v>2</v>
      </c>
      <c r="AL1029" t="s">
        <v>61</v>
      </c>
      <c r="AM1029" t="s">
        <v>4089</v>
      </c>
      <c r="AN1029" t="s">
        <v>4090</v>
      </c>
    </row>
    <row r="1030" spans="1:40" x14ac:dyDescent="0.35">
      <c r="A1030" t="s">
        <v>37</v>
      </c>
      <c r="B1030" t="s">
        <v>4968</v>
      </c>
      <c r="C1030" t="s">
        <v>39</v>
      </c>
      <c r="D1030" t="s">
        <v>4969</v>
      </c>
      <c r="E1030" t="s">
        <v>4970</v>
      </c>
      <c r="F1030" s="1">
        <v>46076.393530092595</v>
      </c>
      <c r="G1030" t="s">
        <v>1249</v>
      </c>
      <c r="H1030" t="s">
        <v>233</v>
      </c>
      <c r="I1030" t="s">
        <v>1250</v>
      </c>
      <c r="J1030" t="s">
        <v>394</v>
      </c>
      <c r="K1030" t="s">
        <v>75</v>
      </c>
      <c r="M1030" t="s">
        <v>76</v>
      </c>
      <c r="O1030" t="s">
        <v>77</v>
      </c>
      <c r="P1030" t="s">
        <v>78</v>
      </c>
      <c r="Q1030" t="s">
        <v>50</v>
      </c>
      <c r="R1030" t="s">
        <v>79</v>
      </c>
      <c r="S1030" t="s">
        <v>1078</v>
      </c>
      <c r="T1030" t="s">
        <v>1078</v>
      </c>
      <c r="U1030" s="1">
        <v>46076.393819444442</v>
      </c>
      <c r="V1030" t="s">
        <v>54</v>
      </c>
      <c r="W1030" t="s">
        <v>55</v>
      </c>
      <c r="X1030" t="s">
        <v>82</v>
      </c>
      <c r="Y1030" t="s">
        <v>1251</v>
      </c>
      <c r="Z1030" t="s">
        <v>58</v>
      </c>
      <c r="AA1030" t="s">
        <v>54</v>
      </c>
      <c r="AB1030" t="s">
        <v>396</v>
      </c>
      <c r="AC1030" t="s">
        <v>85</v>
      </c>
      <c r="AD1030" t="s">
        <v>79</v>
      </c>
      <c r="AE1030" t="s">
        <v>1078</v>
      </c>
      <c r="AF1030" t="s">
        <v>1078</v>
      </c>
      <c r="AG1030" t="s">
        <v>58</v>
      </c>
      <c r="AH1030">
        <v>15525</v>
      </c>
      <c r="AK1030">
        <v>0</v>
      </c>
      <c r="AL1030" t="s">
        <v>61</v>
      </c>
      <c r="AM1030" t="s">
        <v>4971</v>
      </c>
      <c r="AN1030" t="s">
        <v>4972</v>
      </c>
    </row>
    <row r="1031" spans="1:40" x14ac:dyDescent="0.35">
      <c r="A1031" t="s">
        <v>37</v>
      </c>
      <c r="B1031" t="s">
        <v>4973</v>
      </c>
      <c r="C1031" t="s">
        <v>39</v>
      </c>
      <c r="D1031" t="s">
        <v>2588</v>
      </c>
      <c r="E1031" t="s">
        <v>2589</v>
      </c>
      <c r="F1031" s="1">
        <v>46076.391724537039</v>
      </c>
      <c r="G1031" t="s">
        <v>393</v>
      </c>
      <c r="H1031" t="s">
        <v>92</v>
      </c>
      <c r="I1031" t="s">
        <v>205</v>
      </c>
      <c r="J1031" t="s">
        <v>741</v>
      </c>
      <c r="K1031" t="s">
        <v>207</v>
      </c>
      <c r="M1031" t="s">
        <v>131</v>
      </c>
      <c r="O1031" t="s">
        <v>48</v>
      </c>
      <c r="P1031" t="s">
        <v>49</v>
      </c>
      <c r="Q1031" t="s">
        <v>2591</v>
      </c>
      <c r="R1031" t="s">
        <v>208</v>
      </c>
      <c r="S1031" t="s">
        <v>209</v>
      </c>
      <c r="T1031" t="s">
        <v>210</v>
      </c>
      <c r="U1031" s="1">
        <v>46076.518726851849</v>
      </c>
      <c r="V1031" t="s">
        <v>54</v>
      </c>
      <c r="W1031" t="s">
        <v>55</v>
      </c>
      <c r="X1031" t="s">
        <v>211</v>
      </c>
      <c r="Y1031" t="s">
        <v>4974</v>
      </c>
      <c r="Z1031" t="s">
        <v>58</v>
      </c>
      <c r="AA1031" t="s">
        <v>54</v>
      </c>
      <c r="AB1031" t="s">
        <v>213</v>
      </c>
      <c r="AC1031" t="s">
        <v>60</v>
      </c>
      <c r="AD1031" t="s">
        <v>214</v>
      </c>
      <c r="AE1031" t="s">
        <v>215</v>
      </c>
      <c r="AF1031" t="s">
        <v>216</v>
      </c>
      <c r="AG1031" t="s">
        <v>58</v>
      </c>
      <c r="AH1031">
        <v>11329</v>
      </c>
      <c r="AK1031">
        <v>1</v>
      </c>
      <c r="AL1031" t="s">
        <v>410</v>
      </c>
      <c r="AM1031" t="s">
        <v>2592</v>
      </c>
      <c r="AN1031" t="s">
        <v>2593</v>
      </c>
    </row>
    <row r="1032" spans="1:40" x14ac:dyDescent="0.35">
      <c r="A1032" t="s">
        <v>37</v>
      </c>
      <c r="B1032" t="s">
        <v>4975</v>
      </c>
      <c r="C1032" t="s">
        <v>39</v>
      </c>
      <c r="D1032" t="s">
        <v>391</v>
      </c>
      <c r="E1032" t="s">
        <v>401</v>
      </c>
      <c r="F1032" s="1">
        <v>46076.391273148147</v>
      </c>
      <c r="G1032" t="s">
        <v>508</v>
      </c>
      <c r="H1032" t="s">
        <v>72</v>
      </c>
      <c r="I1032" t="s">
        <v>2636</v>
      </c>
      <c r="J1032" t="s">
        <v>2117</v>
      </c>
      <c r="K1032" t="s">
        <v>2118</v>
      </c>
      <c r="M1032" t="s">
        <v>131</v>
      </c>
      <c r="O1032" t="s">
        <v>77</v>
      </c>
      <c r="P1032" t="s">
        <v>78</v>
      </c>
      <c r="Q1032" t="s">
        <v>4087</v>
      </c>
      <c r="R1032" t="s">
        <v>51</v>
      </c>
      <c r="S1032" t="s">
        <v>52</v>
      </c>
      <c r="T1032" t="s">
        <v>240</v>
      </c>
      <c r="U1032" s="1">
        <v>46077.350925925923</v>
      </c>
      <c r="V1032" t="s">
        <v>54</v>
      </c>
      <c r="W1032" t="s">
        <v>55</v>
      </c>
      <c r="X1032" t="s">
        <v>134</v>
      </c>
      <c r="Y1032" t="s">
        <v>4976</v>
      </c>
      <c r="Z1032" t="s">
        <v>58</v>
      </c>
      <c r="AA1032" t="s">
        <v>54</v>
      </c>
      <c r="AB1032" t="s">
        <v>408</v>
      </c>
      <c r="AC1032" t="s">
        <v>85</v>
      </c>
      <c r="AD1032" t="s">
        <v>52</v>
      </c>
      <c r="AE1032" t="s">
        <v>243</v>
      </c>
      <c r="AF1032" t="s">
        <v>1470</v>
      </c>
      <c r="AG1032" t="s">
        <v>58</v>
      </c>
      <c r="AH1032">
        <v>10315</v>
      </c>
      <c r="AK1032">
        <v>1</v>
      </c>
      <c r="AL1032" t="s">
        <v>61</v>
      </c>
      <c r="AM1032" t="s">
        <v>4089</v>
      </c>
      <c r="AN1032" t="s">
        <v>4090</v>
      </c>
    </row>
    <row r="1033" spans="1:40" x14ac:dyDescent="0.35">
      <c r="A1033" t="s">
        <v>37</v>
      </c>
      <c r="B1033" t="s">
        <v>4977</v>
      </c>
      <c r="C1033" t="s">
        <v>102</v>
      </c>
      <c r="D1033" t="s">
        <v>2134</v>
      </c>
      <c r="E1033" t="s">
        <v>2135</v>
      </c>
      <c r="F1033" s="1">
        <v>46076.390856481485</v>
      </c>
      <c r="G1033" t="s">
        <v>826</v>
      </c>
      <c r="H1033" t="s">
        <v>356</v>
      </c>
      <c r="I1033" t="s">
        <v>4978</v>
      </c>
      <c r="J1033" t="s">
        <v>2137</v>
      </c>
      <c r="K1033" t="s">
        <v>2138</v>
      </c>
      <c r="M1033" t="s">
        <v>2139</v>
      </c>
      <c r="O1033" t="s">
        <v>237</v>
      </c>
      <c r="P1033" t="s">
        <v>238</v>
      </c>
      <c r="Q1033" t="s">
        <v>50</v>
      </c>
      <c r="R1033" t="s">
        <v>51</v>
      </c>
      <c r="S1033" t="s">
        <v>52</v>
      </c>
      <c r="T1033" t="s">
        <v>195</v>
      </c>
      <c r="U1033" s="1">
        <v>46076.843599537038</v>
      </c>
      <c r="V1033" t="s">
        <v>54</v>
      </c>
      <c r="X1033" t="s">
        <v>134</v>
      </c>
      <c r="Y1033" t="s">
        <v>4979</v>
      </c>
      <c r="Z1033" t="s">
        <v>58</v>
      </c>
      <c r="AA1033" t="s">
        <v>54</v>
      </c>
      <c r="AB1033" t="s">
        <v>2142</v>
      </c>
      <c r="AC1033" t="s">
        <v>242</v>
      </c>
      <c r="AD1033" t="s">
        <v>51</v>
      </c>
      <c r="AE1033" t="s">
        <v>52</v>
      </c>
      <c r="AF1033" t="s">
        <v>2140</v>
      </c>
      <c r="AG1033" t="s">
        <v>58</v>
      </c>
      <c r="AH1033" t="s">
        <v>2143</v>
      </c>
      <c r="AK1033">
        <v>0</v>
      </c>
      <c r="AL1033" t="s">
        <v>61</v>
      </c>
      <c r="AM1033" t="s">
        <v>2142</v>
      </c>
      <c r="AN1033" t="s">
        <v>2144</v>
      </c>
    </row>
    <row r="1034" spans="1:40" x14ac:dyDescent="0.35">
      <c r="A1034" t="s">
        <v>37</v>
      </c>
      <c r="B1034" t="s">
        <v>4980</v>
      </c>
      <c r="C1034" t="s">
        <v>656</v>
      </c>
      <c r="D1034" t="s">
        <v>2855</v>
      </c>
      <c r="E1034" t="s">
        <v>2856</v>
      </c>
      <c r="F1034" s="1">
        <v>46076.389756944445</v>
      </c>
      <c r="G1034" t="s">
        <v>355</v>
      </c>
      <c r="H1034" t="s">
        <v>356</v>
      </c>
      <c r="I1034" t="s">
        <v>4981</v>
      </c>
      <c r="J1034" t="s">
        <v>2333</v>
      </c>
      <c r="K1034" t="s">
        <v>1187</v>
      </c>
      <c r="M1034" t="s">
        <v>76</v>
      </c>
      <c r="O1034" t="s">
        <v>237</v>
      </c>
      <c r="P1034" t="s">
        <v>238</v>
      </c>
      <c r="Q1034" t="s">
        <v>50</v>
      </c>
      <c r="R1034" t="s">
        <v>1189</v>
      </c>
      <c r="S1034" t="s">
        <v>2407</v>
      </c>
      <c r="T1034" t="s">
        <v>2408</v>
      </c>
      <c r="U1034" s="1">
        <v>46077.591539351852</v>
      </c>
      <c r="V1034" t="s">
        <v>54</v>
      </c>
      <c r="W1034" t="s">
        <v>55</v>
      </c>
      <c r="X1034" t="s">
        <v>56</v>
      </c>
      <c r="Y1034" t="s">
        <v>4982</v>
      </c>
      <c r="Z1034" t="s">
        <v>58</v>
      </c>
      <c r="AA1034" t="s">
        <v>54</v>
      </c>
      <c r="AB1034" t="s">
        <v>2864</v>
      </c>
      <c r="AC1034" t="s">
        <v>242</v>
      </c>
      <c r="AD1034" t="s">
        <v>1189</v>
      </c>
      <c r="AE1034" t="s">
        <v>2407</v>
      </c>
      <c r="AF1034" t="s">
        <v>4983</v>
      </c>
      <c r="AG1034" t="s">
        <v>58</v>
      </c>
      <c r="AH1034" t="s">
        <v>2863</v>
      </c>
      <c r="AK1034">
        <v>0</v>
      </c>
      <c r="AL1034" t="s">
        <v>61</v>
      </c>
      <c r="AM1034" t="s">
        <v>2864</v>
      </c>
      <c r="AN1034" t="s">
        <v>2865</v>
      </c>
    </row>
    <row r="1035" spans="1:40" x14ac:dyDescent="0.35">
      <c r="A1035" t="s">
        <v>37</v>
      </c>
      <c r="B1035" t="s">
        <v>4984</v>
      </c>
      <c r="C1035" t="s">
        <v>39</v>
      </c>
      <c r="D1035" t="s">
        <v>4948</v>
      </c>
      <c r="E1035" t="s">
        <v>1316</v>
      </c>
      <c r="F1035" s="1">
        <v>46076.391886574071</v>
      </c>
      <c r="G1035" t="s">
        <v>355</v>
      </c>
      <c r="H1035" t="s">
        <v>356</v>
      </c>
      <c r="I1035" t="s">
        <v>4985</v>
      </c>
      <c r="J1035" t="s">
        <v>358</v>
      </c>
      <c r="K1035" t="s">
        <v>359</v>
      </c>
      <c r="M1035" t="s">
        <v>131</v>
      </c>
      <c r="O1035" t="s">
        <v>77</v>
      </c>
      <c r="P1035" t="s">
        <v>78</v>
      </c>
      <c r="Q1035" t="s">
        <v>4950</v>
      </c>
      <c r="R1035" t="s">
        <v>51</v>
      </c>
      <c r="S1035" t="s">
        <v>52</v>
      </c>
      <c r="T1035" t="s">
        <v>53</v>
      </c>
      <c r="U1035" s="1">
        <v>46076.470775462964</v>
      </c>
      <c r="V1035" t="s">
        <v>54</v>
      </c>
      <c r="W1035" t="s">
        <v>55</v>
      </c>
      <c r="X1035" t="s">
        <v>134</v>
      </c>
      <c r="Y1035" t="s">
        <v>4986</v>
      </c>
      <c r="Z1035" t="s">
        <v>58</v>
      </c>
      <c r="AA1035" t="s">
        <v>54</v>
      </c>
      <c r="AB1035" t="s">
        <v>361</v>
      </c>
      <c r="AC1035" t="s">
        <v>85</v>
      </c>
      <c r="AD1035" t="s">
        <v>52</v>
      </c>
      <c r="AE1035" t="s">
        <v>967</v>
      </c>
      <c r="AF1035" t="s">
        <v>2563</v>
      </c>
      <c r="AG1035" t="s">
        <v>58</v>
      </c>
      <c r="AK1035">
        <v>0</v>
      </c>
      <c r="AL1035" t="s">
        <v>61</v>
      </c>
      <c r="AM1035" t="s">
        <v>361</v>
      </c>
      <c r="AN1035" t="s">
        <v>4952</v>
      </c>
    </row>
    <row r="1036" spans="1:40" x14ac:dyDescent="0.35">
      <c r="A1036" t="s">
        <v>37</v>
      </c>
      <c r="B1036" t="s">
        <v>4987</v>
      </c>
      <c r="C1036" t="s">
        <v>39</v>
      </c>
      <c r="D1036" t="s">
        <v>127</v>
      </c>
      <c r="E1036" t="s">
        <v>4988</v>
      </c>
      <c r="F1036" s="1">
        <v>46076.38890046296</v>
      </c>
      <c r="G1036" t="s">
        <v>71</v>
      </c>
      <c r="H1036" t="s">
        <v>72</v>
      </c>
      <c r="I1036" t="s">
        <v>1026</v>
      </c>
      <c r="J1036" t="s">
        <v>394</v>
      </c>
      <c r="K1036" t="s">
        <v>75</v>
      </c>
      <c r="M1036" t="s">
        <v>76</v>
      </c>
      <c r="O1036" t="s">
        <v>77</v>
      </c>
      <c r="P1036" t="s">
        <v>78</v>
      </c>
      <c r="Q1036" t="s">
        <v>3862</v>
      </c>
      <c r="R1036" t="s">
        <v>79</v>
      </c>
      <c r="S1036" t="s">
        <v>967</v>
      </c>
      <c r="T1036" t="s">
        <v>1028</v>
      </c>
      <c r="U1036" s="1">
        <v>46076.390972222223</v>
      </c>
      <c r="V1036" t="s">
        <v>54</v>
      </c>
      <c r="W1036" t="s">
        <v>55</v>
      </c>
      <c r="X1036" t="s">
        <v>82</v>
      </c>
      <c r="Y1036" t="s">
        <v>1029</v>
      </c>
      <c r="Z1036" t="s">
        <v>58</v>
      </c>
      <c r="AA1036" t="s">
        <v>54</v>
      </c>
      <c r="AB1036" t="s">
        <v>396</v>
      </c>
      <c r="AC1036" t="s">
        <v>85</v>
      </c>
      <c r="AD1036" t="s">
        <v>79</v>
      </c>
      <c r="AE1036" t="s">
        <v>967</v>
      </c>
      <c r="AF1036" t="s">
        <v>1028</v>
      </c>
      <c r="AG1036" t="s">
        <v>58</v>
      </c>
      <c r="AH1036">
        <v>7593</v>
      </c>
      <c r="AK1036">
        <v>0</v>
      </c>
      <c r="AL1036" t="s">
        <v>61</v>
      </c>
      <c r="AM1036" t="s">
        <v>4989</v>
      </c>
      <c r="AN1036" t="s">
        <v>4990</v>
      </c>
    </row>
    <row r="1037" spans="1:40" x14ac:dyDescent="0.35">
      <c r="A1037" t="s">
        <v>37</v>
      </c>
      <c r="B1037" t="s">
        <v>4991</v>
      </c>
      <c r="C1037" t="s">
        <v>102</v>
      </c>
      <c r="D1037" t="s">
        <v>617</v>
      </c>
      <c r="E1037" t="s">
        <v>618</v>
      </c>
      <c r="F1037" s="1">
        <v>46076.38521990741</v>
      </c>
      <c r="G1037" t="s">
        <v>286</v>
      </c>
      <c r="H1037" t="s">
        <v>287</v>
      </c>
      <c r="I1037" t="s">
        <v>4992</v>
      </c>
      <c r="J1037" t="s">
        <v>620</v>
      </c>
      <c r="K1037" t="s">
        <v>130</v>
      </c>
      <c r="M1037" t="s">
        <v>131</v>
      </c>
      <c r="O1037" t="s">
        <v>77</v>
      </c>
      <c r="P1037" t="s">
        <v>78</v>
      </c>
      <c r="Q1037" t="s">
        <v>50</v>
      </c>
      <c r="R1037" t="s">
        <v>132</v>
      </c>
      <c r="S1037" t="s">
        <v>133</v>
      </c>
      <c r="T1037" t="s">
        <v>133</v>
      </c>
      <c r="U1037" s="1">
        <v>46078.339756944442</v>
      </c>
      <c r="V1037" t="s">
        <v>54</v>
      </c>
      <c r="W1037" t="s">
        <v>55</v>
      </c>
      <c r="X1037" t="s">
        <v>134</v>
      </c>
      <c r="Y1037" t="s">
        <v>4993</v>
      </c>
      <c r="Z1037" t="s">
        <v>58</v>
      </c>
      <c r="AA1037" t="s">
        <v>54</v>
      </c>
      <c r="AB1037" t="s">
        <v>622</v>
      </c>
      <c r="AC1037" t="s">
        <v>85</v>
      </c>
      <c r="AD1037" t="s">
        <v>132</v>
      </c>
      <c r="AE1037" t="s">
        <v>133</v>
      </c>
      <c r="AF1037" t="s">
        <v>133</v>
      </c>
      <c r="AG1037" t="s">
        <v>58</v>
      </c>
      <c r="AH1037" t="s">
        <v>623</v>
      </c>
      <c r="AK1037">
        <v>1</v>
      </c>
      <c r="AL1037" t="s">
        <v>61</v>
      </c>
      <c r="AM1037" t="s">
        <v>622</v>
      </c>
      <c r="AN1037" t="s">
        <v>624</v>
      </c>
    </row>
    <row r="1038" spans="1:40" x14ac:dyDescent="0.35">
      <c r="A1038" t="s">
        <v>37</v>
      </c>
      <c r="B1038" t="s">
        <v>4994</v>
      </c>
      <c r="C1038" t="s">
        <v>39</v>
      </c>
      <c r="D1038" t="s">
        <v>40</v>
      </c>
      <c r="E1038" t="s">
        <v>41</v>
      </c>
      <c r="F1038" s="1">
        <v>46076.382268518515</v>
      </c>
      <c r="G1038" t="s">
        <v>42</v>
      </c>
      <c r="H1038" t="s">
        <v>43</v>
      </c>
      <c r="I1038" t="s">
        <v>4995</v>
      </c>
      <c r="J1038" t="s">
        <v>45</v>
      </c>
      <c r="K1038" t="s">
        <v>46</v>
      </c>
      <c r="M1038" t="s">
        <v>47</v>
      </c>
      <c r="O1038" t="s">
        <v>48</v>
      </c>
      <c r="P1038" t="s">
        <v>49</v>
      </c>
      <c r="Q1038" t="s">
        <v>50</v>
      </c>
      <c r="R1038" t="s">
        <v>51</v>
      </c>
      <c r="S1038" t="s">
        <v>52</v>
      </c>
      <c r="T1038" t="s">
        <v>53</v>
      </c>
      <c r="U1038" s="1">
        <v>46076.383831018517</v>
      </c>
      <c r="V1038" t="s">
        <v>54</v>
      </c>
      <c r="W1038" t="s">
        <v>55</v>
      </c>
      <c r="X1038" t="s">
        <v>56</v>
      </c>
      <c r="Y1038" t="s">
        <v>65</v>
      </c>
      <c r="Z1038" t="s">
        <v>58</v>
      </c>
      <c r="AA1038" t="s">
        <v>54</v>
      </c>
      <c r="AB1038" t="s">
        <v>59</v>
      </c>
      <c r="AC1038" t="s">
        <v>60</v>
      </c>
      <c r="AD1038" t="s">
        <v>51</v>
      </c>
      <c r="AE1038" t="s">
        <v>52</v>
      </c>
      <c r="AF1038" t="s">
        <v>53</v>
      </c>
      <c r="AG1038" t="s">
        <v>58</v>
      </c>
      <c r="AK1038">
        <v>0</v>
      </c>
      <c r="AL1038" t="s">
        <v>61</v>
      </c>
      <c r="AM1038" t="s">
        <v>59</v>
      </c>
      <c r="AN1038" t="s">
        <v>62</v>
      </c>
    </row>
    <row r="1039" spans="1:40" x14ac:dyDescent="0.35">
      <c r="A1039" t="s">
        <v>37</v>
      </c>
      <c r="B1039" t="s">
        <v>4996</v>
      </c>
      <c r="C1039" t="s">
        <v>102</v>
      </c>
      <c r="D1039" t="s">
        <v>761</v>
      </c>
      <c r="E1039" t="s">
        <v>762</v>
      </c>
      <c r="F1039" s="1">
        <v>46076.380636574075</v>
      </c>
      <c r="G1039" t="s">
        <v>105</v>
      </c>
      <c r="H1039" t="s">
        <v>106</v>
      </c>
      <c r="I1039" t="s">
        <v>2905</v>
      </c>
      <c r="J1039" t="s">
        <v>108</v>
      </c>
      <c r="K1039" t="s">
        <v>571</v>
      </c>
      <c r="M1039" t="s">
        <v>76</v>
      </c>
      <c r="O1039" t="s">
        <v>77</v>
      </c>
      <c r="P1039" t="s">
        <v>78</v>
      </c>
      <c r="Q1039" t="s">
        <v>50</v>
      </c>
      <c r="R1039" t="s">
        <v>111</v>
      </c>
      <c r="S1039" t="s">
        <v>51</v>
      </c>
      <c r="T1039" t="s">
        <v>112</v>
      </c>
      <c r="U1039" s="1">
        <v>46076.468877314815</v>
      </c>
      <c r="V1039" t="s">
        <v>54</v>
      </c>
      <c r="W1039" t="s">
        <v>55</v>
      </c>
      <c r="X1039" t="s">
        <v>113</v>
      </c>
      <c r="Y1039" t="s">
        <v>4997</v>
      </c>
      <c r="Z1039" t="s">
        <v>58</v>
      </c>
      <c r="AA1039" t="s">
        <v>54</v>
      </c>
      <c r="AB1039" t="s">
        <v>115</v>
      </c>
      <c r="AC1039" t="s">
        <v>85</v>
      </c>
      <c r="AD1039" t="s">
        <v>116</v>
      </c>
      <c r="AE1039" t="s">
        <v>574</v>
      </c>
      <c r="AF1039" t="s">
        <v>1377</v>
      </c>
      <c r="AG1039" t="s">
        <v>58</v>
      </c>
      <c r="AH1039" t="s">
        <v>765</v>
      </c>
      <c r="AK1039">
        <v>1</v>
      </c>
      <c r="AL1039" t="s">
        <v>61</v>
      </c>
      <c r="AM1039" t="s">
        <v>766</v>
      </c>
      <c r="AN1039" t="s">
        <v>767</v>
      </c>
    </row>
    <row r="1040" spans="1:40" x14ac:dyDescent="0.35">
      <c r="A1040" t="s">
        <v>37</v>
      </c>
      <c r="B1040" t="s">
        <v>4998</v>
      </c>
      <c r="C1040" t="s">
        <v>656</v>
      </c>
      <c r="D1040" t="s">
        <v>1315</v>
      </c>
      <c r="E1040" t="s">
        <v>1316</v>
      </c>
      <c r="F1040" s="1">
        <v>46076.380648148152</v>
      </c>
      <c r="G1040" t="s">
        <v>355</v>
      </c>
      <c r="H1040" t="s">
        <v>356</v>
      </c>
      <c r="I1040" t="s">
        <v>1329</v>
      </c>
      <c r="J1040" t="s">
        <v>1318</v>
      </c>
      <c r="K1040" t="s">
        <v>1319</v>
      </c>
      <c r="M1040" t="s">
        <v>76</v>
      </c>
      <c r="O1040" t="s">
        <v>77</v>
      </c>
      <c r="P1040" t="s">
        <v>78</v>
      </c>
      <c r="Q1040" t="s">
        <v>1320</v>
      </c>
      <c r="R1040" t="s">
        <v>1321</v>
      </c>
      <c r="S1040" t="s">
        <v>1322</v>
      </c>
      <c r="T1040" t="s">
        <v>1323</v>
      </c>
      <c r="U1040" s="1">
        <v>46077.309502314813</v>
      </c>
      <c r="V1040" t="s">
        <v>54</v>
      </c>
      <c r="W1040" t="s">
        <v>55</v>
      </c>
      <c r="X1040" t="s">
        <v>134</v>
      </c>
      <c r="Y1040" t="s">
        <v>1324</v>
      </c>
      <c r="Z1040" t="s">
        <v>58</v>
      </c>
      <c r="AA1040" t="s">
        <v>54</v>
      </c>
      <c r="AB1040" t="s">
        <v>1325</v>
      </c>
      <c r="AC1040" t="s">
        <v>85</v>
      </c>
      <c r="AD1040" t="s">
        <v>1321</v>
      </c>
      <c r="AE1040" t="s">
        <v>1322</v>
      </c>
      <c r="AF1040" t="s">
        <v>1326</v>
      </c>
      <c r="AG1040" t="s">
        <v>58</v>
      </c>
      <c r="AK1040">
        <v>0</v>
      </c>
      <c r="AL1040" t="s">
        <v>61</v>
      </c>
      <c r="AM1040" t="s">
        <v>1325</v>
      </c>
      <c r="AN1040" t="s">
        <v>1327</v>
      </c>
    </row>
    <row r="1041" spans="1:40" x14ac:dyDescent="0.35">
      <c r="A1041" t="s">
        <v>37</v>
      </c>
      <c r="B1041" t="s">
        <v>4999</v>
      </c>
      <c r="C1041" t="s">
        <v>102</v>
      </c>
      <c r="D1041" t="s">
        <v>761</v>
      </c>
      <c r="E1041" t="s">
        <v>762</v>
      </c>
      <c r="F1041" s="1">
        <v>46076.379652777781</v>
      </c>
      <c r="G1041" t="s">
        <v>105</v>
      </c>
      <c r="H1041" t="s">
        <v>106</v>
      </c>
      <c r="I1041" t="s">
        <v>5000</v>
      </c>
      <c r="J1041" t="s">
        <v>108</v>
      </c>
      <c r="K1041" t="s">
        <v>109</v>
      </c>
      <c r="M1041" t="s">
        <v>76</v>
      </c>
      <c r="O1041" t="s">
        <v>77</v>
      </c>
      <c r="P1041" t="s">
        <v>78</v>
      </c>
      <c r="Q1041" t="s">
        <v>50</v>
      </c>
      <c r="R1041" t="s">
        <v>111</v>
      </c>
      <c r="S1041" t="s">
        <v>51</v>
      </c>
      <c r="T1041" t="s">
        <v>1583</v>
      </c>
      <c r="U1041" s="1">
        <v>46076.435960648145</v>
      </c>
      <c r="V1041" t="s">
        <v>54</v>
      </c>
      <c r="W1041" t="s">
        <v>55</v>
      </c>
      <c r="X1041" t="s">
        <v>82</v>
      </c>
      <c r="Y1041" t="s">
        <v>5001</v>
      </c>
      <c r="Z1041" t="s">
        <v>58</v>
      </c>
      <c r="AA1041" t="s">
        <v>54</v>
      </c>
      <c r="AB1041" t="s">
        <v>115</v>
      </c>
      <c r="AC1041" t="s">
        <v>85</v>
      </c>
      <c r="AD1041" t="s">
        <v>116</v>
      </c>
      <c r="AE1041" t="s">
        <v>1586</v>
      </c>
      <c r="AF1041" t="s">
        <v>3126</v>
      </c>
      <c r="AG1041" t="s">
        <v>58</v>
      </c>
      <c r="AH1041" t="s">
        <v>765</v>
      </c>
      <c r="AK1041">
        <v>1</v>
      </c>
      <c r="AL1041" t="s">
        <v>61</v>
      </c>
      <c r="AM1041" t="s">
        <v>766</v>
      </c>
      <c r="AN1041" t="s">
        <v>767</v>
      </c>
    </row>
    <row r="1042" spans="1:40" x14ac:dyDescent="0.35">
      <c r="A1042" t="s">
        <v>37</v>
      </c>
      <c r="B1042" t="s">
        <v>5002</v>
      </c>
      <c r="C1042" t="s">
        <v>39</v>
      </c>
      <c r="D1042" t="s">
        <v>799</v>
      </c>
      <c r="E1042" t="s">
        <v>70</v>
      </c>
      <c r="F1042" s="1">
        <v>46076.377511574072</v>
      </c>
      <c r="G1042" t="s">
        <v>722</v>
      </c>
      <c r="H1042" t="s">
        <v>356</v>
      </c>
      <c r="I1042" t="s">
        <v>205</v>
      </c>
      <c r="J1042" t="s">
        <v>603</v>
      </c>
      <c r="K1042" t="s">
        <v>207</v>
      </c>
      <c r="M1042" t="s">
        <v>131</v>
      </c>
      <c r="O1042" t="s">
        <v>77</v>
      </c>
      <c r="P1042" t="s">
        <v>78</v>
      </c>
      <c r="Q1042" t="s">
        <v>50</v>
      </c>
      <c r="R1042" t="s">
        <v>208</v>
      </c>
      <c r="S1042" t="s">
        <v>209</v>
      </c>
      <c r="T1042" t="s">
        <v>210</v>
      </c>
      <c r="U1042" s="1">
        <v>46076.860173611109</v>
      </c>
      <c r="V1042" t="s">
        <v>54</v>
      </c>
      <c r="W1042" t="s">
        <v>55</v>
      </c>
      <c r="X1042" t="s">
        <v>211</v>
      </c>
      <c r="Y1042" t="s">
        <v>604</v>
      </c>
      <c r="Z1042" t="s">
        <v>58</v>
      </c>
      <c r="AA1042" t="s">
        <v>54</v>
      </c>
      <c r="AB1042" t="s">
        <v>213</v>
      </c>
      <c r="AC1042" t="s">
        <v>85</v>
      </c>
      <c r="AD1042" t="s">
        <v>214</v>
      </c>
      <c r="AE1042" t="s">
        <v>215</v>
      </c>
      <c r="AF1042" t="s">
        <v>216</v>
      </c>
      <c r="AG1042" t="s">
        <v>58</v>
      </c>
      <c r="AH1042">
        <v>12315</v>
      </c>
      <c r="AK1042">
        <v>1</v>
      </c>
      <c r="AL1042" t="s">
        <v>61</v>
      </c>
      <c r="AM1042" t="s">
        <v>5003</v>
      </c>
      <c r="AN1042" t="s">
        <v>5004</v>
      </c>
    </row>
    <row r="1043" spans="1:40" x14ac:dyDescent="0.35">
      <c r="A1043" t="s">
        <v>37</v>
      </c>
      <c r="B1043" t="s">
        <v>5005</v>
      </c>
      <c r="C1043" t="s">
        <v>39</v>
      </c>
      <c r="D1043" t="s">
        <v>943</v>
      </c>
      <c r="E1043" t="s">
        <v>5006</v>
      </c>
      <c r="F1043" s="1">
        <v>46076.375474537039</v>
      </c>
      <c r="G1043" t="s">
        <v>3396</v>
      </c>
      <c r="H1043" t="s">
        <v>106</v>
      </c>
      <c r="I1043" t="s">
        <v>1185</v>
      </c>
      <c r="J1043" t="s">
        <v>2406</v>
      </c>
      <c r="K1043" t="s">
        <v>1187</v>
      </c>
      <c r="M1043" t="s">
        <v>131</v>
      </c>
      <c r="O1043" t="s">
        <v>77</v>
      </c>
      <c r="P1043" t="s">
        <v>78</v>
      </c>
      <c r="Q1043" t="s">
        <v>3398</v>
      </c>
      <c r="R1043" t="s">
        <v>305</v>
      </c>
      <c r="S1043" t="s">
        <v>306</v>
      </c>
      <c r="T1043" t="s">
        <v>307</v>
      </c>
      <c r="U1043" s="1">
        <v>46077.567384259259</v>
      </c>
      <c r="V1043" t="s">
        <v>54</v>
      </c>
      <c r="W1043" t="s">
        <v>55</v>
      </c>
      <c r="X1043" t="s">
        <v>211</v>
      </c>
      <c r="Y1043" t="s">
        <v>5007</v>
      </c>
      <c r="Z1043" t="s">
        <v>58</v>
      </c>
      <c r="AA1043" t="s">
        <v>54</v>
      </c>
      <c r="AB1043" t="s">
        <v>213</v>
      </c>
      <c r="AC1043" t="s">
        <v>85</v>
      </c>
      <c r="AD1043" t="s">
        <v>1189</v>
      </c>
      <c r="AE1043" t="s">
        <v>1190</v>
      </c>
      <c r="AF1043" t="s">
        <v>1191</v>
      </c>
      <c r="AG1043" t="s">
        <v>58</v>
      </c>
      <c r="AH1043">
        <v>10524</v>
      </c>
      <c r="AK1043">
        <v>3</v>
      </c>
      <c r="AL1043" t="s">
        <v>61</v>
      </c>
      <c r="AM1043" t="s">
        <v>5008</v>
      </c>
      <c r="AN1043" t="s">
        <v>5009</v>
      </c>
    </row>
    <row r="1044" spans="1:40" x14ac:dyDescent="0.35">
      <c r="A1044" t="s">
        <v>37</v>
      </c>
      <c r="B1044" t="s">
        <v>5010</v>
      </c>
      <c r="C1044" t="s">
        <v>102</v>
      </c>
      <c r="D1044" t="s">
        <v>89</v>
      </c>
      <c r="E1044" t="s">
        <v>5011</v>
      </c>
      <c r="F1044" s="1">
        <v>46076.374965277777</v>
      </c>
      <c r="G1044" t="s">
        <v>771</v>
      </c>
      <c r="H1044" t="s">
        <v>92</v>
      </c>
      <c r="I1044" t="s">
        <v>5012</v>
      </c>
      <c r="J1044" t="s">
        <v>4070</v>
      </c>
      <c r="K1044" t="s">
        <v>951</v>
      </c>
      <c r="M1044" t="s">
        <v>76</v>
      </c>
      <c r="O1044" t="s">
        <v>237</v>
      </c>
      <c r="P1044" t="s">
        <v>238</v>
      </c>
      <c r="Q1044" t="s">
        <v>50</v>
      </c>
      <c r="R1044" t="s">
        <v>51</v>
      </c>
      <c r="S1044" t="s">
        <v>52</v>
      </c>
      <c r="T1044" t="s">
        <v>240</v>
      </c>
      <c r="U1044" s="1">
        <v>46078.305509259262</v>
      </c>
      <c r="V1044" t="s">
        <v>54</v>
      </c>
      <c r="W1044" t="s">
        <v>55</v>
      </c>
      <c r="X1044" t="s">
        <v>211</v>
      </c>
      <c r="Y1044" t="s">
        <v>5013</v>
      </c>
      <c r="Z1044" t="s">
        <v>58</v>
      </c>
      <c r="AA1044" t="s">
        <v>54</v>
      </c>
      <c r="AB1044" t="s">
        <v>213</v>
      </c>
      <c r="AC1044" t="s">
        <v>242</v>
      </c>
      <c r="AD1044" t="s">
        <v>51</v>
      </c>
      <c r="AE1044" t="s">
        <v>52</v>
      </c>
      <c r="AF1044" t="s">
        <v>240</v>
      </c>
      <c r="AG1044" t="s">
        <v>58</v>
      </c>
      <c r="AH1044" t="s">
        <v>5014</v>
      </c>
      <c r="AK1044">
        <v>5</v>
      </c>
      <c r="AL1044" t="s">
        <v>61</v>
      </c>
      <c r="AM1044" t="s">
        <v>5015</v>
      </c>
      <c r="AN1044" t="s">
        <v>5016</v>
      </c>
    </row>
    <row r="1045" spans="1:40" x14ac:dyDescent="0.35">
      <c r="A1045" t="s">
        <v>37</v>
      </c>
      <c r="B1045" t="s">
        <v>5017</v>
      </c>
      <c r="C1045" t="s">
        <v>39</v>
      </c>
      <c r="D1045" t="s">
        <v>325</v>
      </c>
      <c r="E1045" t="s">
        <v>4032</v>
      </c>
      <c r="F1045" s="1">
        <v>46076.373344907406</v>
      </c>
      <c r="G1045" t="s">
        <v>1094</v>
      </c>
      <c r="H1045" t="s">
        <v>447</v>
      </c>
      <c r="I1045" t="s">
        <v>1446</v>
      </c>
      <c r="J1045" t="s">
        <v>557</v>
      </c>
      <c r="K1045" t="s">
        <v>75</v>
      </c>
      <c r="M1045" t="s">
        <v>76</v>
      </c>
      <c r="O1045" t="s">
        <v>77</v>
      </c>
      <c r="P1045" t="s">
        <v>78</v>
      </c>
      <c r="Q1045" t="s">
        <v>50</v>
      </c>
      <c r="R1045" t="s">
        <v>305</v>
      </c>
      <c r="S1045" t="s">
        <v>306</v>
      </c>
      <c r="T1045" t="s">
        <v>307</v>
      </c>
      <c r="U1045" s="1">
        <v>46078.445185185185</v>
      </c>
      <c r="V1045" t="s">
        <v>54</v>
      </c>
      <c r="W1045" t="s">
        <v>55</v>
      </c>
      <c r="X1045" t="s">
        <v>211</v>
      </c>
      <c r="Y1045" t="s">
        <v>5018</v>
      </c>
      <c r="Z1045" t="s">
        <v>58</v>
      </c>
      <c r="AA1045" t="s">
        <v>54</v>
      </c>
      <c r="AB1045" t="s">
        <v>213</v>
      </c>
      <c r="AC1045" t="s">
        <v>85</v>
      </c>
      <c r="AD1045" t="s">
        <v>79</v>
      </c>
      <c r="AE1045" t="s">
        <v>1016</v>
      </c>
      <c r="AF1045" t="s">
        <v>4181</v>
      </c>
      <c r="AG1045" t="s">
        <v>58</v>
      </c>
      <c r="AH1045">
        <v>15792</v>
      </c>
      <c r="AK1045">
        <v>8</v>
      </c>
      <c r="AL1045" t="s">
        <v>61</v>
      </c>
      <c r="AM1045" t="s">
        <v>4033</v>
      </c>
      <c r="AN1045" t="s">
        <v>4034</v>
      </c>
    </row>
    <row r="1046" spans="1:40" x14ac:dyDescent="0.35">
      <c r="A1046" t="s">
        <v>37</v>
      </c>
      <c r="B1046" t="s">
        <v>5019</v>
      </c>
      <c r="C1046" t="s">
        <v>39</v>
      </c>
      <c r="D1046" t="s">
        <v>5020</v>
      </c>
      <c r="E1046" t="s">
        <v>5021</v>
      </c>
      <c r="F1046" s="1">
        <v>46076.372662037036</v>
      </c>
      <c r="G1046" t="s">
        <v>913</v>
      </c>
      <c r="H1046" t="s">
        <v>72</v>
      </c>
      <c r="I1046" t="s">
        <v>1196</v>
      </c>
      <c r="J1046" t="s">
        <v>394</v>
      </c>
      <c r="K1046" t="s">
        <v>75</v>
      </c>
      <c r="M1046" t="s">
        <v>76</v>
      </c>
      <c r="O1046" t="s">
        <v>77</v>
      </c>
      <c r="P1046" t="s">
        <v>78</v>
      </c>
      <c r="Q1046" t="s">
        <v>50</v>
      </c>
      <c r="R1046" t="s">
        <v>79</v>
      </c>
      <c r="S1046" t="s">
        <v>1078</v>
      </c>
      <c r="T1046" t="s">
        <v>1078</v>
      </c>
      <c r="U1046" s="1">
        <v>46076.372939814813</v>
      </c>
      <c r="V1046" t="s">
        <v>54</v>
      </c>
      <c r="W1046" t="s">
        <v>55</v>
      </c>
      <c r="X1046" t="s">
        <v>82</v>
      </c>
      <c r="Y1046" t="s">
        <v>1197</v>
      </c>
      <c r="Z1046" t="s">
        <v>58</v>
      </c>
      <c r="AA1046" t="s">
        <v>54</v>
      </c>
      <c r="AB1046" t="s">
        <v>396</v>
      </c>
      <c r="AC1046" t="s">
        <v>85</v>
      </c>
      <c r="AD1046" t="s">
        <v>79</v>
      </c>
      <c r="AE1046" t="s">
        <v>1078</v>
      </c>
      <c r="AF1046" t="s">
        <v>1078</v>
      </c>
      <c r="AG1046" t="s">
        <v>58</v>
      </c>
      <c r="AH1046">
        <v>13638</v>
      </c>
      <c r="AK1046">
        <v>0</v>
      </c>
      <c r="AL1046" t="s">
        <v>61</v>
      </c>
      <c r="AM1046" t="s">
        <v>5022</v>
      </c>
      <c r="AN1046" t="s">
        <v>5023</v>
      </c>
    </row>
    <row r="1047" spans="1:40" x14ac:dyDescent="0.35">
      <c r="A1047" t="s">
        <v>37</v>
      </c>
      <c r="B1047" t="s">
        <v>5024</v>
      </c>
      <c r="C1047" t="s">
        <v>39</v>
      </c>
      <c r="D1047" t="s">
        <v>2024</v>
      </c>
      <c r="E1047" t="s">
        <v>5025</v>
      </c>
      <c r="F1047" s="1">
        <v>46076.370810185188</v>
      </c>
      <c r="G1047" t="s">
        <v>3050</v>
      </c>
      <c r="H1047" t="s">
        <v>233</v>
      </c>
      <c r="I1047" t="s">
        <v>5026</v>
      </c>
      <c r="J1047" t="s">
        <v>5027</v>
      </c>
      <c r="K1047" t="s">
        <v>951</v>
      </c>
      <c r="M1047" t="s">
        <v>76</v>
      </c>
      <c r="O1047" t="s">
        <v>77</v>
      </c>
      <c r="P1047" t="s">
        <v>78</v>
      </c>
      <c r="Q1047" t="s">
        <v>50</v>
      </c>
      <c r="R1047" t="s">
        <v>79</v>
      </c>
      <c r="S1047" t="s">
        <v>952</v>
      </c>
      <c r="T1047" t="s">
        <v>5028</v>
      </c>
      <c r="U1047" s="1">
        <v>46077.458761574075</v>
      </c>
      <c r="V1047" t="s">
        <v>54</v>
      </c>
      <c r="W1047" t="s">
        <v>55</v>
      </c>
      <c r="X1047" t="s">
        <v>82</v>
      </c>
      <c r="Y1047" t="s">
        <v>5029</v>
      </c>
      <c r="Z1047" t="s">
        <v>58</v>
      </c>
      <c r="AA1047" t="s">
        <v>54</v>
      </c>
      <c r="AB1047" t="s">
        <v>1503</v>
      </c>
      <c r="AC1047" t="s">
        <v>85</v>
      </c>
      <c r="AD1047" t="s">
        <v>79</v>
      </c>
      <c r="AE1047" t="s">
        <v>952</v>
      </c>
      <c r="AF1047" t="s">
        <v>5028</v>
      </c>
      <c r="AG1047" t="s">
        <v>58</v>
      </c>
      <c r="AH1047">
        <v>15975</v>
      </c>
      <c r="AK1047">
        <v>5</v>
      </c>
      <c r="AL1047" t="s">
        <v>61</v>
      </c>
      <c r="AM1047" t="s">
        <v>5030</v>
      </c>
      <c r="AN1047" t="s">
        <v>5031</v>
      </c>
    </row>
    <row r="1048" spans="1:40" x14ac:dyDescent="0.35">
      <c r="A1048" t="s">
        <v>37</v>
      </c>
      <c r="B1048" t="s">
        <v>5032</v>
      </c>
      <c r="C1048" t="s">
        <v>39</v>
      </c>
      <c r="D1048" t="s">
        <v>303</v>
      </c>
      <c r="E1048" t="s">
        <v>5033</v>
      </c>
      <c r="F1048" s="1">
        <v>46076.3675</v>
      </c>
      <c r="G1048" t="s">
        <v>540</v>
      </c>
      <c r="H1048" t="s">
        <v>447</v>
      </c>
      <c r="I1048" t="s">
        <v>205</v>
      </c>
      <c r="J1048" t="s">
        <v>603</v>
      </c>
      <c r="K1048" t="s">
        <v>207</v>
      </c>
      <c r="M1048" t="s">
        <v>131</v>
      </c>
      <c r="O1048" t="s">
        <v>77</v>
      </c>
      <c r="P1048" t="s">
        <v>78</v>
      </c>
      <c r="Q1048" t="s">
        <v>818</v>
      </c>
      <c r="R1048" t="s">
        <v>208</v>
      </c>
      <c r="S1048" t="s">
        <v>209</v>
      </c>
      <c r="T1048" t="s">
        <v>210</v>
      </c>
      <c r="U1048" s="1">
        <v>46076.859409722223</v>
      </c>
      <c r="V1048" t="s">
        <v>54</v>
      </c>
      <c r="W1048" t="s">
        <v>55</v>
      </c>
      <c r="X1048" t="s">
        <v>211</v>
      </c>
      <c r="Y1048" t="s">
        <v>604</v>
      </c>
      <c r="Z1048" t="s">
        <v>58</v>
      </c>
      <c r="AA1048" t="s">
        <v>54</v>
      </c>
      <c r="AB1048" t="s">
        <v>213</v>
      </c>
      <c r="AC1048" t="s">
        <v>85</v>
      </c>
      <c r="AD1048" t="s">
        <v>214</v>
      </c>
      <c r="AE1048" t="s">
        <v>215</v>
      </c>
      <c r="AF1048" t="s">
        <v>216</v>
      </c>
      <c r="AG1048" t="s">
        <v>58</v>
      </c>
      <c r="AH1048">
        <v>1955</v>
      </c>
      <c r="AK1048">
        <v>1</v>
      </c>
      <c r="AL1048" t="s">
        <v>61</v>
      </c>
      <c r="AM1048" t="s">
        <v>5034</v>
      </c>
      <c r="AN1048" t="s">
        <v>5035</v>
      </c>
    </row>
    <row r="1049" spans="1:40" x14ac:dyDescent="0.35">
      <c r="A1049" t="s">
        <v>37</v>
      </c>
      <c r="B1049" t="s">
        <v>5036</v>
      </c>
      <c r="C1049" t="s">
        <v>39</v>
      </c>
      <c r="D1049" t="s">
        <v>1055</v>
      </c>
      <c r="E1049" t="s">
        <v>1056</v>
      </c>
      <c r="F1049" s="1">
        <v>46076.367222222223</v>
      </c>
      <c r="G1049" t="s">
        <v>355</v>
      </c>
      <c r="H1049" t="s">
        <v>356</v>
      </c>
      <c r="I1049" t="s">
        <v>1446</v>
      </c>
      <c r="J1049" t="s">
        <v>2406</v>
      </c>
      <c r="K1049" t="s">
        <v>1187</v>
      </c>
      <c r="M1049" t="s">
        <v>131</v>
      </c>
      <c r="O1049" t="s">
        <v>77</v>
      </c>
      <c r="P1049" t="s">
        <v>78</v>
      </c>
      <c r="Q1049" t="s">
        <v>50</v>
      </c>
      <c r="R1049" t="s">
        <v>51</v>
      </c>
      <c r="S1049" t="s">
        <v>52</v>
      </c>
      <c r="T1049" t="s">
        <v>773</v>
      </c>
      <c r="U1049" s="1">
        <v>46077.602951388886</v>
      </c>
      <c r="V1049" t="s">
        <v>54</v>
      </c>
      <c r="W1049" t="s">
        <v>55</v>
      </c>
      <c r="X1049" t="s">
        <v>211</v>
      </c>
      <c r="Y1049" t="s">
        <v>4120</v>
      </c>
      <c r="Z1049" t="s">
        <v>58</v>
      </c>
      <c r="AA1049" t="s">
        <v>54</v>
      </c>
      <c r="AB1049" t="s">
        <v>213</v>
      </c>
      <c r="AC1049" t="s">
        <v>85</v>
      </c>
      <c r="AD1049" t="s">
        <v>1189</v>
      </c>
      <c r="AE1049" t="s">
        <v>3436</v>
      </c>
      <c r="AF1049" t="s">
        <v>3437</v>
      </c>
      <c r="AG1049" t="s">
        <v>58</v>
      </c>
      <c r="AH1049" t="s">
        <v>1060</v>
      </c>
      <c r="AK1049">
        <v>6</v>
      </c>
      <c r="AL1049" t="s">
        <v>61</v>
      </c>
      <c r="AM1049" t="s">
        <v>1061</v>
      </c>
      <c r="AN1049" t="s">
        <v>1062</v>
      </c>
    </row>
    <row r="1050" spans="1:40" x14ac:dyDescent="0.35">
      <c r="A1050" t="s">
        <v>37</v>
      </c>
      <c r="B1050" t="s">
        <v>5037</v>
      </c>
      <c r="C1050" t="s">
        <v>102</v>
      </c>
      <c r="D1050" t="s">
        <v>4391</v>
      </c>
      <c r="E1050" t="s">
        <v>4392</v>
      </c>
      <c r="F1050" s="1">
        <v>46076.366261574076</v>
      </c>
      <c r="G1050" t="s">
        <v>393</v>
      </c>
      <c r="H1050" t="s">
        <v>92</v>
      </c>
      <c r="I1050" t="s">
        <v>5038</v>
      </c>
      <c r="J1050" t="s">
        <v>2531</v>
      </c>
      <c r="K1050" t="s">
        <v>2532</v>
      </c>
      <c r="M1050" t="s">
        <v>76</v>
      </c>
      <c r="O1050" t="s">
        <v>237</v>
      </c>
      <c r="P1050" t="s">
        <v>238</v>
      </c>
      <c r="Q1050" t="s">
        <v>50</v>
      </c>
      <c r="R1050" t="s">
        <v>51</v>
      </c>
      <c r="S1050" t="s">
        <v>52</v>
      </c>
      <c r="T1050" t="s">
        <v>240</v>
      </c>
      <c r="U1050" s="1">
        <v>46076.375787037039</v>
      </c>
      <c r="V1050" t="s">
        <v>54</v>
      </c>
      <c r="W1050" t="s">
        <v>55</v>
      </c>
      <c r="X1050" t="s">
        <v>211</v>
      </c>
      <c r="Y1050" t="e">
        <f>- Please note that, your username has been whitelisted now. kindly ensure that you are using only one device to punch.</f>
        <v>#NAME?</v>
      </c>
      <c r="Z1050" t="s">
        <v>58</v>
      </c>
      <c r="AA1050" t="s">
        <v>54</v>
      </c>
      <c r="AB1050" t="s">
        <v>213</v>
      </c>
      <c r="AC1050" t="s">
        <v>242</v>
      </c>
      <c r="AD1050" t="s">
        <v>52</v>
      </c>
      <c r="AE1050" t="s">
        <v>243</v>
      </c>
      <c r="AF1050" t="s">
        <v>2533</v>
      </c>
      <c r="AG1050" t="s">
        <v>58</v>
      </c>
      <c r="AH1050">
        <v>15908</v>
      </c>
      <c r="AK1050">
        <v>1</v>
      </c>
      <c r="AL1050" t="s">
        <v>61</v>
      </c>
      <c r="AM1050" t="s">
        <v>4394</v>
      </c>
      <c r="AN1050" t="s">
        <v>4395</v>
      </c>
    </row>
    <row r="1051" spans="1:40" x14ac:dyDescent="0.35">
      <c r="A1051" t="s">
        <v>37</v>
      </c>
      <c r="B1051" t="s">
        <v>5039</v>
      </c>
      <c r="C1051" t="s">
        <v>39</v>
      </c>
      <c r="D1051" t="s">
        <v>5040</v>
      </c>
      <c r="E1051" t="s">
        <v>5041</v>
      </c>
      <c r="F1051" s="1">
        <v>46076.365405092591</v>
      </c>
      <c r="G1051" t="s">
        <v>355</v>
      </c>
      <c r="H1051" t="s">
        <v>356</v>
      </c>
      <c r="I1051" t="s">
        <v>1446</v>
      </c>
      <c r="J1051" t="s">
        <v>2333</v>
      </c>
      <c r="K1051" t="s">
        <v>1187</v>
      </c>
      <c r="M1051" t="s">
        <v>76</v>
      </c>
      <c r="O1051" t="s">
        <v>77</v>
      </c>
      <c r="P1051" t="s">
        <v>78</v>
      </c>
      <c r="Q1051" t="s">
        <v>50</v>
      </c>
      <c r="R1051" t="s">
        <v>305</v>
      </c>
      <c r="S1051" t="s">
        <v>306</v>
      </c>
      <c r="T1051" t="s">
        <v>307</v>
      </c>
      <c r="U1051" s="1">
        <v>46078.324571759258</v>
      </c>
      <c r="V1051" t="s">
        <v>54</v>
      </c>
      <c r="W1051" t="s">
        <v>55</v>
      </c>
      <c r="X1051" t="s">
        <v>211</v>
      </c>
      <c r="Y1051" t="s">
        <v>5042</v>
      </c>
      <c r="Z1051" t="s">
        <v>58</v>
      </c>
      <c r="AA1051" t="s">
        <v>54</v>
      </c>
      <c r="AB1051" t="s">
        <v>213</v>
      </c>
      <c r="AC1051" t="s">
        <v>85</v>
      </c>
      <c r="AD1051" t="s">
        <v>1189</v>
      </c>
      <c r="AE1051" t="s">
        <v>3436</v>
      </c>
      <c r="AF1051" t="s">
        <v>3437</v>
      </c>
      <c r="AG1051" t="s">
        <v>58</v>
      </c>
      <c r="AH1051" t="s">
        <v>5043</v>
      </c>
      <c r="AK1051">
        <v>6</v>
      </c>
      <c r="AL1051" t="s">
        <v>61</v>
      </c>
      <c r="AM1051" t="s">
        <v>5044</v>
      </c>
      <c r="AN1051" t="s">
        <v>5045</v>
      </c>
    </row>
    <row r="1052" spans="1:40" x14ac:dyDescent="0.35">
      <c r="A1052" t="s">
        <v>37</v>
      </c>
      <c r="B1052" t="s">
        <v>5046</v>
      </c>
      <c r="C1052" t="s">
        <v>39</v>
      </c>
      <c r="D1052" t="s">
        <v>1184</v>
      </c>
      <c r="E1052" t="s">
        <v>272</v>
      </c>
      <c r="F1052" s="1">
        <v>46076.362708333334</v>
      </c>
      <c r="G1052" t="s">
        <v>355</v>
      </c>
      <c r="H1052" t="s">
        <v>356</v>
      </c>
      <c r="I1052" t="s">
        <v>1446</v>
      </c>
      <c r="J1052" t="s">
        <v>394</v>
      </c>
      <c r="K1052" t="s">
        <v>75</v>
      </c>
      <c r="M1052" t="s">
        <v>76</v>
      </c>
      <c r="O1052" t="s">
        <v>77</v>
      </c>
      <c r="P1052" t="s">
        <v>78</v>
      </c>
      <c r="Q1052" t="s">
        <v>50</v>
      </c>
      <c r="R1052" t="s">
        <v>305</v>
      </c>
      <c r="S1052" t="s">
        <v>306</v>
      </c>
      <c r="T1052" t="s">
        <v>307</v>
      </c>
      <c r="U1052" s="1">
        <v>46078.495995370373</v>
      </c>
      <c r="V1052" t="s">
        <v>54</v>
      </c>
      <c r="W1052" t="s">
        <v>55</v>
      </c>
      <c r="X1052" t="s">
        <v>211</v>
      </c>
      <c r="Y1052" t="s">
        <v>5047</v>
      </c>
      <c r="Z1052" t="s">
        <v>58</v>
      </c>
      <c r="AA1052" t="s">
        <v>54</v>
      </c>
      <c r="AB1052" t="s">
        <v>213</v>
      </c>
      <c r="AC1052" t="s">
        <v>85</v>
      </c>
      <c r="AD1052" t="s">
        <v>79</v>
      </c>
      <c r="AE1052" t="s">
        <v>1016</v>
      </c>
      <c r="AF1052" t="s">
        <v>4181</v>
      </c>
      <c r="AG1052" t="s">
        <v>58</v>
      </c>
      <c r="AH1052" t="s">
        <v>1192</v>
      </c>
      <c r="AK1052">
        <v>8</v>
      </c>
      <c r="AL1052" t="s">
        <v>61</v>
      </c>
      <c r="AM1052" t="s">
        <v>1193</v>
      </c>
      <c r="AN1052" t="s">
        <v>1194</v>
      </c>
    </row>
    <row r="1053" spans="1:40" x14ac:dyDescent="0.35">
      <c r="A1053" t="s">
        <v>37</v>
      </c>
      <c r="B1053" t="s">
        <v>5048</v>
      </c>
      <c r="C1053" t="s">
        <v>39</v>
      </c>
      <c r="D1053" t="s">
        <v>5049</v>
      </c>
      <c r="E1053" t="s">
        <v>5050</v>
      </c>
      <c r="F1053" s="1">
        <v>46076.371331018519</v>
      </c>
      <c r="G1053" t="s">
        <v>71</v>
      </c>
      <c r="H1053" t="s">
        <v>72</v>
      </c>
      <c r="I1053" t="s">
        <v>5051</v>
      </c>
      <c r="J1053" t="s">
        <v>695</v>
      </c>
      <c r="K1053" t="s">
        <v>75</v>
      </c>
      <c r="M1053" t="s">
        <v>76</v>
      </c>
      <c r="O1053" t="s">
        <v>77</v>
      </c>
      <c r="P1053" t="s">
        <v>78</v>
      </c>
      <c r="Q1053" t="s">
        <v>50</v>
      </c>
      <c r="R1053" t="s">
        <v>79</v>
      </c>
      <c r="S1053" t="s">
        <v>172</v>
      </c>
      <c r="T1053" t="s">
        <v>5052</v>
      </c>
      <c r="U1053" s="1">
        <v>46076.371562499997</v>
      </c>
      <c r="V1053" t="s">
        <v>54</v>
      </c>
      <c r="W1053" t="s">
        <v>55</v>
      </c>
      <c r="X1053" t="s">
        <v>82</v>
      </c>
      <c r="Y1053" t="s">
        <v>5053</v>
      </c>
      <c r="Z1053" t="s">
        <v>58</v>
      </c>
      <c r="AA1053" t="s">
        <v>54</v>
      </c>
      <c r="AB1053" t="s">
        <v>698</v>
      </c>
      <c r="AC1053" t="s">
        <v>85</v>
      </c>
      <c r="AD1053" t="s">
        <v>79</v>
      </c>
      <c r="AE1053" t="s">
        <v>172</v>
      </c>
      <c r="AF1053" t="s">
        <v>5054</v>
      </c>
      <c r="AG1053" t="s">
        <v>58</v>
      </c>
      <c r="AH1053" t="s">
        <v>5055</v>
      </c>
      <c r="AK1053">
        <v>0</v>
      </c>
      <c r="AL1053" t="s">
        <v>61</v>
      </c>
      <c r="AM1053" t="s">
        <v>5056</v>
      </c>
      <c r="AN1053" t="s">
        <v>5057</v>
      </c>
    </row>
    <row r="1054" spans="1:40" x14ac:dyDescent="0.35">
      <c r="A1054" t="s">
        <v>37</v>
      </c>
      <c r="B1054" t="s">
        <v>5058</v>
      </c>
      <c r="C1054" t="s">
        <v>102</v>
      </c>
      <c r="D1054" t="s">
        <v>5059</v>
      </c>
      <c r="E1054" t="s">
        <v>5060</v>
      </c>
      <c r="F1054" s="1">
        <v>46076.361805555556</v>
      </c>
      <c r="G1054" t="s">
        <v>540</v>
      </c>
      <c r="H1054" t="s">
        <v>447</v>
      </c>
      <c r="I1054" t="s">
        <v>5061</v>
      </c>
      <c r="J1054" t="s">
        <v>404</v>
      </c>
      <c r="K1054" t="s">
        <v>405</v>
      </c>
      <c r="M1054" t="s">
        <v>76</v>
      </c>
      <c r="O1054" t="s">
        <v>237</v>
      </c>
      <c r="P1054" t="s">
        <v>238</v>
      </c>
      <c r="Q1054" t="s">
        <v>50</v>
      </c>
      <c r="R1054" t="s">
        <v>51</v>
      </c>
      <c r="S1054" t="s">
        <v>52</v>
      </c>
      <c r="T1054" t="s">
        <v>240</v>
      </c>
      <c r="U1054" s="1">
        <v>46077.376307870371</v>
      </c>
      <c r="V1054" t="s">
        <v>54</v>
      </c>
      <c r="W1054" t="s">
        <v>55</v>
      </c>
      <c r="X1054" t="s">
        <v>211</v>
      </c>
      <c r="Y1054" t="s">
        <v>5062</v>
      </c>
      <c r="Z1054" t="s">
        <v>58</v>
      </c>
      <c r="AA1054" t="s">
        <v>54</v>
      </c>
      <c r="AB1054" t="s">
        <v>213</v>
      </c>
      <c r="AC1054" t="s">
        <v>242</v>
      </c>
      <c r="AD1054" t="s">
        <v>52</v>
      </c>
      <c r="AE1054" t="s">
        <v>243</v>
      </c>
      <c r="AF1054" t="s">
        <v>409</v>
      </c>
      <c r="AG1054" t="s">
        <v>58</v>
      </c>
      <c r="AH1054">
        <v>13592</v>
      </c>
      <c r="AK1054">
        <v>1</v>
      </c>
      <c r="AL1054" t="s">
        <v>61</v>
      </c>
      <c r="AM1054" t="s">
        <v>5063</v>
      </c>
      <c r="AN1054" t="s">
        <v>5064</v>
      </c>
    </row>
    <row r="1055" spans="1:40" x14ac:dyDescent="0.35">
      <c r="A1055" t="s">
        <v>37</v>
      </c>
      <c r="B1055" t="s">
        <v>5065</v>
      </c>
      <c r="C1055" t="s">
        <v>39</v>
      </c>
      <c r="D1055" t="s">
        <v>2512</v>
      </c>
      <c r="E1055" t="s">
        <v>513</v>
      </c>
      <c r="F1055" s="1">
        <v>46076.366840277777</v>
      </c>
      <c r="G1055" t="s">
        <v>1363</v>
      </c>
      <c r="H1055" t="s">
        <v>106</v>
      </c>
      <c r="I1055" t="s">
        <v>1196</v>
      </c>
      <c r="J1055" t="s">
        <v>394</v>
      </c>
      <c r="K1055" t="s">
        <v>75</v>
      </c>
      <c r="M1055" t="s">
        <v>76</v>
      </c>
      <c r="O1055" t="s">
        <v>77</v>
      </c>
      <c r="P1055" t="s">
        <v>78</v>
      </c>
      <c r="Q1055" t="s">
        <v>50</v>
      </c>
      <c r="R1055" t="s">
        <v>79</v>
      </c>
      <c r="S1055" t="s">
        <v>1078</v>
      </c>
      <c r="T1055" t="s">
        <v>1078</v>
      </c>
      <c r="U1055" s="1">
        <v>46076.367708333331</v>
      </c>
      <c r="V1055" t="s">
        <v>54</v>
      </c>
      <c r="W1055" t="s">
        <v>55</v>
      </c>
      <c r="X1055" t="s">
        <v>82</v>
      </c>
      <c r="Y1055" t="s">
        <v>1197</v>
      </c>
      <c r="Z1055" t="s">
        <v>58</v>
      </c>
      <c r="AA1055" t="s">
        <v>54</v>
      </c>
      <c r="AB1055" t="s">
        <v>396</v>
      </c>
      <c r="AC1055" t="s">
        <v>85</v>
      </c>
      <c r="AD1055" t="s">
        <v>79</v>
      </c>
      <c r="AE1055" t="s">
        <v>1078</v>
      </c>
      <c r="AF1055" t="s">
        <v>1078</v>
      </c>
      <c r="AG1055" t="s">
        <v>58</v>
      </c>
      <c r="AH1055">
        <v>12773</v>
      </c>
      <c r="AK1055">
        <v>0</v>
      </c>
      <c r="AL1055" t="s">
        <v>61</v>
      </c>
      <c r="AM1055" t="s">
        <v>2514</v>
      </c>
      <c r="AN1055" t="s">
        <v>2515</v>
      </c>
    </row>
    <row r="1056" spans="1:40" x14ac:dyDescent="0.35">
      <c r="A1056" t="s">
        <v>37</v>
      </c>
      <c r="B1056" t="s">
        <v>5066</v>
      </c>
      <c r="C1056" t="s">
        <v>39</v>
      </c>
      <c r="D1056" t="s">
        <v>1184</v>
      </c>
      <c r="E1056" t="s">
        <v>272</v>
      </c>
      <c r="F1056" s="1">
        <v>46076.36109953704</v>
      </c>
      <c r="G1056" t="s">
        <v>355</v>
      </c>
      <c r="H1056" t="s">
        <v>356</v>
      </c>
      <c r="I1056" t="s">
        <v>5067</v>
      </c>
      <c r="J1056" t="s">
        <v>1555</v>
      </c>
      <c r="K1056" t="s">
        <v>951</v>
      </c>
      <c r="M1056" t="s">
        <v>150</v>
      </c>
      <c r="O1056" t="s">
        <v>77</v>
      </c>
      <c r="P1056" t="s">
        <v>78</v>
      </c>
      <c r="Q1056" t="s">
        <v>50</v>
      </c>
      <c r="R1056" t="s">
        <v>305</v>
      </c>
      <c r="S1056" t="s">
        <v>306</v>
      </c>
      <c r="T1056" t="s">
        <v>307</v>
      </c>
      <c r="U1056" s="1">
        <v>46076.429988425924</v>
      </c>
      <c r="V1056" t="s">
        <v>54</v>
      </c>
      <c r="W1056" t="s">
        <v>55</v>
      </c>
      <c r="X1056" t="s">
        <v>211</v>
      </c>
      <c r="Y1056" t="s">
        <v>5068</v>
      </c>
      <c r="Z1056" t="s">
        <v>58</v>
      </c>
      <c r="AA1056" t="s">
        <v>54</v>
      </c>
      <c r="AB1056" t="s">
        <v>213</v>
      </c>
      <c r="AC1056" t="s">
        <v>85</v>
      </c>
      <c r="AD1056" t="s">
        <v>79</v>
      </c>
      <c r="AE1056" t="s">
        <v>642</v>
      </c>
      <c r="AF1056" t="s">
        <v>5069</v>
      </c>
      <c r="AG1056" t="s">
        <v>58</v>
      </c>
      <c r="AH1056" t="s">
        <v>1192</v>
      </c>
      <c r="AK1056">
        <v>3</v>
      </c>
      <c r="AL1056" t="s">
        <v>61</v>
      </c>
      <c r="AM1056" t="s">
        <v>1193</v>
      </c>
      <c r="AN1056" t="s">
        <v>1194</v>
      </c>
    </row>
    <row r="1057" spans="1:40" x14ac:dyDescent="0.35">
      <c r="A1057" t="s">
        <v>37</v>
      </c>
      <c r="B1057" t="s">
        <v>5070</v>
      </c>
      <c r="C1057" t="s">
        <v>39</v>
      </c>
      <c r="D1057" t="s">
        <v>5071</v>
      </c>
      <c r="E1057" t="s">
        <v>5072</v>
      </c>
      <c r="F1057" s="1">
        <v>46076.359907407408</v>
      </c>
      <c r="G1057" t="s">
        <v>688</v>
      </c>
      <c r="H1057" t="s">
        <v>106</v>
      </c>
      <c r="I1057" t="s">
        <v>205</v>
      </c>
      <c r="J1057" t="s">
        <v>603</v>
      </c>
      <c r="K1057" t="s">
        <v>207</v>
      </c>
      <c r="M1057" t="s">
        <v>131</v>
      </c>
      <c r="O1057" t="s">
        <v>77</v>
      </c>
      <c r="P1057" t="s">
        <v>78</v>
      </c>
      <c r="Q1057" t="s">
        <v>50</v>
      </c>
      <c r="R1057" t="s">
        <v>208</v>
      </c>
      <c r="S1057" t="s">
        <v>209</v>
      </c>
      <c r="T1057" t="s">
        <v>210</v>
      </c>
      <c r="U1057" s="1">
        <v>46076.816562499997</v>
      </c>
      <c r="V1057" t="s">
        <v>54</v>
      </c>
      <c r="W1057" t="s">
        <v>55</v>
      </c>
      <c r="X1057" t="s">
        <v>211</v>
      </c>
      <c r="Y1057" t="s">
        <v>604</v>
      </c>
      <c r="Z1057" t="s">
        <v>58</v>
      </c>
      <c r="AA1057" t="s">
        <v>54</v>
      </c>
      <c r="AB1057" t="s">
        <v>213</v>
      </c>
      <c r="AC1057" t="s">
        <v>85</v>
      </c>
      <c r="AD1057" t="s">
        <v>214</v>
      </c>
      <c r="AE1057" t="s">
        <v>215</v>
      </c>
      <c r="AF1057" t="s">
        <v>216</v>
      </c>
      <c r="AG1057" t="s">
        <v>58</v>
      </c>
      <c r="AH1057">
        <v>13699</v>
      </c>
      <c r="AK1057">
        <v>1</v>
      </c>
      <c r="AL1057" t="s">
        <v>61</v>
      </c>
      <c r="AM1057" t="s">
        <v>5073</v>
      </c>
      <c r="AN1057" t="s">
        <v>5074</v>
      </c>
    </row>
    <row r="1058" spans="1:40" x14ac:dyDescent="0.35">
      <c r="A1058" t="s">
        <v>37</v>
      </c>
      <c r="B1058" t="s">
        <v>5075</v>
      </c>
      <c r="C1058" t="s">
        <v>39</v>
      </c>
      <c r="D1058" t="s">
        <v>325</v>
      </c>
      <c r="E1058" t="s">
        <v>3434</v>
      </c>
      <c r="F1058" s="1">
        <v>46076.359224537038</v>
      </c>
      <c r="G1058" t="s">
        <v>855</v>
      </c>
      <c r="H1058" t="s">
        <v>447</v>
      </c>
      <c r="I1058" t="s">
        <v>205</v>
      </c>
      <c r="J1058" t="s">
        <v>603</v>
      </c>
      <c r="K1058" t="s">
        <v>207</v>
      </c>
      <c r="M1058" t="s">
        <v>131</v>
      </c>
      <c r="O1058" t="s">
        <v>77</v>
      </c>
      <c r="P1058" t="s">
        <v>78</v>
      </c>
      <c r="R1058" t="s">
        <v>208</v>
      </c>
      <c r="S1058" t="s">
        <v>209</v>
      </c>
      <c r="T1058" t="s">
        <v>210</v>
      </c>
      <c r="U1058" s="1">
        <v>46076.85864583333</v>
      </c>
      <c r="V1058" t="s">
        <v>54</v>
      </c>
      <c r="W1058" t="s">
        <v>55</v>
      </c>
      <c r="X1058" t="s">
        <v>211</v>
      </c>
      <c r="Y1058" t="s">
        <v>604</v>
      </c>
      <c r="Z1058" t="s">
        <v>58</v>
      </c>
      <c r="AA1058" t="s">
        <v>54</v>
      </c>
      <c r="AB1058" t="s">
        <v>213</v>
      </c>
      <c r="AC1058" t="s">
        <v>85</v>
      </c>
      <c r="AD1058" t="s">
        <v>214</v>
      </c>
      <c r="AE1058" t="s">
        <v>215</v>
      </c>
      <c r="AF1058" t="s">
        <v>216</v>
      </c>
      <c r="AG1058" t="s">
        <v>58</v>
      </c>
      <c r="AH1058" t="s">
        <v>3438</v>
      </c>
      <c r="AK1058">
        <v>1</v>
      </c>
      <c r="AL1058" t="s">
        <v>61</v>
      </c>
      <c r="AM1058" t="s">
        <v>3439</v>
      </c>
      <c r="AN1058" t="s">
        <v>3440</v>
      </c>
    </row>
    <row r="1059" spans="1:40" x14ac:dyDescent="0.35">
      <c r="A1059" t="s">
        <v>37</v>
      </c>
      <c r="B1059" t="s">
        <v>5076</v>
      </c>
      <c r="C1059" t="s">
        <v>39</v>
      </c>
      <c r="D1059" t="s">
        <v>225</v>
      </c>
      <c r="E1059" t="s">
        <v>5077</v>
      </c>
      <c r="F1059" s="1">
        <v>46076.358483796299</v>
      </c>
      <c r="G1059" t="s">
        <v>855</v>
      </c>
      <c r="H1059" t="s">
        <v>447</v>
      </c>
      <c r="I1059" t="s">
        <v>205</v>
      </c>
      <c r="J1059" t="s">
        <v>603</v>
      </c>
      <c r="K1059" t="s">
        <v>207</v>
      </c>
      <c r="M1059" t="s">
        <v>131</v>
      </c>
      <c r="O1059" t="s">
        <v>77</v>
      </c>
      <c r="P1059" t="s">
        <v>78</v>
      </c>
      <c r="Q1059" t="s">
        <v>50</v>
      </c>
      <c r="R1059" t="s">
        <v>208</v>
      </c>
      <c r="S1059" t="s">
        <v>209</v>
      </c>
      <c r="T1059" t="s">
        <v>210</v>
      </c>
      <c r="U1059" s="1">
        <v>46076.784016203703</v>
      </c>
      <c r="V1059" t="s">
        <v>54</v>
      </c>
      <c r="W1059" t="s">
        <v>55</v>
      </c>
      <c r="X1059" t="s">
        <v>211</v>
      </c>
      <c r="Y1059" t="s">
        <v>604</v>
      </c>
      <c r="Z1059" t="s">
        <v>58</v>
      </c>
      <c r="AA1059" t="s">
        <v>54</v>
      </c>
      <c r="AB1059" t="s">
        <v>213</v>
      </c>
      <c r="AC1059" t="s">
        <v>85</v>
      </c>
      <c r="AD1059" t="s">
        <v>214</v>
      </c>
      <c r="AE1059" t="s">
        <v>215</v>
      </c>
      <c r="AF1059" t="s">
        <v>216</v>
      </c>
      <c r="AG1059" t="s">
        <v>58</v>
      </c>
      <c r="AH1059">
        <v>13552</v>
      </c>
      <c r="AK1059">
        <v>1</v>
      </c>
      <c r="AL1059" t="s">
        <v>61</v>
      </c>
      <c r="AM1059" t="s">
        <v>5078</v>
      </c>
      <c r="AN1059" t="s">
        <v>5079</v>
      </c>
    </row>
    <row r="1060" spans="1:40" x14ac:dyDescent="0.35">
      <c r="A1060" t="s">
        <v>37</v>
      </c>
      <c r="B1060" t="s">
        <v>5080</v>
      </c>
      <c r="C1060" t="s">
        <v>102</v>
      </c>
      <c r="D1060" t="s">
        <v>1698</v>
      </c>
      <c r="E1060" t="s">
        <v>584</v>
      </c>
      <c r="F1060" s="1">
        <v>46077.219606481478</v>
      </c>
      <c r="G1060" t="s">
        <v>105</v>
      </c>
      <c r="H1060" t="s">
        <v>106</v>
      </c>
      <c r="I1060" t="s">
        <v>5081</v>
      </c>
      <c r="J1060" t="s">
        <v>108</v>
      </c>
      <c r="K1060" t="s">
        <v>109</v>
      </c>
      <c r="M1060" t="s">
        <v>76</v>
      </c>
      <c r="O1060" t="s">
        <v>77</v>
      </c>
      <c r="P1060" t="s">
        <v>78</v>
      </c>
      <c r="Q1060" t="s">
        <v>50</v>
      </c>
      <c r="R1060" t="s">
        <v>111</v>
      </c>
      <c r="S1060" t="s">
        <v>51</v>
      </c>
      <c r="T1060" t="s">
        <v>112</v>
      </c>
      <c r="U1060" s="1">
        <v>46077.346319444441</v>
      </c>
      <c r="V1060" t="s">
        <v>54</v>
      </c>
      <c r="W1060" t="s">
        <v>55</v>
      </c>
      <c r="X1060" t="s">
        <v>134</v>
      </c>
      <c r="Y1060" t="s">
        <v>5082</v>
      </c>
      <c r="Z1060" t="s">
        <v>58</v>
      </c>
      <c r="AA1060" t="s">
        <v>54</v>
      </c>
      <c r="AB1060" t="s">
        <v>1701</v>
      </c>
      <c r="AC1060" t="s">
        <v>85</v>
      </c>
      <c r="AD1060" t="s">
        <v>116</v>
      </c>
      <c r="AE1060" t="s">
        <v>117</v>
      </c>
      <c r="AF1060" t="s">
        <v>3110</v>
      </c>
      <c r="AG1060" t="s">
        <v>58</v>
      </c>
      <c r="AK1060">
        <v>1</v>
      </c>
      <c r="AL1060" t="s">
        <v>61</v>
      </c>
      <c r="AM1060" t="s">
        <v>1701</v>
      </c>
      <c r="AN1060" t="s">
        <v>1702</v>
      </c>
    </row>
    <row r="1061" spans="1:40" x14ac:dyDescent="0.35">
      <c r="A1061" t="s">
        <v>37</v>
      </c>
      <c r="B1061" t="s">
        <v>5083</v>
      </c>
      <c r="C1061" t="s">
        <v>102</v>
      </c>
      <c r="D1061" t="s">
        <v>1698</v>
      </c>
      <c r="E1061" t="s">
        <v>584</v>
      </c>
      <c r="F1061" s="1">
        <v>46077.219606481478</v>
      </c>
      <c r="G1061" t="s">
        <v>105</v>
      </c>
      <c r="H1061" t="s">
        <v>106</v>
      </c>
      <c r="I1061" t="s">
        <v>5084</v>
      </c>
      <c r="J1061" t="s">
        <v>108</v>
      </c>
      <c r="K1061" t="s">
        <v>109</v>
      </c>
      <c r="M1061" t="s">
        <v>76</v>
      </c>
      <c r="O1061" t="s">
        <v>77</v>
      </c>
      <c r="P1061" t="s">
        <v>78</v>
      </c>
      <c r="Q1061" t="s">
        <v>50</v>
      </c>
      <c r="R1061" t="s">
        <v>111</v>
      </c>
      <c r="S1061" t="s">
        <v>51</v>
      </c>
      <c r="T1061" t="s">
        <v>112</v>
      </c>
      <c r="U1061" s="1">
        <v>46077.346990740742</v>
      </c>
      <c r="V1061" t="s">
        <v>54</v>
      </c>
      <c r="W1061" t="s">
        <v>55</v>
      </c>
      <c r="X1061" t="s">
        <v>134</v>
      </c>
      <c r="Y1061" t="s">
        <v>5085</v>
      </c>
      <c r="Z1061" t="s">
        <v>58</v>
      </c>
      <c r="AA1061" t="s">
        <v>54</v>
      </c>
      <c r="AB1061" t="s">
        <v>1701</v>
      </c>
      <c r="AC1061" t="s">
        <v>85</v>
      </c>
      <c r="AD1061" t="s">
        <v>116</v>
      </c>
      <c r="AE1061" t="s">
        <v>117</v>
      </c>
      <c r="AF1061" t="s">
        <v>3110</v>
      </c>
      <c r="AG1061" t="s">
        <v>58</v>
      </c>
      <c r="AK1061">
        <v>1</v>
      </c>
      <c r="AL1061" t="s">
        <v>61</v>
      </c>
      <c r="AM1061" t="s">
        <v>1701</v>
      </c>
      <c r="AN1061" t="s">
        <v>1702</v>
      </c>
    </row>
    <row r="1062" spans="1:40" x14ac:dyDescent="0.35">
      <c r="A1062" t="s">
        <v>37</v>
      </c>
      <c r="B1062" t="s">
        <v>5086</v>
      </c>
      <c r="C1062" t="s">
        <v>102</v>
      </c>
      <c r="D1062" t="s">
        <v>1698</v>
      </c>
      <c r="E1062" t="s">
        <v>584</v>
      </c>
      <c r="F1062" s="1">
        <v>46077.101400462961</v>
      </c>
      <c r="G1062" t="s">
        <v>105</v>
      </c>
      <c r="H1062" t="s">
        <v>106</v>
      </c>
      <c r="I1062" t="s">
        <v>1704</v>
      </c>
      <c r="J1062" t="s">
        <v>108</v>
      </c>
      <c r="K1062" t="s">
        <v>571</v>
      </c>
      <c r="M1062" t="s">
        <v>76</v>
      </c>
      <c r="O1062" t="s">
        <v>77</v>
      </c>
      <c r="P1062" t="s">
        <v>78</v>
      </c>
      <c r="Q1062" t="s">
        <v>50</v>
      </c>
      <c r="R1062" t="s">
        <v>111</v>
      </c>
      <c r="S1062" t="s">
        <v>51</v>
      </c>
      <c r="T1062" t="s">
        <v>112</v>
      </c>
      <c r="U1062" s="1">
        <v>46077.224699074075</v>
      </c>
      <c r="V1062" t="s">
        <v>54</v>
      </c>
      <c r="W1062" t="s">
        <v>55</v>
      </c>
      <c r="X1062" t="s">
        <v>134</v>
      </c>
      <c r="Y1062" t="s">
        <v>1923</v>
      </c>
      <c r="Z1062" t="s">
        <v>58</v>
      </c>
      <c r="AA1062" t="s">
        <v>54</v>
      </c>
      <c r="AB1062" t="s">
        <v>1701</v>
      </c>
      <c r="AC1062" t="s">
        <v>85</v>
      </c>
      <c r="AD1062" t="s">
        <v>116</v>
      </c>
      <c r="AE1062" t="s">
        <v>574</v>
      </c>
      <c r="AF1062" t="s">
        <v>144</v>
      </c>
      <c r="AG1062" t="s">
        <v>58</v>
      </c>
      <c r="AK1062">
        <v>1</v>
      </c>
      <c r="AL1062" t="s">
        <v>61</v>
      </c>
      <c r="AM1062" t="s">
        <v>1701</v>
      </c>
      <c r="AN1062" t="s">
        <v>1702</v>
      </c>
    </row>
    <row r="1063" spans="1:40" x14ac:dyDescent="0.35">
      <c r="A1063" t="s">
        <v>37</v>
      </c>
      <c r="B1063" t="s">
        <v>5087</v>
      </c>
      <c r="C1063" t="s">
        <v>102</v>
      </c>
      <c r="D1063" t="s">
        <v>1698</v>
      </c>
      <c r="E1063" t="s">
        <v>584</v>
      </c>
      <c r="F1063" s="1">
        <v>46077.09574074074</v>
      </c>
      <c r="G1063" t="s">
        <v>105</v>
      </c>
      <c r="H1063" t="s">
        <v>106</v>
      </c>
      <c r="I1063" t="s">
        <v>5088</v>
      </c>
      <c r="J1063" t="s">
        <v>108</v>
      </c>
      <c r="K1063" t="s">
        <v>109</v>
      </c>
      <c r="M1063" t="s">
        <v>76</v>
      </c>
      <c r="O1063" t="s">
        <v>77</v>
      </c>
      <c r="P1063" t="s">
        <v>78</v>
      </c>
      <c r="Q1063" t="s">
        <v>50</v>
      </c>
      <c r="R1063" t="s">
        <v>111</v>
      </c>
      <c r="S1063" t="s">
        <v>51</v>
      </c>
      <c r="T1063" t="s">
        <v>112</v>
      </c>
      <c r="U1063" s="1">
        <v>46077.258935185186</v>
      </c>
      <c r="V1063" t="s">
        <v>54</v>
      </c>
      <c r="W1063" t="s">
        <v>55</v>
      </c>
      <c r="X1063" t="s">
        <v>134</v>
      </c>
      <c r="Y1063" t="s">
        <v>5089</v>
      </c>
      <c r="Z1063" t="s">
        <v>58</v>
      </c>
      <c r="AA1063" t="s">
        <v>54</v>
      </c>
      <c r="AB1063" t="s">
        <v>1701</v>
      </c>
      <c r="AC1063" t="s">
        <v>85</v>
      </c>
      <c r="AD1063" t="s">
        <v>116</v>
      </c>
      <c r="AE1063" t="s">
        <v>117</v>
      </c>
      <c r="AF1063" t="s">
        <v>3110</v>
      </c>
      <c r="AG1063" t="s">
        <v>58</v>
      </c>
      <c r="AK1063">
        <v>1</v>
      </c>
      <c r="AL1063" t="s">
        <v>61</v>
      </c>
      <c r="AM1063" t="s">
        <v>1701</v>
      </c>
      <c r="AN1063" t="s">
        <v>1702</v>
      </c>
    </row>
    <row r="1064" spans="1:40" x14ac:dyDescent="0.35">
      <c r="A1064" t="s">
        <v>37</v>
      </c>
      <c r="B1064" t="s">
        <v>5090</v>
      </c>
      <c r="C1064" t="s">
        <v>102</v>
      </c>
      <c r="D1064" t="s">
        <v>1698</v>
      </c>
      <c r="E1064" t="s">
        <v>584</v>
      </c>
      <c r="F1064" s="1">
        <v>46077.092164351852</v>
      </c>
      <c r="G1064" t="s">
        <v>105</v>
      </c>
      <c r="H1064" t="s">
        <v>106</v>
      </c>
      <c r="I1064" t="s">
        <v>2480</v>
      </c>
      <c r="J1064" t="s">
        <v>108</v>
      </c>
      <c r="K1064" t="s">
        <v>571</v>
      </c>
      <c r="M1064" t="s">
        <v>76</v>
      </c>
      <c r="O1064" t="s">
        <v>77</v>
      </c>
      <c r="P1064" t="s">
        <v>78</v>
      </c>
      <c r="Q1064" t="s">
        <v>50</v>
      </c>
      <c r="R1064" t="s">
        <v>111</v>
      </c>
      <c r="S1064" t="s">
        <v>51</v>
      </c>
      <c r="T1064" t="s">
        <v>112</v>
      </c>
      <c r="U1064" s="1">
        <v>46077.276053240741</v>
      </c>
      <c r="V1064" t="s">
        <v>54</v>
      </c>
      <c r="W1064" t="s">
        <v>55</v>
      </c>
      <c r="X1064" t="s">
        <v>134</v>
      </c>
      <c r="Y1064" t="s">
        <v>1923</v>
      </c>
      <c r="Z1064" t="s">
        <v>58</v>
      </c>
      <c r="AA1064" t="s">
        <v>54</v>
      </c>
      <c r="AB1064" t="s">
        <v>1701</v>
      </c>
      <c r="AC1064" t="s">
        <v>85</v>
      </c>
      <c r="AD1064" t="s">
        <v>116</v>
      </c>
      <c r="AE1064" t="s">
        <v>574</v>
      </c>
      <c r="AF1064" t="s">
        <v>144</v>
      </c>
      <c r="AG1064" t="s">
        <v>58</v>
      </c>
      <c r="AK1064">
        <v>1</v>
      </c>
      <c r="AL1064" t="s">
        <v>61</v>
      </c>
      <c r="AM1064" t="s">
        <v>1701</v>
      </c>
      <c r="AN1064" t="s">
        <v>1702</v>
      </c>
    </row>
    <row r="1065" spans="1:40" x14ac:dyDescent="0.35">
      <c r="A1065" t="s">
        <v>37</v>
      </c>
      <c r="B1065" t="s">
        <v>5091</v>
      </c>
      <c r="C1065" t="s">
        <v>102</v>
      </c>
      <c r="D1065" t="s">
        <v>1698</v>
      </c>
      <c r="E1065" t="s">
        <v>584</v>
      </c>
      <c r="F1065" s="1">
        <v>46076.954560185186</v>
      </c>
      <c r="G1065" t="s">
        <v>105</v>
      </c>
      <c r="H1065" t="s">
        <v>106</v>
      </c>
      <c r="I1065" t="s">
        <v>5092</v>
      </c>
      <c r="J1065" t="s">
        <v>108</v>
      </c>
      <c r="K1065" t="s">
        <v>109</v>
      </c>
      <c r="M1065" t="s">
        <v>76</v>
      </c>
      <c r="O1065" t="s">
        <v>77</v>
      </c>
      <c r="P1065" t="s">
        <v>78</v>
      </c>
      <c r="Q1065" t="s">
        <v>50</v>
      </c>
      <c r="R1065" t="s">
        <v>111</v>
      </c>
      <c r="S1065" t="s">
        <v>51</v>
      </c>
      <c r="T1065" t="s">
        <v>112</v>
      </c>
      <c r="U1065" s="1">
        <v>46076.993078703701</v>
      </c>
      <c r="V1065" t="s">
        <v>54</v>
      </c>
      <c r="W1065" t="s">
        <v>55</v>
      </c>
      <c r="X1065" t="s">
        <v>134</v>
      </c>
      <c r="Y1065" t="s">
        <v>5093</v>
      </c>
      <c r="Z1065" t="s">
        <v>58</v>
      </c>
      <c r="AA1065" t="s">
        <v>54</v>
      </c>
      <c r="AB1065" t="s">
        <v>1701</v>
      </c>
      <c r="AC1065" t="s">
        <v>85</v>
      </c>
      <c r="AD1065" t="s">
        <v>116</v>
      </c>
      <c r="AE1065" t="s">
        <v>117</v>
      </c>
      <c r="AF1065" t="s">
        <v>1724</v>
      </c>
      <c r="AG1065" t="s">
        <v>58</v>
      </c>
      <c r="AK1065">
        <v>1</v>
      </c>
      <c r="AL1065" t="s">
        <v>61</v>
      </c>
      <c r="AM1065" t="s">
        <v>1701</v>
      </c>
      <c r="AN1065" t="s">
        <v>1702</v>
      </c>
    </row>
    <row r="1066" spans="1:40" x14ac:dyDescent="0.35">
      <c r="A1066" t="s">
        <v>37</v>
      </c>
      <c r="B1066" t="s">
        <v>5094</v>
      </c>
      <c r="C1066" t="s">
        <v>102</v>
      </c>
      <c r="D1066" t="s">
        <v>1698</v>
      </c>
      <c r="E1066" t="s">
        <v>584</v>
      </c>
      <c r="F1066" s="1">
        <v>46076.953055555554</v>
      </c>
      <c r="G1066" t="s">
        <v>105</v>
      </c>
      <c r="H1066" t="s">
        <v>106</v>
      </c>
      <c r="I1066" t="s">
        <v>3517</v>
      </c>
      <c r="J1066" t="s">
        <v>108</v>
      </c>
      <c r="K1066" t="s">
        <v>571</v>
      </c>
      <c r="M1066" t="s">
        <v>150</v>
      </c>
      <c r="O1066" t="s">
        <v>77</v>
      </c>
      <c r="P1066" t="s">
        <v>78</v>
      </c>
      <c r="Q1066" t="s">
        <v>50</v>
      </c>
      <c r="R1066" t="s">
        <v>111</v>
      </c>
      <c r="S1066" t="s">
        <v>51</v>
      </c>
      <c r="T1066" t="s">
        <v>112</v>
      </c>
      <c r="U1066" s="1">
        <v>46077.275358796294</v>
      </c>
      <c r="V1066" t="s">
        <v>54</v>
      </c>
      <c r="W1066" t="s">
        <v>55</v>
      </c>
      <c r="X1066" t="s">
        <v>134</v>
      </c>
      <c r="Y1066" t="s">
        <v>5095</v>
      </c>
      <c r="Z1066" t="s">
        <v>58</v>
      </c>
      <c r="AA1066" t="s">
        <v>54</v>
      </c>
      <c r="AB1066" t="s">
        <v>1701</v>
      </c>
      <c r="AC1066" t="s">
        <v>85</v>
      </c>
      <c r="AD1066" t="s">
        <v>116</v>
      </c>
      <c r="AE1066" t="s">
        <v>574</v>
      </c>
      <c r="AF1066" t="s">
        <v>575</v>
      </c>
      <c r="AG1066" t="s">
        <v>58</v>
      </c>
      <c r="AK1066">
        <v>1</v>
      </c>
      <c r="AL1066" t="s">
        <v>61</v>
      </c>
      <c r="AM1066" t="s">
        <v>1701</v>
      </c>
      <c r="AN1066" t="s">
        <v>1702</v>
      </c>
    </row>
    <row r="1067" spans="1:40" x14ac:dyDescent="0.35">
      <c r="A1067" t="s">
        <v>37</v>
      </c>
      <c r="B1067" t="s">
        <v>5096</v>
      </c>
      <c r="C1067" t="s">
        <v>102</v>
      </c>
      <c r="D1067" t="s">
        <v>1698</v>
      </c>
      <c r="E1067" t="s">
        <v>584</v>
      </c>
      <c r="F1067" s="1">
        <v>46076.94599537037</v>
      </c>
      <c r="G1067" t="s">
        <v>105</v>
      </c>
      <c r="H1067" t="s">
        <v>106</v>
      </c>
      <c r="I1067" t="s">
        <v>3517</v>
      </c>
      <c r="J1067" t="s">
        <v>108</v>
      </c>
      <c r="K1067" t="s">
        <v>571</v>
      </c>
      <c r="M1067" t="s">
        <v>76</v>
      </c>
      <c r="O1067" t="s">
        <v>77</v>
      </c>
      <c r="P1067" t="s">
        <v>78</v>
      </c>
      <c r="Q1067" t="s">
        <v>50</v>
      </c>
      <c r="R1067" t="s">
        <v>111</v>
      </c>
      <c r="S1067" t="s">
        <v>51</v>
      </c>
      <c r="T1067" t="s">
        <v>112</v>
      </c>
      <c r="U1067" s="1">
        <v>46077.275694444441</v>
      </c>
      <c r="V1067" t="s">
        <v>54</v>
      </c>
      <c r="W1067" t="s">
        <v>55</v>
      </c>
      <c r="X1067" t="s">
        <v>134</v>
      </c>
      <c r="Y1067" t="s">
        <v>1923</v>
      </c>
      <c r="Z1067" t="s">
        <v>58</v>
      </c>
      <c r="AA1067" t="s">
        <v>54</v>
      </c>
      <c r="AB1067" t="s">
        <v>1701</v>
      </c>
      <c r="AC1067" t="s">
        <v>85</v>
      </c>
      <c r="AD1067" t="s">
        <v>116</v>
      </c>
      <c r="AE1067" t="s">
        <v>574</v>
      </c>
      <c r="AF1067" t="s">
        <v>144</v>
      </c>
      <c r="AG1067" t="s">
        <v>58</v>
      </c>
      <c r="AK1067">
        <v>1</v>
      </c>
      <c r="AL1067" t="s">
        <v>61</v>
      </c>
      <c r="AM1067" t="s">
        <v>1701</v>
      </c>
      <c r="AN1067" t="s">
        <v>1702</v>
      </c>
    </row>
    <row r="1068" spans="1:40" x14ac:dyDescent="0.35">
      <c r="A1068" t="s">
        <v>37</v>
      </c>
      <c r="B1068" t="s">
        <v>5097</v>
      </c>
      <c r="C1068" t="s">
        <v>102</v>
      </c>
      <c r="D1068" t="s">
        <v>1698</v>
      </c>
      <c r="E1068" t="s">
        <v>584</v>
      </c>
      <c r="F1068" s="1">
        <v>46076.941678240742</v>
      </c>
      <c r="G1068" t="s">
        <v>105</v>
      </c>
      <c r="H1068" t="s">
        <v>106</v>
      </c>
      <c r="I1068" t="s">
        <v>1902</v>
      </c>
      <c r="J1068" t="s">
        <v>108</v>
      </c>
      <c r="K1068" t="s">
        <v>109</v>
      </c>
      <c r="M1068" t="s">
        <v>76</v>
      </c>
      <c r="O1068" t="s">
        <v>77</v>
      </c>
      <c r="P1068" t="s">
        <v>78</v>
      </c>
      <c r="Q1068" t="s">
        <v>50</v>
      </c>
      <c r="R1068" t="s">
        <v>111</v>
      </c>
      <c r="S1068" t="s">
        <v>51</v>
      </c>
      <c r="T1068" t="s">
        <v>112</v>
      </c>
      <c r="U1068" s="1">
        <v>46077.508553240739</v>
      </c>
      <c r="V1068" t="s">
        <v>54</v>
      </c>
      <c r="W1068" t="s">
        <v>1584</v>
      </c>
      <c r="X1068" t="s">
        <v>134</v>
      </c>
      <c r="Y1068" t="s">
        <v>5098</v>
      </c>
      <c r="Z1068" t="s">
        <v>58</v>
      </c>
      <c r="AA1068" t="s">
        <v>54</v>
      </c>
      <c r="AB1068" t="s">
        <v>1701</v>
      </c>
      <c r="AC1068" t="s">
        <v>85</v>
      </c>
      <c r="AD1068" t="s">
        <v>116</v>
      </c>
      <c r="AE1068" t="s">
        <v>117</v>
      </c>
      <c r="AF1068" t="s">
        <v>1706</v>
      </c>
      <c r="AG1068" t="s">
        <v>58</v>
      </c>
      <c r="AK1068">
        <v>1</v>
      </c>
      <c r="AL1068" t="s">
        <v>61</v>
      </c>
      <c r="AM1068" t="s">
        <v>1701</v>
      </c>
      <c r="AN1068" t="s">
        <v>1702</v>
      </c>
    </row>
    <row r="1069" spans="1:40" x14ac:dyDescent="0.35">
      <c r="A1069" t="s">
        <v>37</v>
      </c>
      <c r="B1069" t="s">
        <v>5099</v>
      </c>
      <c r="C1069" t="s">
        <v>102</v>
      </c>
      <c r="D1069" t="s">
        <v>1698</v>
      </c>
      <c r="E1069" t="s">
        <v>584</v>
      </c>
      <c r="F1069" s="1">
        <v>46076.886041666665</v>
      </c>
      <c r="G1069" t="s">
        <v>105</v>
      </c>
      <c r="H1069" t="s">
        <v>106</v>
      </c>
      <c r="I1069" t="s">
        <v>5100</v>
      </c>
      <c r="J1069" t="s">
        <v>108</v>
      </c>
      <c r="K1069" t="s">
        <v>341</v>
      </c>
      <c r="M1069" t="s">
        <v>76</v>
      </c>
      <c r="O1069" t="s">
        <v>77</v>
      </c>
      <c r="P1069" t="s">
        <v>78</v>
      </c>
      <c r="Q1069" t="s">
        <v>50</v>
      </c>
      <c r="R1069" t="s">
        <v>111</v>
      </c>
      <c r="S1069" t="s">
        <v>51</v>
      </c>
      <c r="T1069" t="s">
        <v>112</v>
      </c>
      <c r="U1069" s="1">
        <v>46077.344641203701</v>
      </c>
      <c r="V1069" t="s">
        <v>54</v>
      </c>
      <c r="X1069" t="s">
        <v>134</v>
      </c>
      <c r="Y1069" t="s">
        <v>5101</v>
      </c>
      <c r="Z1069" t="s">
        <v>58</v>
      </c>
      <c r="AA1069" t="s">
        <v>54</v>
      </c>
      <c r="AB1069" t="s">
        <v>1701</v>
      </c>
      <c r="AC1069" t="s">
        <v>85</v>
      </c>
      <c r="AD1069" t="s">
        <v>116</v>
      </c>
      <c r="AE1069" t="s">
        <v>117</v>
      </c>
      <c r="AF1069" t="s">
        <v>1740</v>
      </c>
      <c r="AG1069" t="s">
        <v>58</v>
      </c>
      <c r="AK1069">
        <v>1</v>
      </c>
      <c r="AL1069" t="s">
        <v>61</v>
      </c>
      <c r="AM1069" t="s">
        <v>1701</v>
      </c>
      <c r="AN1069" t="s">
        <v>1702</v>
      </c>
    </row>
    <row r="1070" spans="1:40" x14ac:dyDescent="0.35">
      <c r="A1070" t="s">
        <v>37</v>
      </c>
      <c r="B1070" t="s">
        <v>5102</v>
      </c>
      <c r="C1070" t="s">
        <v>102</v>
      </c>
      <c r="D1070" t="s">
        <v>1698</v>
      </c>
      <c r="E1070" t="s">
        <v>584</v>
      </c>
      <c r="F1070" s="1">
        <v>46076.845706018517</v>
      </c>
      <c r="G1070" t="s">
        <v>105</v>
      </c>
      <c r="H1070" t="s">
        <v>106</v>
      </c>
      <c r="I1070" t="s">
        <v>5103</v>
      </c>
      <c r="J1070" t="s">
        <v>108</v>
      </c>
      <c r="K1070" t="s">
        <v>109</v>
      </c>
      <c r="M1070" t="s">
        <v>76</v>
      </c>
      <c r="O1070" t="s">
        <v>77</v>
      </c>
      <c r="P1070" t="s">
        <v>78</v>
      </c>
      <c r="Q1070" t="s">
        <v>50</v>
      </c>
      <c r="R1070" t="s">
        <v>111</v>
      </c>
      <c r="S1070" t="s">
        <v>51</v>
      </c>
      <c r="T1070" t="s">
        <v>112</v>
      </c>
      <c r="U1070" s="1">
        <v>46076.943703703706</v>
      </c>
      <c r="V1070" t="s">
        <v>54</v>
      </c>
      <c r="W1070" t="s">
        <v>55</v>
      </c>
      <c r="X1070" t="s">
        <v>134</v>
      </c>
      <c r="Y1070" t="s">
        <v>5104</v>
      </c>
      <c r="Z1070" t="s">
        <v>58</v>
      </c>
      <c r="AA1070" t="s">
        <v>54</v>
      </c>
      <c r="AB1070" t="s">
        <v>1701</v>
      </c>
      <c r="AC1070" t="s">
        <v>85</v>
      </c>
      <c r="AD1070" t="s">
        <v>116</v>
      </c>
      <c r="AE1070" t="s">
        <v>117</v>
      </c>
      <c r="AF1070" t="s">
        <v>335</v>
      </c>
      <c r="AG1070" t="s">
        <v>58</v>
      </c>
      <c r="AK1070">
        <v>1</v>
      </c>
      <c r="AL1070" t="s">
        <v>61</v>
      </c>
      <c r="AM1070" t="s">
        <v>1701</v>
      </c>
      <c r="AN1070" t="s">
        <v>1702</v>
      </c>
    </row>
    <row r="1071" spans="1:40" x14ac:dyDescent="0.35">
      <c r="A1071" t="s">
        <v>37</v>
      </c>
      <c r="B1071" t="s">
        <v>5105</v>
      </c>
      <c r="C1071" t="s">
        <v>102</v>
      </c>
      <c r="D1071" t="s">
        <v>1698</v>
      </c>
      <c r="E1071" t="s">
        <v>584</v>
      </c>
      <c r="F1071" s="1">
        <v>46076.844236111108</v>
      </c>
      <c r="G1071" t="s">
        <v>105</v>
      </c>
      <c r="H1071" t="s">
        <v>106</v>
      </c>
      <c r="I1071" t="s">
        <v>5106</v>
      </c>
      <c r="J1071" t="s">
        <v>108</v>
      </c>
      <c r="K1071" t="s">
        <v>109</v>
      </c>
      <c r="M1071" t="s">
        <v>76</v>
      </c>
      <c r="O1071" t="s">
        <v>77</v>
      </c>
      <c r="P1071" t="s">
        <v>78</v>
      </c>
      <c r="Q1071" t="s">
        <v>50</v>
      </c>
      <c r="R1071" t="s">
        <v>111</v>
      </c>
      <c r="S1071" t="s">
        <v>51</v>
      </c>
      <c r="T1071" t="s">
        <v>112</v>
      </c>
      <c r="U1071" s="1">
        <v>46076.944432870368</v>
      </c>
      <c r="V1071" t="s">
        <v>54</v>
      </c>
      <c r="W1071" t="s">
        <v>55</v>
      </c>
      <c r="X1071" t="s">
        <v>134</v>
      </c>
      <c r="Y1071" t="s">
        <v>5107</v>
      </c>
      <c r="Z1071" t="s">
        <v>58</v>
      </c>
      <c r="AA1071" t="s">
        <v>54</v>
      </c>
      <c r="AB1071" t="s">
        <v>1701</v>
      </c>
      <c r="AC1071" t="s">
        <v>85</v>
      </c>
      <c r="AD1071" t="s">
        <v>116</v>
      </c>
      <c r="AE1071" t="s">
        <v>117</v>
      </c>
      <c r="AF1071" t="s">
        <v>1706</v>
      </c>
      <c r="AG1071" t="s">
        <v>58</v>
      </c>
      <c r="AK1071">
        <v>1</v>
      </c>
      <c r="AL1071" t="s">
        <v>61</v>
      </c>
      <c r="AM1071" t="s">
        <v>1701</v>
      </c>
      <c r="AN1071" t="s">
        <v>1702</v>
      </c>
    </row>
    <row r="1072" spans="1:40" x14ac:dyDescent="0.35">
      <c r="A1072" t="s">
        <v>37</v>
      </c>
      <c r="B1072" t="s">
        <v>5108</v>
      </c>
      <c r="C1072" t="s">
        <v>102</v>
      </c>
      <c r="D1072" t="s">
        <v>1698</v>
      </c>
      <c r="E1072" t="s">
        <v>584</v>
      </c>
      <c r="F1072" s="1">
        <v>46076.825416666667</v>
      </c>
      <c r="G1072" t="s">
        <v>105</v>
      </c>
      <c r="H1072" t="s">
        <v>106</v>
      </c>
      <c r="I1072" t="s">
        <v>763</v>
      </c>
      <c r="J1072" t="s">
        <v>108</v>
      </c>
      <c r="K1072" t="s">
        <v>109</v>
      </c>
      <c r="M1072" t="s">
        <v>76</v>
      </c>
      <c r="O1072" t="s">
        <v>77</v>
      </c>
      <c r="P1072" t="s">
        <v>78</v>
      </c>
      <c r="Q1072" t="s">
        <v>50</v>
      </c>
      <c r="R1072" t="s">
        <v>111</v>
      </c>
      <c r="S1072" t="s">
        <v>51</v>
      </c>
      <c r="T1072" t="s">
        <v>112</v>
      </c>
      <c r="U1072" s="1">
        <v>46076.869143518517</v>
      </c>
      <c r="V1072" t="s">
        <v>54</v>
      </c>
      <c r="W1072" t="s">
        <v>55</v>
      </c>
      <c r="X1072" t="s">
        <v>134</v>
      </c>
      <c r="Y1072" t="s">
        <v>5109</v>
      </c>
      <c r="Z1072" t="s">
        <v>58</v>
      </c>
      <c r="AA1072" t="s">
        <v>54</v>
      </c>
      <c r="AB1072" t="s">
        <v>1701</v>
      </c>
      <c r="AC1072" t="s">
        <v>85</v>
      </c>
      <c r="AD1072" t="s">
        <v>116</v>
      </c>
      <c r="AE1072" t="s">
        <v>117</v>
      </c>
      <c r="AF1072" t="s">
        <v>118</v>
      </c>
      <c r="AG1072" t="s">
        <v>58</v>
      </c>
      <c r="AK1072">
        <v>1</v>
      </c>
      <c r="AL1072" t="s">
        <v>61</v>
      </c>
      <c r="AM1072" t="s">
        <v>1701</v>
      </c>
      <c r="AN1072" t="s">
        <v>1702</v>
      </c>
    </row>
    <row r="1073" spans="1:40" x14ac:dyDescent="0.35">
      <c r="A1073" t="s">
        <v>37</v>
      </c>
      <c r="B1073" t="s">
        <v>5110</v>
      </c>
      <c r="C1073" t="s">
        <v>102</v>
      </c>
      <c r="D1073" t="s">
        <v>1698</v>
      </c>
      <c r="E1073" t="s">
        <v>584</v>
      </c>
      <c r="F1073" s="1">
        <v>46076.800358796296</v>
      </c>
      <c r="G1073" t="s">
        <v>105</v>
      </c>
      <c r="H1073" t="s">
        <v>106</v>
      </c>
      <c r="I1073" t="s">
        <v>5111</v>
      </c>
      <c r="J1073" t="s">
        <v>108</v>
      </c>
      <c r="K1073" t="s">
        <v>571</v>
      </c>
      <c r="M1073" t="s">
        <v>76</v>
      </c>
      <c r="O1073" t="s">
        <v>77</v>
      </c>
      <c r="P1073" t="s">
        <v>78</v>
      </c>
      <c r="Q1073" t="s">
        <v>50</v>
      </c>
      <c r="R1073" t="s">
        <v>111</v>
      </c>
      <c r="S1073" t="s">
        <v>51</v>
      </c>
      <c r="T1073" t="s">
        <v>112</v>
      </c>
      <c r="U1073" s="1">
        <v>46076.867847222224</v>
      </c>
      <c r="V1073" t="s">
        <v>54</v>
      </c>
      <c r="W1073" t="s">
        <v>55</v>
      </c>
      <c r="X1073" t="s">
        <v>134</v>
      </c>
      <c r="Y1073" t="s">
        <v>1923</v>
      </c>
      <c r="Z1073" t="s">
        <v>58</v>
      </c>
      <c r="AA1073" t="s">
        <v>54</v>
      </c>
      <c r="AB1073" t="s">
        <v>1701</v>
      </c>
      <c r="AC1073" t="s">
        <v>85</v>
      </c>
      <c r="AD1073" t="s">
        <v>116</v>
      </c>
      <c r="AE1073" t="s">
        <v>574</v>
      </c>
      <c r="AF1073" t="s">
        <v>161</v>
      </c>
      <c r="AG1073" t="s">
        <v>58</v>
      </c>
      <c r="AK1073">
        <v>1</v>
      </c>
      <c r="AL1073" t="s">
        <v>61</v>
      </c>
      <c r="AM1073" t="s">
        <v>1701</v>
      </c>
      <c r="AN1073" t="s">
        <v>1702</v>
      </c>
    </row>
    <row r="1074" spans="1:40" x14ac:dyDescent="0.35">
      <c r="A1074" t="s">
        <v>37</v>
      </c>
      <c r="B1074" t="s">
        <v>5112</v>
      </c>
      <c r="C1074" t="s">
        <v>102</v>
      </c>
      <c r="D1074" t="s">
        <v>1698</v>
      </c>
      <c r="E1074" t="s">
        <v>584</v>
      </c>
      <c r="F1074" s="1">
        <v>46076.794062499997</v>
      </c>
      <c r="G1074" t="s">
        <v>105</v>
      </c>
      <c r="H1074" t="s">
        <v>106</v>
      </c>
      <c r="I1074" t="s">
        <v>1729</v>
      </c>
      <c r="J1074" t="s">
        <v>108</v>
      </c>
      <c r="K1074" t="s">
        <v>109</v>
      </c>
      <c r="M1074" t="s">
        <v>76</v>
      </c>
      <c r="O1074" t="s">
        <v>77</v>
      </c>
      <c r="P1074" t="s">
        <v>78</v>
      </c>
      <c r="Q1074" t="s">
        <v>50</v>
      </c>
      <c r="R1074" t="s">
        <v>111</v>
      </c>
      <c r="S1074" t="s">
        <v>51</v>
      </c>
      <c r="T1074" t="s">
        <v>112</v>
      </c>
      <c r="U1074" s="1">
        <v>46076.869432870371</v>
      </c>
      <c r="V1074" t="s">
        <v>54</v>
      </c>
      <c r="W1074" t="s">
        <v>55</v>
      </c>
      <c r="X1074" t="s">
        <v>134</v>
      </c>
      <c r="Y1074" t="s">
        <v>5113</v>
      </c>
      <c r="Z1074" t="s">
        <v>58</v>
      </c>
      <c r="AA1074" t="s">
        <v>54</v>
      </c>
      <c r="AB1074" t="s">
        <v>1701</v>
      </c>
      <c r="AC1074" t="s">
        <v>85</v>
      </c>
      <c r="AD1074" t="s">
        <v>116</v>
      </c>
      <c r="AE1074" t="s">
        <v>117</v>
      </c>
      <c r="AF1074" t="s">
        <v>1896</v>
      </c>
      <c r="AG1074" t="s">
        <v>58</v>
      </c>
      <c r="AK1074">
        <v>1</v>
      </c>
      <c r="AL1074" t="s">
        <v>61</v>
      </c>
      <c r="AM1074" t="s">
        <v>1701</v>
      </c>
      <c r="AN1074" t="s">
        <v>1702</v>
      </c>
    </row>
    <row r="1075" spans="1:40" x14ac:dyDescent="0.35">
      <c r="A1075" t="s">
        <v>37</v>
      </c>
      <c r="B1075" t="s">
        <v>5114</v>
      </c>
      <c r="C1075" t="s">
        <v>102</v>
      </c>
      <c r="D1075" t="s">
        <v>1698</v>
      </c>
      <c r="E1075" t="s">
        <v>584</v>
      </c>
      <c r="F1075" s="1">
        <v>46076.784988425927</v>
      </c>
      <c r="G1075" t="s">
        <v>105</v>
      </c>
      <c r="H1075" t="s">
        <v>106</v>
      </c>
      <c r="I1075" t="s">
        <v>5115</v>
      </c>
      <c r="J1075" t="s">
        <v>108</v>
      </c>
      <c r="K1075" t="s">
        <v>571</v>
      </c>
      <c r="M1075" t="s">
        <v>76</v>
      </c>
      <c r="O1075" t="s">
        <v>77</v>
      </c>
      <c r="P1075" t="s">
        <v>78</v>
      </c>
      <c r="Q1075" t="s">
        <v>50</v>
      </c>
      <c r="R1075" t="s">
        <v>111</v>
      </c>
      <c r="S1075" t="s">
        <v>51</v>
      </c>
      <c r="T1075" t="s">
        <v>112</v>
      </c>
      <c r="U1075" s="1">
        <v>46076.806562500002</v>
      </c>
      <c r="V1075" t="s">
        <v>54</v>
      </c>
      <c r="W1075" t="s">
        <v>55</v>
      </c>
      <c r="X1075" t="s">
        <v>134</v>
      </c>
      <c r="Y1075" t="s">
        <v>1923</v>
      </c>
      <c r="Z1075" t="s">
        <v>58</v>
      </c>
      <c r="AA1075" t="s">
        <v>54</v>
      </c>
      <c r="AB1075" t="s">
        <v>1701</v>
      </c>
      <c r="AC1075" t="s">
        <v>85</v>
      </c>
      <c r="AD1075" t="s">
        <v>116</v>
      </c>
      <c r="AE1075" t="s">
        <v>574</v>
      </c>
      <c r="AF1075" t="s">
        <v>144</v>
      </c>
      <c r="AG1075" t="s">
        <v>58</v>
      </c>
      <c r="AK1075">
        <v>1</v>
      </c>
      <c r="AL1075" t="s">
        <v>61</v>
      </c>
      <c r="AM1075" t="s">
        <v>1701</v>
      </c>
      <c r="AN1075" t="s">
        <v>1702</v>
      </c>
    </row>
    <row r="1076" spans="1:40" x14ac:dyDescent="0.35">
      <c r="A1076" t="s">
        <v>37</v>
      </c>
      <c r="B1076" t="s">
        <v>5116</v>
      </c>
      <c r="C1076" t="s">
        <v>102</v>
      </c>
      <c r="D1076" t="s">
        <v>1698</v>
      </c>
      <c r="E1076" t="s">
        <v>584</v>
      </c>
      <c r="F1076" s="1">
        <v>46076.773715277777</v>
      </c>
      <c r="G1076" t="s">
        <v>105</v>
      </c>
      <c r="H1076" t="s">
        <v>106</v>
      </c>
      <c r="I1076" t="s">
        <v>5117</v>
      </c>
      <c r="J1076" t="s">
        <v>108</v>
      </c>
      <c r="K1076" t="s">
        <v>109</v>
      </c>
      <c r="M1076" t="s">
        <v>76</v>
      </c>
      <c r="O1076" t="s">
        <v>77</v>
      </c>
      <c r="P1076" t="s">
        <v>78</v>
      </c>
      <c r="Q1076" t="s">
        <v>50</v>
      </c>
      <c r="R1076" t="s">
        <v>111</v>
      </c>
      <c r="S1076" t="s">
        <v>51</v>
      </c>
      <c r="T1076" t="s">
        <v>112</v>
      </c>
      <c r="U1076" s="1">
        <v>46076.945023148146</v>
      </c>
      <c r="V1076" t="s">
        <v>54</v>
      </c>
      <c r="W1076" t="s">
        <v>55</v>
      </c>
      <c r="X1076" t="s">
        <v>134</v>
      </c>
      <c r="Y1076" t="s">
        <v>5118</v>
      </c>
      <c r="Z1076" t="s">
        <v>58</v>
      </c>
      <c r="AA1076" t="s">
        <v>54</v>
      </c>
      <c r="AB1076" t="s">
        <v>1701</v>
      </c>
      <c r="AC1076" t="s">
        <v>85</v>
      </c>
      <c r="AD1076" t="s">
        <v>116</v>
      </c>
      <c r="AE1076" t="s">
        <v>117</v>
      </c>
      <c r="AF1076" t="s">
        <v>5119</v>
      </c>
      <c r="AG1076" t="s">
        <v>58</v>
      </c>
      <c r="AK1076">
        <v>1</v>
      </c>
      <c r="AL1076" t="s">
        <v>61</v>
      </c>
      <c r="AM1076" t="s">
        <v>1701</v>
      </c>
      <c r="AN1076" t="s">
        <v>1702</v>
      </c>
    </row>
    <row r="1077" spans="1:40" x14ac:dyDescent="0.35">
      <c r="A1077" t="s">
        <v>37</v>
      </c>
      <c r="B1077" t="s">
        <v>5120</v>
      </c>
      <c r="C1077" t="s">
        <v>102</v>
      </c>
      <c r="D1077" t="s">
        <v>1698</v>
      </c>
      <c r="E1077" t="s">
        <v>584</v>
      </c>
      <c r="F1077" s="1">
        <v>46076.729884259257</v>
      </c>
      <c r="G1077" t="s">
        <v>105</v>
      </c>
      <c r="H1077" t="s">
        <v>106</v>
      </c>
      <c r="I1077" t="s">
        <v>3405</v>
      </c>
      <c r="J1077" t="s">
        <v>108</v>
      </c>
      <c r="K1077" t="s">
        <v>109</v>
      </c>
      <c r="M1077" t="s">
        <v>76</v>
      </c>
      <c r="O1077" t="s">
        <v>77</v>
      </c>
      <c r="P1077" t="s">
        <v>78</v>
      </c>
      <c r="Q1077" t="s">
        <v>50</v>
      </c>
      <c r="R1077" t="s">
        <v>111</v>
      </c>
      <c r="S1077" t="s">
        <v>51</v>
      </c>
      <c r="T1077" t="s">
        <v>112</v>
      </c>
      <c r="U1077" s="1">
        <v>46076.869699074072</v>
      </c>
      <c r="V1077" t="s">
        <v>54</v>
      </c>
      <c r="W1077" t="s">
        <v>55</v>
      </c>
      <c r="X1077" t="s">
        <v>134</v>
      </c>
      <c r="Y1077" t="s">
        <v>5121</v>
      </c>
      <c r="Z1077" t="s">
        <v>58</v>
      </c>
      <c r="AA1077" t="s">
        <v>54</v>
      </c>
      <c r="AB1077" t="s">
        <v>1701</v>
      </c>
      <c r="AC1077" t="s">
        <v>85</v>
      </c>
      <c r="AD1077" t="s">
        <v>116</v>
      </c>
      <c r="AE1077" t="s">
        <v>117</v>
      </c>
      <c r="AF1077" t="s">
        <v>1706</v>
      </c>
      <c r="AG1077" t="s">
        <v>58</v>
      </c>
      <c r="AK1077">
        <v>1</v>
      </c>
      <c r="AL1077" t="s">
        <v>61</v>
      </c>
      <c r="AM1077" t="s">
        <v>1701</v>
      </c>
      <c r="AN1077" t="s">
        <v>1702</v>
      </c>
    </row>
    <row r="1078" spans="1:40" x14ac:dyDescent="0.35">
      <c r="A1078" t="s">
        <v>37</v>
      </c>
      <c r="B1078" t="s">
        <v>5122</v>
      </c>
      <c r="C1078" t="s">
        <v>102</v>
      </c>
      <c r="D1078" t="s">
        <v>1698</v>
      </c>
      <c r="E1078" t="s">
        <v>584</v>
      </c>
      <c r="F1078" s="1">
        <v>46076.717314814814</v>
      </c>
      <c r="G1078" t="s">
        <v>105</v>
      </c>
      <c r="H1078" t="s">
        <v>106</v>
      </c>
      <c r="I1078" t="s">
        <v>5106</v>
      </c>
      <c r="J1078" t="s">
        <v>108</v>
      </c>
      <c r="K1078" t="s">
        <v>109</v>
      </c>
      <c r="M1078" t="s">
        <v>76</v>
      </c>
      <c r="O1078" t="s">
        <v>77</v>
      </c>
      <c r="P1078" t="s">
        <v>78</v>
      </c>
      <c r="Q1078" t="s">
        <v>50</v>
      </c>
      <c r="R1078" t="s">
        <v>111</v>
      </c>
      <c r="S1078" t="s">
        <v>51</v>
      </c>
      <c r="T1078" t="s">
        <v>112</v>
      </c>
      <c r="U1078" s="1">
        <v>46076.806030092594</v>
      </c>
      <c r="V1078" t="s">
        <v>54</v>
      </c>
      <c r="W1078" t="s">
        <v>55</v>
      </c>
      <c r="X1078" t="s">
        <v>134</v>
      </c>
      <c r="Y1078" t="s">
        <v>5123</v>
      </c>
      <c r="Z1078" t="s">
        <v>58</v>
      </c>
      <c r="AA1078" t="s">
        <v>54</v>
      </c>
      <c r="AB1078" t="s">
        <v>1701</v>
      </c>
      <c r="AC1078" t="s">
        <v>85</v>
      </c>
      <c r="AD1078" t="s">
        <v>116</v>
      </c>
      <c r="AE1078" t="s">
        <v>117</v>
      </c>
      <c r="AF1078" t="s">
        <v>1706</v>
      </c>
      <c r="AG1078" t="s">
        <v>58</v>
      </c>
      <c r="AK1078">
        <v>1</v>
      </c>
      <c r="AL1078" t="s">
        <v>61</v>
      </c>
      <c r="AM1078" t="s">
        <v>1701</v>
      </c>
      <c r="AN1078" t="s">
        <v>1702</v>
      </c>
    </row>
    <row r="1079" spans="1:40" x14ac:dyDescent="0.35">
      <c r="A1079" t="s">
        <v>37</v>
      </c>
      <c r="B1079" t="s">
        <v>5124</v>
      </c>
      <c r="C1079" t="s">
        <v>102</v>
      </c>
      <c r="D1079" t="s">
        <v>1698</v>
      </c>
      <c r="E1079" t="s">
        <v>584</v>
      </c>
      <c r="F1079" s="1">
        <v>46076.713750000003</v>
      </c>
      <c r="G1079" t="s">
        <v>105</v>
      </c>
      <c r="H1079" t="s">
        <v>106</v>
      </c>
      <c r="I1079" t="s">
        <v>5125</v>
      </c>
      <c r="J1079" t="s">
        <v>108</v>
      </c>
      <c r="K1079" t="s">
        <v>109</v>
      </c>
      <c r="M1079" t="s">
        <v>76</v>
      </c>
      <c r="O1079" t="s">
        <v>77</v>
      </c>
      <c r="P1079" t="s">
        <v>78</v>
      </c>
      <c r="Q1079" t="s">
        <v>50</v>
      </c>
      <c r="R1079" t="s">
        <v>111</v>
      </c>
      <c r="S1079" t="s">
        <v>51</v>
      </c>
      <c r="T1079" t="s">
        <v>112</v>
      </c>
      <c r="U1079" s="1">
        <v>46076.945601851854</v>
      </c>
      <c r="V1079" t="s">
        <v>54</v>
      </c>
      <c r="W1079" t="s">
        <v>55</v>
      </c>
      <c r="X1079" t="s">
        <v>134</v>
      </c>
      <c r="Y1079" t="s">
        <v>5126</v>
      </c>
      <c r="Z1079" t="s">
        <v>58</v>
      </c>
      <c r="AA1079" t="s">
        <v>54</v>
      </c>
      <c r="AB1079" t="s">
        <v>1701</v>
      </c>
      <c r="AC1079" t="s">
        <v>85</v>
      </c>
      <c r="AD1079" t="s">
        <v>116</v>
      </c>
      <c r="AE1079" t="s">
        <v>117</v>
      </c>
      <c r="AF1079" t="s">
        <v>1724</v>
      </c>
      <c r="AG1079" t="s">
        <v>58</v>
      </c>
      <c r="AK1079">
        <v>1</v>
      </c>
      <c r="AL1079" t="s">
        <v>61</v>
      </c>
      <c r="AM1079" t="s">
        <v>1701</v>
      </c>
      <c r="AN1079" t="s">
        <v>1702</v>
      </c>
    </row>
    <row r="1080" spans="1:40" x14ac:dyDescent="0.35">
      <c r="A1080" t="s">
        <v>37</v>
      </c>
      <c r="B1080" t="s">
        <v>5127</v>
      </c>
      <c r="C1080" t="s">
        <v>102</v>
      </c>
      <c r="D1080" t="s">
        <v>1698</v>
      </c>
      <c r="E1080" t="s">
        <v>584</v>
      </c>
      <c r="F1080" s="1">
        <v>46076.711493055554</v>
      </c>
      <c r="G1080" t="s">
        <v>105</v>
      </c>
      <c r="H1080" t="s">
        <v>106</v>
      </c>
      <c r="I1080" t="s">
        <v>2876</v>
      </c>
      <c r="J1080" t="s">
        <v>108</v>
      </c>
      <c r="K1080" t="s">
        <v>109</v>
      </c>
      <c r="M1080" t="s">
        <v>76</v>
      </c>
      <c r="O1080" t="s">
        <v>77</v>
      </c>
      <c r="P1080" t="s">
        <v>78</v>
      </c>
      <c r="Q1080" t="s">
        <v>50</v>
      </c>
      <c r="R1080" t="s">
        <v>111</v>
      </c>
      <c r="S1080" t="s">
        <v>51</v>
      </c>
      <c r="T1080" t="s">
        <v>112</v>
      </c>
      <c r="U1080" s="1">
        <v>46076.791064814817</v>
      </c>
      <c r="V1080" t="s">
        <v>54</v>
      </c>
      <c r="W1080" t="s">
        <v>55</v>
      </c>
      <c r="X1080" t="s">
        <v>134</v>
      </c>
      <c r="Y1080" t="s">
        <v>5128</v>
      </c>
      <c r="Z1080" t="s">
        <v>58</v>
      </c>
      <c r="AA1080" t="s">
        <v>54</v>
      </c>
      <c r="AB1080" t="s">
        <v>1701</v>
      </c>
      <c r="AC1080" t="s">
        <v>85</v>
      </c>
      <c r="AD1080" t="s">
        <v>116</v>
      </c>
      <c r="AE1080" t="s">
        <v>117</v>
      </c>
      <c r="AF1080" t="s">
        <v>1706</v>
      </c>
      <c r="AG1080" t="s">
        <v>58</v>
      </c>
      <c r="AK1080">
        <v>1</v>
      </c>
      <c r="AL1080" t="s">
        <v>61</v>
      </c>
      <c r="AM1080" t="s">
        <v>1701</v>
      </c>
      <c r="AN1080" t="s">
        <v>1702</v>
      </c>
    </row>
    <row r="1081" spans="1:40" x14ac:dyDescent="0.35">
      <c r="A1081" t="s">
        <v>37</v>
      </c>
      <c r="B1081" t="s">
        <v>5129</v>
      </c>
      <c r="C1081" t="s">
        <v>102</v>
      </c>
      <c r="D1081" t="s">
        <v>1698</v>
      </c>
      <c r="E1081" t="s">
        <v>584</v>
      </c>
      <c r="F1081" s="1">
        <v>46076.691296296296</v>
      </c>
      <c r="G1081" t="s">
        <v>105</v>
      </c>
      <c r="H1081" t="s">
        <v>106</v>
      </c>
      <c r="I1081" t="s">
        <v>107</v>
      </c>
      <c r="J1081" t="s">
        <v>108</v>
      </c>
      <c r="K1081" t="s">
        <v>109</v>
      </c>
      <c r="M1081" t="s">
        <v>76</v>
      </c>
      <c r="O1081" t="s">
        <v>77</v>
      </c>
      <c r="P1081" t="s">
        <v>78</v>
      </c>
      <c r="Q1081" t="s">
        <v>50</v>
      </c>
      <c r="R1081" t="s">
        <v>111</v>
      </c>
      <c r="S1081" t="s">
        <v>51</v>
      </c>
      <c r="T1081" t="s">
        <v>112</v>
      </c>
      <c r="U1081" s="1">
        <v>46076.787939814814</v>
      </c>
      <c r="V1081" t="s">
        <v>54</v>
      </c>
      <c r="W1081" t="s">
        <v>55</v>
      </c>
      <c r="X1081" t="s">
        <v>134</v>
      </c>
      <c r="Y1081" t="s">
        <v>5130</v>
      </c>
      <c r="Z1081" t="s">
        <v>58</v>
      </c>
      <c r="AA1081" t="s">
        <v>54</v>
      </c>
      <c r="AB1081" t="s">
        <v>1701</v>
      </c>
      <c r="AC1081" t="s">
        <v>85</v>
      </c>
      <c r="AD1081" t="s">
        <v>116</v>
      </c>
      <c r="AE1081" t="s">
        <v>117</v>
      </c>
      <c r="AF1081" t="s">
        <v>1706</v>
      </c>
      <c r="AG1081" t="s">
        <v>58</v>
      </c>
      <c r="AK1081">
        <v>1</v>
      </c>
      <c r="AL1081" t="s">
        <v>61</v>
      </c>
      <c r="AM1081" t="s">
        <v>1701</v>
      </c>
      <c r="AN1081" t="s">
        <v>1702</v>
      </c>
    </row>
    <row r="1082" spans="1:40" x14ac:dyDescent="0.35">
      <c r="A1082" t="s">
        <v>37</v>
      </c>
      <c r="B1082" t="s">
        <v>5131</v>
      </c>
      <c r="C1082" t="s">
        <v>102</v>
      </c>
      <c r="D1082" t="s">
        <v>1698</v>
      </c>
      <c r="E1082" t="s">
        <v>584</v>
      </c>
      <c r="F1082" s="1">
        <v>46076.690462962964</v>
      </c>
      <c r="G1082" t="s">
        <v>105</v>
      </c>
      <c r="H1082" t="s">
        <v>106</v>
      </c>
      <c r="I1082" t="s">
        <v>3825</v>
      </c>
      <c r="J1082" t="s">
        <v>108</v>
      </c>
      <c r="K1082" t="s">
        <v>109</v>
      </c>
      <c r="M1082" t="s">
        <v>76</v>
      </c>
      <c r="O1082" t="s">
        <v>77</v>
      </c>
      <c r="P1082" t="s">
        <v>78</v>
      </c>
      <c r="Q1082" t="s">
        <v>50</v>
      </c>
      <c r="R1082" t="s">
        <v>111</v>
      </c>
      <c r="S1082" t="s">
        <v>51</v>
      </c>
      <c r="T1082" t="s">
        <v>112</v>
      </c>
      <c r="U1082" s="1">
        <v>46076.732314814813</v>
      </c>
      <c r="V1082" t="s">
        <v>54</v>
      </c>
      <c r="W1082" t="s">
        <v>55</v>
      </c>
      <c r="X1082" t="s">
        <v>134</v>
      </c>
      <c r="Y1082" t="s">
        <v>5132</v>
      </c>
      <c r="Z1082" t="s">
        <v>58</v>
      </c>
      <c r="AA1082" t="s">
        <v>54</v>
      </c>
      <c r="AB1082" t="s">
        <v>1701</v>
      </c>
      <c r="AC1082" t="s">
        <v>85</v>
      </c>
      <c r="AD1082" t="s">
        <v>116</v>
      </c>
      <c r="AE1082" t="s">
        <v>117</v>
      </c>
      <c r="AF1082" t="s">
        <v>1706</v>
      </c>
      <c r="AG1082" t="s">
        <v>58</v>
      </c>
      <c r="AK1082">
        <v>1</v>
      </c>
      <c r="AL1082" t="s">
        <v>61</v>
      </c>
      <c r="AM1082" t="s">
        <v>1701</v>
      </c>
      <c r="AN1082" t="s">
        <v>1702</v>
      </c>
    </row>
    <row r="1083" spans="1:40" x14ac:dyDescent="0.35">
      <c r="A1083" t="s">
        <v>37</v>
      </c>
      <c r="B1083" t="s">
        <v>5133</v>
      </c>
      <c r="C1083" t="s">
        <v>102</v>
      </c>
      <c r="D1083" t="s">
        <v>1698</v>
      </c>
      <c r="E1083" t="s">
        <v>584</v>
      </c>
      <c r="F1083" s="1">
        <v>46076.670798611114</v>
      </c>
      <c r="G1083" t="s">
        <v>105</v>
      </c>
      <c r="H1083" t="s">
        <v>106</v>
      </c>
      <c r="I1083" t="s">
        <v>5134</v>
      </c>
      <c r="J1083" t="s">
        <v>108</v>
      </c>
      <c r="K1083" t="s">
        <v>109</v>
      </c>
      <c r="M1083" t="s">
        <v>76</v>
      </c>
      <c r="O1083" t="s">
        <v>77</v>
      </c>
      <c r="P1083" t="s">
        <v>78</v>
      </c>
      <c r="Q1083" t="s">
        <v>50</v>
      </c>
      <c r="R1083" t="s">
        <v>111</v>
      </c>
      <c r="S1083" t="s">
        <v>51</v>
      </c>
      <c r="T1083" t="s">
        <v>1583</v>
      </c>
      <c r="U1083" s="1">
        <v>46077.737280092595</v>
      </c>
      <c r="V1083" t="s">
        <v>54</v>
      </c>
      <c r="W1083" t="s">
        <v>1584</v>
      </c>
      <c r="X1083" t="s">
        <v>134</v>
      </c>
      <c r="Y1083" t="s">
        <v>5135</v>
      </c>
      <c r="Z1083" t="s">
        <v>58</v>
      </c>
      <c r="AA1083" t="s">
        <v>54</v>
      </c>
      <c r="AB1083" t="s">
        <v>1701</v>
      </c>
      <c r="AC1083" t="s">
        <v>85</v>
      </c>
      <c r="AD1083" t="s">
        <v>116</v>
      </c>
      <c r="AE1083" t="s">
        <v>1586</v>
      </c>
      <c r="AF1083" t="s">
        <v>5136</v>
      </c>
      <c r="AG1083" t="s">
        <v>58</v>
      </c>
      <c r="AK1083">
        <v>1</v>
      </c>
      <c r="AL1083" t="s">
        <v>61</v>
      </c>
      <c r="AM1083" t="s">
        <v>1701</v>
      </c>
      <c r="AN1083" t="s">
        <v>1702</v>
      </c>
    </row>
    <row r="1084" spans="1:40" x14ac:dyDescent="0.35">
      <c r="A1084" t="s">
        <v>37</v>
      </c>
      <c r="B1084" t="s">
        <v>5137</v>
      </c>
      <c r="C1084" t="s">
        <v>102</v>
      </c>
      <c r="D1084" t="s">
        <v>1698</v>
      </c>
      <c r="E1084" t="s">
        <v>584</v>
      </c>
      <c r="F1084" s="1">
        <v>46076.601817129631</v>
      </c>
      <c r="G1084" t="s">
        <v>105</v>
      </c>
      <c r="H1084" t="s">
        <v>106</v>
      </c>
      <c r="I1084" t="s">
        <v>5138</v>
      </c>
      <c r="J1084" t="s">
        <v>108</v>
      </c>
      <c r="K1084" t="s">
        <v>109</v>
      </c>
      <c r="M1084" t="s">
        <v>76</v>
      </c>
      <c r="O1084" t="s">
        <v>77</v>
      </c>
      <c r="P1084" t="s">
        <v>78</v>
      </c>
      <c r="Q1084" t="s">
        <v>50</v>
      </c>
      <c r="R1084" t="s">
        <v>111</v>
      </c>
      <c r="S1084" t="s">
        <v>51</v>
      </c>
      <c r="T1084" t="s">
        <v>112</v>
      </c>
      <c r="U1084" s="1">
        <v>46076.789953703701</v>
      </c>
      <c r="V1084" t="s">
        <v>54</v>
      </c>
      <c r="W1084" t="s">
        <v>55</v>
      </c>
      <c r="X1084" t="s">
        <v>134</v>
      </c>
      <c r="Y1084" t="s">
        <v>5139</v>
      </c>
      <c r="Z1084" t="s">
        <v>58</v>
      </c>
      <c r="AA1084" t="s">
        <v>54</v>
      </c>
      <c r="AB1084" t="s">
        <v>1701</v>
      </c>
      <c r="AC1084" t="s">
        <v>85</v>
      </c>
      <c r="AD1084" t="s">
        <v>116</v>
      </c>
      <c r="AE1084" t="s">
        <v>117</v>
      </c>
      <c r="AF1084" t="s">
        <v>335</v>
      </c>
      <c r="AG1084" t="s">
        <v>58</v>
      </c>
      <c r="AK1084">
        <v>1</v>
      </c>
      <c r="AL1084" t="s">
        <v>61</v>
      </c>
      <c r="AM1084" t="s">
        <v>1701</v>
      </c>
      <c r="AN1084" t="s">
        <v>1702</v>
      </c>
    </row>
    <row r="1085" spans="1:40" x14ac:dyDescent="0.35">
      <c r="A1085" t="s">
        <v>37</v>
      </c>
      <c r="B1085" t="s">
        <v>5140</v>
      </c>
      <c r="C1085" t="s">
        <v>102</v>
      </c>
      <c r="D1085" t="s">
        <v>1698</v>
      </c>
      <c r="E1085" t="s">
        <v>584</v>
      </c>
      <c r="F1085" s="1">
        <v>46076.591134259259</v>
      </c>
      <c r="G1085" t="s">
        <v>105</v>
      </c>
      <c r="H1085" t="s">
        <v>106</v>
      </c>
      <c r="I1085" t="s">
        <v>332</v>
      </c>
      <c r="J1085" t="s">
        <v>108</v>
      </c>
      <c r="K1085" t="s">
        <v>109</v>
      </c>
      <c r="M1085" t="s">
        <v>76</v>
      </c>
      <c r="O1085" t="s">
        <v>77</v>
      </c>
      <c r="P1085" t="s">
        <v>78</v>
      </c>
      <c r="Q1085" t="s">
        <v>50</v>
      </c>
      <c r="R1085" t="s">
        <v>111</v>
      </c>
      <c r="S1085" t="s">
        <v>51</v>
      </c>
      <c r="T1085" t="s">
        <v>112</v>
      </c>
      <c r="U1085" s="1">
        <v>46076.790752314817</v>
      </c>
      <c r="V1085" t="s">
        <v>54</v>
      </c>
      <c r="W1085" t="s">
        <v>55</v>
      </c>
      <c r="X1085" t="s">
        <v>134</v>
      </c>
      <c r="Y1085" t="s">
        <v>5141</v>
      </c>
      <c r="Z1085" t="s">
        <v>58</v>
      </c>
      <c r="AA1085" t="s">
        <v>54</v>
      </c>
      <c r="AB1085" t="s">
        <v>1701</v>
      </c>
      <c r="AC1085" t="s">
        <v>85</v>
      </c>
      <c r="AD1085" t="s">
        <v>116</v>
      </c>
      <c r="AE1085" t="s">
        <v>117</v>
      </c>
      <c r="AF1085" t="s">
        <v>161</v>
      </c>
      <c r="AG1085" t="s">
        <v>58</v>
      </c>
      <c r="AK1085">
        <v>1</v>
      </c>
      <c r="AL1085" t="s">
        <v>61</v>
      </c>
      <c r="AM1085" t="s">
        <v>1701</v>
      </c>
      <c r="AN1085" t="s">
        <v>1702</v>
      </c>
    </row>
    <row r="1086" spans="1:40" x14ac:dyDescent="0.35">
      <c r="A1086" t="s">
        <v>37</v>
      </c>
      <c r="B1086" t="s">
        <v>5142</v>
      </c>
      <c r="C1086" t="s">
        <v>39</v>
      </c>
      <c r="D1086" t="s">
        <v>5143</v>
      </c>
      <c r="E1086" t="s">
        <v>5144</v>
      </c>
      <c r="F1086" s="1">
        <v>46076.585879629631</v>
      </c>
      <c r="G1086" t="s">
        <v>355</v>
      </c>
      <c r="H1086" t="s">
        <v>356</v>
      </c>
      <c r="I1086" t="s">
        <v>5145</v>
      </c>
      <c r="J1086" t="s">
        <v>1865</v>
      </c>
      <c r="K1086" t="s">
        <v>1824</v>
      </c>
      <c r="M1086" t="s">
        <v>131</v>
      </c>
      <c r="O1086" t="s">
        <v>77</v>
      </c>
      <c r="P1086" t="s">
        <v>78</v>
      </c>
      <c r="Q1086" t="s">
        <v>50</v>
      </c>
      <c r="R1086" t="s">
        <v>51</v>
      </c>
      <c r="S1086" t="s">
        <v>52</v>
      </c>
      <c r="T1086" t="s">
        <v>773</v>
      </c>
      <c r="U1086" s="1">
        <v>46076.586226851854</v>
      </c>
      <c r="V1086" t="s">
        <v>54</v>
      </c>
      <c r="W1086" t="s">
        <v>55</v>
      </c>
      <c r="X1086" t="s">
        <v>113</v>
      </c>
      <c r="Y1086" t="s">
        <v>5146</v>
      </c>
      <c r="Z1086" t="s">
        <v>58</v>
      </c>
      <c r="AA1086" t="s">
        <v>54</v>
      </c>
      <c r="AB1086" t="s">
        <v>1867</v>
      </c>
      <c r="AC1086" t="s">
        <v>85</v>
      </c>
      <c r="AD1086" t="s">
        <v>52</v>
      </c>
      <c r="AE1086" t="s">
        <v>438</v>
      </c>
      <c r="AF1086" t="s">
        <v>439</v>
      </c>
      <c r="AG1086" t="s">
        <v>58</v>
      </c>
      <c r="AH1086" t="s">
        <v>5147</v>
      </c>
      <c r="AK1086">
        <v>0</v>
      </c>
      <c r="AL1086" t="s">
        <v>61</v>
      </c>
      <c r="AM1086" t="s">
        <v>5148</v>
      </c>
      <c r="AN1086" t="s">
        <v>5149</v>
      </c>
    </row>
    <row r="1087" spans="1:40" x14ac:dyDescent="0.35">
      <c r="A1087" t="s">
        <v>37</v>
      </c>
      <c r="B1087" t="s">
        <v>5150</v>
      </c>
      <c r="C1087" t="s">
        <v>39</v>
      </c>
      <c r="D1087" t="s">
        <v>2971</v>
      </c>
      <c r="E1087" t="s">
        <v>799</v>
      </c>
      <c r="F1087" s="1">
        <v>46076.582395833335</v>
      </c>
      <c r="G1087" t="s">
        <v>355</v>
      </c>
      <c r="H1087" t="s">
        <v>356</v>
      </c>
      <c r="I1087" t="s">
        <v>5151</v>
      </c>
      <c r="J1087" t="s">
        <v>1865</v>
      </c>
      <c r="K1087" t="s">
        <v>1824</v>
      </c>
      <c r="M1087" t="s">
        <v>131</v>
      </c>
      <c r="O1087" t="s">
        <v>77</v>
      </c>
      <c r="P1087" t="s">
        <v>78</v>
      </c>
      <c r="Q1087" t="s">
        <v>50</v>
      </c>
      <c r="R1087" t="s">
        <v>51</v>
      </c>
      <c r="S1087" t="s">
        <v>52</v>
      </c>
      <c r="T1087" t="s">
        <v>773</v>
      </c>
      <c r="U1087" s="1">
        <v>46076.582997685182</v>
      </c>
      <c r="V1087" t="s">
        <v>54</v>
      </c>
      <c r="W1087" t="s">
        <v>55</v>
      </c>
      <c r="X1087" t="s">
        <v>113</v>
      </c>
      <c r="Y1087" t="s">
        <v>5152</v>
      </c>
      <c r="Z1087" t="s">
        <v>58</v>
      </c>
      <c r="AA1087" t="s">
        <v>54</v>
      </c>
      <c r="AB1087" t="s">
        <v>1867</v>
      </c>
      <c r="AC1087" t="s">
        <v>85</v>
      </c>
      <c r="AD1087" t="s">
        <v>52</v>
      </c>
      <c r="AE1087" t="s">
        <v>438</v>
      </c>
      <c r="AF1087" t="s">
        <v>439</v>
      </c>
      <c r="AG1087" t="s">
        <v>58</v>
      </c>
      <c r="AH1087" t="s">
        <v>2975</v>
      </c>
      <c r="AK1087">
        <v>0</v>
      </c>
      <c r="AL1087" t="s">
        <v>61</v>
      </c>
      <c r="AM1087" t="s">
        <v>2976</v>
      </c>
      <c r="AN1087" t="s">
        <v>2977</v>
      </c>
    </row>
    <row r="1088" spans="1:40" x14ac:dyDescent="0.35">
      <c r="A1088" t="s">
        <v>37</v>
      </c>
      <c r="B1088" t="s">
        <v>5153</v>
      </c>
      <c r="C1088" t="s">
        <v>39</v>
      </c>
      <c r="D1088" t="s">
        <v>1055</v>
      </c>
      <c r="E1088" t="s">
        <v>1056</v>
      </c>
      <c r="F1088" s="1">
        <v>46076.58090277778</v>
      </c>
      <c r="G1088" t="s">
        <v>355</v>
      </c>
      <c r="H1088" t="s">
        <v>356</v>
      </c>
      <c r="I1088" t="s">
        <v>5154</v>
      </c>
      <c r="J1088" t="s">
        <v>1865</v>
      </c>
      <c r="K1088" t="s">
        <v>1824</v>
      </c>
      <c r="M1088" t="s">
        <v>131</v>
      </c>
      <c r="O1088" t="s">
        <v>77</v>
      </c>
      <c r="P1088" t="s">
        <v>78</v>
      </c>
      <c r="Q1088" t="s">
        <v>50</v>
      </c>
      <c r="R1088" t="s">
        <v>51</v>
      </c>
      <c r="S1088" t="s">
        <v>52</v>
      </c>
      <c r="T1088" t="s">
        <v>773</v>
      </c>
      <c r="U1088" s="1">
        <v>46076.581377314818</v>
      </c>
      <c r="V1088" t="s">
        <v>54</v>
      </c>
      <c r="W1088" t="s">
        <v>55</v>
      </c>
      <c r="X1088" t="s">
        <v>113</v>
      </c>
      <c r="Y1088" t="s">
        <v>5155</v>
      </c>
      <c r="Z1088" t="s">
        <v>58</v>
      </c>
      <c r="AA1088" t="s">
        <v>54</v>
      </c>
      <c r="AB1088" t="s">
        <v>1867</v>
      </c>
      <c r="AC1088" t="s">
        <v>85</v>
      </c>
      <c r="AD1088" t="s">
        <v>52</v>
      </c>
      <c r="AE1088" t="s">
        <v>438</v>
      </c>
      <c r="AF1088" t="s">
        <v>439</v>
      </c>
      <c r="AG1088" t="s">
        <v>58</v>
      </c>
      <c r="AH1088" t="s">
        <v>1060</v>
      </c>
      <c r="AK1088">
        <v>0</v>
      </c>
      <c r="AL1088" t="s">
        <v>61</v>
      </c>
      <c r="AM1088" t="s">
        <v>1061</v>
      </c>
      <c r="AN1088" t="s">
        <v>1062</v>
      </c>
    </row>
    <row r="1089" spans="1:40" x14ac:dyDescent="0.35">
      <c r="A1089" t="s">
        <v>37</v>
      </c>
      <c r="B1089" t="s">
        <v>5156</v>
      </c>
      <c r="C1089" t="s">
        <v>39</v>
      </c>
      <c r="D1089" t="s">
        <v>1407</v>
      </c>
      <c r="E1089" t="s">
        <v>5157</v>
      </c>
      <c r="F1089" s="1">
        <v>46076.565011574072</v>
      </c>
      <c r="G1089" t="s">
        <v>913</v>
      </c>
      <c r="H1089" t="s">
        <v>72</v>
      </c>
      <c r="I1089" t="s">
        <v>5158</v>
      </c>
      <c r="J1089" t="s">
        <v>1833</v>
      </c>
      <c r="K1089" t="s">
        <v>1834</v>
      </c>
      <c r="M1089" t="s">
        <v>76</v>
      </c>
      <c r="O1089" t="s">
        <v>77</v>
      </c>
      <c r="P1089" t="s">
        <v>78</v>
      </c>
      <c r="Q1089" t="s">
        <v>5159</v>
      </c>
      <c r="R1089" t="s">
        <v>51</v>
      </c>
      <c r="S1089" t="s">
        <v>52</v>
      </c>
      <c r="T1089" t="s">
        <v>240</v>
      </c>
      <c r="U1089" s="1">
        <v>46078.933171296296</v>
      </c>
      <c r="V1089" t="s">
        <v>54</v>
      </c>
      <c r="W1089" t="s">
        <v>55</v>
      </c>
      <c r="X1089" t="s">
        <v>134</v>
      </c>
      <c r="Y1089" t="s">
        <v>5160</v>
      </c>
      <c r="Z1089" t="s">
        <v>58</v>
      </c>
      <c r="AA1089" t="s">
        <v>54</v>
      </c>
      <c r="AB1089" t="s">
        <v>1836</v>
      </c>
      <c r="AC1089" t="s">
        <v>85</v>
      </c>
      <c r="AD1089" t="s">
        <v>52</v>
      </c>
      <c r="AE1089" t="s">
        <v>243</v>
      </c>
      <c r="AF1089" t="s">
        <v>244</v>
      </c>
      <c r="AG1089" t="s">
        <v>58</v>
      </c>
      <c r="AH1089">
        <v>11042</v>
      </c>
      <c r="AK1089">
        <v>0</v>
      </c>
      <c r="AL1089" t="s">
        <v>61</v>
      </c>
      <c r="AM1089" t="s">
        <v>5161</v>
      </c>
      <c r="AN1089" t="s">
        <v>5162</v>
      </c>
    </row>
    <row r="1090" spans="1:40" x14ac:dyDescent="0.35">
      <c r="A1090" t="s">
        <v>37</v>
      </c>
      <c r="B1090" t="s">
        <v>5163</v>
      </c>
      <c r="C1090" t="s">
        <v>39</v>
      </c>
      <c r="D1090" t="s">
        <v>2442</v>
      </c>
      <c r="E1090" t="s">
        <v>2443</v>
      </c>
      <c r="F1090" s="1">
        <v>46076.561909722222</v>
      </c>
      <c r="G1090" t="s">
        <v>105</v>
      </c>
      <c r="H1090" t="s">
        <v>106</v>
      </c>
      <c r="I1090" t="s">
        <v>5164</v>
      </c>
      <c r="J1090" t="s">
        <v>435</v>
      </c>
      <c r="K1090" t="s">
        <v>436</v>
      </c>
      <c r="M1090" t="s">
        <v>76</v>
      </c>
      <c r="O1090" t="s">
        <v>77</v>
      </c>
      <c r="P1090" t="s">
        <v>78</v>
      </c>
      <c r="Q1090" t="s">
        <v>50</v>
      </c>
      <c r="R1090" t="s">
        <v>51</v>
      </c>
      <c r="S1090" t="s">
        <v>52</v>
      </c>
      <c r="T1090" t="s">
        <v>240</v>
      </c>
      <c r="U1090" s="1">
        <v>46078.3596412037</v>
      </c>
      <c r="V1090" t="s">
        <v>54</v>
      </c>
      <c r="W1090" t="s">
        <v>55</v>
      </c>
      <c r="X1090" t="s">
        <v>113</v>
      </c>
      <c r="Y1090" t="s">
        <v>5165</v>
      </c>
      <c r="Z1090" t="s">
        <v>58</v>
      </c>
      <c r="AA1090" t="s">
        <v>54</v>
      </c>
      <c r="AB1090" t="s">
        <v>2447</v>
      </c>
      <c r="AC1090" t="s">
        <v>85</v>
      </c>
      <c r="AD1090" t="s">
        <v>52</v>
      </c>
      <c r="AE1090" t="s">
        <v>438</v>
      </c>
      <c r="AF1090" t="s">
        <v>439</v>
      </c>
      <c r="AG1090" t="s">
        <v>58</v>
      </c>
      <c r="AH1090" t="s">
        <v>2446</v>
      </c>
      <c r="AK1090">
        <v>0</v>
      </c>
      <c r="AL1090" t="s">
        <v>61</v>
      </c>
      <c r="AM1090" t="s">
        <v>2447</v>
      </c>
      <c r="AN1090" t="s">
        <v>2448</v>
      </c>
    </row>
    <row r="1091" spans="1:40" x14ac:dyDescent="0.35">
      <c r="A1091" t="s">
        <v>37</v>
      </c>
      <c r="B1091" t="s">
        <v>5166</v>
      </c>
      <c r="C1091" t="s">
        <v>39</v>
      </c>
      <c r="D1091" t="s">
        <v>5167</v>
      </c>
      <c r="E1091" t="s">
        <v>5168</v>
      </c>
      <c r="F1091" s="1">
        <v>46076.560034722221</v>
      </c>
      <c r="G1091" t="s">
        <v>393</v>
      </c>
      <c r="H1091" t="s">
        <v>92</v>
      </c>
      <c r="I1091" t="s">
        <v>5169</v>
      </c>
      <c r="J1091" t="s">
        <v>1833</v>
      </c>
      <c r="K1091" t="s">
        <v>1834</v>
      </c>
      <c r="M1091" t="s">
        <v>76</v>
      </c>
      <c r="O1091" t="s">
        <v>77</v>
      </c>
      <c r="P1091" t="s">
        <v>78</v>
      </c>
      <c r="Q1091" t="s">
        <v>50</v>
      </c>
      <c r="R1091" t="s">
        <v>51</v>
      </c>
      <c r="S1091" t="s">
        <v>52</v>
      </c>
      <c r="T1091" t="s">
        <v>240</v>
      </c>
      <c r="U1091" s="1">
        <v>46078.948750000003</v>
      </c>
      <c r="V1091" t="s">
        <v>54</v>
      </c>
      <c r="W1091" t="s">
        <v>55</v>
      </c>
      <c r="X1091" t="s">
        <v>134</v>
      </c>
      <c r="Y1091" t="s">
        <v>1835</v>
      </c>
      <c r="Z1091" t="s">
        <v>58</v>
      </c>
      <c r="AA1091" t="s">
        <v>54</v>
      </c>
      <c r="AB1091" t="s">
        <v>1836</v>
      </c>
      <c r="AC1091" t="s">
        <v>85</v>
      </c>
      <c r="AD1091" t="s">
        <v>52</v>
      </c>
      <c r="AE1091" t="s">
        <v>243</v>
      </c>
      <c r="AF1091" t="s">
        <v>1470</v>
      </c>
      <c r="AG1091" t="s">
        <v>58</v>
      </c>
      <c r="AH1091">
        <v>15712</v>
      </c>
      <c r="AK1091">
        <v>0</v>
      </c>
      <c r="AL1091" t="s">
        <v>61</v>
      </c>
      <c r="AM1091" t="s">
        <v>5170</v>
      </c>
      <c r="AN1091" t="s">
        <v>5171</v>
      </c>
    </row>
    <row r="1092" spans="1:40" x14ac:dyDescent="0.35">
      <c r="A1092" t="s">
        <v>37</v>
      </c>
      <c r="B1092" t="s">
        <v>5172</v>
      </c>
      <c r="C1092" t="s">
        <v>39</v>
      </c>
      <c r="D1092" t="s">
        <v>1751</v>
      </c>
      <c r="E1092" t="s">
        <v>1316</v>
      </c>
      <c r="F1092" s="1">
        <v>46076.557141203702</v>
      </c>
      <c r="G1092" t="s">
        <v>1752</v>
      </c>
      <c r="H1092" t="s">
        <v>447</v>
      </c>
      <c r="I1092" t="s">
        <v>5173</v>
      </c>
      <c r="J1092" t="s">
        <v>1754</v>
      </c>
      <c r="K1092" t="s">
        <v>1755</v>
      </c>
      <c r="M1092" t="s">
        <v>131</v>
      </c>
      <c r="O1092" t="s">
        <v>77</v>
      </c>
      <c r="P1092" t="s">
        <v>78</v>
      </c>
      <c r="Q1092" t="s">
        <v>50</v>
      </c>
      <c r="R1092" t="s">
        <v>51</v>
      </c>
      <c r="S1092" t="s">
        <v>52</v>
      </c>
      <c r="T1092" t="s">
        <v>773</v>
      </c>
      <c r="U1092" s="1">
        <v>46078.462384259263</v>
      </c>
      <c r="V1092" t="s">
        <v>54</v>
      </c>
      <c r="W1092" t="s">
        <v>55</v>
      </c>
      <c r="X1092" t="s">
        <v>134</v>
      </c>
      <c r="Y1092" t="s">
        <v>1756</v>
      </c>
      <c r="Z1092" t="s">
        <v>58</v>
      </c>
      <c r="AA1092" t="s">
        <v>54</v>
      </c>
      <c r="AB1092" t="s">
        <v>1757</v>
      </c>
      <c r="AC1092" t="s">
        <v>85</v>
      </c>
      <c r="AD1092" t="s">
        <v>52</v>
      </c>
      <c r="AE1092" t="s">
        <v>243</v>
      </c>
      <c r="AF1092" t="s">
        <v>244</v>
      </c>
      <c r="AG1092" t="s">
        <v>58</v>
      </c>
      <c r="AK1092">
        <v>1</v>
      </c>
      <c r="AL1092" t="s">
        <v>61</v>
      </c>
      <c r="AM1092" t="s">
        <v>1757</v>
      </c>
      <c r="AN1092" t="s">
        <v>1758</v>
      </c>
    </row>
    <row r="1093" spans="1:40" x14ac:dyDescent="0.35">
      <c r="A1093" t="s">
        <v>37</v>
      </c>
      <c r="B1093" t="s">
        <v>5174</v>
      </c>
      <c r="C1093" t="s">
        <v>39</v>
      </c>
      <c r="D1093" t="s">
        <v>1751</v>
      </c>
      <c r="E1093" t="s">
        <v>1316</v>
      </c>
      <c r="F1093" s="1">
        <v>46076.545208333337</v>
      </c>
      <c r="G1093" t="s">
        <v>1752</v>
      </c>
      <c r="H1093" t="s">
        <v>447</v>
      </c>
      <c r="I1093" t="s">
        <v>5175</v>
      </c>
      <c r="J1093" t="s">
        <v>1754</v>
      </c>
      <c r="K1093" t="s">
        <v>1755</v>
      </c>
      <c r="M1093" t="s">
        <v>131</v>
      </c>
      <c r="O1093" t="s">
        <v>77</v>
      </c>
      <c r="P1093" t="s">
        <v>78</v>
      </c>
      <c r="Q1093" t="s">
        <v>50</v>
      </c>
      <c r="R1093" t="s">
        <v>51</v>
      </c>
      <c r="S1093" t="s">
        <v>52</v>
      </c>
      <c r="T1093" t="s">
        <v>773</v>
      </c>
      <c r="U1093" s="1">
        <v>46078.461643518516</v>
      </c>
      <c r="V1093" t="s">
        <v>54</v>
      </c>
      <c r="W1093" t="s">
        <v>55</v>
      </c>
      <c r="X1093" t="s">
        <v>134</v>
      </c>
      <c r="Y1093" t="s">
        <v>1756</v>
      </c>
      <c r="Z1093" t="s">
        <v>58</v>
      </c>
      <c r="AA1093" t="s">
        <v>54</v>
      </c>
      <c r="AB1093" t="s">
        <v>1757</v>
      </c>
      <c r="AC1093" t="s">
        <v>85</v>
      </c>
      <c r="AD1093" t="s">
        <v>52</v>
      </c>
      <c r="AE1093" t="s">
        <v>243</v>
      </c>
      <c r="AF1093" t="s">
        <v>244</v>
      </c>
      <c r="AG1093" t="s">
        <v>58</v>
      </c>
      <c r="AK1093">
        <v>1</v>
      </c>
      <c r="AL1093" t="s">
        <v>61</v>
      </c>
      <c r="AM1093" t="s">
        <v>1757</v>
      </c>
      <c r="AN1093" t="s">
        <v>1758</v>
      </c>
    </row>
    <row r="1094" spans="1:40" x14ac:dyDescent="0.35">
      <c r="A1094" t="s">
        <v>37</v>
      </c>
      <c r="B1094" t="s">
        <v>5176</v>
      </c>
      <c r="C1094" t="s">
        <v>102</v>
      </c>
      <c r="D1094" t="s">
        <v>1698</v>
      </c>
      <c r="E1094" t="s">
        <v>584</v>
      </c>
      <c r="F1094" s="1">
        <v>46076.545208333337</v>
      </c>
      <c r="G1094" t="s">
        <v>105</v>
      </c>
      <c r="H1094" t="s">
        <v>106</v>
      </c>
      <c r="I1094" t="s">
        <v>1908</v>
      </c>
      <c r="J1094" t="s">
        <v>108</v>
      </c>
      <c r="K1094" t="s">
        <v>109</v>
      </c>
      <c r="M1094" t="s">
        <v>76</v>
      </c>
      <c r="O1094" t="s">
        <v>77</v>
      </c>
      <c r="P1094" t="s">
        <v>78</v>
      </c>
      <c r="Q1094" t="s">
        <v>50</v>
      </c>
      <c r="R1094" t="s">
        <v>111</v>
      </c>
      <c r="S1094" t="s">
        <v>51</v>
      </c>
      <c r="T1094" t="s">
        <v>112</v>
      </c>
      <c r="U1094" s="1">
        <v>46076.694918981484</v>
      </c>
      <c r="V1094" t="s">
        <v>54</v>
      </c>
      <c r="W1094" t="s">
        <v>55</v>
      </c>
      <c r="X1094" t="s">
        <v>134</v>
      </c>
      <c r="Y1094" t="s">
        <v>5177</v>
      </c>
      <c r="Z1094" t="s">
        <v>58</v>
      </c>
      <c r="AA1094" t="s">
        <v>54</v>
      </c>
      <c r="AB1094" t="s">
        <v>1701</v>
      </c>
      <c r="AC1094" t="s">
        <v>85</v>
      </c>
      <c r="AD1094" t="s">
        <v>116</v>
      </c>
      <c r="AE1094" t="s">
        <v>117</v>
      </c>
      <c r="AF1094" t="s">
        <v>1706</v>
      </c>
      <c r="AG1094" t="s">
        <v>58</v>
      </c>
      <c r="AK1094">
        <v>1</v>
      </c>
      <c r="AL1094" t="s">
        <v>61</v>
      </c>
      <c r="AM1094" t="s">
        <v>1701</v>
      </c>
      <c r="AN1094" t="s">
        <v>1702</v>
      </c>
    </row>
    <row r="1095" spans="1:40" x14ac:dyDescent="0.35">
      <c r="A1095" t="s">
        <v>37</v>
      </c>
      <c r="B1095" t="s">
        <v>5178</v>
      </c>
      <c r="C1095" t="s">
        <v>39</v>
      </c>
      <c r="D1095" t="s">
        <v>1751</v>
      </c>
      <c r="E1095" t="s">
        <v>1316</v>
      </c>
      <c r="F1095" s="1">
        <v>46076.544386574074</v>
      </c>
      <c r="G1095" t="s">
        <v>1752</v>
      </c>
      <c r="H1095" t="s">
        <v>447</v>
      </c>
      <c r="I1095" t="s">
        <v>5179</v>
      </c>
      <c r="J1095" t="s">
        <v>1754</v>
      </c>
      <c r="K1095" t="s">
        <v>1755</v>
      </c>
      <c r="M1095" t="s">
        <v>131</v>
      </c>
      <c r="O1095" t="s">
        <v>77</v>
      </c>
      <c r="P1095" t="s">
        <v>78</v>
      </c>
      <c r="Q1095" t="s">
        <v>50</v>
      </c>
      <c r="R1095" t="s">
        <v>51</v>
      </c>
      <c r="S1095" t="s">
        <v>52</v>
      </c>
      <c r="T1095" t="s">
        <v>773</v>
      </c>
      <c r="U1095" s="1">
        <v>46078.459143518521</v>
      </c>
      <c r="V1095" t="s">
        <v>54</v>
      </c>
      <c r="W1095" t="s">
        <v>55</v>
      </c>
      <c r="X1095" t="s">
        <v>134</v>
      </c>
      <c r="Y1095" t="s">
        <v>5180</v>
      </c>
      <c r="Z1095" t="s">
        <v>58</v>
      </c>
      <c r="AA1095" t="s">
        <v>54</v>
      </c>
      <c r="AB1095" t="s">
        <v>1757</v>
      </c>
      <c r="AC1095" t="s">
        <v>85</v>
      </c>
      <c r="AD1095" t="s">
        <v>52</v>
      </c>
      <c r="AE1095" t="s">
        <v>243</v>
      </c>
      <c r="AF1095" t="s">
        <v>409</v>
      </c>
      <c r="AG1095" t="s">
        <v>58</v>
      </c>
      <c r="AK1095">
        <v>1</v>
      </c>
      <c r="AL1095" t="s">
        <v>61</v>
      </c>
      <c r="AM1095" t="s">
        <v>1757</v>
      </c>
      <c r="AN1095" t="s">
        <v>1758</v>
      </c>
    </row>
    <row r="1096" spans="1:40" x14ac:dyDescent="0.35">
      <c r="A1096" t="s">
        <v>37</v>
      </c>
      <c r="B1096" t="s">
        <v>5181</v>
      </c>
      <c r="C1096" t="s">
        <v>39</v>
      </c>
      <c r="D1096" t="s">
        <v>1751</v>
      </c>
      <c r="E1096" t="s">
        <v>1316</v>
      </c>
      <c r="F1096" s="1">
        <v>46076.530439814815</v>
      </c>
      <c r="G1096" t="s">
        <v>1752</v>
      </c>
      <c r="H1096" t="s">
        <v>447</v>
      </c>
      <c r="I1096" t="s">
        <v>5182</v>
      </c>
      <c r="J1096" t="s">
        <v>1754</v>
      </c>
      <c r="K1096" t="s">
        <v>1755</v>
      </c>
      <c r="M1096" t="s">
        <v>131</v>
      </c>
      <c r="O1096" t="s">
        <v>77</v>
      </c>
      <c r="P1096" t="s">
        <v>78</v>
      </c>
      <c r="Q1096" t="s">
        <v>50</v>
      </c>
      <c r="R1096" t="s">
        <v>51</v>
      </c>
      <c r="S1096" t="s">
        <v>52</v>
      </c>
      <c r="T1096" t="s">
        <v>773</v>
      </c>
      <c r="U1096" s="1">
        <v>46078.458310185182</v>
      </c>
      <c r="V1096" t="s">
        <v>54</v>
      </c>
      <c r="W1096" t="s">
        <v>55</v>
      </c>
      <c r="X1096" t="s">
        <v>134</v>
      </c>
      <c r="Y1096" t="s">
        <v>1756</v>
      </c>
      <c r="Z1096" t="s">
        <v>58</v>
      </c>
      <c r="AA1096" t="s">
        <v>54</v>
      </c>
      <c r="AB1096" t="s">
        <v>1757</v>
      </c>
      <c r="AC1096" t="s">
        <v>85</v>
      </c>
      <c r="AD1096" t="s">
        <v>52</v>
      </c>
      <c r="AE1096" t="s">
        <v>243</v>
      </c>
      <c r="AF1096" t="s">
        <v>244</v>
      </c>
      <c r="AG1096" t="s">
        <v>58</v>
      </c>
      <c r="AK1096">
        <v>1</v>
      </c>
      <c r="AL1096" t="s">
        <v>61</v>
      </c>
      <c r="AM1096" t="s">
        <v>1757</v>
      </c>
      <c r="AN1096" t="s">
        <v>1758</v>
      </c>
    </row>
    <row r="1097" spans="1:40" x14ac:dyDescent="0.35">
      <c r="A1097" t="s">
        <v>37</v>
      </c>
      <c r="B1097" t="s">
        <v>5183</v>
      </c>
      <c r="C1097" t="s">
        <v>39</v>
      </c>
      <c r="D1097" t="s">
        <v>1751</v>
      </c>
      <c r="E1097" t="s">
        <v>1316</v>
      </c>
      <c r="F1097" s="1">
        <v>46076.529016203705</v>
      </c>
      <c r="G1097" t="s">
        <v>1752</v>
      </c>
      <c r="H1097" t="s">
        <v>447</v>
      </c>
      <c r="I1097" t="s">
        <v>5184</v>
      </c>
      <c r="J1097" t="s">
        <v>1754</v>
      </c>
      <c r="K1097" t="s">
        <v>1755</v>
      </c>
      <c r="M1097" t="s">
        <v>131</v>
      </c>
      <c r="O1097" t="s">
        <v>77</v>
      </c>
      <c r="P1097" t="s">
        <v>78</v>
      </c>
      <c r="Q1097" t="s">
        <v>50</v>
      </c>
      <c r="R1097" t="s">
        <v>51</v>
      </c>
      <c r="S1097" t="s">
        <v>52</v>
      </c>
      <c r="T1097" t="s">
        <v>773</v>
      </c>
      <c r="U1097" s="1">
        <v>46078.457604166666</v>
      </c>
      <c r="V1097" t="s">
        <v>54</v>
      </c>
      <c r="W1097" t="s">
        <v>55</v>
      </c>
      <c r="X1097" t="s">
        <v>134</v>
      </c>
      <c r="Y1097" t="s">
        <v>5185</v>
      </c>
      <c r="Z1097" t="s">
        <v>58</v>
      </c>
      <c r="AA1097" t="s">
        <v>54</v>
      </c>
      <c r="AB1097" t="s">
        <v>1757</v>
      </c>
      <c r="AC1097" t="s">
        <v>85</v>
      </c>
      <c r="AD1097" t="s">
        <v>52</v>
      </c>
      <c r="AE1097" t="s">
        <v>243</v>
      </c>
      <c r="AF1097" t="s">
        <v>244</v>
      </c>
      <c r="AG1097" t="s">
        <v>58</v>
      </c>
      <c r="AK1097">
        <v>1</v>
      </c>
      <c r="AL1097" t="s">
        <v>61</v>
      </c>
      <c r="AM1097" t="s">
        <v>1757</v>
      </c>
      <c r="AN1097" t="s">
        <v>1758</v>
      </c>
    </row>
    <row r="1098" spans="1:40" x14ac:dyDescent="0.35">
      <c r="A1098" t="s">
        <v>37</v>
      </c>
      <c r="B1098" t="s">
        <v>5186</v>
      </c>
      <c r="C1098" t="s">
        <v>39</v>
      </c>
      <c r="D1098" t="s">
        <v>1831</v>
      </c>
      <c r="E1098" t="s">
        <v>713</v>
      </c>
      <c r="F1098" s="1">
        <v>46076.528287037036</v>
      </c>
      <c r="G1098" t="s">
        <v>913</v>
      </c>
      <c r="H1098" t="s">
        <v>72</v>
      </c>
      <c r="I1098" t="s">
        <v>5187</v>
      </c>
      <c r="J1098" t="s">
        <v>1833</v>
      </c>
      <c r="K1098" t="s">
        <v>1834</v>
      </c>
      <c r="M1098" t="s">
        <v>76</v>
      </c>
      <c r="O1098" t="s">
        <v>77</v>
      </c>
      <c r="P1098" t="s">
        <v>78</v>
      </c>
      <c r="Q1098" t="s">
        <v>818</v>
      </c>
      <c r="R1098" t="s">
        <v>51</v>
      </c>
      <c r="S1098" t="s">
        <v>52</v>
      </c>
      <c r="T1098" t="s">
        <v>240</v>
      </c>
      <c r="U1098" s="1">
        <v>46078.969259259262</v>
      </c>
      <c r="V1098" t="s">
        <v>54</v>
      </c>
      <c r="W1098" t="s">
        <v>55</v>
      </c>
      <c r="X1098" t="s">
        <v>134</v>
      </c>
      <c r="Y1098" t="s">
        <v>5160</v>
      </c>
      <c r="Z1098" t="s">
        <v>58</v>
      </c>
      <c r="AA1098" t="s">
        <v>54</v>
      </c>
      <c r="AB1098" t="s">
        <v>1836</v>
      </c>
      <c r="AC1098" t="s">
        <v>85</v>
      </c>
      <c r="AD1098" t="s">
        <v>52</v>
      </c>
      <c r="AE1098" t="s">
        <v>243</v>
      </c>
      <c r="AF1098" t="s">
        <v>244</v>
      </c>
      <c r="AG1098" t="s">
        <v>58</v>
      </c>
      <c r="AH1098" t="s">
        <v>1837</v>
      </c>
      <c r="AK1098">
        <v>0</v>
      </c>
      <c r="AL1098" t="s">
        <v>61</v>
      </c>
      <c r="AM1098" t="s">
        <v>1838</v>
      </c>
      <c r="AN1098" t="s">
        <v>1839</v>
      </c>
    </row>
    <row r="1099" spans="1:40" x14ac:dyDescent="0.35">
      <c r="A1099" t="s">
        <v>37</v>
      </c>
      <c r="B1099" t="s">
        <v>5188</v>
      </c>
      <c r="C1099" t="s">
        <v>39</v>
      </c>
      <c r="D1099" t="s">
        <v>1751</v>
      </c>
      <c r="E1099" t="s">
        <v>1316</v>
      </c>
      <c r="F1099" s="1">
        <v>46076.526828703703</v>
      </c>
      <c r="G1099" t="s">
        <v>1752</v>
      </c>
      <c r="H1099" t="s">
        <v>447</v>
      </c>
      <c r="I1099" t="s">
        <v>5189</v>
      </c>
      <c r="J1099" t="s">
        <v>1754</v>
      </c>
      <c r="K1099" t="s">
        <v>1755</v>
      </c>
      <c r="M1099" t="s">
        <v>131</v>
      </c>
      <c r="O1099" t="s">
        <v>77</v>
      </c>
      <c r="P1099" t="s">
        <v>78</v>
      </c>
      <c r="Q1099" t="s">
        <v>50</v>
      </c>
      <c r="R1099" t="s">
        <v>51</v>
      </c>
      <c r="S1099" t="s">
        <v>52</v>
      </c>
      <c r="T1099" t="s">
        <v>773</v>
      </c>
      <c r="U1099" s="1">
        <v>46078.457037037035</v>
      </c>
      <c r="V1099" t="s">
        <v>54</v>
      </c>
      <c r="W1099" t="s">
        <v>55</v>
      </c>
      <c r="X1099" t="s">
        <v>134</v>
      </c>
      <c r="Y1099" t="s">
        <v>5190</v>
      </c>
      <c r="Z1099" t="s">
        <v>58</v>
      </c>
      <c r="AA1099" t="s">
        <v>54</v>
      </c>
      <c r="AB1099" t="s">
        <v>1757</v>
      </c>
      <c r="AC1099" t="s">
        <v>85</v>
      </c>
      <c r="AD1099" t="s">
        <v>52</v>
      </c>
      <c r="AE1099" t="s">
        <v>243</v>
      </c>
      <c r="AF1099" t="s">
        <v>409</v>
      </c>
      <c r="AG1099" t="s">
        <v>58</v>
      </c>
      <c r="AK1099">
        <v>1</v>
      </c>
      <c r="AL1099" t="s">
        <v>61</v>
      </c>
      <c r="AM1099" t="s">
        <v>1757</v>
      </c>
      <c r="AN1099" t="s">
        <v>1758</v>
      </c>
    </row>
    <row r="1100" spans="1:40" x14ac:dyDescent="0.35">
      <c r="A1100" t="s">
        <v>37</v>
      </c>
      <c r="B1100" t="s">
        <v>5191</v>
      </c>
      <c r="C1100" t="s">
        <v>39</v>
      </c>
      <c r="D1100" t="s">
        <v>5192</v>
      </c>
      <c r="E1100" t="s">
        <v>5193</v>
      </c>
      <c r="F1100" s="1">
        <v>46076.524641203701</v>
      </c>
      <c r="G1100" t="s">
        <v>807</v>
      </c>
      <c r="H1100" t="s">
        <v>43</v>
      </c>
      <c r="I1100" t="s">
        <v>5194</v>
      </c>
      <c r="J1100" t="s">
        <v>4967</v>
      </c>
      <c r="K1100" t="s">
        <v>1834</v>
      </c>
      <c r="M1100" t="s">
        <v>76</v>
      </c>
      <c r="O1100" t="s">
        <v>77</v>
      </c>
      <c r="P1100" t="s">
        <v>78</v>
      </c>
      <c r="Q1100" t="s">
        <v>50</v>
      </c>
      <c r="R1100" t="s">
        <v>51</v>
      </c>
      <c r="S1100" t="s">
        <v>52</v>
      </c>
      <c r="T1100" t="s">
        <v>240</v>
      </c>
      <c r="U1100" s="1">
        <v>46077.576203703706</v>
      </c>
      <c r="V1100" t="s">
        <v>54</v>
      </c>
      <c r="W1100" t="s">
        <v>55</v>
      </c>
      <c r="X1100" t="s">
        <v>134</v>
      </c>
      <c r="Y1100" t="s">
        <v>5195</v>
      </c>
      <c r="Z1100" t="s">
        <v>58</v>
      </c>
      <c r="AA1100" t="s">
        <v>54</v>
      </c>
      <c r="AB1100" t="s">
        <v>3342</v>
      </c>
      <c r="AC1100" t="s">
        <v>85</v>
      </c>
      <c r="AD1100" t="s">
        <v>52</v>
      </c>
      <c r="AE1100" t="s">
        <v>243</v>
      </c>
      <c r="AF1100" t="s">
        <v>5196</v>
      </c>
      <c r="AG1100" t="s">
        <v>58</v>
      </c>
      <c r="AH1100">
        <v>12563</v>
      </c>
      <c r="AK1100">
        <v>0</v>
      </c>
      <c r="AL1100" t="s">
        <v>61</v>
      </c>
      <c r="AM1100" t="s">
        <v>5197</v>
      </c>
      <c r="AN1100" t="s">
        <v>5198</v>
      </c>
    </row>
    <row r="1101" spans="1:40" x14ac:dyDescent="0.35">
      <c r="A1101" t="s">
        <v>37</v>
      </c>
      <c r="B1101" t="s">
        <v>5199</v>
      </c>
      <c r="C1101" t="s">
        <v>39</v>
      </c>
      <c r="D1101" t="s">
        <v>5200</v>
      </c>
      <c r="E1101" t="s">
        <v>5201</v>
      </c>
      <c r="F1101" s="1">
        <v>46076.51898148148</v>
      </c>
      <c r="G1101" t="s">
        <v>913</v>
      </c>
      <c r="H1101" t="s">
        <v>72</v>
      </c>
      <c r="I1101" t="s">
        <v>5202</v>
      </c>
      <c r="J1101" t="s">
        <v>4967</v>
      </c>
      <c r="K1101" t="s">
        <v>1834</v>
      </c>
      <c r="M1101" t="s">
        <v>76</v>
      </c>
      <c r="O1101" t="s">
        <v>77</v>
      </c>
      <c r="P1101" t="s">
        <v>78</v>
      </c>
      <c r="Q1101" t="s">
        <v>50</v>
      </c>
      <c r="R1101" t="s">
        <v>51</v>
      </c>
      <c r="S1101" t="s">
        <v>52</v>
      </c>
      <c r="T1101" t="s">
        <v>240</v>
      </c>
      <c r="U1101" s="1">
        <v>46077.574606481481</v>
      </c>
      <c r="V1101" t="s">
        <v>54</v>
      </c>
      <c r="W1101" t="s">
        <v>55</v>
      </c>
      <c r="X1101" t="s">
        <v>134</v>
      </c>
      <c r="Y1101" t="s">
        <v>5203</v>
      </c>
      <c r="Z1101" t="s">
        <v>58</v>
      </c>
      <c r="AA1101" t="s">
        <v>54</v>
      </c>
      <c r="AB1101" t="s">
        <v>3342</v>
      </c>
      <c r="AC1101" t="s">
        <v>85</v>
      </c>
      <c r="AD1101" t="s">
        <v>52</v>
      </c>
      <c r="AE1101" t="s">
        <v>2140</v>
      </c>
      <c r="AF1101" t="s">
        <v>5204</v>
      </c>
      <c r="AG1101" t="s">
        <v>58</v>
      </c>
      <c r="AH1101" t="s">
        <v>5205</v>
      </c>
      <c r="AK1101">
        <v>0</v>
      </c>
      <c r="AL1101" t="s">
        <v>61</v>
      </c>
      <c r="AM1101" t="s">
        <v>5206</v>
      </c>
      <c r="AN1101" t="s">
        <v>5207</v>
      </c>
    </row>
    <row r="1102" spans="1:40" x14ac:dyDescent="0.35">
      <c r="A1102" t="s">
        <v>37</v>
      </c>
      <c r="B1102" t="s">
        <v>5208</v>
      </c>
      <c r="C1102" t="s">
        <v>102</v>
      </c>
      <c r="D1102" t="s">
        <v>1698</v>
      </c>
      <c r="E1102" t="s">
        <v>584</v>
      </c>
      <c r="F1102" s="1">
        <v>46076.51898148148</v>
      </c>
      <c r="G1102" t="s">
        <v>105</v>
      </c>
      <c r="H1102" t="s">
        <v>106</v>
      </c>
      <c r="I1102" t="s">
        <v>1812</v>
      </c>
      <c r="J1102" t="s">
        <v>108</v>
      </c>
      <c r="K1102" t="s">
        <v>571</v>
      </c>
      <c r="M1102" t="s">
        <v>76</v>
      </c>
      <c r="O1102" t="s">
        <v>77</v>
      </c>
      <c r="P1102" t="s">
        <v>78</v>
      </c>
      <c r="Q1102" t="s">
        <v>50</v>
      </c>
      <c r="R1102" t="s">
        <v>111</v>
      </c>
      <c r="S1102" t="s">
        <v>51</v>
      </c>
      <c r="T1102" t="s">
        <v>112</v>
      </c>
      <c r="U1102" s="1">
        <v>46076.731828703705</v>
      </c>
      <c r="V1102" t="s">
        <v>54</v>
      </c>
      <c r="W1102" t="s">
        <v>55</v>
      </c>
      <c r="X1102" t="s">
        <v>134</v>
      </c>
      <c r="Y1102" t="s">
        <v>5209</v>
      </c>
      <c r="Z1102" t="s">
        <v>58</v>
      </c>
      <c r="AA1102" t="s">
        <v>54</v>
      </c>
      <c r="AB1102" t="s">
        <v>1701</v>
      </c>
      <c r="AC1102" t="s">
        <v>85</v>
      </c>
      <c r="AD1102" t="s">
        <v>116</v>
      </c>
      <c r="AE1102" t="s">
        <v>574</v>
      </c>
      <c r="AF1102" t="s">
        <v>1706</v>
      </c>
      <c r="AG1102" t="s">
        <v>58</v>
      </c>
      <c r="AK1102">
        <v>1</v>
      </c>
      <c r="AL1102" t="s">
        <v>61</v>
      </c>
      <c r="AM1102" t="s">
        <v>1701</v>
      </c>
      <c r="AN1102" t="s">
        <v>1702</v>
      </c>
    </row>
    <row r="1103" spans="1:40" x14ac:dyDescent="0.35">
      <c r="A1103" t="s">
        <v>37</v>
      </c>
      <c r="B1103" t="s">
        <v>5210</v>
      </c>
      <c r="C1103" t="s">
        <v>102</v>
      </c>
      <c r="D1103" t="s">
        <v>1698</v>
      </c>
      <c r="E1103" t="s">
        <v>584</v>
      </c>
      <c r="F1103" s="1">
        <v>46076.517500000002</v>
      </c>
      <c r="G1103" t="s">
        <v>105</v>
      </c>
      <c r="H1103" t="s">
        <v>106</v>
      </c>
      <c r="I1103" t="s">
        <v>3849</v>
      </c>
      <c r="J1103" t="s">
        <v>108</v>
      </c>
      <c r="K1103" t="s">
        <v>571</v>
      </c>
      <c r="M1103" t="s">
        <v>76</v>
      </c>
      <c r="O1103" t="s">
        <v>77</v>
      </c>
      <c r="P1103" t="s">
        <v>78</v>
      </c>
      <c r="Q1103" t="s">
        <v>50</v>
      </c>
      <c r="R1103" t="s">
        <v>111</v>
      </c>
      <c r="S1103" t="s">
        <v>51</v>
      </c>
      <c r="T1103" t="s">
        <v>112</v>
      </c>
      <c r="U1103" s="1">
        <v>46076.644826388889</v>
      </c>
      <c r="V1103" t="s">
        <v>54</v>
      </c>
      <c r="W1103" t="s">
        <v>55</v>
      </c>
      <c r="X1103" t="s">
        <v>134</v>
      </c>
      <c r="Y1103" t="s">
        <v>5211</v>
      </c>
      <c r="Z1103" t="s">
        <v>58</v>
      </c>
      <c r="AA1103" t="s">
        <v>54</v>
      </c>
      <c r="AB1103" t="s">
        <v>1701</v>
      </c>
      <c r="AC1103" t="s">
        <v>85</v>
      </c>
      <c r="AD1103" t="s">
        <v>116</v>
      </c>
      <c r="AE1103" t="s">
        <v>574</v>
      </c>
      <c r="AF1103" t="s">
        <v>1706</v>
      </c>
      <c r="AG1103" t="s">
        <v>58</v>
      </c>
      <c r="AK1103">
        <v>1</v>
      </c>
      <c r="AL1103" t="s">
        <v>61</v>
      </c>
      <c r="AM1103" t="s">
        <v>1701</v>
      </c>
      <c r="AN1103" t="s">
        <v>1702</v>
      </c>
    </row>
    <row r="1104" spans="1:40" x14ac:dyDescent="0.35">
      <c r="A1104" t="s">
        <v>37</v>
      </c>
      <c r="B1104" t="s">
        <v>5212</v>
      </c>
      <c r="C1104" t="s">
        <v>39</v>
      </c>
      <c r="D1104" t="s">
        <v>1751</v>
      </c>
      <c r="E1104" t="s">
        <v>1316</v>
      </c>
      <c r="F1104" s="1">
        <v>46076.511863425927</v>
      </c>
      <c r="G1104" t="s">
        <v>1752</v>
      </c>
      <c r="H1104" t="s">
        <v>447</v>
      </c>
      <c r="I1104" t="s">
        <v>5213</v>
      </c>
      <c r="J1104" t="s">
        <v>1754</v>
      </c>
      <c r="K1104" t="s">
        <v>1755</v>
      </c>
      <c r="M1104" t="s">
        <v>131</v>
      </c>
      <c r="O1104" t="s">
        <v>77</v>
      </c>
      <c r="P1104" t="s">
        <v>78</v>
      </c>
      <c r="Q1104" t="s">
        <v>50</v>
      </c>
      <c r="R1104" t="s">
        <v>51</v>
      </c>
      <c r="S1104" t="s">
        <v>52</v>
      </c>
      <c r="T1104" t="s">
        <v>773</v>
      </c>
      <c r="U1104" s="1">
        <v>46078.456099537034</v>
      </c>
      <c r="V1104" t="s">
        <v>54</v>
      </c>
      <c r="W1104" t="s">
        <v>55</v>
      </c>
      <c r="X1104" t="s">
        <v>134</v>
      </c>
      <c r="Y1104" t="s">
        <v>1756</v>
      </c>
      <c r="Z1104" t="s">
        <v>58</v>
      </c>
      <c r="AA1104" t="s">
        <v>54</v>
      </c>
      <c r="AB1104" t="s">
        <v>1757</v>
      </c>
      <c r="AC1104" t="s">
        <v>85</v>
      </c>
      <c r="AD1104" t="s">
        <v>52</v>
      </c>
      <c r="AE1104" t="s">
        <v>243</v>
      </c>
      <c r="AF1104" t="s">
        <v>244</v>
      </c>
      <c r="AG1104" t="s">
        <v>58</v>
      </c>
      <c r="AK1104">
        <v>1</v>
      </c>
      <c r="AL1104" t="s">
        <v>61</v>
      </c>
      <c r="AM1104" t="s">
        <v>1757</v>
      </c>
      <c r="AN1104" t="s">
        <v>1758</v>
      </c>
    </row>
    <row r="1105" spans="1:40" x14ac:dyDescent="0.35">
      <c r="A1105" t="s">
        <v>37</v>
      </c>
      <c r="B1105" t="s">
        <v>5214</v>
      </c>
      <c r="C1105" t="s">
        <v>39</v>
      </c>
      <c r="D1105" t="s">
        <v>1751</v>
      </c>
      <c r="E1105" t="s">
        <v>1316</v>
      </c>
      <c r="F1105" s="1">
        <v>46076.508935185186</v>
      </c>
      <c r="G1105" t="s">
        <v>1752</v>
      </c>
      <c r="H1105" t="s">
        <v>447</v>
      </c>
      <c r="I1105" t="s">
        <v>5215</v>
      </c>
      <c r="J1105" t="s">
        <v>1754</v>
      </c>
      <c r="K1105" t="s">
        <v>1755</v>
      </c>
      <c r="M1105" t="s">
        <v>131</v>
      </c>
      <c r="O1105" t="s">
        <v>77</v>
      </c>
      <c r="P1105" t="s">
        <v>78</v>
      </c>
      <c r="Q1105" t="s">
        <v>50</v>
      </c>
      <c r="R1105" t="s">
        <v>51</v>
      </c>
      <c r="S1105" t="s">
        <v>52</v>
      </c>
      <c r="T1105" t="s">
        <v>773</v>
      </c>
      <c r="U1105" s="1">
        <v>46078.452175925922</v>
      </c>
      <c r="V1105" t="s">
        <v>54</v>
      </c>
      <c r="W1105" t="s">
        <v>55</v>
      </c>
      <c r="X1105" t="s">
        <v>134</v>
      </c>
      <c r="Y1105" t="s">
        <v>5216</v>
      </c>
      <c r="Z1105" t="s">
        <v>58</v>
      </c>
      <c r="AA1105" t="s">
        <v>54</v>
      </c>
      <c r="AB1105" t="s">
        <v>1757</v>
      </c>
      <c r="AC1105" t="s">
        <v>85</v>
      </c>
      <c r="AD1105" t="s">
        <v>52</v>
      </c>
      <c r="AE1105" t="s">
        <v>243</v>
      </c>
      <c r="AF1105" t="s">
        <v>409</v>
      </c>
      <c r="AG1105" t="s">
        <v>58</v>
      </c>
      <c r="AK1105">
        <v>1</v>
      </c>
      <c r="AL1105" t="s">
        <v>61</v>
      </c>
      <c r="AM1105" t="s">
        <v>1757</v>
      </c>
      <c r="AN1105" t="s">
        <v>1758</v>
      </c>
    </row>
    <row r="1106" spans="1:40" x14ac:dyDescent="0.35">
      <c r="A1106" t="s">
        <v>37</v>
      </c>
      <c r="B1106" t="s">
        <v>5217</v>
      </c>
      <c r="C1106" t="s">
        <v>102</v>
      </c>
      <c r="D1106" t="s">
        <v>1698</v>
      </c>
      <c r="E1106" t="s">
        <v>584</v>
      </c>
      <c r="F1106" s="1">
        <v>46076.505370370367</v>
      </c>
      <c r="G1106" t="s">
        <v>105</v>
      </c>
      <c r="H1106" t="s">
        <v>106</v>
      </c>
      <c r="I1106" t="s">
        <v>1732</v>
      </c>
      <c r="J1106" t="s">
        <v>108</v>
      </c>
      <c r="K1106" t="s">
        <v>109</v>
      </c>
      <c r="M1106" t="s">
        <v>76</v>
      </c>
      <c r="O1106" t="s">
        <v>77</v>
      </c>
      <c r="P1106" t="s">
        <v>78</v>
      </c>
      <c r="Q1106" t="s">
        <v>50</v>
      </c>
      <c r="R1106" t="s">
        <v>111</v>
      </c>
      <c r="S1106" t="s">
        <v>51</v>
      </c>
      <c r="T1106" t="s">
        <v>112</v>
      </c>
      <c r="U1106" s="1">
        <v>46076.583171296297</v>
      </c>
      <c r="V1106" t="s">
        <v>54</v>
      </c>
      <c r="W1106" t="s">
        <v>55</v>
      </c>
      <c r="X1106" t="s">
        <v>134</v>
      </c>
      <c r="Y1106" t="s">
        <v>5218</v>
      </c>
      <c r="Z1106" t="s">
        <v>58</v>
      </c>
      <c r="AA1106" t="s">
        <v>54</v>
      </c>
      <c r="AB1106" t="s">
        <v>1701</v>
      </c>
      <c r="AC1106" t="s">
        <v>85</v>
      </c>
      <c r="AD1106" t="s">
        <v>116</v>
      </c>
      <c r="AE1106" t="s">
        <v>117</v>
      </c>
      <c r="AF1106" t="s">
        <v>1706</v>
      </c>
      <c r="AG1106" t="s">
        <v>58</v>
      </c>
      <c r="AK1106">
        <v>1</v>
      </c>
      <c r="AL1106" t="s">
        <v>61</v>
      </c>
      <c r="AM1106" t="s">
        <v>1701</v>
      </c>
      <c r="AN1106" t="s">
        <v>1702</v>
      </c>
    </row>
    <row r="1107" spans="1:40" x14ac:dyDescent="0.35">
      <c r="A1107" t="s">
        <v>37</v>
      </c>
      <c r="B1107" t="s">
        <v>5219</v>
      </c>
      <c r="C1107" t="s">
        <v>102</v>
      </c>
      <c r="D1107" t="s">
        <v>1698</v>
      </c>
      <c r="E1107" t="s">
        <v>584</v>
      </c>
      <c r="F1107" s="1">
        <v>46076.498379629629</v>
      </c>
      <c r="G1107" t="s">
        <v>105</v>
      </c>
      <c r="H1107" t="s">
        <v>106</v>
      </c>
      <c r="I1107" t="s">
        <v>3849</v>
      </c>
      <c r="J1107" t="s">
        <v>108</v>
      </c>
      <c r="K1107" t="s">
        <v>571</v>
      </c>
      <c r="M1107" t="s">
        <v>76</v>
      </c>
      <c r="O1107" t="s">
        <v>77</v>
      </c>
      <c r="P1107" t="s">
        <v>78</v>
      </c>
      <c r="Q1107" t="s">
        <v>50</v>
      </c>
      <c r="R1107" t="s">
        <v>111</v>
      </c>
      <c r="S1107" t="s">
        <v>51</v>
      </c>
      <c r="T1107" t="s">
        <v>112</v>
      </c>
      <c r="U1107" s="1">
        <v>46076.524710648147</v>
      </c>
      <c r="V1107" t="s">
        <v>54</v>
      </c>
      <c r="W1107" t="s">
        <v>55</v>
      </c>
      <c r="X1107" t="s">
        <v>134</v>
      </c>
      <c r="Y1107" t="s">
        <v>1680</v>
      </c>
      <c r="Z1107" t="s">
        <v>58</v>
      </c>
      <c r="AA1107" t="s">
        <v>54</v>
      </c>
      <c r="AB1107" t="s">
        <v>1701</v>
      </c>
      <c r="AC1107" t="s">
        <v>85</v>
      </c>
      <c r="AD1107" t="s">
        <v>116</v>
      </c>
      <c r="AE1107" t="s">
        <v>574</v>
      </c>
      <c r="AF1107" t="s">
        <v>144</v>
      </c>
      <c r="AG1107" t="s">
        <v>58</v>
      </c>
      <c r="AK1107">
        <v>1</v>
      </c>
      <c r="AL1107" t="s">
        <v>61</v>
      </c>
      <c r="AM1107" t="s">
        <v>1701</v>
      </c>
      <c r="AN1107" t="s">
        <v>1702</v>
      </c>
    </row>
    <row r="1108" spans="1:40" x14ac:dyDescent="0.35">
      <c r="A1108" t="s">
        <v>37</v>
      </c>
      <c r="B1108" t="s">
        <v>5220</v>
      </c>
      <c r="C1108" t="s">
        <v>39</v>
      </c>
      <c r="D1108" t="s">
        <v>5221</v>
      </c>
      <c r="E1108" t="s">
        <v>5222</v>
      </c>
      <c r="F1108" s="1">
        <v>46076.487141203703</v>
      </c>
      <c r="G1108" t="s">
        <v>3396</v>
      </c>
      <c r="H1108" t="s">
        <v>106</v>
      </c>
      <c r="I1108" t="s">
        <v>5223</v>
      </c>
      <c r="J1108" t="s">
        <v>3257</v>
      </c>
      <c r="K1108" t="s">
        <v>1834</v>
      </c>
      <c r="M1108" t="s">
        <v>76</v>
      </c>
      <c r="O1108" t="s">
        <v>77</v>
      </c>
      <c r="P1108" t="s">
        <v>78</v>
      </c>
      <c r="Q1108" t="s">
        <v>5224</v>
      </c>
      <c r="R1108" t="s">
        <v>51</v>
      </c>
      <c r="S1108" t="s">
        <v>52</v>
      </c>
      <c r="T1108" t="s">
        <v>240</v>
      </c>
      <c r="U1108" s="1">
        <v>46077.578796296293</v>
      </c>
      <c r="V1108" t="s">
        <v>54</v>
      </c>
      <c r="W1108" t="s">
        <v>55</v>
      </c>
      <c r="X1108" t="s">
        <v>134</v>
      </c>
      <c r="Y1108" t="s">
        <v>3258</v>
      </c>
      <c r="Z1108" t="s">
        <v>58</v>
      </c>
      <c r="AA1108" t="s">
        <v>54</v>
      </c>
      <c r="AB1108" t="s">
        <v>3259</v>
      </c>
      <c r="AC1108" t="s">
        <v>85</v>
      </c>
      <c r="AD1108" t="s">
        <v>52</v>
      </c>
      <c r="AE1108" t="s">
        <v>243</v>
      </c>
      <c r="AF1108" t="s">
        <v>1470</v>
      </c>
      <c r="AG1108" t="s">
        <v>58</v>
      </c>
      <c r="AH1108">
        <v>1885</v>
      </c>
      <c r="AK1108">
        <v>0</v>
      </c>
      <c r="AL1108" t="s">
        <v>61</v>
      </c>
      <c r="AM1108" t="s">
        <v>5225</v>
      </c>
      <c r="AN1108" t="s">
        <v>5226</v>
      </c>
    </row>
    <row r="1109" spans="1:40" x14ac:dyDescent="0.35">
      <c r="A1109" t="s">
        <v>37</v>
      </c>
      <c r="B1109" t="s">
        <v>5227</v>
      </c>
      <c r="C1109" t="s">
        <v>39</v>
      </c>
      <c r="D1109" t="s">
        <v>960</v>
      </c>
      <c r="E1109" t="s">
        <v>961</v>
      </c>
      <c r="F1109" s="1">
        <v>46076.48715277778</v>
      </c>
      <c r="G1109" t="s">
        <v>355</v>
      </c>
      <c r="H1109" t="s">
        <v>356</v>
      </c>
      <c r="I1109" t="s">
        <v>5228</v>
      </c>
      <c r="J1109" t="s">
        <v>963</v>
      </c>
      <c r="K1109" t="s">
        <v>964</v>
      </c>
      <c r="M1109" t="s">
        <v>131</v>
      </c>
      <c r="O1109" t="s">
        <v>77</v>
      </c>
      <c r="P1109" t="s">
        <v>78</v>
      </c>
      <c r="Q1109" t="s">
        <v>50</v>
      </c>
      <c r="R1109" t="s">
        <v>51</v>
      </c>
      <c r="S1109" t="s">
        <v>52</v>
      </c>
      <c r="T1109" t="s">
        <v>240</v>
      </c>
      <c r="U1109" s="1">
        <v>46078.442939814813</v>
      </c>
      <c r="V1109" t="s">
        <v>54</v>
      </c>
      <c r="W1109" t="s">
        <v>55</v>
      </c>
      <c r="X1109" t="s">
        <v>113</v>
      </c>
      <c r="Y1109" t="s">
        <v>5229</v>
      </c>
      <c r="Z1109" t="s">
        <v>58</v>
      </c>
      <c r="AA1109" t="s">
        <v>54</v>
      </c>
      <c r="AB1109" t="s">
        <v>966</v>
      </c>
      <c r="AC1109" t="s">
        <v>85</v>
      </c>
      <c r="AD1109" t="s">
        <v>52</v>
      </c>
      <c r="AE1109" t="s">
        <v>243</v>
      </c>
      <c r="AF1109" t="s">
        <v>1470</v>
      </c>
      <c r="AG1109" t="s">
        <v>58</v>
      </c>
      <c r="AH1109" t="s">
        <v>969</v>
      </c>
      <c r="AK1109">
        <v>0</v>
      </c>
      <c r="AL1109" t="s">
        <v>61</v>
      </c>
      <c r="AM1109" t="s">
        <v>966</v>
      </c>
      <c r="AN1109" t="s">
        <v>970</v>
      </c>
    </row>
    <row r="1110" spans="1:40" x14ac:dyDescent="0.35">
      <c r="A1110" t="s">
        <v>37</v>
      </c>
      <c r="B1110" t="s">
        <v>5230</v>
      </c>
      <c r="C1110" t="s">
        <v>39</v>
      </c>
      <c r="D1110" t="s">
        <v>1751</v>
      </c>
      <c r="E1110" t="s">
        <v>1316</v>
      </c>
      <c r="F1110" s="1">
        <v>46076.463182870371</v>
      </c>
      <c r="G1110" t="s">
        <v>1752</v>
      </c>
      <c r="H1110" t="s">
        <v>447</v>
      </c>
      <c r="I1110" t="s">
        <v>5231</v>
      </c>
      <c r="J1110" t="s">
        <v>1754</v>
      </c>
      <c r="K1110" t="s">
        <v>1755</v>
      </c>
      <c r="M1110" t="s">
        <v>131</v>
      </c>
      <c r="O1110" t="s">
        <v>77</v>
      </c>
      <c r="P1110" t="s">
        <v>78</v>
      </c>
      <c r="Q1110" t="s">
        <v>50</v>
      </c>
      <c r="R1110" t="s">
        <v>51</v>
      </c>
      <c r="S1110" t="s">
        <v>52</v>
      </c>
      <c r="T1110" t="s">
        <v>773</v>
      </c>
      <c r="U1110" s="1">
        <v>46078.451331018521</v>
      </c>
      <c r="V1110" t="s">
        <v>54</v>
      </c>
      <c r="W1110" t="s">
        <v>55</v>
      </c>
      <c r="X1110" t="s">
        <v>134</v>
      </c>
      <c r="Y1110" t="s">
        <v>1756</v>
      </c>
      <c r="Z1110" t="s">
        <v>58</v>
      </c>
      <c r="AA1110" t="s">
        <v>54</v>
      </c>
      <c r="AB1110" t="s">
        <v>1757</v>
      </c>
      <c r="AC1110" t="s">
        <v>85</v>
      </c>
      <c r="AD1110" t="s">
        <v>52</v>
      </c>
      <c r="AE1110" t="s">
        <v>243</v>
      </c>
      <c r="AF1110" t="s">
        <v>244</v>
      </c>
      <c r="AG1110" t="s">
        <v>58</v>
      </c>
      <c r="AK1110">
        <v>1</v>
      </c>
      <c r="AL1110" t="s">
        <v>61</v>
      </c>
      <c r="AM1110" t="s">
        <v>1757</v>
      </c>
      <c r="AN1110" t="s">
        <v>1758</v>
      </c>
    </row>
    <row r="1111" spans="1:40" x14ac:dyDescent="0.35">
      <c r="A1111" t="s">
        <v>37</v>
      </c>
      <c r="B1111" t="s">
        <v>5232</v>
      </c>
      <c r="C1111" t="s">
        <v>39</v>
      </c>
      <c r="D1111" t="s">
        <v>1751</v>
      </c>
      <c r="E1111" t="s">
        <v>1316</v>
      </c>
      <c r="F1111" s="1">
        <v>46076.457488425927</v>
      </c>
      <c r="G1111" t="s">
        <v>1752</v>
      </c>
      <c r="H1111" t="s">
        <v>447</v>
      </c>
      <c r="I1111" t="s">
        <v>5233</v>
      </c>
      <c r="J1111" t="s">
        <v>1754</v>
      </c>
      <c r="K1111" t="s">
        <v>1755</v>
      </c>
      <c r="M1111" t="s">
        <v>131</v>
      </c>
      <c r="O1111" t="s">
        <v>77</v>
      </c>
      <c r="P1111" t="s">
        <v>78</v>
      </c>
      <c r="Q1111" t="s">
        <v>50</v>
      </c>
      <c r="R1111" t="s">
        <v>51</v>
      </c>
      <c r="S1111" t="s">
        <v>52</v>
      </c>
      <c r="T1111" t="s">
        <v>773</v>
      </c>
      <c r="U1111" s="1">
        <v>46078.450300925928</v>
      </c>
      <c r="V1111" t="s">
        <v>54</v>
      </c>
      <c r="W1111" t="s">
        <v>55</v>
      </c>
      <c r="X1111" t="s">
        <v>134</v>
      </c>
      <c r="Y1111" t="s">
        <v>5234</v>
      </c>
      <c r="Z1111" t="s">
        <v>58</v>
      </c>
      <c r="AA1111" t="s">
        <v>54</v>
      </c>
      <c r="AB1111" t="s">
        <v>1757</v>
      </c>
      <c r="AC1111" t="s">
        <v>85</v>
      </c>
      <c r="AD1111" t="s">
        <v>52</v>
      </c>
      <c r="AE1111" t="s">
        <v>243</v>
      </c>
      <c r="AF1111" t="s">
        <v>244</v>
      </c>
      <c r="AG1111" t="s">
        <v>58</v>
      </c>
      <c r="AK1111">
        <v>1</v>
      </c>
      <c r="AL1111" t="s">
        <v>61</v>
      </c>
      <c r="AM1111" t="s">
        <v>1757</v>
      </c>
      <c r="AN1111" t="s">
        <v>1758</v>
      </c>
    </row>
    <row r="1112" spans="1:40" x14ac:dyDescent="0.35">
      <c r="A1112" t="s">
        <v>37</v>
      </c>
      <c r="B1112" t="s">
        <v>5235</v>
      </c>
      <c r="C1112" t="s">
        <v>102</v>
      </c>
      <c r="D1112" t="s">
        <v>1698</v>
      </c>
      <c r="E1112" t="s">
        <v>584</v>
      </c>
      <c r="F1112" s="1">
        <v>46076.456759259258</v>
      </c>
      <c r="G1112" t="s">
        <v>105</v>
      </c>
      <c r="H1112" t="s">
        <v>106</v>
      </c>
      <c r="I1112" t="s">
        <v>3849</v>
      </c>
      <c r="J1112" t="s">
        <v>108</v>
      </c>
      <c r="K1112" t="s">
        <v>571</v>
      </c>
      <c r="M1112" t="s">
        <v>76</v>
      </c>
      <c r="O1112" t="s">
        <v>77</v>
      </c>
      <c r="P1112" t="s">
        <v>78</v>
      </c>
      <c r="Q1112" t="s">
        <v>50</v>
      </c>
      <c r="R1112" t="s">
        <v>111</v>
      </c>
      <c r="S1112" t="s">
        <v>51</v>
      </c>
      <c r="T1112" t="s">
        <v>112</v>
      </c>
      <c r="U1112" s="1">
        <v>46076.488402777781</v>
      </c>
      <c r="V1112" t="s">
        <v>54</v>
      </c>
      <c r="W1112" t="s">
        <v>55</v>
      </c>
      <c r="X1112" t="s">
        <v>134</v>
      </c>
      <c r="Y1112" t="s">
        <v>5236</v>
      </c>
      <c r="Z1112" t="s">
        <v>58</v>
      </c>
      <c r="AA1112" t="s">
        <v>54</v>
      </c>
      <c r="AB1112" t="s">
        <v>1701</v>
      </c>
      <c r="AC1112" t="s">
        <v>85</v>
      </c>
      <c r="AD1112" t="s">
        <v>116</v>
      </c>
      <c r="AE1112" t="s">
        <v>574</v>
      </c>
      <c r="AF1112" t="s">
        <v>1874</v>
      </c>
      <c r="AG1112" t="s">
        <v>58</v>
      </c>
      <c r="AK1112">
        <v>1</v>
      </c>
      <c r="AL1112" t="s">
        <v>61</v>
      </c>
      <c r="AM1112" t="s">
        <v>1701</v>
      </c>
      <c r="AN1112" t="s">
        <v>1702</v>
      </c>
    </row>
    <row r="1113" spans="1:40" x14ac:dyDescent="0.35">
      <c r="A1113" t="s">
        <v>37</v>
      </c>
      <c r="B1113" t="s">
        <v>5237</v>
      </c>
      <c r="C1113" t="s">
        <v>102</v>
      </c>
      <c r="D1113" t="s">
        <v>1698</v>
      </c>
      <c r="E1113" t="s">
        <v>584</v>
      </c>
      <c r="F1113" s="1">
        <v>46076.454618055555</v>
      </c>
      <c r="G1113" t="s">
        <v>105</v>
      </c>
      <c r="H1113" t="s">
        <v>106</v>
      </c>
      <c r="I1113" t="s">
        <v>1898</v>
      </c>
      <c r="J1113" t="s">
        <v>108</v>
      </c>
      <c r="K1113" t="s">
        <v>109</v>
      </c>
      <c r="M1113" t="s">
        <v>76</v>
      </c>
      <c r="O1113" t="s">
        <v>77</v>
      </c>
      <c r="P1113" t="s">
        <v>78</v>
      </c>
      <c r="Q1113" t="s">
        <v>50</v>
      </c>
      <c r="R1113" t="s">
        <v>111</v>
      </c>
      <c r="S1113" t="s">
        <v>51</v>
      </c>
      <c r="T1113" t="s">
        <v>112</v>
      </c>
      <c r="U1113" s="1">
        <v>46076.582499999997</v>
      </c>
      <c r="V1113" t="s">
        <v>54</v>
      </c>
      <c r="W1113" t="s">
        <v>55</v>
      </c>
      <c r="X1113" t="s">
        <v>134</v>
      </c>
      <c r="Y1113" t="s">
        <v>5238</v>
      </c>
      <c r="Z1113" t="s">
        <v>58</v>
      </c>
      <c r="AA1113" t="s">
        <v>54</v>
      </c>
      <c r="AB1113" t="s">
        <v>1701</v>
      </c>
      <c r="AC1113" t="s">
        <v>85</v>
      </c>
      <c r="AD1113" t="s">
        <v>116</v>
      </c>
      <c r="AE1113" t="s">
        <v>117</v>
      </c>
      <c r="AF1113" t="s">
        <v>1724</v>
      </c>
      <c r="AG1113" t="s">
        <v>58</v>
      </c>
      <c r="AK1113">
        <v>1</v>
      </c>
      <c r="AL1113" t="s">
        <v>61</v>
      </c>
      <c r="AM1113" t="s">
        <v>1701</v>
      </c>
      <c r="AN1113" t="s">
        <v>1702</v>
      </c>
    </row>
    <row r="1114" spans="1:40" x14ac:dyDescent="0.35">
      <c r="A1114" t="s">
        <v>37</v>
      </c>
      <c r="B1114" t="s">
        <v>5239</v>
      </c>
      <c r="C1114" t="s">
        <v>39</v>
      </c>
      <c r="D1114" t="s">
        <v>3211</v>
      </c>
      <c r="E1114" t="s">
        <v>3212</v>
      </c>
      <c r="F1114" s="1">
        <v>46076.451979166668</v>
      </c>
      <c r="G1114" t="s">
        <v>355</v>
      </c>
      <c r="H1114" t="s">
        <v>356</v>
      </c>
      <c r="I1114" t="s">
        <v>5240</v>
      </c>
      <c r="J1114" t="s">
        <v>358</v>
      </c>
      <c r="K1114" t="s">
        <v>359</v>
      </c>
      <c r="M1114" t="s">
        <v>131</v>
      </c>
      <c r="O1114" t="s">
        <v>77</v>
      </c>
      <c r="P1114" t="s">
        <v>78</v>
      </c>
      <c r="Q1114" t="s">
        <v>50</v>
      </c>
      <c r="R1114" t="s">
        <v>51</v>
      </c>
      <c r="S1114" t="s">
        <v>52</v>
      </c>
      <c r="T1114" t="s">
        <v>53</v>
      </c>
      <c r="U1114" s="1">
        <v>46077.359259259261</v>
      </c>
      <c r="V1114" t="s">
        <v>54</v>
      </c>
      <c r="W1114" t="s">
        <v>55</v>
      </c>
      <c r="X1114" t="s">
        <v>113</v>
      </c>
      <c r="Y1114" t="s">
        <v>5241</v>
      </c>
      <c r="Z1114" t="s">
        <v>58</v>
      </c>
      <c r="AA1114" t="s">
        <v>54</v>
      </c>
      <c r="AB1114" t="s">
        <v>361</v>
      </c>
      <c r="AC1114" t="s">
        <v>85</v>
      </c>
      <c r="AD1114" t="s">
        <v>52</v>
      </c>
      <c r="AE1114" t="s">
        <v>999</v>
      </c>
      <c r="AF1114" t="s">
        <v>1770</v>
      </c>
      <c r="AG1114" t="s">
        <v>58</v>
      </c>
      <c r="AH1114" t="s">
        <v>3215</v>
      </c>
      <c r="AK1114">
        <v>0</v>
      </c>
      <c r="AL1114" t="s">
        <v>61</v>
      </c>
      <c r="AM1114" t="s">
        <v>3216</v>
      </c>
      <c r="AN1114" t="s">
        <v>3217</v>
      </c>
    </row>
    <row r="1115" spans="1:40" x14ac:dyDescent="0.35">
      <c r="A1115" t="s">
        <v>37</v>
      </c>
      <c r="B1115" t="s">
        <v>5242</v>
      </c>
      <c r="C1115" t="s">
        <v>39</v>
      </c>
      <c r="D1115" t="s">
        <v>3211</v>
      </c>
      <c r="E1115" t="s">
        <v>3212</v>
      </c>
      <c r="F1115" s="1">
        <v>46076.44771990741</v>
      </c>
      <c r="G1115" t="s">
        <v>355</v>
      </c>
      <c r="H1115" t="s">
        <v>356</v>
      </c>
      <c r="I1115" t="s">
        <v>5243</v>
      </c>
      <c r="J1115" t="s">
        <v>358</v>
      </c>
      <c r="K1115" t="s">
        <v>359</v>
      </c>
      <c r="M1115" t="s">
        <v>131</v>
      </c>
      <c r="O1115" t="s">
        <v>77</v>
      </c>
      <c r="P1115" t="s">
        <v>78</v>
      </c>
      <c r="Q1115" t="s">
        <v>50</v>
      </c>
      <c r="R1115" t="s">
        <v>51</v>
      </c>
      <c r="S1115" t="s">
        <v>52</v>
      </c>
      <c r="T1115" t="s">
        <v>53</v>
      </c>
      <c r="U1115" s="1">
        <v>46077.359027777777</v>
      </c>
      <c r="V1115" t="s">
        <v>54</v>
      </c>
      <c r="W1115" t="s">
        <v>55</v>
      </c>
      <c r="X1115" t="s">
        <v>113</v>
      </c>
      <c r="Y1115" t="s">
        <v>5244</v>
      </c>
      <c r="Z1115" t="s">
        <v>58</v>
      </c>
      <c r="AA1115" t="s">
        <v>54</v>
      </c>
      <c r="AB1115" t="s">
        <v>361</v>
      </c>
      <c r="AC1115" t="s">
        <v>85</v>
      </c>
      <c r="AD1115" t="s">
        <v>52</v>
      </c>
      <c r="AE1115" t="s">
        <v>999</v>
      </c>
      <c r="AF1115" t="s">
        <v>1770</v>
      </c>
      <c r="AG1115" t="s">
        <v>58</v>
      </c>
      <c r="AH1115" t="s">
        <v>3215</v>
      </c>
      <c r="AK1115">
        <v>0</v>
      </c>
      <c r="AL1115" t="s">
        <v>61</v>
      </c>
      <c r="AM1115" t="s">
        <v>3216</v>
      </c>
      <c r="AN1115" t="s">
        <v>3217</v>
      </c>
    </row>
    <row r="1116" spans="1:40" x14ac:dyDescent="0.35">
      <c r="A1116" t="s">
        <v>37</v>
      </c>
      <c r="B1116" t="s">
        <v>5245</v>
      </c>
      <c r="C1116" t="s">
        <v>39</v>
      </c>
      <c r="D1116" t="s">
        <v>747</v>
      </c>
      <c r="E1116" t="s">
        <v>5246</v>
      </c>
      <c r="F1116" s="1">
        <v>46076.446793981479</v>
      </c>
      <c r="G1116" t="s">
        <v>327</v>
      </c>
      <c r="H1116" t="s">
        <v>72</v>
      </c>
      <c r="I1116" t="s">
        <v>5247</v>
      </c>
      <c r="J1116" t="s">
        <v>5248</v>
      </c>
      <c r="K1116" t="s">
        <v>1834</v>
      </c>
      <c r="M1116" t="s">
        <v>47</v>
      </c>
      <c r="O1116" t="s">
        <v>77</v>
      </c>
      <c r="P1116" t="s">
        <v>78</v>
      </c>
      <c r="Q1116" t="s">
        <v>50</v>
      </c>
      <c r="R1116" t="s">
        <v>51</v>
      </c>
      <c r="S1116" t="s">
        <v>52</v>
      </c>
      <c r="T1116" t="s">
        <v>240</v>
      </c>
      <c r="U1116" s="1">
        <v>46076.463055555556</v>
      </c>
      <c r="V1116" t="s">
        <v>54</v>
      </c>
      <c r="W1116" t="s">
        <v>55</v>
      </c>
      <c r="X1116" t="s">
        <v>134</v>
      </c>
      <c r="Y1116" t="s">
        <v>5249</v>
      </c>
      <c r="Z1116" t="s">
        <v>58</v>
      </c>
      <c r="AA1116" t="s">
        <v>54</v>
      </c>
      <c r="AB1116" t="s">
        <v>5250</v>
      </c>
      <c r="AC1116" t="s">
        <v>85</v>
      </c>
      <c r="AD1116" t="s">
        <v>52</v>
      </c>
      <c r="AE1116" t="s">
        <v>243</v>
      </c>
      <c r="AF1116" t="s">
        <v>2533</v>
      </c>
      <c r="AG1116" t="s">
        <v>58</v>
      </c>
      <c r="AH1116">
        <v>14112</v>
      </c>
      <c r="AK1116">
        <v>0</v>
      </c>
      <c r="AL1116" t="s">
        <v>61</v>
      </c>
      <c r="AM1116" t="s">
        <v>5251</v>
      </c>
      <c r="AN1116" t="s">
        <v>5252</v>
      </c>
    </row>
    <row r="1117" spans="1:40" x14ac:dyDescent="0.35">
      <c r="A1117" t="s">
        <v>37</v>
      </c>
      <c r="B1117" t="s">
        <v>5253</v>
      </c>
      <c r="C1117" t="s">
        <v>102</v>
      </c>
      <c r="D1117" t="s">
        <v>1698</v>
      </c>
      <c r="E1117" t="s">
        <v>584</v>
      </c>
      <c r="F1117" s="1">
        <v>46076.427106481482</v>
      </c>
      <c r="G1117" t="s">
        <v>105</v>
      </c>
      <c r="H1117" t="s">
        <v>106</v>
      </c>
      <c r="I1117" t="s">
        <v>1726</v>
      </c>
      <c r="J1117" t="s">
        <v>108</v>
      </c>
      <c r="K1117" t="s">
        <v>341</v>
      </c>
      <c r="M1117" t="s">
        <v>76</v>
      </c>
      <c r="O1117" t="s">
        <v>77</v>
      </c>
      <c r="P1117" t="s">
        <v>78</v>
      </c>
      <c r="Q1117" t="s">
        <v>50</v>
      </c>
      <c r="R1117" t="s">
        <v>111</v>
      </c>
      <c r="S1117" t="s">
        <v>51</v>
      </c>
      <c r="T1117" t="s">
        <v>112</v>
      </c>
      <c r="U1117" s="1">
        <v>46076.695428240739</v>
      </c>
      <c r="V1117" t="s">
        <v>54</v>
      </c>
      <c r="X1117" t="s">
        <v>134</v>
      </c>
      <c r="Y1117" t="s">
        <v>5254</v>
      </c>
      <c r="Z1117" t="s">
        <v>58</v>
      </c>
      <c r="AA1117" t="s">
        <v>54</v>
      </c>
      <c r="AB1117" t="s">
        <v>1701</v>
      </c>
      <c r="AC1117" t="s">
        <v>85</v>
      </c>
      <c r="AD1117" t="s">
        <v>116</v>
      </c>
      <c r="AE1117" t="s">
        <v>117</v>
      </c>
      <c r="AF1117" t="s">
        <v>5255</v>
      </c>
      <c r="AG1117" t="s">
        <v>58</v>
      </c>
      <c r="AK1117">
        <v>1</v>
      </c>
      <c r="AL1117" t="s">
        <v>61</v>
      </c>
      <c r="AM1117" t="s">
        <v>1701</v>
      </c>
      <c r="AN1117" t="s">
        <v>1702</v>
      </c>
    </row>
    <row r="1118" spans="1:40" x14ac:dyDescent="0.35">
      <c r="A1118" t="s">
        <v>37</v>
      </c>
      <c r="B1118" t="s">
        <v>5256</v>
      </c>
      <c r="C1118" t="s">
        <v>39</v>
      </c>
      <c r="D1118" t="s">
        <v>1751</v>
      </c>
      <c r="E1118" t="s">
        <v>1316</v>
      </c>
      <c r="F1118" s="1">
        <v>46076.424097222225</v>
      </c>
      <c r="G1118" t="s">
        <v>1752</v>
      </c>
      <c r="H1118" t="s">
        <v>447</v>
      </c>
      <c r="I1118" t="s">
        <v>3293</v>
      </c>
      <c r="J1118" t="s">
        <v>1754</v>
      </c>
      <c r="K1118" t="s">
        <v>1755</v>
      </c>
      <c r="M1118" t="s">
        <v>131</v>
      </c>
      <c r="O1118" t="s">
        <v>77</v>
      </c>
      <c r="P1118" t="s">
        <v>78</v>
      </c>
      <c r="Q1118" t="s">
        <v>50</v>
      </c>
      <c r="R1118" t="s">
        <v>51</v>
      </c>
      <c r="S1118" t="s">
        <v>52</v>
      </c>
      <c r="T1118" t="s">
        <v>773</v>
      </c>
      <c r="U1118" s="1">
        <v>46078.448958333334</v>
      </c>
      <c r="V1118" t="s">
        <v>54</v>
      </c>
      <c r="W1118" t="s">
        <v>55</v>
      </c>
      <c r="X1118" t="s">
        <v>134</v>
      </c>
      <c r="Y1118" t="s">
        <v>5257</v>
      </c>
      <c r="Z1118" t="s">
        <v>58</v>
      </c>
      <c r="AA1118" t="s">
        <v>54</v>
      </c>
      <c r="AB1118" t="s">
        <v>1757</v>
      </c>
      <c r="AC1118" t="s">
        <v>85</v>
      </c>
      <c r="AD1118" t="s">
        <v>52</v>
      </c>
      <c r="AE1118" t="s">
        <v>243</v>
      </c>
      <c r="AF1118" t="s">
        <v>244</v>
      </c>
      <c r="AG1118" t="s">
        <v>58</v>
      </c>
      <c r="AK1118">
        <v>1</v>
      </c>
      <c r="AL1118" t="s">
        <v>61</v>
      </c>
      <c r="AM1118" t="s">
        <v>1757</v>
      </c>
      <c r="AN1118" t="s">
        <v>1758</v>
      </c>
    </row>
    <row r="1119" spans="1:40" x14ac:dyDescent="0.35">
      <c r="A1119" t="s">
        <v>37</v>
      </c>
      <c r="B1119" t="s">
        <v>5258</v>
      </c>
      <c r="C1119" t="s">
        <v>39</v>
      </c>
      <c r="D1119" t="s">
        <v>4948</v>
      </c>
      <c r="E1119" t="s">
        <v>1316</v>
      </c>
      <c r="F1119" s="1">
        <v>46076.398368055554</v>
      </c>
      <c r="G1119" t="s">
        <v>355</v>
      </c>
      <c r="H1119" t="s">
        <v>356</v>
      </c>
      <c r="I1119" t="s">
        <v>5259</v>
      </c>
      <c r="J1119" t="s">
        <v>358</v>
      </c>
      <c r="K1119" t="s">
        <v>359</v>
      </c>
      <c r="M1119" t="s">
        <v>131</v>
      </c>
      <c r="O1119" t="s">
        <v>77</v>
      </c>
      <c r="P1119" t="s">
        <v>78</v>
      </c>
      <c r="Q1119" t="s">
        <v>4950</v>
      </c>
      <c r="R1119" t="s">
        <v>51</v>
      </c>
      <c r="S1119" t="s">
        <v>52</v>
      </c>
      <c r="T1119" t="s">
        <v>53</v>
      </c>
      <c r="U1119" s="1">
        <v>46076.469131944446</v>
      </c>
      <c r="V1119" t="s">
        <v>54</v>
      </c>
      <c r="W1119" t="s">
        <v>55</v>
      </c>
      <c r="X1119" t="s">
        <v>113</v>
      </c>
      <c r="Y1119" t="s">
        <v>5260</v>
      </c>
      <c r="Z1119" t="s">
        <v>58</v>
      </c>
      <c r="AA1119" t="s">
        <v>54</v>
      </c>
      <c r="AB1119" t="s">
        <v>361</v>
      </c>
      <c r="AC1119" t="s">
        <v>85</v>
      </c>
      <c r="AD1119" t="s">
        <v>52</v>
      </c>
      <c r="AE1119" t="s">
        <v>999</v>
      </c>
      <c r="AF1119" t="s">
        <v>1770</v>
      </c>
      <c r="AG1119" t="s">
        <v>58</v>
      </c>
      <c r="AK1119">
        <v>0</v>
      </c>
      <c r="AL1119" t="s">
        <v>61</v>
      </c>
      <c r="AM1119" t="s">
        <v>361</v>
      </c>
      <c r="AN1119" t="s">
        <v>4952</v>
      </c>
    </row>
    <row r="1120" spans="1:40" x14ac:dyDescent="0.35">
      <c r="A1120" t="s">
        <v>37</v>
      </c>
      <c r="B1120" t="s">
        <v>5261</v>
      </c>
      <c r="C1120" t="s">
        <v>39</v>
      </c>
      <c r="D1120" t="s">
        <v>4948</v>
      </c>
      <c r="E1120" t="s">
        <v>1316</v>
      </c>
      <c r="F1120" s="1">
        <v>46076.39576388889</v>
      </c>
      <c r="G1120" t="s">
        <v>355</v>
      </c>
      <c r="H1120" t="s">
        <v>356</v>
      </c>
      <c r="I1120" t="s">
        <v>5262</v>
      </c>
      <c r="J1120" t="s">
        <v>358</v>
      </c>
      <c r="K1120" t="s">
        <v>359</v>
      </c>
      <c r="M1120" t="s">
        <v>131</v>
      </c>
      <c r="O1120" t="s">
        <v>77</v>
      </c>
      <c r="P1120" t="s">
        <v>78</v>
      </c>
      <c r="Q1120" t="s">
        <v>4950</v>
      </c>
      <c r="R1120" t="s">
        <v>51</v>
      </c>
      <c r="S1120" t="s">
        <v>52</v>
      </c>
      <c r="T1120" t="s">
        <v>53</v>
      </c>
      <c r="U1120" s="1">
        <v>46076.467395833337</v>
      </c>
      <c r="V1120" t="s">
        <v>54</v>
      </c>
      <c r="W1120" t="s">
        <v>55</v>
      </c>
      <c r="X1120" t="s">
        <v>113</v>
      </c>
      <c r="Y1120" t="s">
        <v>5263</v>
      </c>
      <c r="Z1120" t="s">
        <v>58</v>
      </c>
      <c r="AA1120" t="s">
        <v>54</v>
      </c>
      <c r="AB1120" t="s">
        <v>361</v>
      </c>
      <c r="AC1120" t="s">
        <v>85</v>
      </c>
      <c r="AD1120" t="s">
        <v>52</v>
      </c>
      <c r="AE1120" t="s">
        <v>999</v>
      </c>
      <c r="AF1120" t="s">
        <v>1770</v>
      </c>
      <c r="AG1120" t="s">
        <v>58</v>
      </c>
      <c r="AK1120">
        <v>0</v>
      </c>
      <c r="AL1120" t="s">
        <v>61</v>
      </c>
      <c r="AM1120" t="s">
        <v>361</v>
      </c>
      <c r="AN1120" t="s">
        <v>4952</v>
      </c>
    </row>
    <row r="1121" spans="1:40" x14ac:dyDescent="0.35">
      <c r="A1121" t="s">
        <v>37</v>
      </c>
      <c r="B1121" t="s">
        <v>5264</v>
      </c>
      <c r="C1121" t="s">
        <v>102</v>
      </c>
      <c r="D1121" t="s">
        <v>1698</v>
      </c>
      <c r="E1121" t="s">
        <v>584</v>
      </c>
      <c r="F1121" s="1">
        <v>46076.377083333333</v>
      </c>
      <c r="G1121" t="s">
        <v>105</v>
      </c>
      <c r="H1121" t="s">
        <v>106</v>
      </c>
      <c r="I1121" t="s">
        <v>1902</v>
      </c>
      <c r="J1121" t="s">
        <v>108</v>
      </c>
      <c r="K1121" t="s">
        <v>109</v>
      </c>
      <c r="M1121" t="s">
        <v>76</v>
      </c>
      <c r="O1121" t="s">
        <v>77</v>
      </c>
      <c r="P1121" t="s">
        <v>78</v>
      </c>
      <c r="Q1121" t="s">
        <v>50</v>
      </c>
      <c r="R1121" t="s">
        <v>111</v>
      </c>
      <c r="S1121" t="s">
        <v>51</v>
      </c>
      <c r="T1121" t="s">
        <v>112</v>
      </c>
      <c r="U1121" s="1">
        <v>46076.435150462959</v>
      </c>
      <c r="V1121" t="s">
        <v>54</v>
      </c>
      <c r="W1121" t="s">
        <v>55</v>
      </c>
      <c r="X1121" t="s">
        <v>134</v>
      </c>
      <c r="Y1121" t="s">
        <v>5265</v>
      </c>
      <c r="Z1121" t="s">
        <v>58</v>
      </c>
      <c r="AA1121" t="s">
        <v>54</v>
      </c>
      <c r="AB1121" t="s">
        <v>1701</v>
      </c>
      <c r="AC1121" t="s">
        <v>85</v>
      </c>
      <c r="AD1121" t="s">
        <v>116</v>
      </c>
      <c r="AE1121" t="s">
        <v>117</v>
      </c>
      <c r="AF1121" t="s">
        <v>1706</v>
      </c>
      <c r="AG1121" t="s">
        <v>58</v>
      </c>
      <c r="AK1121">
        <v>1</v>
      </c>
      <c r="AL1121" t="s">
        <v>61</v>
      </c>
      <c r="AM1121" t="s">
        <v>1701</v>
      </c>
      <c r="AN1121" t="s">
        <v>1702</v>
      </c>
    </row>
    <row r="1122" spans="1:40" x14ac:dyDescent="0.35">
      <c r="A1122" t="s">
        <v>37</v>
      </c>
      <c r="B1122" t="s">
        <v>5266</v>
      </c>
      <c r="C1122" t="s">
        <v>102</v>
      </c>
      <c r="D1122" t="s">
        <v>1698</v>
      </c>
      <c r="E1122" t="s">
        <v>584</v>
      </c>
      <c r="F1122" s="1">
        <v>46076.376273148147</v>
      </c>
      <c r="G1122" t="s">
        <v>105</v>
      </c>
      <c r="H1122" t="s">
        <v>106</v>
      </c>
      <c r="I1122" t="s">
        <v>1729</v>
      </c>
      <c r="J1122" t="s">
        <v>108</v>
      </c>
      <c r="K1122" t="s">
        <v>341</v>
      </c>
      <c r="M1122" t="s">
        <v>76</v>
      </c>
      <c r="O1122" t="s">
        <v>77</v>
      </c>
      <c r="P1122" t="s">
        <v>78</v>
      </c>
      <c r="Q1122" t="s">
        <v>50</v>
      </c>
      <c r="R1122" t="s">
        <v>111</v>
      </c>
      <c r="S1122" t="s">
        <v>51</v>
      </c>
      <c r="T1122" t="s">
        <v>112</v>
      </c>
      <c r="U1122" s="1">
        <v>46076.50141203704</v>
      </c>
      <c r="V1122" t="s">
        <v>54</v>
      </c>
      <c r="X1122" t="s">
        <v>134</v>
      </c>
      <c r="Y1122" t="s">
        <v>5267</v>
      </c>
      <c r="Z1122" t="s">
        <v>58</v>
      </c>
      <c r="AA1122" t="s">
        <v>54</v>
      </c>
      <c r="AB1122" t="s">
        <v>1701</v>
      </c>
      <c r="AC1122" t="s">
        <v>85</v>
      </c>
      <c r="AD1122" t="s">
        <v>116</v>
      </c>
      <c r="AE1122" t="s">
        <v>117</v>
      </c>
      <c r="AF1122" t="s">
        <v>1740</v>
      </c>
      <c r="AG1122" t="s">
        <v>58</v>
      </c>
      <c r="AK1122">
        <v>1</v>
      </c>
      <c r="AL1122" t="s">
        <v>61</v>
      </c>
      <c r="AM1122" t="s">
        <v>1701</v>
      </c>
      <c r="AN1122" t="s">
        <v>1702</v>
      </c>
    </row>
    <row r="1123" spans="1:40" x14ac:dyDescent="0.35">
      <c r="A1123" t="s">
        <v>37</v>
      </c>
      <c r="B1123" t="s">
        <v>5268</v>
      </c>
      <c r="C1123" t="s">
        <v>39</v>
      </c>
      <c r="D1123" t="s">
        <v>5071</v>
      </c>
      <c r="E1123" t="s">
        <v>5269</v>
      </c>
      <c r="F1123" s="1">
        <v>46076.375</v>
      </c>
      <c r="G1123" t="s">
        <v>355</v>
      </c>
      <c r="H1123" t="s">
        <v>356</v>
      </c>
      <c r="I1123" t="s">
        <v>5270</v>
      </c>
      <c r="J1123" t="s">
        <v>1337</v>
      </c>
      <c r="K1123" t="s">
        <v>951</v>
      </c>
      <c r="M1123" t="s">
        <v>76</v>
      </c>
      <c r="O1123" t="s">
        <v>77</v>
      </c>
      <c r="P1123" t="s">
        <v>78</v>
      </c>
      <c r="Q1123" t="s">
        <v>50</v>
      </c>
      <c r="R1123" t="s">
        <v>305</v>
      </c>
      <c r="S1123" t="s">
        <v>306</v>
      </c>
      <c r="T1123" t="s">
        <v>307</v>
      </c>
      <c r="U1123" s="1">
        <v>46078.375636574077</v>
      </c>
      <c r="V1123" t="s">
        <v>54</v>
      </c>
      <c r="W1123" t="s">
        <v>55</v>
      </c>
      <c r="X1123" t="s">
        <v>211</v>
      </c>
      <c r="Y1123" t="s">
        <v>5271</v>
      </c>
      <c r="Z1123" t="s">
        <v>58</v>
      </c>
      <c r="AA1123" t="s">
        <v>54</v>
      </c>
      <c r="AB1123" t="s">
        <v>5272</v>
      </c>
      <c r="AC1123" t="s">
        <v>85</v>
      </c>
      <c r="AD1123" t="s">
        <v>79</v>
      </c>
      <c r="AE1123" t="s">
        <v>4245</v>
      </c>
      <c r="AF1123" t="s">
        <v>2746</v>
      </c>
      <c r="AG1123" t="s">
        <v>58</v>
      </c>
      <c r="AH1123">
        <v>15740</v>
      </c>
      <c r="AK1123">
        <v>7</v>
      </c>
      <c r="AL1123" t="s">
        <v>410</v>
      </c>
      <c r="AM1123" t="s">
        <v>5273</v>
      </c>
      <c r="AN1123" t="s">
        <v>5274</v>
      </c>
    </row>
    <row r="1124" spans="1:40" x14ac:dyDescent="0.35">
      <c r="A1124" t="s">
        <v>37</v>
      </c>
      <c r="B1124" t="s">
        <v>5275</v>
      </c>
      <c r="C1124" t="s">
        <v>102</v>
      </c>
      <c r="D1124" t="s">
        <v>1698</v>
      </c>
      <c r="E1124" t="s">
        <v>584</v>
      </c>
      <c r="F1124" s="1">
        <v>46076.334351851852</v>
      </c>
      <c r="G1124" t="s">
        <v>105</v>
      </c>
      <c r="H1124" t="s">
        <v>106</v>
      </c>
      <c r="I1124" t="s">
        <v>5100</v>
      </c>
      <c r="J1124" t="s">
        <v>108</v>
      </c>
      <c r="K1124" t="s">
        <v>109</v>
      </c>
      <c r="M1124" t="s">
        <v>76</v>
      </c>
      <c r="O1124" t="s">
        <v>77</v>
      </c>
      <c r="P1124" t="s">
        <v>78</v>
      </c>
      <c r="Q1124" t="s">
        <v>50</v>
      </c>
      <c r="R1124" t="s">
        <v>111</v>
      </c>
      <c r="S1124" t="s">
        <v>51</v>
      </c>
      <c r="T1124" t="s">
        <v>112</v>
      </c>
      <c r="U1124" s="1">
        <v>46076.3593287037</v>
      </c>
      <c r="V1124" t="s">
        <v>54</v>
      </c>
      <c r="W1124" t="s">
        <v>55</v>
      </c>
      <c r="X1124" t="s">
        <v>134</v>
      </c>
      <c r="Y1124" t="s">
        <v>5276</v>
      </c>
      <c r="Z1124" t="s">
        <v>58</v>
      </c>
      <c r="AA1124" t="s">
        <v>54</v>
      </c>
      <c r="AB1124" t="s">
        <v>1701</v>
      </c>
      <c r="AC1124" t="s">
        <v>85</v>
      </c>
      <c r="AD1124" t="s">
        <v>116</v>
      </c>
      <c r="AE1124" t="s">
        <v>117</v>
      </c>
      <c r="AF1124" t="s">
        <v>1706</v>
      </c>
      <c r="AG1124" t="s">
        <v>58</v>
      </c>
      <c r="AK1124">
        <v>1</v>
      </c>
      <c r="AL1124" t="s">
        <v>61</v>
      </c>
      <c r="AM1124" t="s">
        <v>1701</v>
      </c>
      <c r="AN1124" t="s">
        <v>1702</v>
      </c>
    </row>
    <row r="1125" spans="1:40" x14ac:dyDescent="0.35">
      <c r="A1125" t="s">
        <v>37</v>
      </c>
      <c r="B1125" t="s">
        <v>5277</v>
      </c>
      <c r="C1125" t="s">
        <v>656</v>
      </c>
      <c r="D1125" t="s">
        <v>3318</v>
      </c>
      <c r="E1125" t="s">
        <v>3319</v>
      </c>
      <c r="F1125" s="1">
        <v>46076.329409722224</v>
      </c>
      <c r="G1125" t="s">
        <v>515</v>
      </c>
      <c r="H1125" t="s">
        <v>92</v>
      </c>
      <c r="I1125" t="s">
        <v>5278</v>
      </c>
      <c r="J1125" t="s">
        <v>2987</v>
      </c>
      <c r="K1125" t="s">
        <v>2988</v>
      </c>
      <c r="M1125" t="s">
        <v>76</v>
      </c>
      <c r="O1125" t="s">
        <v>77</v>
      </c>
      <c r="P1125" t="s">
        <v>78</v>
      </c>
      <c r="Q1125" t="s">
        <v>1174</v>
      </c>
      <c r="R1125" t="s">
        <v>2989</v>
      </c>
      <c r="S1125" t="s">
        <v>2990</v>
      </c>
      <c r="T1125" t="s">
        <v>3187</v>
      </c>
      <c r="U1125" s="1">
        <v>46076.344490740739</v>
      </c>
      <c r="V1125" t="s">
        <v>54</v>
      </c>
      <c r="W1125" t="s">
        <v>55</v>
      </c>
      <c r="X1125" t="s">
        <v>134</v>
      </c>
      <c r="Y1125" t="s">
        <v>5279</v>
      </c>
      <c r="Z1125" t="s">
        <v>58</v>
      </c>
      <c r="AA1125" t="s">
        <v>54</v>
      </c>
      <c r="AB1125" t="s">
        <v>3259</v>
      </c>
      <c r="AC1125" t="s">
        <v>85</v>
      </c>
      <c r="AD1125" t="s">
        <v>2989</v>
      </c>
      <c r="AE1125" t="s">
        <v>2990</v>
      </c>
      <c r="AF1125" t="s">
        <v>3187</v>
      </c>
      <c r="AG1125" t="s">
        <v>58</v>
      </c>
      <c r="AH1125" t="s">
        <v>3321</v>
      </c>
      <c r="AK1125">
        <v>0</v>
      </c>
      <c r="AL1125" t="s">
        <v>61</v>
      </c>
      <c r="AM1125" t="s">
        <v>3259</v>
      </c>
      <c r="AN1125" t="s">
        <v>3322</v>
      </c>
    </row>
    <row r="1126" spans="1:40" x14ac:dyDescent="0.35">
      <c r="A1126" t="s">
        <v>37</v>
      </c>
      <c r="B1126" t="s">
        <v>5280</v>
      </c>
      <c r="C1126" t="s">
        <v>102</v>
      </c>
      <c r="D1126" t="s">
        <v>1698</v>
      </c>
      <c r="E1126" t="s">
        <v>584</v>
      </c>
      <c r="F1126" s="1">
        <v>46076.320335648146</v>
      </c>
      <c r="G1126" t="s">
        <v>105</v>
      </c>
      <c r="H1126" t="s">
        <v>106</v>
      </c>
      <c r="I1126" t="s">
        <v>1735</v>
      </c>
      <c r="J1126" t="s">
        <v>108</v>
      </c>
      <c r="K1126" t="s">
        <v>109</v>
      </c>
      <c r="M1126" t="s">
        <v>76</v>
      </c>
      <c r="O1126" t="s">
        <v>77</v>
      </c>
      <c r="P1126" t="s">
        <v>78</v>
      </c>
      <c r="Q1126" t="s">
        <v>50</v>
      </c>
      <c r="R1126" t="s">
        <v>111</v>
      </c>
      <c r="S1126" t="s">
        <v>51</v>
      </c>
      <c r="T1126" t="s">
        <v>112</v>
      </c>
      <c r="U1126" s="1">
        <v>46076.467476851853</v>
      </c>
      <c r="V1126" t="s">
        <v>54</v>
      </c>
      <c r="W1126" t="s">
        <v>55</v>
      </c>
      <c r="X1126" t="s">
        <v>134</v>
      </c>
      <c r="Y1126" t="s">
        <v>5281</v>
      </c>
      <c r="Z1126" t="s">
        <v>58</v>
      </c>
      <c r="AA1126" t="s">
        <v>54</v>
      </c>
      <c r="AB1126" t="s">
        <v>1701</v>
      </c>
      <c r="AC1126" t="s">
        <v>85</v>
      </c>
      <c r="AD1126" t="s">
        <v>116</v>
      </c>
      <c r="AE1126" t="s">
        <v>117</v>
      </c>
      <c r="AF1126" t="s">
        <v>118</v>
      </c>
      <c r="AG1126" t="s">
        <v>58</v>
      </c>
      <c r="AK1126">
        <v>1</v>
      </c>
      <c r="AL1126" t="s">
        <v>61</v>
      </c>
      <c r="AM1126" t="s">
        <v>1701</v>
      </c>
      <c r="AN1126" t="s">
        <v>1702</v>
      </c>
    </row>
    <row r="1127" spans="1:40" x14ac:dyDescent="0.35">
      <c r="A1127" t="s">
        <v>37</v>
      </c>
      <c r="B1127" t="s">
        <v>5282</v>
      </c>
      <c r="C1127" t="s">
        <v>39</v>
      </c>
      <c r="D1127" t="s">
        <v>2915</v>
      </c>
      <c r="E1127" t="s">
        <v>5283</v>
      </c>
      <c r="F1127" s="1">
        <v>46076.318865740737</v>
      </c>
      <c r="G1127" t="s">
        <v>771</v>
      </c>
      <c r="H1127" t="s">
        <v>92</v>
      </c>
      <c r="I1127" t="s">
        <v>5284</v>
      </c>
      <c r="J1127" t="s">
        <v>3257</v>
      </c>
      <c r="K1127" t="s">
        <v>1834</v>
      </c>
      <c r="M1127" t="s">
        <v>76</v>
      </c>
      <c r="O1127" t="s">
        <v>77</v>
      </c>
      <c r="P1127" t="s">
        <v>78</v>
      </c>
      <c r="Q1127" t="s">
        <v>50</v>
      </c>
      <c r="R1127" t="s">
        <v>51</v>
      </c>
      <c r="S1127" t="s">
        <v>52</v>
      </c>
      <c r="T1127" t="s">
        <v>240</v>
      </c>
      <c r="U1127" s="1">
        <v>46077.578877314816</v>
      </c>
      <c r="V1127" t="s">
        <v>54</v>
      </c>
      <c r="W1127" t="s">
        <v>55</v>
      </c>
      <c r="X1127" t="s">
        <v>134</v>
      </c>
      <c r="Y1127" t="s">
        <v>3258</v>
      </c>
      <c r="Z1127" t="s">
        <v>58</v>
      </c>
      <c r="AA1127" t="s">
        <v>54</v>
      </c>
      <c r="AB1127" t="s">
        <v>3259</v>
      </c>
      <c r="AC1127" t="s">
        <v>85</v>
      </c>
      <c r="AD1127" t="s">
        <v>52</v>
      </c>
      <c r="AE1127" t="s">
        <v>243</v>
      </c>
      <c r="AF1127" t="s">
        <v>1470</v>
      </c>
      <c r="AG1127" t="s">
        <v>58</v>
      </c>
      <c r="AH1127">
        <v>12520</v>
      </c>
      <c r="AK1127">
        <v>0</v>
      </c>
      <c r="AL1127" t="s">
        <v>61</v>
      </c>
      <c r="AM1127" t="s">
        <v>5285</v>
      </c>
      <c r="AN1127" t="s">
        <v>5286</v>
      </c>
    </row>
    <row r="1128" spans="1:40" x14ac:dyDescent="0.35">
      <c r="A1128" t="s">
        <v>37</v>
      </c>
      <c r="B1128" t="s">
        <v>5287</v>
      </c>
      <c r="C1128" t="s">
        <v>102</v>
      </c>
      <c r="D1128" t="s">
        <v>1698</v>
      </c>
      <c r="E1128" t="s">
        <v>584</v>
      </c>
      <c r="F1128" s="1">
        <v>46076.317418981482</v>
      </c>
      <c r="G1128" t="s">
        <v>105</v>
      </c>
      <c r="H1128" t="s">
        <v>106</v>
      </c>
      <c r="I1128" t="s">
        <v>1944</v>
      </c>
      <c r="J1128" t="s">
        <v>108</v>
      </c>
      <c r="K1128" t="s">
        <v>571</v>
      </c>
      <c r="M1128" t="s">
        <v>76</v>
      </c>
      <c r="O1128" t="s">
        <v>77</v>
      </c>
      <c r="P1128" t="s">
        <v>78</v>
      </c>
      <c r="Q1128" t="s">
        <v>50</v>
      </c>
      <c r="R1128" t="s">
        <v>111</v>
      </c>
      <c r="S1128" t="s">
        <v>51</v>
      </c>
      <c r="T1128" t="s">
        <v>112</v>
      </c>
      <c r="U1128" s="1">
        <v>46076.363229166665</v>
      </c>
      <c r="V1128" t="s">
        <v>54</v>
      </c>
      <c r="W1128" t="s">
        <v>55</v>
      </c>
      <c r="X1128" t="s">
        <v>134</v>
      </c>
      <c r="Y1128" t="s">
        <v>5288</v>
      </c>
      <c r="Z1128" t="s">
        <v>58</v>
      </c>
      <c r="AA1128" t="s">
        <v>54</v>
      </c>
      <c r="AB1128" t="s">
        <v>1701</v>
      </c>
      <c r="AC1128" t="s">
        <v>85</v>
      </c>
      <c r="AD1128" t="s">
        <v>116</v>
      </c>
      <c r="AE1128" t="s">
        <v>574</v>
      </c>
      <c r="AF1128" t="s">
        <v>1706</v>
      </c>
      <c r="AG1128" t="s">
        <v>58</v>
      </c>
      <c r="AK1128">
        <v>1</v>
      </c>
      <c r="AL1128" t="s">
        <v>61</v>
      </c>
      <c r="AM1128" t="s">
        <v>1701</v>
      </c>
      <c r="AN1128" t="s">
        <v>1702</v>
      </c>
    </row>
    <row r="1129" spans="1:40" x14ac:dyDescent="0.35">
      <c r="A1129" t="s">
        <v>37</v>
      </c>
      <c r="B1129" t="s">
        <v>5289</v>
      </c>
      <c r="C1129" t="s">
        <v>102</v>
      </c>
      <c r="D1129" t="s">
        <v>1698</v>
      </c>
      <c r="E1129" t="s">
        <v>584</v>
      </c>
      <c r="F1129" s="1">
        <v>46076.312523148146</v>
      </c>
      <c r="G1129" t="s">
        <v>105</v>
      </c>
      <c r="H1129" t="s">
        <v>106</v>
      </c>
      <c r="I1129" t="s">
        <v>3412</v>
      </c>
      <c r="J1129" t="s">
        <v>108</v>
      </c>
      <c r="K1129" t="s">
        <v>571</v>
      </c>
      <c r="M1129" t="s">
        <v>76</v>
      </c>
      <c r="O1129" t="s">
        <v>77</v>
      </c>
      <c r="P1129" t="s">
        <v>78</v>
      </c>
      <c r="Q1129" t="s">
        <v>50</v>
      </c>
      <c r="R1129" t="s">
        <v>111</v>
      </c>
      <c r="S1129" t="s">
        <v>51</v>
      </c>
      <c r="T1129" t="s">
        <v>112</v>
      </c>
      <c r="U1129" s="1">
        <v>46076.646550925929</v>
      </c>
      <c r="V1129" t="s">
        <v>54</v>
      </c>
      <c r="W1129" t="s">
        <v>55</v>
      </c>
      <c r="X1129" t="s">
        <v>134</v>
      </c>
      <c r="Y1129" t="s">
        <v>1923</v>
      </c>
      <c r="Z1129" t="s">
        <v>58</v>
      </c>
      <c r="AA1129" t="s">
        <v>54</v>
      </c>
      <c r="AB1129" t="s">
        <v>1701</v>
      </c>
      <c r="AC1129" t="s">
        <v>85</v>
      </c>
      <c r="AD1129" t="s">
        <v>116</v>
      </c>
      <c r="AE1129" t="s">
        <v>574</v>
      </c>
      <c r="AF1129" t="s">
        <v>144</v>
      </c>
      <c r="AG1129" t="s">
        <v>58</v>
      </c>
      <c r="AK1129">
        <v>1</v>
      </c>
      <c r="AL1129" t="s">
        <v>61</v>
      </c>
      <c r="AM1129" t="s">
        <v>1701</v>
      </c>
      <c r="AN1129" t="s">
        <v>1702</v>
      </c>
    </row>
    <row r="1130" spans="1:40" x14ac:dyDescent="0.35">
      <c r="A1130" t="s">
        <v>37</v>
      </c>
      <c r="B1130" t="s">
        <v>5290</v>
      </c>
      <c r="C1130" t="s">
        <v>39</v>
      </c>
      <c r="D1130" t="s">
        <v>1751</v>
      </c>
      <c r="E1130" t="s">
        <v>1316</v>
      </c>
      <c r="F1130" s="1">
        <v>46076.306921296295</v>
      </c>
      <c r="G1130" t="s">
        <v>1752</v>
      </c>
      <c r="H1130" t="s">
        <v>447</v>
      </c>
      <c r="I1130" t="s">
        <v>5291</v>
      </c>
      <c r="J1130" t="s">
        <v>1754</v>
      </c>
      <c r="K1130" t="s">
        <v>1755</v>
      </c>
      <c r="M1130" t="s">
        <v>131</v>
      </c>
      <c r="O1130" t="s">
        <v>77</v>
      </c>
      <c r="P1130" t="s">
        <v>78</v>
      </c>
      <c r="Q1130" t="s">
        <v>50</v>
      </c>
      <c r="R1130" t="s">
        <v>51</v>
      </c>
      <c r="S1130" t="s">
        <v>52</v>
      </c>
      <c r="T1130" t="s">
        <v>773</v>
      </c>
      <c r="U1130" s="1">
        <v>46078.447870370372</v>
      </c>
      <c r="V1130" t="s">
        <v>54</v>
      </c>
      <c r="W1130" t="s">
        <v>55</v>
      </c>
      <c r="X1130" t="s">
        <v>134</v>
      </c>
      <c r="Y1130" t="s">
        <v>5292</v>
      </c>
      <c r="Z1130" t="s">
        <v>58</v>
      </c>
      <c r="AA1130" t="s">
        <v>54</v>
      </c>
      <c r="AB1130" t="s">
        <v>1757</v>
      </c>
      <c r="AC1130" t="s">
        <v>85</v>
      </c>
      <c r="AD1130" t="s">
        <v>52</v>
      </c>
      <c r="AE1130" t="s">
        <v>999</v>
      </c>
      <c r="AF1130" t="s">
        <v>5293</v>
      </c>
      <c r="AG1130" t="s">
        <v>58</v>
      </c>
      <c r="AK1130">
        <v>1</v>
      </c>
      <c r="AL1130" t="s">
        <v>61</v>
      </c>
      <c r="AM1130" t="s">
        <v>1757</v>
      </c>
      <c r="AN1130" t="s">
        <v>1758</v>
      </c>
    </row>
    <row r="1131" spans="1:40" x14ac:dyDescent="0.35">
      <c r="A1131" t="s">
        <v>37</v>
      </c>
      <c r="B1131" t="s">
        <v>5294</v>
      </c>
      <c r="C1131" t="s">
        <v>102</v>
      </c>
      <c r="D1131" t="s">
        <v>1698</v>
      </c>
      <c r="E1131" t="s">
        <v>584</v>
      </c>
      <c r="F1131" s="1">
        <v>46076.304780092592</v>
      </c>
      <c r="G1131" t="s">
        <v>105</v>
      </c>
      <c r="H1131" t="s">
        <v>106</v>
      </c>
      <c r="I1131" t="s">
        <v>332</v>
      </c>
      <c r="J1131" t="s">
        <v>108</v>
      </c>
      <c r="K1131" t="s">
        <v>109</v>
      </c>
      <c r="M1131" t="s">
        <v>76</v>
      </c>
      <c r="O1131" t="s">
        <v>77</v>
      </c>
      <c r="P1131" t="s">
        <v>78</v>
      </c>
      <c r="Q1131" t="s">
        <v>50</v>
      </c>
      <c r="R1131" t="s">
        <v>111</v>
      </c>
      <c r="S1131" t="s">
        <v>51</v>
      </c>
      <c r="T1131" t="s">
        <v>112</v>
      </c>
      <c r="U1131" s="1">
        <v>46078.641273148147</v>
      </c>
      <c r="V1131" t="s">
        <v>54</v>
      </c>
      <c r="W1131" t="s">
        <v>1584</v>
      </c>
      <c r="X1131" t="s">
        <v>134</v>
      </c>
      <c r="Y1131" t="s">
        <v>5295</v>
      </c>
      <c r="Z1131" t="s">
        <v>58</v>
      </c>
      <c r="AA1131" t="s">
        <v>54</v>
      </c>
      <c r="AB1131" t="s">
        <v>1701</v>
      </c>
      <c r="AC1131" t="s">
        <v>85</v>
      </c>
      <c r="AD1131" t="s">
        <v>116</v>
      </c>
      <c r="AE1131" t="s">
        <v>334</v>
      </c>
      <c r="AF1131" t="s">
        <v>1706</v>
      </c>
      <c r="AG1131" t="s">
        <v>58</v>
      </c>
      <c r="AK1131">
        <v>1</v>
      </c>
      <c r="AL1131" t="s">
        <v>61</v>
      </c>
      <c r="AM1131" t="s">
        <v>1701</v>
      </c>
      <c r="AN1131" t="s">
        <v>1702</v>
      </c>
    </row>
    <row r="1132" spans="1:40" x14ac:dyDescent="0.35">
      <c r="A1132" t="s">
        <v>37</v>
      </c>
      <c r="B1132" t="s">
        <v>5296</v>
      </c>
      <c r="C1132" t="s">
        <v>102</v>
      </c>
      <c r="D1132" t="s">
        <v>1698</v>
      </c>
      <c r="E1132" t="s">
        <v>584</v>
      </c>
      <c r="F1132" s="1">
        <v>46076.300555555557</v>
      </c>
      <c r="G1132" t="s">
        <v>105</v>
      </c>
      <c r="H1132" t="s">
        <v>106</v>
      </c>
      <c r="I1132" t="s">
        <v>1918</v>
      </c>
      <c r="J1132" t="s">
        <v>108</v>
      </c>
      <c r="K1132" t="s">
        <v>109</v>
      </c>
      <c r="M1132" t="s">
        <v>76</v>
      </c>
      <c r="O1132" t="s">
        <v>77</v>
      </c>
      <c r="P1132" t="s">
        <v>78</v>
      </c>
      <c r="Q1132" t="s">
        <v>50</v>
      </c>
      <c r="R1132" t="s">
        <v>111</v>
      </c>
      <c r="S1132" t="s">
        <v>51</v>
      </c>
      <c r="T1132" t="s">
        <v>112</v>
      </c>
      <c r="U1132" s="1">
        <v>46076.436701388891</v>
      </c>
      <c r="V1132" t="s">
        <v>54</v>
      </c>
      <c r="W1132" t="s">
        <v>55</v>
      </c>
      <c r="X1132" t="s">
        <v>134</v>
      </c>
      <c r="Y1132" t="s">
        <v>5297</v>
      </c>
      <c r="Z1132" t="s">
        <v>58</v>
      </c>
      <c r="AA1132" t="s">
        <v>54</v>
      </c>
      <c r="AB1132" t="s">
        <v>1701</v>
      </c>
      <c r="AC1132" t="s">
        <v>85</v>
      </c>
      <c r="AD1132" t="s">
        <v>116</v>
      </c>
      <c r="AE1132" t="s">
        <v>117</v>
      </c>
      <c r="AF1132" t="s">
        <v>1724</v>
      </c>
      <c r="AG1132" t="s">
        <v>58</v>
      </c>
      <c r="AK1132">
        <v>1</v>
      </c>
      <c r="AL1132" t="s">
        <v>61</v>
      </c>
      <c r="AM1132" t="s">
        <v>1701</v>
      </c>
      <c r="AN1132" t="s">
        <v>1702</v>
      </c>
    </row>
    <row r="1133" spans="1:40" x14ac:dyDescent="0.35">
      <c r="A1133" t="s">
        <v>37</v>
      </c>
      <c r="B1133" t="s">
        <v>5298</v>
      </c>
      <c r="C1133" t="s">
        <v>102</v>
      </c>
      <c r="D1133" t="s">
        <v>1698</v>
      </c>
      <c r="E1133" t="s">
        <v>584</v>
      </c>
      <c r="F1133" s="1">
        <v>46076.297060185185</v>
      </c>
      <c r="G1133" t="s">
        <v>105</v>
      </c>
      <c r="H1133" t="s">
        <v>106</v>
      </c>
      <c r="I1133" t="s">
        <v>3380</v>
      </c>
      <c r="J1133" t="s">
        <v>108</v>
      </c>
      <c r="K1133" t="s">
        <v>341</v>
      </c>
      <c r="M1133" t="s">
        <v>76</v>
      </c>
      <c r="O1133" t="s">
        <v>77</v>
      </c>
      <c r="P1133" t="s">
        <v>78</v>
      </c>
      <c r="Q1133" t="s">
        <v>50</v>
      </c>
      <c r="R1133" t="s">
        <v>111</v>
      </c>
      <c r="S1133" t="s">
        <v>51</v>
      </c>
      <c r="T1133" t="s">
        <v>112</v>
      </c>
      <c r="U1133" s="1">
        <v>46076.501759259256</v>
      </c>
      <c r="V1133" t="s">
        <v>54</v>
      </c>
      <c r="X1133" t="s">
        <v>134</v>
      </c>
      <c r="Y1133" t="s">
        <v>5299</v>
      </c>
      <c r="Z1133" t="s">
        <v>58</v>
      </c>
      <c r="AA1133" t="s">
        <v>54</v>
      </c>
      <c r="AB1133" t="s">
        <v>1701</v>
      </c>
      <c r="AC1133" t="s">
        <v>85</v>
      </c>
      <c r="AD1133" t="s">
        <v>116</v>
      </c>
      <c r="AE1133" t="s">
        <v>574</v>
      </c>
      <c r="AF1133" t="s">
        <v>1740</v>
      </c>
      <c r="AG1133" t="s">
        <v>58</v>
      </c>
      <c r="AK1133">
        <v>1</v>
      </c>
      <c r="AL1133" t="s">
        <v>61</v>
      </c>
      <c r="AM1133" t="s">
        <v>1701</v>
      </c>
      <c r="AN1133" t="s">
        <v>1702</v>
      </c>
    </row>
    <row r="1134" spans="1:40" x14ac:dyDescent="0.35">
      <c r="A1134" t="s">
        <v>37</v>
      </c>
      <c r="B1134" t="s">
        <v>5300</v>
      </c>
      <c r="C1134" t="s">
        <v>102</v>
      </c>
      <c r="D1134" t="s">
        <v>1698</v>
      </c>
      <c r="E1134" t="s">
        <v>584</v>
      </c>
      <c r="F1134" s="1">
        <v>46076.290775462963</v>
      </c>
      <c r="G1134" t="s">
        <v>105</v>
      </c>
      <c r="H1134" t="s">
        <v>106</v>
      </c>
      <c r="I1134" t="s">
        <v>1851</v>
      </c>
      <c r="J1134" t="s">
        <v>108</v>
      </c>
      <c r="K1134" t="s">
        <v>341</v>
      </c>
      <c r="M1134" t="s">
        <v>76</v>
      </c>
      <c r="O1134" t="s">
        <v>77</v>
      </c>
      <c r="P1134" t="s">
        <v>78</v>
      </c>
      <c r="Q1134" t="s">
        <v>50</v>
      </c>
      <c r="R1134" t="s">
        <v>111</v>
      </c>
      <c r="S1134" t="s">
        <v>51</v>
      </c>
      <c r="T1134" t="s">
        <v>112</v>
      </c>
      <c r="U1134" s="1">
        <v>46076.579756944448</v>
      </c>
      <c r="V1134" t="s">
        <v>54</v>
      </c>
      <c r="X1134" t="s">
        <v>134</v>
      </c>
      <c r="Y1134" t="s">
        <v>5301</v>
      </c>
      <c r="Z1134" t="s">
        <v>58</v>
      </c>
      <c r="AA1134" t="s">
        <v>54</v>
      </c>
      <c r="AB1134" t="s">
        <v>1701</v>
      </c>
      <c r="AC1134" t="s">
        <v>85</v>
      </c>
      <c r="AD1134" t="s">
        <v>116</v>
      </c>
      <c r="AE1134" t="s">
        <v>117</v>
      </c>
      <c r="AF1134" t="s">
        <v>5255</v>
      </c>
      <c r="AG1134" t="s">
        <v>58</v>
      </c>
      <c r="AK1134">
        <v>1</v>
      </c>
      <c r="AL1134" t="s">
        <v>61</v>
      </c>
      <c r="AM1134" t="s">
        <v>1701</v>
      </c>
      <c r="AN1134" t="s">
        <v>1702</v>
      </c>
    </row>
    <row r="1135" spans="1:40" x14ac:dyDescent="0.35">
      <c r="A1135" t="s">
        <v>37</v>
      </c>
      <c r="B1135" t="s">
        <v>5302</v>
      </c>
      <c r="C1135" t="s">
        <v>102</v>
      </c>
      <c r="D1135" t="s">
        <v>1698</v>
      </c>
      <c r="E1135" t="s">
        <v>584</v>
      </c>
      <c r="F1135" s="1">
        <v>46076.273101851853</v>
      </c>
      <c r="G1135" t="s">
        <v>105</v>
      </c>
      <c r="H1135" t="s">
        <v>106</v>
      </c>
      <c r="I1135" t="s">
        <v>1902</v>
      </c>
      <c r="J1135" t="s">
        <v>108</v>
      </c>
      <c r="K1135" t="s">
        <v>109</v>
      </c>
      <c r="M1135" t="s">
        <v>76</v>
      </c>
      <c r="O1135" t="s">
        <v>77</v>
      </c>
      <c r="P1135" t="s">
        <v>78</v>
      </c>
      <c r="Q1135" t="s">
        <v>50</v>
      </c>
      <c r="R1135" t="s">
        <v>111</v>
      </c>
      <c r="S1135" t="s">
        <v>51</v>
      </c>
      <c r="T1135" t="s">
        <v>112</v>
      </c>
      <c r="U1135" s="1">
        <v>46076.430486111109</v>
      </c>
      <c r="V1135" t="s">
        <v>54</v>
      </c>
      <c r="W1135" t="s">
        <v>55</v>
      </c>
      <c r="X1135" t="s">
        <v>134</v>
      </c>
      <c r="Y1135" t="s">
        <v>5303</v>
      </c>
      <c r="Z1135" t="s">
        <v>58</v>
      </c>
      <c r="AA1135" t="s">
        <v>54</v>
      </c>
      <c r="AB1135" t="s">
        <v>1701</v>
      </c>
      <c r="AC1135" t="s">
        <v>85</v>
      </c>
      <c r="AD1135" t="s">
        <v>116</v>
      </c>
      <c r="AE1135" t="s">
        <v>117</v>
      </c>
      <c r="AF1135" t="s">
        <v>1706</v>
      </c>
      <c r="AG1135" t="s">
        <v>58</v>
      </c>
      <c r="AK1135">
        <v>1</v>
      </c>
      <c r="AL1135" t="s">
        <v>61</v>
      </c>
      <c r="AM1135" t="s">
        <v>1701</v>
      </c>
      <c r="AN1135" t="s">
        <v>1702</v>
      </c>
    </row>
    <row r="1136" spans="1:40" x14ac:dyDescent="0.35">
      <c r="A1136" t="s">
        <v>37</v>
      </c>
      <c r="B1136" t="s">
        <v>5304</v>
      </c>
      <c r="C1136" t="s">
        <v>102</v>
      </c>
      <c r="D1136" t="s">
        <v>1698</v>
      </c>
      <c r="E1136" t="s">
        <v>584</v>
      </c>
      <c r="F1136" s="1">
        <v>46076.273101851853</v>
      </c>
      <c r="G1136" t="s">
        <v>105</v>
      </c>
      <c r="H1136" t="s">
        <v>106</v>
      </c>
      <c r="I1136" t="s">
        <v>1951</v>
      </c>
      <c r="J1136" t="s">
        <v>108</v>
      </c>
      <c r="K1136" t="s">
        <v>341</v>
      </c>
      <c r="M1136" t="s">
        <v>76</v>
      </c>
      <c r="O1136" t="s">
        <v>77</v>
      </c>
      <c r="P1136" t="s">
        <v>78</v>
      </c>
      <c r="Q1136" t="s">
        <v>50</v>
      </c>
      <c r="R1136" t="s">
        <v>111</v>
      </c>
      <c r="S1136" t="s">
        <v>51</v>
      </c>
      <c r="T1136" t="s">
        <v>112</v>
      </c>
      <c r="U1136" s="1">
        <v>46076.502511574072</v>
      </c>
      <c r="V1136" t="s">
        <v>54</v>
      </c>
      <c r="X1136" t="s">
        <v>134</v>
      </c>
      <c r="Y1136" t="s">
        <v>5305</v>
      </c>
      <c r="Z1136" t="s">
        <v>58</v>
      </c>
      <c r="AA1136" t="s">
        <v>54</v>
      </c>
      <c r="AB1136" t="s">
        <v>1701</v>
      </c>
      <c r="AC1136" t="s">
        <v>85</v>
      </c>
      <c r="AD1136" t="s">
        <v>116</v>
      </c>
      <c r="AE1136" t="s">
        <v>117</v>
      </c>
      <c r="AF1136" t="s">
        <v>1740</v>
      </c>
      <c r="AG1136" t="s">
        <v>58</v>
      </c>
      <c r="AK1136">
        <v>1</v>
      </c>
      <c r="AL1136" t="s">
        <v>61</v>
      </c>
      <c r="AM1136" t="s">
        <v>1701</v>
      </c>
      <c r="AN1136" t="s">
        <v>1702</v>
      </c>
    </row>
    <row r="1137" spans="1:40" x14ac:dyDescent="0.35">
      <c r="A1137" t="s">
        <v>37</v>
      </c>
      <c r="B1137" t="s">
        <v>5306</v>
      </c>
      <c r="C1137" t="s">
        <v>102</v>
      </c>
      <c r="D1137" t="s">
        <v>1698</v>
      </c>
      <c r="E1137" t="s">
        <v>584</v>
      </c>
      <c r="F1137" s="1">
        <v>46076.267118055555</v>
      </c>
      <c r="G1137" t="s">
        <v>105</v>
      </c>
      <c r="H1137" t="s">
        <v>106</v>
      </c>
      <c r="I1137" t="s">
        <v>5307</v>
      </c>
      <c r="J1137" t="s">
        <v>108</v>
      </c>
      <c r="K1137" t="s">
        <v>571</v>
      </c>
      <c r="M1137" t="s">
        <v>76</v>
      </c>
      <c r="O1137" t="s">
        <v>77</v>
      </c>
      <c r="P1137" t="s">
        <v>78</v>
      </c>
      <c r="Q1137" t="s">
        <v>50</v>
      </c>
      <c r="R1137" t="s">
        <v>111</v>
      </c>
      <c r="S1137" t="s">
        <v>51</v>
      </c>
      <c r="T1137" t="s">
        <v>112</v>
      </c>
      <c r="U1137" s="1">
        <v>46076.359942129631</v>
      </c>
      <c r="V1137" t="s">
        <v>54</v>
      </c>
      <c r="W1137" t="s">
        <v>55</v>
      </c>
      <c r="X1137" t="s">
        <v>134</v>
      </c>
      <c r="Y1137" t="s">
        <v>5308</v>
      </c>
      <c r="Z1137" t="s">
        <v>58</v>
      </c>
      <c r="AA1137" t="s">
        <v>54</v>
      </c>
      <c r="AB1137" t="s">
        <v>1701</v>
      </c>
      <c r="AC1137" t="s">
        <v>85</v>
      </c>
      <c r="AD1137" t="s">
        <v>116</v>
      </c>
      <c r="AE1137" t="s">
        <v>574</v>
      </c>
      <c r="AF1137" t="s">
        <v>575</v>
      </c>
      <c r="AG1137" t="s">
        <v>58</v>
      </c>
      <c r="AK1137">
        <v>1</v>
      </c>
      <c r="AL1137" t="s">
        <v>61</v>
      </c>
      <c r="AM1137" t="s">
        <v>1701</v>
      </c>
      <c r="AN1137" t="s">
        <v>1702</v>
      </c>
    </row>
    <row r="1138" spans="1:40" x14ac:dyDescent="0.35">
      <c r="A1138" t="s">
        <v>37</v>
      </c>
      <c r="B1138" t="s">
        <v>5309</v>
      </c>
      <c r="C1138" t="s">
        <v>102</v>
      </c>
      <c r="D1138" t="s">
        <v>1698</v>
      </c>
      <c r="E1138" t="s">
        <v>584</v>
      </c>
      <c r="F1138" s="1">
        <v>46076.229513888888</v>
      </c>
      <c r="G1138" t="s">
        <v>105</v>
      </c>
      <c r="H1138" t="s">
        <v>106</v>
      </c>
      <c r="I1138" t="s">
        <v>5310</v>
      </c>
      <c r="J1138" t="s">
        <v>108</v>
      </c>
      <c r="K1138" t="s">
        <v>109</v>
      </c>
      <c r="M1138" t="s">
        <v>76</v>
      </c>
      <c r="O1138" t="s">
        <v>77</v>
      </c>
      <c r="P1138" t="s">
        <v>78</v>
      </c>
      <c r="Q1138" t="s">
        <v>50</v>
      </c>
      <c r="R1138" t="s">
        <v>111</v>
      </c>
      <c r="S1138" t="s">
        <v>51</v>
      </c>
      <c r="T1138" t="s">
        <v>112</v>
      </c>
      <c r="U1138" s="1">
        <v>46076.647824074076</v>
      </c>
      <c r="V1138" t="s">
        <v>54</v>
      </c>
      <c r="W1138" t="s">
        <v>1584</v>
      </c>
      <c r="X1138" t="s">
        <v>134</v>
      </c>
      <c r="Y1138" t="s">
        <v>5311</v>
      </c>
      <c r="Z1138" t="s">
        <v>58</v>
      </c>
      <c r="AA1138" t="s">
        <v>54</v>
      </c>
      <c r="AB1138" t="s">
        <v>1701</v>
      </c>
      <c r="AC1138" t="s">
        <v>85</v>
      </c>
      <c r="AD1138" t="s">
        <v>116</v>
      </c>
      <c r="AE1138" t="s">
        <v>117</v>
      </c>
      <c r="AF1138" t="s">
        <v>1724</v>
      </c>
      <c r="AG1138" t="s">
        <v>58</v>
      </c>
      <c r="AK1138">
        <v>1</v>
      </c>
      <c r="AL1138" t="s">
        <v>61</v>
      </c>
      <c r="AM1138" t="s">
        <v>1701</v>
      </c>
      <c r="AN1138" t="s">
        <v>1702</v>
      </c>
    </row>
    <row r="1139" spans="1:40" x14ac:dyDescent="0.35">
      <c r="A1139" t="s">
        <v>37</v>
      </c>
      <c r="B1139" t="s">
        <v>5312</v>
      </c>
      <c r="C1139" t="s">
        <v>102</v>
      </c>
      <c r="D1139" t="s">
        <v>1698</v>
      </c>
      <c r="E1139" t="s">
        <v>584</v>
      </c>
      <c r="F1139" s="1">
        <v>46076.210659722223</v>
      </c>
      <c r="G1139" t="s">
        <v>105</v>
      </c>
      <c r="H1139" t="s">
        <v>106</v>
      </c>
      <c r="I1139" t="s">
        <v>1704</v>
      </c>
      <c r="J1139" t="s">
        <v>108</v>
      </c>
      <c r="K1139" t="s">
        <v>571</v>
      </c>
      <c r="M1139" t="s">
        <v>76</v>
      </c>
      <c r="O1139" t="s">
        <v>77</v>
      </c>
      <c r="P1139" t="s">
        <v>78</v>
      </c>
      <c r="Q1139" t="s">
        <v>50</v>
      </c>
      <c r="R1139" t="s">
        <v>111</v>
      </c>
      <c r="S1139" t="s">
        <v>51</v>
      </c>
      <c r="T1139" t="s">
        <v>112</v>
      </c>
      <c r="U1139" s="1">
        <v>46076.36037037037</v>
      </c>
      <c r="V1139" t="s">
        <v>54</v>
      </c>
      <c r="W1139" t="s">
        <v>55</v>
      </c>
      <c r="X1139" t="s">
        <v>134</v>
      </c>
      <c r="Y1139" t="s">
        <v>5313</v>
      </c>
      <c r="Z1139" t="s">
        <v>58</v>
      </c>
      <c r="AA1139" t="s">
        <v>54</v>
      </c>
      <c r="AB1139" t="s">
        <v>1701</v>
      </c>
      <c r="AC1139" t="s">
        <v>85</v>
      </c>
      <c r="AD1139" t="s">
        <v>116</v>
      </c>
      <c r="AE1139" t="s">
        <v>574</v>
      </c>
      <c r="AF1139" t="s">
        <v>1874</v>
      </c>
      <c r="AG1139" t="s">
        <v>58</v>
      </c>
      <c r="AK1139">
        <v>1</v>
      </c>
      <c r="AL1139" t="s">
        <v>61</v>
      </c>
      <c r="AM1139" t="s">
        <v>1701</v>
      </c>
      <c r="AN1139" t="s">
        <v>1702</v>
      </c>
    </row>
    <row r="1140" spans="1:40" x14ac:dyDescent="0.35">
      <c r="A1140" t="s">
        <v>37</v>
      </c>
      <c r="B1140" t="s">
        <v>5314</v>
      </c>
      <c r="C1140" t="s">
        <v>102</v>
      </c>
      <c r="D1140" t="s">
        <v>1698</v>
      </c>
      <c r="E1140" t="s">
        <v>584</v>
      </c>
      <c r="F1140" s="1">
        <v>46076.114756944444</v>
      </c>
      <c r="G1140" t="s">
        <v>105</v>
      </c>
      <c r="H1140" t="s">
        <v>106</v>
      </c>
      <c r="I1140" t="s">
        <v>3159</v>
      </c>
      <c r="J1140" t="s">
        <v>108</v>
      </c>
      <c r="K1140" t="s">
        <v>571</v>
      </c>
      <c r="M1140" t="s">
        <v>76</v>
      </c>
      <c r="O1140" t="s">
        <v>77</v>
      </c>
      <c r="P1140" t="s">
        <v>78</v>
      </c>
      <c r="Q1140" t="s">
        <v>50</v>
      </c>
      <c r="R1140" t="s">
        <v>111</v>
      </c>
      <c r="S1140" t="s">
        <v>51</v>
      </c>
      <c r="T1140" t="s">
        <v>112</v>
      </c>
      <c r="U1140" s="1">
        <v>46076.297384259262</v>
      </c>
      <c r="V1140" t="s">
        <v>54</v>
      </c>
      <c r="W1140" t="s">
        <v>55</v>
      </c>
      <c r="X1140" t="s">
        <v>134</v>
      </c>
      <c r="Y1140" t="s">
        <v>5315</v>
      </c>
      <c r="Z1140" t="s">
        <v>58</v>
      </c>
      <c r="AA1140" t="s">
        <v>54</v>
      </c>
      <c r="AB1140" t="s">
        <v>1701</v>
      </c>
      <c r="AC1140" t="s">
        <v>85</v>
      </c>
      <c r="AD1140" t="s">
        <v>116</v>
      </c>
      <c r="AE1140" t="s">
        <v>574</v>
      </c>
      <c r="AF1140" t="s">
        <v>144</v>
      </c>
      <c r="AG1140" t="s">
        <v>58</v>
      </c>
      <c r="AK1140">
        <v>1</v>
      </c>
      <c r="AL1140" t="s">
        <v>61</v>
      </c>
      <c r="AM1140" t="s">
        <v>1701</v>
      </c>
      <c r="AN1140" t="s">
        <v>1702</v>
      </c>
    </row>
    <row r="1141" spans="1:40" x14ac:dyDescent="0.35">
      <c r="A1141" t="s">
        <v>37</v>
      </c>
      <c r="B1141" t="s">
        <v>5316</v>
      </c>
      <c r="C1141" t="s">
        <v>102</v>
      </c>
      <c r="D1141" t="s">
        <v>1698</v>
      </c>
      <c r="E1141" t="s">
        <v>584</v>
      </c>
      <c r="F1141" s="1">
        <v>46076.097268518519</v>
      </c>
      <c r="G1141" t="s">
        <v>105</v>
      </c>
      <c r="H1141" t="s">
        <v>106</v>
      </c>
      <c r="I1141" t="s">
        <v>5317</v>
      </c>
      <c r="J1141" t="s">
        <v>108</v>
      </c>
      <c r="K1141" t="s">
        <v>109</v>
      </c>
      <c r="M1141" t="s">
        <v>76</v>
      </c>
      <c r="O1141" t="s">
        <v>77</v>
      </c>
      <c r="P1141" t="s">
        <v>78</v>
      </c>
      <c r="Q1141" t="s">
        <v>50</v>
      </c>
      <c r="R1141" t="s">
        <v>111</v>
      </c>
      <c r="S1141" t="s">
        <v>51</v>
      </c>
      <c r="T1141" t="s">
        <v>112</v>
      </c>
      <c r="U1141" s="1">
        <v>46076.277673611112</v>
      </c>
      <c r="V1141" t="s">
        <v>54</v>
      </c>
      <c r="W1141" t="s">
        <v>55</v>
      </c>
      <c r="X1141" t="s">
        <v>134</v>
      </c>
      <c r="Y1141" t="s">
        <v>5318</v>
      </c>
      <c r="Z1141" t="s">
        <v>58</v>
      </c>
      <c r="AA1141" t="s">
        <v>54</v>
      </c>
      <c r="AB1141" t="s">
        <v>1701</v>
      </c>
      <c r="AC1141" t="s">
        <v>85</v>
      </c>
      <c r="AD1141" t="s">
        <v>116</v>
      </c>
      <c r="AE1141" t="s">
        <v>117</v>
      </c>
      <c r="AF1141" t="s">
        <v>3110</v>
      </c>
      <c r="AG1141" t="s">
        <v>58</v>
      </c>
      <c r="AK1141">
        <v>1</v>
      </c>
      <c r="AL1141" t="s">
        <v>61</v>
      </c>
      <c r="AM1141" t="s">
        <v>1701</v>
      </c>
      <c r="AN1141" t="s">
        <v>1702</v>
      </c>
    </row>
    <row r="1142" spans="1:40" x14ac:dyDescent="0.35">
      <c r="A1142" t="s">
        <v>37</v>
      </c>
      <c r="B1142" t="s">
        <v>5319</v>
      </c>
      <c r="C1142" t="s">
        <v>102</v>
      </c>
      <c r="D1142" t="s">
        <v>1698</v>
      </c>
      <c r="E1142" t="s">
        <v>584</v>
      </c>
      <c r="F1142" s="1">
        <v>46076.097268518519</v>
      </c>
      <c r="G1142" t="s">
        <v>105</v>
      </c>
      <c r="H1142" t="s">
        <v>106</v>
      </c>
      <c r="I1142" t="s">
        <v>5320</v>
      </c>
      <c r="J1142" t="s">
        <v>108</v>
      </c>
      <c r="K1142" t="s">
        <v>109</v>
      </c>
      <c r="M1142" t="s">
        <v>76</v>
      </c>
      <c r="O1142" t="s">
        <v>77</v>
      </c>
      <c r="P1142" t="s">
        <v>78</v>
      </c>
      <c r="Q1142" t="s">
        <v>50</v>
      </c>
      <c r="R1142" t="s">
        <v>111</v>
      </c>
      <c r="S1142" t="s">
        <v>51</v>
      </c>
      <c r="T1142" t="s">
        <v>112</v>
      </c>
      <c r="U1142" s="1">
        <v>46076.277314814812</v>
      </c>
      <c r="V1142" t="s">
        <v>54</v>
      </c>
      <c r="W1142" t="s">
        <v>55</v>
      </c>
      <c r="X1142" t="s">
        <v>134</v>
      </c>
      <c r="Y1142" t="s">
        <v>5318</v>
      </c>
      <c r="Z1142" t="s">
        <v>58</v>
      </c>
      <c r="AA1142" t="s">
        <v>54</v>
      </c>
      <c r="AB1142" t="s">
        <v>1701</v>
      </c>
      <c r="AC1142" t="s">
        <v>85</v>
      </c>
      <c r="AD1142" t="s">
        <v>116</v>
      </c>
      <c r="AE1142" t="s">
        <v>117</v>
      </c>
      <c r="AF1142" t="s">
        <v>3110</v>
      </c>
      <c r="AG1142" t="s">
        <v>58</v>
      </c>
      <c r="AK1142">
        <v>1</v>
      </c>
      <c r="AL1142" t="s">
        <v>61</v>
      </c>
      <c r="AM1142" t="s">
        <v>1701</v>
      </c>
      <c r="AN1142" t="s">
        <v>1702</v>
      </c>
    </row>
    <row r="1143" spans="1:40" x14ac:dyDescent="0.35">
      <c r="A1143" t="s">
        <v>37</v>
      </c>
      <c r="B1143" t="s">
        <v>5321</v>
      </c>
      <c r="C1143" t="s">
        <v>39</v>
      </c>
      <c r="D1143" t="s">
        <v>5322</v>
      </c>
      <c r="E1143" t="s">
        <v>2435</v>
      </c>
      <c r="F1143" s="1">
        <v>46076.381921296299</v>
      </c>
      <c r="G1143" t="s">
        <v>771</v>
      </c>
      <c r="H1143" t="s">
        <v>92</v>
      </c>
      <c r="I1143" t="s">
        <v>5323</v>
      </c>
      <c r="J1143" t="s">
        <v>2718</v>
      </c>
      <c r="K1143" t="s">
        <v>951</v>
      </c>
      <c r="M1143" t="s">
        <v>76</v>
      </c>
      <c r="O1143" t="s">
        <v>77</v>
      </c>
      <c r="P1143" t="s">
        <v>78</v>
      </c>
      <c r="Q1143" t="s">
        <v>1141</v>
      </c>
      <c r="R1143" t="s">
        <v>79</v>
      </c>
      <c r="S1143" t="s">
        <v>642</v>
      </c>
      <c r="T1143" t="s">
        <v>5069</v>
      </c>
      <c r="U1143" s="1">
        <v>46078.548460648148</v>
      </c>
      <c r="V1143" t="s">
        <v>54</v>
      </c>
      <c r="W1143" t="s">
        <v>55</v>
      </c>
      <c r="X1143" t="s">
        <v>82</v>
      </c>
      <c r="Y1143" t="s">
        <v>5324</v>
      </c>
      <c r="Z1143" t="s">
        <v>58</v>
      </c>
      <c r="AA1143" t="s">
        <v>54</v>
      </c>
      <c r="AB1143" t="s">
        <v>698</v>
      </c>
      <c r="AC1143" t="s">
        <v>85</v>
      </c>
      <c r="AD1143" t="s">
        <v>79</v>
      </c>
      <c r="AE1143" t="s">
        <v>642</v>
      </c>
      <c r="AF1143" t="s">
        <v>5069</v>
      </c>
      <c r="AG1143" t="s">
        <v>58</v>
      </c>
      <c r="AH1143">
        <v>10331</v>
      </c>
      <c r="AJ1143">
        <v>191766</v>
      </c>
      <c r="AK1143">
        <v>5</v>
      </c>
      <c r="AL1143" t="s">
        <v>61</v>
      </c>
      <c r="AM1143" t="s">
        <v>5325</v>
      </c>
      <c r="AN1143" t="s">
        <v>5326</v>
      </c>
    </row>
    <row r="1144" spans="1:40" x14ac:dyDescent="0.35">
      <c r="A1144" t="s">
        <v>37</v>
      </c>
      <c r="B1144" t="s">
        <v>5327</v>
      </c>
      <c r="C1144" t="s">
        <v>39</v>
      </c>
      <c r="D1144" t="s">
        <v>5328</v>
      </c>
      <c r="E1144" t="s">
        <v>5329</v>
      </c>
      <c r="F1144" s="1">
        <v>46076.358958333331</v>
      </c>
      <c r="G1144" t="s">
        <v>1094</v>
      </c>
      <c r="H1144" t="s">
        <v>447</v>
      </c>
      <c r="I1144" t="s">
        <v>1196</v>
      </c>
      <c r="J1144" t="s">
        <v>394</v>
      </c>
      <c r="K1144" t="s">
        <v>75</v>
      </c>
      <c r="M1144" t="s">
        <v>76</v>
      </c>
      <c r="O1144" t="s">
        <v>77</v>
      </c>
      <c r="P1144" t="s">
        <v>78</v>
      </c>
      <c r="Q1144" t="s">
        <v>1141</v>
      </c>
      <c r="R1144" t="s">
        <v>79</v>
      </c>
      <c r="S1144" t="s">
        <v>1078</v>
      </c>
      <c r="T1144" t="s">
        <v>1078</v>
      </c>
      <c r="U1144" s="1">
        <v>46076.359259259261</v>
      </c>
      <c r="V1144" t="s">
        <v>54</v>
      </c>
      <c r="W1144" t="s">
        <v>55</v>
      </c>
      <c r="X1144" t="s">
        <v>82</v>
      </c>
      <c r="Y1144" t="s">
        <v>1197</v>
      </c>
      <c r="Z1144" t="s">
        <v>58</v>
      </c>
      <c r="AA1144" t="s">
        <v>54</v>
      </c>
      <c r="AB1144" t="s">
        <v>396</v>
      </c>
      <c r="AC1144" t="s">
        <v>85</v>
      </c>
      <c r="AD1144" t="s">
        <v>79</v>
      </c>
      <c r="AE1144" t="s">
        <v>1078</v>
      </c>
      <c r="AF1144" t="s">
        <v>1078</v>
      </c>
      <c r="AG1144" t="s">
        <v>58</v>
      </c>
      <c r="AH1144">
        <v>3026</v>
      </c>
      <c r="AK1144">
        <v>0</v>
      </c>
      <c r="AL1144" t="s">
        <v>61</v>
      </c>
      <c r="AM1144" t="s">
        <v>5330</v>
      </c>
      <c r="AN1144" t="s">
        <v>5331</v>
      </c>
    </row>
    <row r="1145" spans="1:40" x14ac:dyDescent="0.35">
      <c r="A1145" t="s">
        <v>37</v>
      </c>
      <c r="B1145" t="s">
        <v>5332</v>
      </c>
      <c r="C1145" t="s">
        <v>39</v>
      </c>
      <c r="D1145" t="s">
        <v>5333</v>
      </c>
      <c r="E1145" t="s">
        <v>5334</v>
      </c>
      <c r="F1145" s="1">
        <v>46076.356203703705</v>
      </c>
      <c r="G1145" t="s">
        <v>71</v>
      </c>
      <c r="H1145" t="s">
        <v>72</v>
      </c>
      <c r="I1145" t="s">
        <v>205</v>
      </c>
      <c r="J1145" t="s">
        <v>603</v>
      </c>
      <c r="K1145" t="s">
        <v>207</v>
      </c>
      <c r="M1145" t="s">
        <v>131</v>
      </c>
      <c r="O1145" t="s">
        <v>77</v>
      </c>
      <c r="P1145" t="s">
        <v>78</v>
      </c>
      <c r="Q1145" t="s">
        <v>50</v>
      </c>
      <c r="R1145" t="s">
        <v>208</v>
      </c>
      <c r="S1145" t="s">
        <v>209</v>
      </c>
      <c r="T1145" t="s">
        <v>210</v>
      </c>
      <c r="U1145" s="1">
        <v>46076.728113425925</v>
      </c>
      <c r="V1145" t="s">
        <v>54</v>
      </c>
      <c r="W1145" t="s">
        <v>55</v>
      </c>
      <c r="X1145" t="s">
        <v>211</v>
      </c>
      <c r="Y1145" t="s">
        <v>604</v>
      </c>
      <c r="Z1145" t="s">
        <v>58</v>
      </c>
      <c r="AA1145" t="s">
        <v>54</v>
      </c>
      <c r="AB1145" t="s">
        <v>213</v>
      </c>
      <c r="AC1145" t="s">
        <v>85</v>
      </c>
      <c r="AD1145" t="s">
        <v>214</v>
      </c>
      <c r="AE1145" t="s">
        <v>215</v>
      </c>
      <c r="AF1145" t="s">
        <v>216</v>
      </c>
      <c r="AG1145" t="s">
        <v>58</v>
      </c>
      <c r="AH1145" t="s">
        <v>5335</v>
      </c>
      <c r="AK1145">
        <v>1</v>
      </c>
      <c r="AL1145" t="s">
        <v>61</v>
      </c>
      <c r="AM1145" t="s">
        <v>5336</v>
      </c>
      <c r="AN1145" t="s">
        <v>5337</v>
      </c>
    </row>
    <row r="1146" spans="1:40" x14ac:dyDescent="0.35">
      <c r="A1146" t="s">
        <v>37</v>
      </c>
      <c r="B1146" t="s">
        <v>5338</v>
      </c>
      <c r="C1146" t="s">
        <v>39</v>
      </c>
      <c r="D1146" t="s">
        <v>5328</v>
      </c>
      <c r="E1146" t="s">
        <v>5329</v>
      </c>
      <c r="F1146" s="1">
        <v>46076.356909722221</v>
      </c>
      <c r="G1146" t="s">
        <v>1094</v>
      </c>
      <c r="H1146" t="s">
        <v>447</v>
      </c>
      <c r="I1146" t="s">
        <v>1250</v>
      </c>
      <c r="J1146" t="s">
        <v>394</v>
      </c>
      <c r="K1146" t="s">
        <v>75</v>
      </c>
      <c r="M1146" t="s">
        <v>76</v>
      </c>
      <c r="O1146" t="s">
        <v>77</v>
      </c>
      <c r="P1146" t="s">
        <v>78</v>
      </c>
      <c r="Q1146" t="s">
        <v>1141</v>
      </c>
      <c r="R1146" t="s">
        <v>79</v>
      </c>
      <c r="S1146" t="s">
        <v>1078</v>
      </c>
      <c r="T1146" t="s">
        <v>1078</v>
      </c>
      <c r="U1146" s="1">
        <v>46076.357245370367</v>
      </c>
      <c r="V1146" t="s">
        <v>54</v>
      </c>
      <c r="W1146" t="s">
        <v>55</v>
      </c>
      <c r="X1146" t="s">
        <v>82</v>
      </c>
      <c r="Y1146" t="s">
        <v>1390</v>
      </c>
      <c r="Z1146" t="s">
        <v>58</v>
      </c>
      <c r="AA1146" t="s">
        <v>54</v>
      </c>
      <c r="AB1146" t="s">
        <v>396</v>
      </c>
      <c r="AC1146" t="s">
        <v>85</v>
      </c>
      <c r="AD1146" t="s">
        <v>79</v>
      </c>
      <c r="AE1146" t="s">
        <v>1078</v>
      </c>
      <c r="AF1146" t="s">
        <v>1078</v>
      </c>
      <c r="AG1146" t="s">
        <v>58</v>
      </c>
      <c r="AH1146">
        <v>3026</v>
      </c>
      <c r="AK1146">
        <v>0</v>
      </c>
      <c r="AL1146" t="s">
        <v>61</v>
      </c>
      <c r="AM1146" t="s">
        <v>5330</v>
      </c>
      <c r="AN1146" t="s">
        <v>5331</v>
      </c>
    </row>
    <row r="1147" spans="1:40" x14ac:dyDescent="0.35">
      <c r="A1147" t="s">
        <v>37</v>
      </c>
      <c r="B1147" t="s">
        <v>5339</v>
      </c>
      <c r="C1147" t="s">
        <v>39</v>
      </c>
      <c r="D1147" t="s">
        <v>1184</v>
      </c>
      <c r="E1147" t="s">
        <v>272</v>
      </c>
      <c r="F1147" s="1">
        <v>46076.35601851852</v>
      </c>
      <c r="G1147" t="s">
        <v>355</v>
      </c>
      <c r="H1147" t="s">
        <v>356</v>
      </c>
      <c r="I1147" t="s">
        <v>1446</v>
      </c>
      <c r="J1147" t="s">
        <v>2333</v>
      </c>
      <c r="K1147" t="s">
        <v>1187</v>
      </c>
      <c r="M1147" t="s">
        <v>76</v>
      </c>
      <c r="O1147" t="s">
        <v>77</v>
      </c>
      <c r="P1147" t="s">
        <v>78</v>
      </c>
      <c r="Q1147" t="s">
        <v>50</v>
      </c>
      <c r="R1147" t="s">
        <v>305</v>
      </c>
      <c r="S1147" t="s">
        <v>306</v>
      </c>
      <c r="T1147" t="s">
        <v>307</v>
      </c>
      <c r="U1147" s="1">
        <v>46077.437569444446</v>
      </c>
      <c r="V1147" t="s">
        <v>54</v>
      </c>
      <c r="W1147" t="s">
        <v>55</v>
      </c>
      <c r="X1147" t="s">
        <v>211</v>
      </c>
      <c r="Y1147" t="s">
        <v>5340</v>
      </c>
      <c r="Z1147" t="s">
        <v>58</v>
      </c>
      <c r="AA1147" t="s">
        <v>54</v>
      </c>
      <c r="AB1147" t="s">
        <v>213</v>
      </c>
      <c r="AC1147" t="s">
        <v>85</v>
      </c>
      <c r="AD1147" t="s">
        <v>1189</v>
      </c>
      <c r="AE1147" t="s">
        <v>3436</v>
      </c>
      <c r="AF1147" t="s">
        <v>3437</v>
      </c>
      <c r="AG1147" t="s">
        <v>58</v>
      </c>
      <c r="AH1147" t="s">
        <v>1192</v>
      </c>
      <c r="AK1147">
        <v>7</v>
      </c>
      <c r="AL1147" t="s">
        <v>61</v>
      </c>
      <c r="AM1147" t="s">
        <v>1193</v>
      </c>
      <c r="AN1147" t="s">
        <v>1194</v>
      </c>
    </row>
    <row r="1148" spans="1:40" x14ac:dyDescent="0.35">
      <c r="A1148" t="s">
        <v>37</v>
      </c>
      <c r="B1148" t="s">
        <v>5341</v>
      </c>
      <c r="C1148" t="s">
        <v>102</v>
      </c>
      <c r="D1148" t="s">
        <v>676</v>
      </c>
      <c r="E1148" t="s">
        <v>677</v>
      </c>
      <c r="F1148" s="1">
        <v>46076.356412037036</v>
      </c>
      <c r="G1148" t="s">
        <v>71</v>
      </c>
      <c r="H1148" t="s">
        <v>72</v>
      </c>
      <c r="I1148" t="s">
        <v>5342</v>
      </c>
      <c r="J1148" t="s">
        <v>679</v>
      </c>
      <c r="K1148" t="s">
        <v>130</v>
      </c>
      <c r="M1148" t="s">
        <v>131</v>
      </c>
      <c r="O1148" t="s">
        <v>77</v>
      </c>
      <c r="P1148" t="s">
        <v>78</v>
      </c>
      <c r="Q1148" t="s">
        <v>50</v>
      </c>
      <c r="R1148" t="s">
        <v>51</v>
      </c>
      <c r="S1148" t="s">
        <v>195</v>
      </c>
      <c r="T1148" t="s">
        <v>680</v>
      </c>
      <c r="U1148" s="1">
        <v>46076.448009259257</v>
      </c>
      <c r="V1148" t="s">
        <v>54</v>
      </c>
      <c r="W1148" t="s">
        <v>55</v>
      </c>
      <c r="X1148" t="s">
        <v>134</v>
      </c>
      <c r="Y1148" t="s">
        <v>5343</v>
      </c>
      <c r="Z1148" t="s">
        <v>58</v>
      </c>
      <c r="AA1148" t="s">
        <v>54</v>
      </c>
      <c r="AB1148" t="s">
        <v>682</v>
      </c>
      <c r="AC1148" t="s">
        <v>85</v>
      </c>
      <c r="AD1148" t="s">
        <v>51</v>
      </c>
      <c r="AE1148" t="s">
        <v>195</v>
      </c>
      <c r="AF1148" t="s">
        <v>680</v>
      </c>
      <c r="AG1148" t="s">
        <v>58</v>
      </c>
      <c r="AH1148" t="s">
        <v>683</v>
      </c>
      <c r="AK1148">
        <v>1</v>
      </c>
      <c r="AL1148" t="s">
        <v>61</v>
      </c>
      <c r="AM1148" t="s">
        <v>682</v>
      </c>
      <c r="AN1148" t="s">
        <v>684</v>
      </c>
    </row>
    <row r="1149" spans="1:40" x14ac:dyDescent="0.35">
      <c r="A1149" t="s">
        <v>37</v>
      </c>
      <c r="B1149" t="s">
        <v>5344</v>
      </c>
      <c r="C1149" t="s">
        <v>39</v>
      </c>
      <c r="D1149" t="s">
        <v>5040</v>
      </c>
      <c r="E1149" t="s">
        <v>5041</v>
      </c>
      <c r="F1149" s="1">
        <v>46076.355312500003</v>
      </c>
      <c r="G1149" t="s">
        <v>355</v>
      </c>
      <c r="H1149" t="s">
        <v>356</v>
      </c>
      <c r="I1149" t="s">
        <v>1222</v>
      </c>
      <c r="J1149" t="s">
        <v>2333</v>
      </c>
      <c r="K1149" t="s">
        <v>1187</v>
      </c>
      <c r="M1149" t="s">
        <v>76</v>
      </c>
      <c r="O1149" t="s">
        <v>77</v>
      </c>
      <c r="P1149" t="s">
        <v>78</v>
      </c>
      <c r="Q1149" t="s">
        <v>50</v>
      </c>
      <c r="R1149" t="s">
        <v>51</v>
      </c>
      <c r="S1149" t="s">
        <v>52</v>
      </c>
      <c r="T1149" t="s">
        <v>3709</v>
      </c>
      <c r="U1149" s="1">
        <v>46078.330601851849</v>
      </c>
      <c r="V1149" t="s">
        <v>54</v>
      </c>
      <c r="W1149" t="s">
        <v>55</v>
      </c>
      <c r="X1149" t="s">
        <v>211</v>
      </c>
      <c r="Y1149" t="s">
        <v>5345</v>
      </c>
      <c r="Z1149" t="s">
        <v>58</v>
      </c>
      <c r="AA1149" t="s">
        <v>54</v>
      </c>
      <c r="AB1149" t="s">
        <v>213</v>
      </c>
      <c r="AC1149" t="s">
        <v>85</v>
      </c>
      <c r="AD1149" t="s">
        <v>1189</v>
      </c>
      <c r="AE1149" t="s">
        <v>5346</v>
      </c>
      <c r="AF1149" t="s">
        <v>5347</v>
      </c>
      <c r="AG1149" t="s">
        <v>58</v>
      </c>
      <c r="AH1149" t="s">
        <v>5043</v>
      </c>
      <c r="AK1149">
        <v>4</v>
      </c>
      <c r="AL1149" t="s">
        <v>61</v>
      </c>
      <c r="AM1149" t="s">
        <v>5044</v>
      </c>
      <c r="AN1149" t="s">
        <v>5045</v>
      </c>
    </row>
    <row r="1150" spans="1:40" x14ac:dyDescent="0.35">
      <c r="A1150" t="s">
        <v>37</v>
      </c>
      <c r="B1150" t="s">
        <v>5348</v>
      </c>
      <c r="C1150" t="s">
        <v>39</v>
      </c>
      <c r="D1150" t="s">
        <v>1524</v>
      </c>
      <c r="E1150" t="s">
        <v>1525</v>
      </c>
      <c r="F1150" s="1">
        <v>46076.360798611109</v>
      </c>
      <c r="G1150" t="s">
        <v>250</v>
      </c>
      <c r="H1150" t="s">
        <v>106</v>
      </c>
      <c r="I1150" t="s">
        <v>171</v>
      </c>
      <c r="J1150" t="s">
        <v>1518</v>
      </c>
      <c r="K1150" t="s">
        <v>75</v>
      </c>
      <c r="M1150" t="s">
        <v>76</v>
      </c>
      <c r="O1150" t="s">
        <v>77</v>
      </c>
      <c r="P1150" t="s">
        <v>78</v>
      </c>
      <c r="Q1150" t="s">
        <v>50</v>
      </c>
      <c r="R1150" t="s">
        <v>79</v>
      </c>
      <c r="S1150" t="s">
        <v>172</v>
      </c>
      <c r="T1150" t="s">
        <v>173</v>
      </c>
      <c r="U1150" s="1">
        <v>46076.361041666663</v>
      </c>
      <c r="V1150" t="s">
        <v>54</v>
      </c>
      <c r="W1150" t="s">
        <v>55</v>
      </c>
      <c r="X1150" t="s">
        <v>82</v>
      </c>
      <c r="Y1150" t="s">
        <v>1526</v>
      </c>
      <c r="Z1150" t="s">
        <v>58</v>
      </c>
      <c r="AA1150" t="s">
        <v>54</v>
      </c>
      <c r="AB1150" t="s">
        <v>1503</v>
      </c>
      <c r="AC1150" t="s">
        <v>85</v>
      </c>
      <c r="AD1150" t="s">
        <v>79</v>
      </c>
      <c r="AE1150" t="s">
        <v>172</v>
      </c>
      <c r="AF1150" t="s">
        <v>173</v>
      </c>
      <c r="AG1150" t="s">
        <v>58</v>
      </c>
      <c r="AH1150" t="s">
        <v>1527</v>
      </c>
      <c r="AK1150">
        <v>0</v>
      </c>
      <c r="AL1150" t="s">
        <v>61</v>
      </c>
      <c r="AM1150" t="s">
        <v>1528</v>
      </c>
      <c r="AN1150" t="s">
        <v>1529</v>
      </c>
    </row>
    <row r="1151" spans="1:40" x14ac:dyDescent="0.35">
      <c r="A1151" t="s">
        <v>37</v>
      </c>
      <c r="B1151" t="s">
        <v>5349</v>
      </c>
      <c r="C1151" t="s">
        <v>39</v>
      </c>
      <c r="D1151" t="s">
        <v>1055</v>
      </c>
      <c r="E1151" t="s">
        <v>1056</v>
      </c>
      <c r="F1151" s="1">
        <v>46076.353703703702</v>
      </c>
      <c r="G1151" t="s">
        <v>355</v>
      </c>
      <c r="H1151" t="s">
        <v>356</v>
      </c>
      <c r="I1151" t="s">
        <v>1185</v>
      </c>
      <c r="J1151" t="s">
        <v>2406</v>
      </c>
      <c r="K1151" t="s">
        <v>1187</v>
      </c>
      <c r="M1151" t="s">
        <v>131</v>
      </c>
      <c r="O1151" t="s">
        <v>77</v>
      </c>
      <c r="P1151" t="s">
        <v>78</v>
      </c>
      <c r="Q1151" t="s">
        <v>50</v>
      </c>
      <c r="R1151" t="s">
        <v>305</v>
      </c>
      <c r="S1151" t="s">
        <v>306</v>
      </c>
      <c r="T1151" t="s">
        <v>307</v>
      </c>
      <c r="U1151" s="1">
        <v>46076.662256944444</v>
      </c>
      <c r="V1151" t="s">
        <v>54</v>
      </c>
      <c r="W1151" t="s">
        <v>55</v>
      </c>
      <c r="X1151" t="s">
        <v>211</v>
      </c>
      <c r="Y1151" t="s">
        <v>5350</v>
      </c>
      <c r="Z1151" t="s">
        <v>58</v>
      </c>
      <c r="AA1151" t="s">
        <v>54</v>
      </c>
      <c r="AB1151" t="s">
        <v>213</v>
      </c>
      <c r="AC1151" t="s">
        <v>85</v>
      </c>
      <c r="AD1151" t="s">
        <v>1189</v>
      </c>
      <c r="AE1151" t="s">
        <v>1190</v>
      </c>
      <c r="AF1151" t="s">
        <v>1191</v>
      </c>
      <c r="AG1151" t="s">
        <v>58</v>
      </c>
      <c r="AH1151" t="s">
        <v>1060</v>
      </c>
      <c r="AK1151">
        <v>3</v>
      </c>
      <c r="AL1151" t="s">
        <v>61</v>
      </c>
      <c r="AM1151" t="s">
        <v>1061</v>
      </c>
      <c r="AN1151" t="s">
        <v>1062</v>
      </c>
    </row>
    <row r="1152" spans="1:40" x14ac:dyDescent="0.35">
      <c r="A1152" t="s">
        <v>37</v>
      </c>
      <c r="B1152" t="s">
        <v>5351</v>
      </c>
      <c r="C1152" t="s">
        <v>39</v>
      </c>
      <c r="D1152" t="s">
        <v>5352</v>
      </c>
      <c r="E1152" t="s">
        <v>5353</v>
      </c>
      <c r="F1152" s="1">
        <v>46076.353680555556</v>
      </c>
      <c r="G1152" t="s">
        <v>355</v>
      </c>
      <c r="H1152" t="s">
        <v>356</v>
      </c>
      <c r="I1152" t="s">
        <v>5354</v>
      </c>
      <c r="J1152" t="s">
        <v>435</v>
      </c>
      <c r="K1152" t="s">
        <v>436</v>
      </c>
      <c r="M1152" t="s">
        <v>76</v>
      </c>
      <c r="O1152" t="s">
        <v>237</v>
      </c>
      <c r="P1152" t="s">
        <v>238</v>
      </c>
      <c r="Q1152" t="s">
        <v>50</v>
      </c>
      <c r="R1152" t="s">
        <v>51</v>
      </c>
      <c r="S1152" t="s">
        <v>52</v>
      </c>
      <c r="T1152" t="s">
        <v>4080</v>
      </c>
      <c r="U1152" s="1">
        <v>46076.92527777778</v>
      </c>
      <c r="V1152" t="s">
        <v>54</v>
      </c>
      <c r="W1152" t="s">
        <v>55</v>
      </c>
      <c r="X1152" t="s">
        <v>211</v>
      </c>
      <c r="Y1152" t="s">
        <v>5355</v>
      </c>
      <c r="Z1152" t="s">
        <v>58</v>
      </c>
      <c r="AA1152" t="s">
        <v>54</v>
      </c>
      <c r="AB1152" t="s">
        <v>213</v>
      </c>
      <c r="AC1152" t="s">
        <v>242</v>
      </c>
      <c r="AD1152" t="s">
        <v>52</v>
      </c>
      <c r="AE1152" t="s">
        <v>438</v>
      </c>
      <c r="AF1152" t="s">
        <v>439</v>
      </c>
      <c r="AG1152" t="s">
        <v>58</v>
      </c>
      <c r="AH1152" t="s">
        <v>5356</v>
      </c>
      <c r="AK1152">
        <v>2</v>
      </c>
      <c r="AL1152" t="s">
        <v>61</v>
      </c>
      <c r="AM1152" t="s">
        <v>5357</v>
      </c>
      <c r="AN1152" t="s">
        <v>5358</v>
      </c>
    </row>
    <row r="1153" spans="1:40" x14ac:dyDescent="0.35">
      <c r="A1153" t="s">
        <v>37</v>
      </c>
      <c r="B1153" t="s">
        <v>5359</v>
      </c>
      <c r="C1153" t="s">
        <v>39</v>
      </c>
      <c r="D1153" t="s">
        <v>5360</v>
      </c>
      <c r="E1153" t="s">
        <v>469</v>
      </c>
      <c r="F1153" s="1">
        <v>46076.352152777778</v>
      </c>
      <c r="G1153" t="s">
        <v>355</v>
      </c>
      <c r="H1153" t="s">
        <v>356</v>
      </c>
      <c r="I1153" t="s">
        <v>1185</v>
      </c>
      <c r="J1153" t="s">
        <v>2333</v>
      </c>
      <c r="K1153" t="s">
        <v>1187</v>
      </c>
      <c r="M1153" t="s">
        <v>76</v>
      </c>
      <c r="O1153" t="s">
        <v>77</v>
      </c>
      <c r="P1153" t="s">
        <v>78</v>
      </c>
      <c r="Q1153" t="s">
        <v>50</v>
      </c>
      <c r="R1153" t="s">
        <v>305</v>
      </c>
      <c r="S1153" t="s">
        <v>306</v>
      </c>
      <c r="T1153" t="s">
        <v>307</v>
      </c>
      <c r="U1153" s="1">
        <v>46078.437395833331</v>
      </c>
      <c r="V1153" t="s">
        <v>54</v>
      </c>
      <c r="W1153" t="s">
        <v>55</v>
      </c>
      <c r="X1153" t="s">
        <v>211</v>
      </c>
      <c r="Y1153" t="s">
        <v>5361</v>
      </c>
      <c r="Z1153" t="s">
        <v>58</v>
      </c>
      <c r="AA1153" t="s">
        <v>54</v>
      </c>
      <c r="AB1153" t="s">
        <v>213</v>
      </c>
      <c r="AC1153" t="s">
        <v>85</v>
      </c>
      <c r="AD1153" t="s">
        <v>1189</v>
      </c>
      <c r="AE1153" t="s">
        <v>1190</v>
      </c>
      <c r="AF1153" t="s">
        <v>1191</v>
      </c>
      <c r="AG1153" t="s">
        <v>58</v>
      </c>
      <c r="AH1153">
        <v>15109</v>
      </c>
      <c r="AK1153">
        <v>3</v>
      </c>
      <c r="AL1153" t="s">
        <v>61</v>
      </c>
      <c r="AM1153" t="s">
        <v>5362</v>
      </c>
      <c r="AN1153" t="s">
        <v>5363</v>
      </c>
    </row>
    <row r="1154" spans="1:40" x14ac:dyDescent="0.35">
      <c r="A1154" t="s">
        <v>37</v>
      </c>
      <c r="B1154" t="s">
        <v>5364</v>
      </c>
      <c r="C1154" t="s">
        <v>39</v>
      </c>
      <c r="D1154" t="s">
        <v>5365</v>
      </c>
      <c r="E1154" t="s">
        <v>1982</v>
      </c>
      <c r="F1154" s="1">
        <v>46076.351481481484</v>
      </c>
      <c r="G1154" t="s">
        <v>71</v>
      </c>
      <c r="H1154" t="s">
        <v>72</v>
      </c>
      <c r="I1154" t="s">
        <v>205</v>
      </c>
      <c r="J1154" t="s">
        <v>603</v>
      </c>
      <c r="K1154" t="s">
        <v>207</v>
      </c>
      <c r="M1154" t="s">
        <v>131</v>
      </c>
      <c r="O1154" t="s">
        <v>77</v>
      </c>
      <c r="P1154" t="s">
        <v>78</v>
      </c>
      <c r="Q1154" t="s">
        <v>50</v>
      </c>
      <c r="R1154" t="s">
        <v>208</v>
      </c>
      <c r="S1154" t="s">
        <v>209</v>
      </c>
      <c r="T1154" t="s">
        <v>210</v>
      </c>
      <c r="U1154" s="1">
        <v>46076.727407407408</v>
      </c>
      <c r="V1154" t="s">
        <v>54</v>
      </c>
      <c r="W1154" t="s">
        <v>55</v>
      </c>
      <c r="X1154" t="s">
        <v>211</v>
      </c>
      <c r="Y1154" t="s">
        <v>604</v>
      </c>
      <c r="Z1154" t="s">
        <v>58</v>
      </c>
      <c r="AA1154" t="s">
        <v>54</v>
      </c>
      <c r="AB1154" t="s">
        <v>213</v>
      </c>
      <c r="AC1154" t="s">
        <v>85</v>
      </c>
      <c r="AD1154" t="s">
        <v>214</v>
      </c>
      <c r="AE1154" t="s">
        <v>215</v>
      </c>
      <c r="AF1154" t="s">
        <v>216</v>
      </c>
      <c r="AG1154" t="s">
        <v>58</v>
      </c>
      <c r="AH1154" t="s">
        <v>5366</v>
      </c>
      <c r="AK1154">
        <v>1</v>
      </c>
      <c r="AL1154" t="s">
        <v>61</v>
      </c>
      <c r="AM1154" t="s">
        <v>5367</v>
      </c>
      <c r="AN1154" t="s">
        <v>5368</v>
      </c>
    </row>
    <row r="1155" spans="1:40" x14ac:dyDescent="0.35">
      <c r="A1155" t="s">
        <v>37</v>
      </c>
      <c r="B1155" t="s">
        <v>5369</v>
      </c>
      <c r="C1155" t="s">
        <v>39</v>
      </c>
      <c r="D1155" t="s">
        <v>5370</v>
      </c>
      <c r="E1155" t="s">
        <v>2548</v>
      </c>
      <c r="F1155" s="1">
        <v>46076.350277777776</v>
      </c>
      <c r="G1155" t="s">
        <v>71</v>
      </c>
      <c r="H1155" t="s">
        <v>72</v>
      </c>
      <c r="I1155" t="s">
        <v>205</v>
      </c>
      <c r="J1155" t="s">
        <v>603</v>
      </c>
      <c r="K1155" t="s">
        <v>207</v>
      </c>
      <c r="M1155" t="s">
        <v>131</v>
      </c>
      <c r="O1155" t="s">
        <v>77</v>
      </c>
      <c r="P1155" t="s">
        <v>78</v>
      </c>
      <c r="Q1155" t="s">
        <v>50</v>
      </c>
      <c r="R1155" t="s">
        <v>208</v>
      </c>
      <c r="S1155" t="s">
        <v>209</v>
      </c>
      <c r="T1155" t="s">
        <v>210</v>
      </c>
      <c r="U1155" s="1">
        <v>46076.726331018515</v>
      </c>
      <c r="V1155" t="s">
        <v>54</v>
      </c>
      <c r="W1155" t="s">
        <v>55</v>
      </c>
      <c r="X1155" t="s">
        <v>211</v>
      </c>
      <c r="Y1155" t="s">
        <v>604</v>
      </c>
      <c r="Z1155" t="s">
        <v>58</v>
      </c>
      <c r="AA1155" t="s">
        <v>54</v>
      </c>
      <c r="AB1155" t="s">
        <v>213</v>
      </c>
      <c r="AC1155" t="s">
        <v>85</v>
      </c>
      <c r="AD1155" t="s">
        <v>214</v>
      </c>
      <c r="AE1155" t="s">
        <v>215</v>
      </c>
      <c r="AF1155" t="s">
        <v>216</v>
      </c>
      <c r="AG1155" t="s">
        <v>58</v>
      </c>
      <c r="AH1155" t="s">
        <v>5371</v>
      </c>
      <c r="AK1155">
        <v>1</v>
      </c>
      <c r="AL1155" t="s">
        <v>61</v>
      </c>
      <c r="AM1155" t="s">
        <v>5372</v>
      </c>
      <c r="AN1155" t="s">
        <v>5373</v>
      </c>
    </row>
    <row r="1156" spans="1:40" x14ac:dyDescent="0.35">
      <c r="A1156" t="s">
        <v>37</v>
      </c>
      <c r="B1156" t="s">
        <v>5374</v>
      </c>
      <c r="C1156" t="s">
        <v>39</v>
      </c>
      <c r="D1156" t="s">
        <v>469</v>
      </c>
      <c r="E1156" t="s">
        <v>1821</v>
      </c>
      <c r="F1156" s="1">
        <v>46076.3512962963</v>
      </c>
      <c r="G1156" t="s">
        <v>355</v>
      </c>
      <c r="H1156" t="s">
        <v>356</v>
      </c>
      <c r="I1156" t="s">
        <v>5375</v>
      </c>
      <c r="J1156" t="s">
        <v>1823</v>
      </c>
      <c r="K1156" t="s">
        <v>1824</v>
      </c>
      <c r="M1156" t="s">
        <v>131</v>
      </c>
      <c r="O1156" t="s">
        <v>77</v>
      </c>
      <c r="P1156" t="s">
        <v>78</v>
      </c>
      <c r="Q1156" t="s">
        <v>50</v>
      </c>
      <c r="R1156" t="s">
        <v>51</v>
      </c>
      <c r="S1156" t="s">
        <v>52</v>
      </c>
      <c r="T1156" t="s">
        <v>773</v>
      </c>
      <c r="U1156" s="1">
        <v>46077.368900462963</v>
      </c>
      <c r="V1156" t="s">
        <v>54</v>
      </c>
      <c r="W1156" t="s">
        <v>55</v>
      </c>
      <c r="X1156" t="s">
        <v>134</v>
      </c>
      <c r="Y1156" t="s">
        <v>5376</v>
      </c>
      <c r="Z1156" t="s">
        <v>58</v>
      </c>
      <c r="AA1156" t="s">
        <v>54</v>
      </c>
      <c r="AB1156" t="s">
        <v>1826</v>
      </c>
      <c r="AC1156" t="s">
        <v>85</v>
      </c>
      <c r="AD1156" t="s">
        <v>52</v>
      </c>
      <c r="AE1156" t="s">
        <v>438</v>
      </c>
      <c r="AF1156" t="s">
        <v>439</v>
      </c>
      <c r="AG1156" t="s">
        <v>58</v>
      </c>
      <c r="AH1156" t="s">
        <v>1827</v>
      </c>
      <c r="AK1156">
        <v>0</v>
      </c>
      <c r="AL1156" t="s">
        <v>61</v>
      </c>
      <c r="AM1156" t="s">
        <v>1828</v>
      </c>
      <c r="AN1156" t="s">
        <v>1829</v>
      </c>
    </row>
    <row r="1157" spans="1:40" x14ac:dyDescent="0.35">
      <c r="A1157" t="s">
        <v>37</v>
      </c>
      <c r="B1157" t="s">
        <v>5377</v>
      </c>
      <c r="C1157" t="s">
        <v>39</v>
      </c>
      <c r="D1157" t="s">
        <v>5378</v>
      </c>
      <c r="E1157" t="s">
        <v>5379</v>
      </c>
      <c r="F1157" s="1">
        <v>46076.349456018521</v>
      </c>
      <c r="G1157" t="s">
        <v>71</v>
      </c>
      <c r="H1157" t="s">
        <v>72</v>
      </c>
      <c r="I1157" t="s">
        <v>205</v>
      </c>
      <c r="J1157" t="s">
        <v>898</v>
      </c>
      <c r="K1157" t="s">
        <v>207</v>
      </c>
      <c r="M1157" t="s">
        <v>131</v>
      </c>
      <c r="O1157" t="s">
        <v>77</v>
      </c>
      <c r="P1157" t="s">
        <v>78</v>
      </c>
      <c r="Q1157" t="s">
        <v>50</v>
      </c>
      <c r="R1157" t="s">
        <v>305</v>
      </c>
      <c r="S1157" t="s">
        <v>306</v>
      </c>
      <c r="T1157" t="s">
        <v>307</v>
      </c>
      <c r="U1157" s="1">
        <v>46076.383831018517</v>
      </c>
      <c r="V1157" t="s">
        <v>54</v>
      </c>
      <c r="W1157" t="s">
        <v>55</v>
      </c>
      <c r="X1157" t="s">
        <v>211</v>
      </c>
      <c r="Y1157" t="s">
        <v>5380</v>
      </c>
      <c r="Z1157" t="s">
        <v>58</v>
      </c>
      <c r="AA1157" t="s">
        <v>54</v>
      </c>
      <c r="AB1157" t="s">
        <v>213</v>
      </c>
      <c r="AC1157" t="s">
        <v>85</v>
      </c>
      <c r="AD1157" t="s">
        <v>214</v>
      </c>
      <c r="AE1157" t="s">
        <v>215</v>
      </c>
      <c r="AF1157" t="s">
        <v>900</v>
      </c>
      <c r="AG1157" t="s">
        <v>58</v>
      </c>
      <c r="AH1157" t="s">
        <v>5381</v>
      </c>
      <c r="AK1157">
        <v>2</v>
      </c>
      <c r="AL1157" t="s">
        <v>61</v>
      </c>
      <c r="AM1157" t="s">
        <v>5382</v>
      </c>
      <c r="AN1157" t="s">
        <v>5383</v>
      </c>
    </row>
    <row r="1158" spans="1:40" x14ac:dyDescent="0.35">
      <c r="A1158" t="s">
        <v>37</v>
      </c>
      <c r="B1158" t="s">
        <v>5384</v>
      </c>
      <c r="C1158" t="s">
        <v>39</v>
      </c>
      <c r="D1158" t="s">
        <v>40</v>
      </c>
      <c r="E1158" t="s">
        <v>41</v>
      </c>
      <c r="F1158" s="1">
        <v>46076.348958333336</v>
      </c>
      <c r="G1158" t="s">
        <v>42</v>
      </c>
      <c r="H1158" t="s">
        <v>43</v>
      </c>
      <c r="I1158" t="s">
        <v>5385</v>
      </c>
      <c r="J1158" t="s">
        <v>45</v>
      </c>
      <c r="K1158" t="s">
        <v>46</v>
      </c>
      <c r="M1158" t="s">
        <v>47</v>
      </c>
      <c r="O1158" t="s">
        <v>48</v>
      </c>
      <c r="P1158" t="s">
        <v>49</v>
      </c>
      <c r="Q1158" t="s">
        <v>50</v>
      </c>
      <c r="R1158" t="s">
        <v>51</v>
      </c>
      <c r="S1158" t="s">
        <v>52</v>
      </c>
      <c r="T1158" t="s">
        <v>53</v>
      </c>
      <c r="U1158" s="1">
        <v>46076.349953703706</v>
      </c>
      <c r="V1158" t="s">
        <v>54</v>
      </c>
      <c r="W1158" t="s">
        <v>55</v>
      </c>
      <c r="X1158" t="s">
        <v>56</v>
      </c>
      <c r="Y1158" t="s">
        <v>57</v>
      </c>
      <c r="Z1158" t="s">
        <v>58</v>
      </c>
      <c r="AA1158" t="s">
        <v>54</v>
      </c>
      <c r="AB1158" t="s">
        <v>59</v>
      </c>
      <c r="AC1158" t="s">
        <v>60</v>
      </c>
      <c r="AD1158" t="s">
        <v>51</v>
      </c>
      <c r="AE1158" t="s">
        <v>52</v>
      </c>
      <c r="AF1158" t="s">
        <v>53</v>
      </c>
      <c r="AG1158" t="s">
        <v>58</v>
      </c>
      <c r="AK1158">
        <v>0</v>
      </c>
      <c r="AL1158" t="s">
        <v>61</v>
      </c>
      <c r="AM1158" t="s">
        <v>59</v>
      </c>
      <c r="AN1158" t="s">
        <v>62</v>
      </c>
    </row>
    <row r="1159" spans="1:40" x14ac:dyDescent="0.35">
      <c r="A1159" t="s">
        <v>37</v>
      </c>
      <c r="B1159" t="s">
        <v>5386</v>
      </c>
      <c r="C1159" t="s">
        <v>39</v>
      </c>
      <c r="D1159" t="s">
        <v>40</v>
      </c>
      <c r="E1159" t="s">
        <v>41</v>
      </c>
      <c r="F1159" s="1">
        <v>46076.348819444444</v>
      </c>
      <c r="G1159" t="s">
        <v>42</v>
      </c>
      <c r="H1159" t="s">
        <v>43</v>
      </c>
      <c r="I1159" t="s">
        <v>5387</v>
      </c>
      <c r="J1159" t="s">
        <v>45</v>
      </c>
      <c r="K1159" t="s">
        <v>46</v>
      </c>
      <c r="M1159" t="s">
        <v>47</v>
      </c>
      <c r="O1159" t="s">
        <v>48</v>
      </c>
      <c r="P1159" t="s">
        <v>49</v>
      </c>
      <c r="Q1159" t="s">
        <v>50</v>
      </c>
      <c r="R1159" t="s">
        <v>51</v>
      </c>
      <c r="S1159" t="s">
        <v>52</v>
      </c>
      <c r="T1159" t="s">
        <v>53</v>
      </c>
      <c r="U1159" s="1">
        <v>46076.349803240744</v>
      </c>
      <c r="V1159" t="s">
        <v>54</v>
      </c>
      <c r="W1159" t="s">
        <v>55</v>
      </c>
      <c r="X1159" t="s">
        <v>56</v>
      </c>
      <c r="Y1159" t="s">
        <v>57</v>
      </c>
      <c r="Z1159" t="s">
        <v>58</v>
      </c>
      <c r="AA1159" t="s">
        <v>54</v>
      </c>
      <c r="AB1159" t="s">
        <v>59</v>
      </c>
      <c r="AC1159" t="s">
        <v>60</v>
      </c>
      <c r="AD1159" t="s">
        <v>51</v>
      </c>
      <c r="AE1159" t="s">
        <v>52</v>
      </c>
      <c r="AF1159" t="s">
        <v>53</v>
      </c>
      <c r="AG1159" t="s">
        <v>58</v>
      </c>
      <c r="AK1159">
        <v>0</v>
      </c>
      <c r="AL1159" t="s">
        <v>61</v>
      </c>
      <c r="AM1159" t="s">
        <v>59</v>
      </c>
      <c r="AN1159" t="s">
        <v>62</v>
      </c>
    </row>
    <row r="1160" spans="1:40" x14ac:dyDescent="0.35">
      <c r="A1160" t="s">
        <v>37</v>
      </c>
      <c r="B1160" t="s">
        <v>5388</v>
      </c>
      <c r="C1160" t="s">
        <v>39</v>
      </c>
      <c r="D1160" t="s">
        <v>5389</v>
      </c>
      <c r="E1160" t="s">
        <v>3028</v>
      </c>
      <c r="F1160" s="1">
        <v>46076.348541666666</v>
      </c>
      <c r="G1160" t="s">
        <v>71</v>
      </c>
      <c r="H1160" t="s">
        <v>72</v>
      </c>
      <c r="I1160" t="s">
        <v>205</v>
      </c>
      <c r="J1160" t="s">
        <v>603</v>
      </c>
      <c r="K1160" t="s">
        <v>207</v>
      </c>
      <c r="M1160" t="s">
        <v>131</v>
      </c>
      <c r="O1160" t="s">
        <v>77</v>
      </c>
      <c r="P1160" t="s">
        <v>78</v>
      </c>
      <c r="Q1160" t="s">
        <v>50</v>
      </c>
      <c r="R1160" t="s">
        <v>208</v>
      </c>
      <c r="S1160" t="s">
        <v>209</v>
      </c>
      <c r="T1160" t="s">
        <v>210</v>
      </c>
      <c r="U1160" s="1">
        <v>46076.725358796299</v>
      </c>
      <c r="V1160" t="s">
        <v>54</v>
      </c>
      <c r="W1160" t="s">
        <v>55</v>
      </c>
      <c r="X1160" t="s">
        <v>211</v>
      </c>
      <c r="Y1160" t="s">
        <v>604</v>
      </c>
      <c r="Z1160" t="s">
        <v>58</v>
      </c>
      <c r="AA1160" t="s">
        <v>54</v>
      </c>
      <c r="AB1160" t="s">
        <v>213</v>
      </c>
      <c r="AC1160" t="s">
        <v>85</v>
      </c>
      <c r="AD1160" t="s">
        <v>214</v>
      </c>
      <c r="AE1160" t="s">
        <v>215</v>
      </c>
      <c r="AF1160" t="s">
        <v>216</v>
      </c>
      <c r="AG1160" t="s">
        <v>58</v>
      </c>
      <c r="AH1160" t="s">
        <v>5390</v>
      </c>
      <c r="AK1160">
        <v>1</v>
      </c>
      <c r="AL1160" t="s">
        <v>61</v>
      </c>
      <c r="AM1160" t="s">
        <v>5391</v>
      </c>
      <c r="AN1160" t="s">
        <v>5392</v>
      </c>
    </row>
    <row r="1161" spans="1:40" x14ac:dyDescent="0.35">
      <c r="A1161" t="s">
        <v>37</v>
      </c>
      <c r="B1161" t="s">
        <v>5393</v>
      </c>
      <c r="C1161" t="s">
        <v>39</v>
      </c>
      <c r="D1161" t="s">
        <v>5394</v>
      </c>
      <c r="E1161" t="s">
        <v>5395</v>
      </c>
      <c r="F1161" s="1">
        <v>46076.347569444442</v>
      </c>
      <c r="G1161" t="s">
        <v>71</v>
      </c>
      <c r="H1161" t="s">
        <v>72</v>
      </c>
      <c r="I1161" t="s">
        <v>205</v>
      </c>
      <c r="J1161" t="s">
        <v>603</v>
      </c>
      <c r="K1161" t="s">
        <v>207</v>
      </c>
      <c r="M1161" t="s">
        <v>131</v>
      </c>
      <c r="O1161" t="s">
        <v>77</v>
      </c>
      <c r="P1161" t="s">
        <v>78</v>
      </c>
      <c r="Q1161" t="s">
        <v>50</v>
      </c>
      <c r="R1161" t="s">
        <v>208</v>
      </c>
      <c r="S1161" t="s">
        <v>209</v>
      </c>
      <c r="T1161" t="s">
        <v>210</v>
      </c>
      <c r="U1161" s="1">
        <v>46076.724745370368</v>
      </c>
      <c r="V1161" t="s">
        <v>54</v>
      </c>
      <c r="W1161" t="s">
        <v>55</v>
      </c>
      <c r="X1161" t="s">
        <v>211</v>
      </c>
      <c r="Y1161" t="s">
        <v>604</v>
      </c>
      <c r="Z1161" t="s">
        <v>58</v>
      </c>
      <c r="AA1161" t="s">
        <v>54</v>
      </c>
      <c r="AB1161" t="s">
        <v>213</v>
      </c>
      <c r="AC1161" t="s">
        <v>85</v>
      </c>
      <c r="AD1161" t="s">
        <v>214</v>
      </c>
      <c r="AE1161" t="s">
        <v>215</v>
      </c>
      <c r="AF1161" t="s">
        <v>216</v>
      </c>
      <c r="AG1161" t="s">
        <v>58</v>
      </c>
      <c r="AH1161" t="s">
        <v>5396</v>
      </c>
      <c r="AK1161">
        <v>1</v>
      </c>
      <c r="AL1161" t="s">
        <v>61</v>
      </c>
      <c r="AM1161" t="s">
        <v>5397</v>
      </c>
      <c r="AN1161" t="s">
        <v>5398</v>
      </c>
    </row>
    <row r="1162" spans="1:40" x14ac:dyDescent="0.35">
      <c r="A1162" t="s">
        <v>37</v>
      </c>
      <c r="B1162" t="s">
        <v>5399</v>
      </c>
      <c r="C1162" t="s">
        <v>39</v>
      </c>
      <c r="D1162" t="s">
        <v>5400</v>
      </c>
      <c r="E1162" t="s">
        <v>5401</v>
      </c>
      <c r="F1162" s="1">
        <v>46076.347210648149</v>
      </c>
      <c r="G1162" t="s">
        <v>540</v>
      </c>
      <c r="H1162" t="s">
        <v>447</v>
      </c>
      <c r="I1162" t="s">
        <v>1422</v>
      </c>
      <c r="J1162" t="s">
        <v>4130</v>
      </c>
      <c r="K1162" t="s">
        <v>1424</v>
      </c>
      <c r="M1162" t="s">
        <v>131</v>
      </c>
      <c r="O1162" t="s">
        <v>77</v>
      </c>
      <c r="P1162" t="s">
        <v>78</v>
      </c>
      <c r="Q1162" t="s">
        <v>1102</v>
      </c>
      <c r="R1162" t="s">
        <v>305</v>
      </c>
      <c r="S1162" t="s">
        <v>306</v>
      </c>
      <c r="T1162" t="s">
        <v>307</v>
      </c>
      <c r="U1162" s="1">
        <v>46076.379756944443</v>
      </c>
      <c r="V1162" t="s">
        <v>54</v>
      </c>
      <c r="X1162" t="s">
        <v>211</v>
      </c>
      <c r="Y1162" t="s">
        <v>5402</v>
      </c>
      <c r="Z1162" t="s">
        <v>58</v>
      </c>
      <c r="AA1162" t="s">
        <v>54</v>
      </c>
      <c r="AB1162" t="s">
        <v>213</v>
      </c>
      <c r="AC1162" t="s">
        <v>85</v>
      </c>
      <c r="AD1162" t="s">
        <v>305</v>
      </c>
      <c r="AE1162" t="s">
        <v>306</v>
      </c>
      <c r="AF1162" t="s">
        <v>307</v>
      </c>
      <c r="AG1162" t="s">
        <v>58</v>
      </c>
      <c r="AH1162">
        <v>7703</v>
      </c>
      <c r="AK1162">
        <v>1</v>
      </c>
      <c r="AL1162" t="s">
        <v>61</v>
      </c>
      <c r="AM1162" t="s">
        <v>5403</v>
      </c>
      <c r="AN1162" t="s">
        <v>5404</v>
      </c>
    </row>
    <row r="1163" spans="1:40" x14ac:dyDescent="0.35">
      <c r="A1163" t="s">
        <v>37</v>
      </c>
      <c r="B1163" t="s">
        <v>5405</v>
      </c>
      <c r="C1163" t="s">
        <v>39</v>
      </c>
      <c r="D1163" t="s">
        <v>3339</v>
      </c>
      <c r="E1163" t="s">
        <v>3340</v>
      </c>
      <c r="F1163" s="1">
        <v>46076.346990740742</v>
      </c>
      <c r="G1163" t="s">
        <v>355</v>
      </c>
      <c r="H1163" t="s">
        <v>356</v>
      </c>
      <c r="I1163" t="s">
        <v>5406</v>
      </c>
      <c r="J1163" t="s">
        <v>1823</v>
      </c>
      <c r="K1163" t="s">
        <v>1824</v>
      </c>
      <c r="M1163" t="s">
        <v>131</v>
      </c>
      <c r="O1163" t="s">
        <v>77</v>
      </c>
      <c r="P1163" t="s">
        <v>78</v>
      </c>
      <c r="Q1163" t="s">
        <v>1174</v>
      </c>
      <c r="R1163" t="s">
        <v>51</v>
      </c>
      <c r="S1163" t="s">
        <v>52</v>
      </c>
      <c r="T1163" t="s">
        <v>240</v>
      </c>
      <c r="U1163" s="1">
        <v>46077.369027777779</v>
      </c>
      <c r="V1163" t="s">
        <v>54</v>
      </c>
      <c r="W1163" t="s">
        <v>55</v>
      </c>
      <c r="X1163" t="s">
        <v>134</v>
      </c>
      <c r="Y1163" t="s">
        <v>5407</v>
      </c>
      <c r="Z1163" t="s">
        <v>58</v>
      </c>
      <c r="AA1163" t="s">
        <v>54</v>
      </c>
      <c r="AB1163" t="s">
        <v>1826</v>
      </c>
      <c r="AC1163" t="s">
        <v>85</v>
      </c>
      <c r="AD1163" t="s">
        <v>52</v>
      </c>
      <c r="AE1163" t="s">
        <v>243</v>
      </c>
      <c r="AF1163" t="s">
        <v>1470</v>
      </c>
      <c r="AG1163" t="s">
        <v>58</v>
      </c>
      <c r="AH1163" t="s">
        <v>3343</v>
      </c>
      <c r="AK1163">
        <v>0</v>
      </c>
      <c r="AL1163" t="s">
        <v>61</v>
      </c>
      <c r="AM1163" t="s">
        <v>3342</v>
      </c>
      <c r="AN1163" t="s">
        <v>3344</v>
      </c>
    </row>
    <row r="1164" spans="1:40" x14ac:dyDescent="0.35">
      <c r="A1164" t="s">
        <v>37</v>
      </c>
      <c r="B1164" t="s">
        <v>5408</v>
      </c>
      <c r="C1164" t="s">
        <v>39</v>
      </c>
      <c r="D1164" t="s">
        <v>220</v>
      </c>
      <c r="E1164" t="s">
        <v>5409</v>
      </c>
      <c r="F1164" s="1">
        <v>46076.345023148147</v>
      </c>
      <c r="G1164" t="s">
        <v>355</v>
      </c>
      <c r="H1164" t="s">
        <v>356</v>
      </c>
      <c r="I1164" t="s">
        <v>1222</v>
      </c>
      <c r="J1164" t="s">
        <v>435</v>
      </c>
      <c r="K1164" t="s">
        <v>436</v>
      </c>
      <c r="M1164" t="s">
        <v>76</v>
      </c>
      <c r="O1164" t="s">
        <v>77</v>
      </c>
      <c r="P1164" t="s">
        <v>78</v>
      </c>
      <c r="Q1164" t="s">
        <v>50</v>
      </c>
      <c r="R1164" t="s">
        <v>51</v>
      </c>
      <c r="S1164" t="s">
        <v>52</v>
      </c>
      <c r="T1164" t="s">
        <v>240</v>
      </c>
      <c r="U1164" s="1">
        <v>46076.568888888891</v>
      </c>
      <c r="V1164" t="s">
        <v>54</v>
      </c>
      <c r="W1164" t="s">
        <v>55</v>
      </c>
      <c r="X1164" t="s">
        <v>211</v>
      </c>
      <c r="Y1164" t="s">
        <v>5410</v>
      </c>
      <c r="Z1164" t="s">
        <v>58</v>
      </c>
      <c r="AA1164" t="s">
        <v>54</v>
      </c>
      <c r="AB1164" t="s">
        <v>213</v>
      </c>
      <c r="AC1164" t="s">
        <v>85</v>
      </c>
      <c r="AD1164" t="s">
        <v>52</v>
      </c>
      <c r="AE1164" t="s">
        <v>438</v>
      </c>
      <c r="AF1164" t="s">
        <v>775</v>
      </c>
      <c r="AG1164" t="s">
        <v>58</v>
      </c>
      <c r="AH1164" t="s">
        <v>5411</v>
      </c>
      <c r="AK1164">
        <v>2</v>
      </c>
      <c r="AL1164" t="s">
        <v>61</v>
      </c>
      <c r="AM1164" t="s">
        <v>5412</v>
      </c>
      <c r="AN1164" t="s">
        <v>5413</v>
      </c>
    </row>
    <row r="1165" spans="1:40" x14ac:dyDescent="0.35">
      <c r="A1165" t="s">
        <v>37</v>
      </c>
      <c r="B1165" t="s">
        <v>5414</v>
      </c>
      <c r="C1165" t="s">
        <v>39</v>
      </c>
      <c r="D1165" t="s">
        <v>2134</v>
      </c>
      <c r="E1165" t="s">
        <v>2135</v>
      </c>
      <c r="F1165" s="1">
        <v>46076.345358796294</v>
      </c>
      <c r="G1165" t="s">
        <v>826</v>
      </c>
      <c r="H1165" t="s">
        <v>356</v>
      </c>
      <c r="I1165" t="s">
        <v>5415</v>
      </c>
      <c r="J1165" t="s">
        <v>2137</v>
      </c>
      <c r="K1165" t="s">
        <v>2138</v>
      </c>
      <c r="M1165" t="s">
        <v>131</v>
      </c>
      <c r="O1165" t="s">
        <v>237</v>
      </c>
      <c r="P1165" t="s">
        <v>238</v>
      </c>
      <c r="Q1165" t="s">
        <v>50</v>
      </c>
      <c r="R1165" t="s">
        <v>51</v>
      </c>
      <c r="S1165" t="s">
        <v>52</v>
      </c>
      <c r="T1165" t="s">
        <v>773</v>
      </c>
      <c r="U1165" s="1">
        <v>46076.844305555554</v>
      </c>
      <c r="V1165" t="s">
        <v>54</v>
      </c>
      <c r="W1165" t="s">
        <v>55</v>
      </c>
      <c r="X1165" t="s">
        <v>134</v>
      </c>
      <c r="Y1165" t="s">
        <v>5416</v>
      </c>
      <c r="Z1165" t="s">
        <v>58</v>
      </c>
      <c r="AA1165" t="s">
        <v>54</v>
      </c>
      <c r="AB1165" t="s">
        <v>2142</v>
      </c>
      <c r="AC1165" t="s">
        <v>242</v>
      </c>
      <c r="AD1165" t="s">
        <v>51</v>
      </c>
      <c r="AE1165" t="s">
        <v>52</v>
      </c>
      <c r="AF1165" t="s">
        <v>773</v>
      </c>
      <c r="AG1165" t="s">
        <v>58</v>
      </c>
      <c r="AH1165" t="s">
        <v>2143</v>
      </c>
      <c r="AK1165">
        <v>0</v>
      </c>
      <c r="AL1165" t="s">
        <v>61</v>
      </c>
      <c r="AM1165" t="s">
        <v>2142</v>
      </c>
      <c r="AN1165" t="s">
        <v>2144</v>
      </c>
    </row>
    <row r="1166" spans="1:40" x14ac:dyDescent="0.35">
      <c r="A1166" t="s">
        <v>37</v>
      </c>
      <c r="B1166" t="s">
        <v>5417</v>
      </c>
      <c r="C1166" t="s">
        <v>39</v>
      </c>
      <c r="D1166" t="s">
        <v>2940</v>
      </c>
      <c r="E1166" t="s">
        <v>2941</v>
      </c>
      <c r="F1166" s="1">
        <v>46076.341863425929</v>
      </c>
      <c r="G1166" t="s">
        <v>355</v>
      </c>
      <c r="H1166" t="s">
        <v>356</v>
      </c>
      <c r="I1166" t="s">
        <v>5418</v>
      </c>
      <c r="J1166" t="s">
        <v>1823</v>
      </c>
      <c r="K1166" t="s">
        <v>1824</v>
      </c>
      <c r="M1166" t="s">
        <v>131</v>
      </c>
      <c r="O1166" t="s">
        <v>77</v>
      </c>
      <c r="P1166" t="s">
        <v>78</v>
      </c>
      <c r="Q1166" t="s">
        <v>50</v>
      </c>
      <c r="R1166" t="s">
        <v>51</v>
      </c>
      <c r="S1166" t="s">
        <v>52</v>
      </c>
      <c r="T1166" t="s">
        <v>773</v>
      </c>
      <c r="U1166" s="1">
        <v>46077.369155092594</v>
      </c>
      <c r="V1166" t="s">
        <v>54</v>
      </c>
      <c r="W1166" t="s">
        <v>55</v>
      </c>
      <c r="X1166" t="s">
        <v>56</v>
      </c>
      <c r="Y1166" t="s">
        <v>5419</v>
      </c>
      <c r="Z1166" t="s">
        <v>58</v>
      </c>
      <c r="AA1166" t="s">
        <v>54</v>
      </c>
      <c r="AB1166" t="s">
        <v>1826</v>
      </c>
      <c r="AC1166" t="s">
        <v>85</v>
      </c>
      <c r="AD1166" t="s">
        <v>52</v>
      </c>
      <c r="AE1166" t="s">
        <v>438</v>
      </c>
      <c r="AF1166" t="s">
        <v>439</v>
      </c>
      <c r="AG1166" t="s">
        <v>58</v>
      </c>
      <c r="AH1166" t="s">
        <v>2945</v>
      </c>
      <c r="AK1166">
        <v>0</v>
      </c>
      <c r="AL1166" t="s">
        <v>61</v>
      </c>
      <c r="AM1166" t="s">
        <v>2946</v>
      </c>
      <c r="AN1166" t="s">
        <v>2947</v>
      </c>
    </row>
    <row r="1167" spans="1:40" x14ac:dyDescent="0.35">
      <c r="A1167" t="s">
        <v>37</v>
      </c>
      <c r="B1167" t="s">
        <v>5420</v>
      </c>
      <c r="C1167" t="s">
        <v>39</v>
      </c>
      <c r="D1167" t="s">
        <v>5049</v>
      </c>
      <c r="E1167" t="s">
        <v>5050</v>
      </c>
      <c r="F1167" s="1">
        <v>46076.341620370367</v>
      </c>
      <c r="G1167" t="s">
        <v>71</v>
      </c>
      <c r="H1167" t="s">
        <v>72</v>
      </c>
      <c r="I1167" t="s">
        <v>171</v>
      </c>
      <c r="J1167" t="s">
        <v>3423</v>
      </c>
      <c r="K1167" t="s">
        <v>75</v>
      </c>
      <c r="M1167" t="s">
        <v>76</v>
      </c>
      <c r="O1167" t="s">
        <v>77</v>
      </c>
      <c r="P1167" t="s">
        <v>78</v>
      </c>
      <c r="Q1167" t="s">
        <v>50</v>
      </c>
      <c r="R1167" t="s">
        <v>79</v>
      </c>
      <c r="S1167" t="s">
        <v>172</v>
      </c>
      <c r="T1167" t="s">
        <v>173</v>
      </c>
      <c r="U1167" s="1">
        <v>46076.34202546296</v>
      </c>
      <c r="V1167" t="s">
        <v>54</v>
      </c>
      <c r="W1167" t="s">
        <v>55</v>
      </c>
      <c r="X1167" t="s">
        <v>82</v>
      </c>
      <c r="Y1167" t="s">
        <v>3424</v>
      </c>
      <c r="Z1167" t="s">
        <v>58</v>
      </c>
      <c r="AA1167" t="s">
        <v>54</v>
      </c>
      <c r="AB1167" t="s">
        <v>3425</v>
      </c>
      <c r="AC1167" t="s">
        <v>85</v>
      </c>
      <c r="AD1167" t="s">
        <v>79</v>
      </c>
      <c r="AE1167" t="s">
        <v>172</v>
      </c>
      <c r="AF1167" t="s">
        <v>173</v>
      </c>
      <c r="AG1167" t="s">
        <v>58</v>
      </c>
      <c r="AH1167" t="s">
        <v>5055</v>
      </c>
      <c r="AK1167">
        <v>0</v>
      </c>
      <c r="AL1167" t="s">
        <v>61</v>
      </c>
      <c r="AM1167" t="s">
        <v>5056</v>
      </c>
      <c r="AN1167" t="s">
        <v>5057</v>
      </c>
    </row>
    <row r="1168" spans="1:40" x14ac:dyDescent="0.35">
      <c r="A1168" t="s">
        <v>37</v>
      </c>
      <c r="B1168" t="s">
        <v>5421</v>
      </c>
      <c r="C1168" t="s">
        <v>39</v>
      </c>
      <c r="D1168" t="s">
        <v>5422</v>
      </c>
      <c r="E1168" t="s">
        <v>5423</v>
      </c>
      <c r="F1168" s="1">
        <v>46076.335694444446</v>
      </c>
      <c r="G1168" t="s">
        <v>250</v>
      </c>
      <c r="H1168" t="s">
        <v>106</v>
      </c>
      <c r="I1168" t="s">
        <v>1185</v>
      </c>
      <c r="J1168" t="s">
        <v>2333</v>
      </c>
      <c r="K1168" t="s">
        <v>1187</v>
      </c>
      <c r="M1168" t="s">
        <v>76</v>
      </c>
      <c r="O1168" t="s">
        <v>77</v>
      </c>
      <c r="P1168" t="s">
        <v>78</v>
      </c>
      <c r="Q1168" t="s">
        <v>50</v>
      </c>
      <c r="R1168" t="s">
        <v>305</v>
      </c>
      <c r="S1168" t="s">
        <v>306</v>
      </c>
      <c r="T1168" t="s">
        <v>307</v>
      </c>
      <c r="U1168" s="1">
        <v>46078.415763888886</v>
      </c>
      <c r="V1168" t="s">
        <v>54</v>
      </c>
      <c r="W1168" t="s">
        <v>55</v>
      </c>
      <c r="X1168" t="s">
        <v>211</v>
      </c>
      <c r="Y1168" t="s">
        <v>5424</v>
      </c>
      <c r="Z1168" t="s">
        <v>58</v>
      </c>
      <c r="AA1168" t="s">
        <v>54</v>
      </c>
      <c r="AB1168" t="s">
        <v>213</v>
      </c>
      <c r="AC1168" t="s">
        <v>85</v>
      </c>
      <c r="AD1168" t="s">
        <v>1189</v>
      </c>
      <c r="AE1168" t="s">
        <v>1190</v>
      </c>
      <c r="AF1168" t="s">
        <v>5425</v>
      </c>
      <c r="AG1168" t="s">
        <v>58</v>
      </c>
      <c r="AH1168">
        <v>15664</v>
      </c>
      <c r="AK1168">
        <v>3</v>
      </c>
      <c r="AL1168" t="s">
        <v>61</v>
      </c>
      <c r="AM1168" t="s">
        <v>5426</v>
      </c>
      <c r="AN1168" t="s">
        <v>5427</v>
      </c>
    </row>
    <row r="1169" spans="1:40" x14ac:dyDescent="0.35">
      <c r="A1169" t="s">
        <v>37</v>
      </c>
      <c r="B1169" t="s">
        <v>5428</v>
      </c>
      <c r="C1169" t="s">
        <v>39</v>
      </c>
      <c r="D1169" t="s">
        <v>5429</v>
      </c>
      <c r="E1169" t="s">
        <v>5430</v>
      </c>
      <c r="F1169" s="1">
        <v>46076.334629629629</v>
      </c>
      <c r="G1169" t="s">
        <v>250</v>
      </c>
      <c r="H1169" t="s">
        <v>106</v>
      </c>
      <c r="I1169" t="s">
        <v>1446</v>
      </c>
      <c r="J1169" t="s">
        <v>2406</v>
      </c>
      <c r="K1169" t="s">
        <v>1187</v>
      </c>
      <c r="M1169" t="s">
        <v>131</v>
      </c>
      <c r="O1169" t="s">
        <v>77</v>
      </c>
      <c r="P1169" t="s">
        <v>78</v>
      </c>
      <c r="Q1169" t="s">
        <v>50</v>
      </c>
      <c r="R1169" t="s">
        <v>51</v>
      </c>
      <c r="S1169" t="s">
        <v>52</v>
      </c>
      <c r="T1169" t="s">
        <v>773</v>
      </c>
      <c r="U1169" s="1">
        <v>46077.60292824074</v>
      </c>
      <c r="V1169" t="s">
        <v>54</v>
      </c>
      <c r="W1169" t="s">
        <v>55</v>
      </c>
      <c r="X1169" t="s">
        <v>211</v>
      </c>
      <c r="Y1169" t="s">
        <v>4120</v>
      </c>
      <c r="Z1169" t="s">
        <v>58</v>
      </c>
      <c r="AA1169" t="s">
        <v>54</v>
      </c>
      <c r="AB1169" t="s">
        <v>213</v>
      </c>
      <c r="AC1169" t="s">
        <v>85</v>
      </c>
      <c r="AD1169" t="s">
        <v>1189</v>
      </c>
      <c r="AE1169" t="s">
        <v>3436</v>
      </c>
      <c r="AF1169" t="s">
        <v>3437</v>
      </c>
      <c r="AG1169" t="s">
        <v>58</v>
      </c>
      <c r="AH1169" t="s">
        <v>5431</v>
      </c>
      <c r="AK1169">
        <v>6</v>
      </c>
      <c r="AL1169" t="s">
        <v>61</v>
      </c>
      <c r="AM1169" t="s">
        <v>5432</v>
      </c>
      <c r="AN1169" t="s">
        <v>5433</v>
      </c>
    </row>
    <row r="1170" spans="1:40" x14ac:dyDescent="0.35">
      <c r="A1170" t="s">
        <v>37</v>
      </c>
      <c r="B1170" t="s">
        <v>5434</v>
      </c>
      <c r="C1170" t="s">
        <v>39</v>
      </c>
      <c r="D1170" t="s">
        <v>1444</v>
      </c>
      <c r="E1170" t="s">
        <v>1445</v>
      </c>
      <c r="F1170" s="1">
        <v>46076.334039351852</v>
      </c>
      <c r="G1170" t="s">
        <v>250</v>
      </c>
      <c r="H1170" t="s">
        <v>106</v>
      </c>
      <c r="I1170" t="s">
        <v>1446</v>
      </c>
      <c r="J1170" t="s">
        <v>2333</v>
      </c>
      <c r="K1170" t="s">
        <v>1187</v>
      </c>
      <c r="M1170" t="s">
        <v>76</v>
      </c>
      <c r="O1170" t="s">
        <v>77</v>
      </c>
      <c r="P1170" t="s">
        <v>78</v>
      </c>
      <c r="Q1170" t="s">
        <v>50</v>
      </c>
      <c r="R1170" t="s">
        <v>305</v>
      </c>
      <c r="S1170" t="s">
        <v>306</v>
      </c>
      <c r="T1170" t="s">
        <v>307</v>
      </c>
      <c r="U1170" s="1">
        <v>46078.322210648148</v>
      </c>
      <c r="V1170" t="s">
        <v>54</v>
      </c>
      <c r="W1170" t="s">
        <v>55</v>
      </c>
      <c r="X1170" t="s">
        <v>211</v>
      </c>
      <c r="Y1170" t="s">
        <v>5435</v>
      </c>
      <c r="Z1170" t="s">
        <v>58</v>
      </c>
      <c r="AA1170" t="s">
        <v>54</v>
      </c>
      <c r="AB1170" t="s">
        <v>213</v>
      </c>
      <c r="AC1170" t="s">
        <v>85</v>
      </c>
      <c r="AD1170" t="s">
        <v>1189</v>
      </c>
      <c r="AE1170" t="s">
        <v>3436</v>
      </c>
      <c r="AF1170" t="s">
        <v>3437</v>
      </c>
      <c r="AG1170" t="s">
        <v>58</v>
      </c>
      <c r="AH1170" t="s">
        <v>1448</v>
      </c>
      <c r="AK1170">
        <v>6</v>
      </c>
      <c r="AL1170" t="s">
        <v>61</v>
      </c>
      <c r="AM1170" t="s">
        <v>1449</v>
      </c>
      <c r="AN1170" t="s">
        <v>1450</v>
      </c>
    </row>
    <row r="1171" spans="1:40" x14ac:dyDescent="0.35">
      <c r="A1171" t="s">
        <v>37</v>
      </c>
      <c r="B1171" t="s">
        <v>5436</v>
      </c>
      <c r="C1171" t="s">
        <v>102</v>
      </c>
      <c r="D1171" t="s">
        <v>5437</v>
      </c>
      <c r="E1171" t="s">
        <v>5438</v>
      </c>
      <c r="F1171" s="1">
        <v>46076.338807870372</v>
      </c>
      <c r="G1171" t="s">
        <v>402</v>
      </c>
      <c r="H1171" t="s">
        <v>72</v>
      </c>
      <c r="I1171" t="s">
        <v>5439</v>
      </c>
      <c r="J1171" t="s">
        <v>950</v>
      </c>
      <c r="K1171" t="s">
        <v>951</v>
      </c>
      <c r="M1171" t="s">
        <v>76</v>
      </c>
      <c r="O1171" t="s">
        <v>237</v>
      </c>
      <c r="P1171" t="s">
        <v>238</v>
      </c>
      <c r="Q1171" t="s">
        <v>50</v>
      </c>
      <c r="R1171" t="s">
        <v>79</v>
      </c>
      <c r="S1171" t="s">
        <v>952</v>
      </c>
      <c r="T1171" t="s">
        <v>5028</v>
      </c>
      <c r="U1171" s="1">
        <v>46077.493090277778</v>
      </c>
      <c r="V1171" t="s">
        <v>54</v>
      </c>
      <c r="W1171" t="s">
        <v>55</v>
      </c>
      <c r="X1171" t="s">
        <v>82</v>
      </c>
      <c r="Y1171" t="e">
        <f>- the Faulty Monitor has been replaced. - issue resolved.</f>
        <v>#NAME?</v>
      </c>
      <c r="Z1171" t="s">
        <v>58</v>
      </c>
      <c r="AA1171" t="s">
        <v>54</v>
      </c>
      <c r="AB1171" t="s">
        <v>3425</v>
      </c>
      <c r="AC1171" t="s">
        <v>242</v>
      </c>
      <c r="AD1171" t="s">
        <v>79</v>
      </c>
      <c r="AE1171" t="s">
        <v>642</v>
      </c>
      <c r="AF1171" t="s">
        <v>643</v>
      </c>
      <c r="AG1171" t="s">
        <v>58</v>
      </c>
      <c r="AH1171">
        <v>15128</v>
      </c>
      <c r="AK1171">
        <v>0</v>
      </c>
      <c r="AL1171" t="s">
        <v>61</v>
      </c>
      <c r="AM1171" t="s">
        <v>5440</v>
      </c>
      <c r="AN1171" t="s">
        <v>5441</v>
      </c>
    </row>
    <row r="1172" spans="1:40" x14ac:dyDescent="0.35">
      <c r="A1172" t="s">
        <v>37</v>
      </c>
      <c r="B1172" t="s">
        <v>5442</v>
      </c>
      <c r="C1172" t="s">
        <v>39</v>
      </c>
      <c r="D1172" t="s">
        <v>5443</v>
      </c>
      <c r="E1172" t="s">
        <v>5444</v>
      </c>
      <c r="F1172" s="1">
        <v>46076.332881944443</v>
      </c>
      <c r="G1172" t="s">
        <v>250</v>
      </c>
      <c r="H1172" t="s">
        <v>106</v>
      </c>
      <c r="I1172" t="s">
        <v>1446</v>
      </c>
      <c r="J1172" t="s">
        <v>2406</v>
      </c>
      <c r="K1172" t="s">
        <v>1187</v>
      </c>
      <c r="M1172" t="s">
        <v>131</v>
      </c>
      <c r="O1172" t="s">
        <v>77</v>
      </c>
      <c r="P1172" t="s">
        <v>78</v>
      </c>
      <c r="Q1172" t="s">
        <v>50</v>
      </c>
      <c r="R1172" t="s">
        <v>51</v>
      </c>
      <c r="S1172" t="s">
        <v>52</v>
      </c>
      <c r="T1172" t="s">
        <v>773</v>
      </c>
      <c r="U1172" s="1">
        <v>46077.602905092594</v>
      </c>
      <c r="V1172" t="s">
        <v>54</v>
      </c>
      <c r="W1172" t="s">
        <v>55</v>
      </c>
      <c r="X1172" t="s">
        <v>211</v>
      </c>
      <c r="Y1172" t="s">
        <v>4120</v>
      </c>
      <c r="Z1172" t="s">
        <v>58</v>
      </c>
      <c r="AA1172" t="s">
        <v>54</v>
      </c>
      <c r="AB1172" t="s">
        <v>213</v>
      </c>
      <c r="AC1172" t="s">
        <v>85</v>
      </c>
      <c r="AD1172" t="s">
        <v>1189</v>
      </c>
      <c r="AE1172" t="s">
        <v>3436</v>
      </c>
      <c r="AF1172" t="s">
        <v>3437</v>
      </c>
      <c r="AG1172" t="s">
        <v>58</v>
      </c>
      <c r="AH1172" t="s">
        <v>5445</v>
      </c>
      <c r="AK1172">
        <v>6</v>
      </c>
      <c r="AL1172" t="s">
        <v>61</v>
      </c>
      <c r="AM1172" t="s">
        <v>5446</v>
      </c>
      <c r="AN1172" t="s">
        <v>5447</v>
      </c>
    </row>
    <row r="1173" spans="1:40" x14ac:dyDescent="0.35">
      <c r="A1173" t="s">
        <v>37</v>
      </c>
      <c r="B1173" t="s">
        <v>5448</v>
      </c>
      <c r="C1173" t="s">
        <v>39</v>
      </c>
      <c r="D1173" t="s">
        <v>5449</v>
      </c>
      <c r="E1173" t="s">
        <v>5450</v>
      </c>
      <c r="F1173" s="1">
        <v>46076.328206018516</v>
      </c>
      <c r="G1173" t="s">
        <v>327</v>
      </c>
      <c r="H1173" t="s">
        <v>72</v>
      </c>
      <c r="I1173" t="s">
        <v>205</v>
      </c>
      <c r="J1173" t="s">
        <v>603</v>
      </c>
      <c r="K1173" t="s">
        <v>207</v>
      </c>
      <c r="M1173" t="s">
        <v>131</v>
      </c>
      <c r="O1173" t="s">
        <v>77</v>
      </c>
      <c r="P1173" t="s">
        <v>78</v>
      </c>
      <c r="Q1173" t="s">
        <v>50</v>
      </c>
      <c r="R1173" t="s">
        <v>208</v>
      </c>
      <c r="S1173" t="s">
        <v>209</v>
      </c>
      <c r="T1173" t="s">
        <v>210</v>
      </c>
      <c r="U1173" s="1">
        <v>46076.721388888887</v>
      </c>
      <c r="V1173" t="s">
        <v>54</v>
      </c>
      <c r="W1173" t="s">
        <v>55</v>
      </c>
      <c r="X1173" t="s">
        <v>211</v>
      </c>
      <c r="Y1173" t="s">
        <v>604</v>
      </c>
      <c r="Z1173" t="s">
        <v>58</v>
      </c>
      <c r="AA1173" t="s">
        <v>54</v>
      </c>
      <c r="AB1173" t="s">
        <v>213</v>
      </c>
      <c r="AC1173" t="s">
        <v>85</v>
      </c>
      <c r="AD1173" t="s">
        <v>214</v>
      </c>
      <c r="AE1173" t="s">
        <v>215</v>
      </c>
      <c r="AF1173" t="s">
        <v>216</v>
      </c>
      <c r="AG1173" t="s">
        <v>58</v>
      </c>
      <c r="AH1173">
        <v>13524</v>
      </c>
      <c r="AK1173">
        <v>1</v>
      </c>
      <c r="AL1173" t="s">
        <v>61</v>
      </c>
      <c r="AM1173" t="s">
        <v>5451</v>
      </c>
      <c r="AN1173" t="s">
        <v>5452</v>
      </c>
    </row>
    <row r="1174" spans="1:40" x14ac:dyDescent="0.35">
      <c r="A1174" t="s">
        <v>37</v>
      </c>
      <c r="B1174" t="s">
        <v>5453</v>
      </c>
      <c r="C1174" t="s">
        <v>39</v>
      </c>
      <c r="D1174" t="s">
        <v>747</v>
      </c>
      <c r="E1174" t="s">
        <v>2038</v>
      </c>
      <c r="F1174" s="1">
        <v>46076.327546296299</v>
      </c>
      <c r="G1174" t="s">
        <v>722</v>
      </c>
      <c r="H1174" t="s">
        <v>356</v>
      </c>
      <c r="I1174" t="s">
        <v>205</v>
      </c>
      <c r="J1174" t="s">
        <v>603</v>
      </c>
      <c r="K1174" t="s">
        <v>207</v>
      </c>
      <c r="M1174" t="s">
        <v>131</v>
      </c>
      <c r="O1174" t="s">
        <v>77</v>
      </c>
      <c r="P1174" t="s">
        <v>78</v>
      </c>
      <c r="Q1174" t="s">
        <v>50</v>
      </c>
      <c r="R1174" t="s">
        <v>208</v>
      </c>
      <c r="S1174" t="s">
        <v>209</v>
      </c>
      <c r="T1174" t="s">
        <v>210</v>
      </c>
      <c r="U1174" s="1">
        <v>46076.720173611109</v>
      </c>
      <c r="V1174" t="s">
        <v>54</v>
      </c>
      <c r="W1174" t="s">
        <v>55</v>
      </c>
      <c r="X1174" t="s">
        <v>211</v>
      </c>
      <c r="Y1174" t="s">
        <v>604</v>
      </c>
      <c r="Z1174" t="s">
        <v>58</v>
      </c>
      <c r="AA1174" t="s">
        <v>54</v>
      </c>
      <c r="AB1174" t="s">
        <v>213</v>
      </c>
      <c r="AC1174" t="s">
        <v>85</v>
      </c>
      <c r="AD1174" t="s">
        <v>214</v>
      </c>
      <c r="AE1174" t="s">
        <v>215</v>
      </c>
      <c r="AF1174" t="s">
        <v>216</v>
      </c>
      <c r="AG1174" t="s">
        <v>58</v>
      </c>
      <c r="AH1174">
        <v>14417</v>
      </c>
      <c r="AK1174">
        <v>1</v>
      </c>
      <c r="AL1174" t="s">
        <v>61</v>
      </c>
      <c r="AM1174" t="s">
        <v>5454</v>
      </c>
      <c r="AN1174" t="s">
        <v>5455</v>
      </c>
    </row>
    <row r="1175" spans="1:40" x14ac:dyDescent="0.35">
      <c r="A1175" t="s">
        <v>37</v>
      </c>
      <c r="B1175" t="s">
        <v>5456</v>
      </c>
      <c r="C1175" t="s">
        <v>39</v>
      </c>
      <c r="D1175" t="s">
        <v>5457</v>
      </c>
      <c r="E1175" t="s">
        <v>5458</v>
      </c>
      <c r="F1175" s="1">
        <v>46076.312175925923</v>
      </c>
      <c r="G1175" t="s">
        <v>464</v>
      </c>
      <c r="H1175" t="s">
        <v>287</v>
      </c>
      <c r="I1175" t="s">
        <v>3451</v>
      </c>
      <c r="J1175" t="s">
        <v>3423</v>
      </c>
      <c r="K1175" t="s">
        <v>75</v>
      </c>
      <c r="M1175" t="s">
        <v>76</v>
      </c>
      <c r="O1175" t="s">
        <v>77</v>
      </c>
      <c r="P1175" t="s">
        <v>78</v>
      </c>
      <c r="Q1175" t="s">
        <v>50</v>
      </c>
      <c r="R1175" t="s">
        <v>79</v>
      </c>
      <c r="S1175" t="s">
        <v>1078</v>
      </c>
      <c r="T1175" t="s">
        <v>1078</v>
      </c>
      <c r="U1175" s="1">
        <v>46076.312534722223</v>
      </c>
      <c r="V1175" t="s">
        <v>54</v>
      </c>
      <c r="W1175" t="s">
        <v>55</v>
      </c>
      <c r="X1175" t="s">
        <v>82</v>
      </c>
      <c r="Y1175" t="s">
        <v>3452</v>
      </c>
      <c r="Z1175" t="s">
        <v>58</v>
      </c>
      <c r="AA1175" t="s">
        <v>54</v>
      </c>
      <c r="AB1175" t="s">
        <v>3425</v>
      </c>
      <c r="AC1175" t="s">
        <v>85</v>
      </c>
      <c r="AD1175" t="s">
        <v>79</v>
      </c>
      <c r="AE1175" t="s">
        <v>1078</v>
      </c>
      <c r="AF1175" t="s">
        <v>1078</v>
      </c>
      <c r="AG1175" t="s">
        <v>58</v>
      </c>
      <c r="AH1175">
        <v>12796</v>
      </c>
      <c r="AK1175">
        <v>0</v>
      </c>
      <c r="AL1175" t="s">
        <v>61</v>
      </c>
      <c r="AM1175" t="s">
        <v>5459</v>
      </c>
      <c r="AN1175" t="s">
        <v>5460</v>
      </c>
    </row>
    <row r="1176" spans="1:40" x14ac:dyDescent="0.35">
      <c r="A1176" t="s">
        <v>37</v>
      </c>
      <c r="B1176" t="s">
        <v>5461</v>
      </c>
      <c r="C1176" t="s">
        <v>39</v>
      </c>
      <c r="D1176" t="s">
        <v>3040</v>
      </c>
      <c r="E1176" t="s">
        <v>431</v>
      </c>
      <c r="F1176" s="1">
        <v>46076.307187500002</v>
      </c>
      <c r="G1176" t="s">
        <v>1117</v>
      </c>
      <c r="H1176" t="s">
        <v>92</v>
      </c>
      <c r="I1176" t="s">
        <v>171</v>
      </c>
      <c r="J1176" t="s">
        <v>3423</v>
      </c>
      <c r="K1176" t="s">
        <v>75</v>
      </c>
      <c r="M1176" t="s">
        <v>76</v>
      </c>
      <c r="O1176" t="s">
        <v>77</v>
      </c>
      <c r="P1176" t="s">
        <v>78</v>
      </c>
      <c r="Q1176" t="s">
        <v>50</v>
      </c>
      <c r="R1176" t="s">
        <v>79</v>
      </c>
      <c r="S1176" t="s">
        <v>172</v>
      </c>
      <c r="T1176" t="s">
        <v>173</v>
      </c>
      <c r="U1176" s="1">
        <v>46076.308125000003</v>
      </c>
      <c r="V1176" t="s">
        <v>54</v>
      </c>
      <c r="W1176" t="s">
        <v>55</v>
      </c>
      <c r="X1176" t="s">
        <v>82</v>
      </c>
      <c r="Y1176" t="s">
        <v>3424</v>
      </c>
      <c r="Z1176" t="s">
        <v>58</v>
      </c>
      <c r="AA1176" t="s">
        <v>54</v>
      </c>
      <c r="AB1176" t="s">
        <v>3425</v>
      </c>
      <c r="AC1176" t="s">
        <v>85</v>
      </c>
      <c r="AD1176" t="s">
        <v>79</v>
      </c>
      <c r="AE1176" t="s">
        <v>172</v>
      </c>
      <c r="AF1176" t="s">
        <v>173</v>
      </c>
      <c r="AG1176" t="s">
        <v>58</v>
      </c>
      <c r="AH1176">
        <v>12083</v>
      </c>
      <c r="AK1176">
        <v>0</v>
      </c>
      <c r="AL1176" t="s">
        <v>61</v>
      </c>
      <c r="AM1176" t="s">
        <v>3041</v>
      </c>
      <c r="AN1176" t="s">
        <v>3042</v>
      </c>
    </row>
    <row r="1177" spans="1:40" x14ac:dyDescent="0.35">
      <c r="A1177" t="s">
        <v>37</v>
      </c>
      <c r="B1177" t="s">
        <v>5462</v>
      </c>
      <c r="C1177" t="s">
        <v>102</v>
      </c>
      <c r="D1177" t="s">
        <v>761</v>
      </c>
      <c r="E1177" t="s">
        <v>762</v>
      </c>
      <c r="F1177" s="1">
        <v>46076.300902777781</v>
      </c>
      <c r="G1177" t="s">
        <v>105</v>
      </c>
      <c r="H1177" t="s">
        <v>106</v>
      </c>
      <c r="I1177" t="s">
        <v>5463</v>
      </c>
      <c r="J1177" t="s">
        <v>108</v>
      </c>
      <c r="K1177" t="s">
        <v>109</v>
      </c>
      <c r="M1177" t="s">
        <v>76</v>
      </c>
      <c r="O1177" t="s">
        <v>77</v>
      </c>
      <c r="P1177" t="s">
        <v>78</v>
      </c>
      <c r="Q1177" t="s">
        <v>50</v>
      </c>
      <c r="R1177" t="s">
        <v>111</v>
      </c>
      <c r="S1177" t="s">
        <v>51</v>
      </c>
      <c r="T1177" t="s">
        <v>112</v>
      </c>
      <c r="U1177" s="1">
        <v>46077.513124999998</v>
      </c>
      <c r="V1177" t="s">
        <v>54</v>
      </c>
      <c r="W1177" t="s">
        <v>55</v>
      </c>
      <c r="X1177" t="s">
        <v>113</v>
      </c>
      <c r="Y1177" t="s">
        <v>5464</v>
      </c>
      <c r="Z1177" t="s">
        <v>58</v>
      </c>
      <c r="AA1177" t="s">
        <v>54</v>
      </c>
      <c r="AB1177" t="s">
        <v>115</v>
      </c>
      <c r="AC1177" t="s">
        <v>85</v>
      </c>
      <c r="AD1177" t="s">
        <v>116</v>
      </c>
      <c r="AE1177" t="s">
        <v>334</v>
      </c>
      <c r="AF1177" t="s">
        <v>1377</v>
      </c>
      <c r="AG1177" t="s">
        <v>58</v>
      </c>
      <c r="AH1177" t="s">
        <v>765</v>
      </c>
      <c r="AK1177">
        <v>0</v>
      </c>
      <c r="AL1177" t="s">
        <v>61</v>
      </c>
      <c r="AM1177" t="s">
        <v>766</v>
      </c>
      <c r="AN1177" t="s">
        <v>767</v>
      </c>
    </row>
    <row r="1178" spans="1:40" x14ac:dyDescent="0.35">
      <c r="A1178" t="s">
        <v>37</v>
      </c>
      <c r="B1178" t="s">
        <v>5465</v>
      </c>
      <c r="C1178" t="s">
        <v>102</v>
      </c>
      <c r="D1178" t="s">
        <v>761</v>
      </c>
      <c r="E1178" t="s">
        <v>762</v>
      </c>
      <c r="F1178" s="1">
        <v>46076.296296296299</v>
      </c>
      <c r="G1178" t="s">
        <v>105</v>
      </c>
      <c r="H1178" t="s">
        <v>106</v>
      </c>
      <c r="I1178" t="s">
        <v>5466</v>
      </c>
      <c r="J1178" t="s">
        <v>108</v>
      </c>
      <c r="K1178" t="s">
        <v>109</v>
      </c>
      <c r="M1178" t="s">
        <v>76</v>
      </c>
      <c r="O1178" t="s">
        <v>77</v>
      </c>
      <c r="P1178" t="s">
        <v>78</v>
      </c>
      <c r="Q1178" t="s">
        <v>50</v>
      </c>
      <c r="R1178" t="s">
        <v>111</v>
      </c>
      <c r="S1178" t="s">
        <v>51</v>
      </c>
      <c r="T1178" t="s">
        <v>1583</v>
      </c>
      <c r="U1178" s="1">
        <v>46076.43712962963</v>
      </c>
      <c r="V1178" t="s">
        <v>54</v>
      </c>
      <c r="W1178" t="s">
        <v>55</v>
      </c>
      <c r="X1178" t="s">
        <v>82</v>
      </c>
      <c r="Y1178" t="s">
        <v>5467</v>
      </c>
      <c r="Z1178" t="s">
        <v>58</v>
      </c>
      <c r="AA1178" t="s">
        <v>54</v>
      </c>
      <c r="AB1178" t="s">
        <v>115</v>
      </c>
      <c r="AC1178" t="s">
        <v>85</v>
      </c>
      <c r="AD1178" t="s">
        <v>116</v>
      </c>
      <c r="AE1178" t="s">
        <v>1586</v>
      </c>
      <c r="AF1178" t="s">
        <v>3126</v>
      </c>
      <c r="AG1178" t="s">
        <v>58</v>
      </c>
      <c r="AH1178" t="s">
        <v>765</v>
      </c>
      <c r="AK1178">
        <v>1</v>
      </c>
      <c r="AL1178" t="s">
        <v>61</v>
      </c>
      <c r="AM1178" t="s">
        <v>766</v>
      </c>
      <c r="AN1178" t="s">
        <v>767</v>
      </c>
    </row>
    <row r="1179" spans="1:40" x14ac:dyDescent="0.35">
      <c r="A1179" t="s">
        <v>37</v>
      </c>
      <c r="B1179" t="s">
        <v>5468</v>
      </c>
      <c r="C1179" t="s">
        <v>102</v>
      </c>
      <c r="D1179" t="s">
        <v>568</v>
      </c>
      <c r="E1179" t="s">
        <v>569</v>
      </c>
      <c r="F1179" s="1">
        <v>46076.292546296296</v>
      </c>
      <c r="G1179" t="s">
        <v>105</v>
      </c>
      <c r="H1179" t="s">
        <v>106</v>
      </c>
      <c r="I1179" t="s">
        <v>5469</v>
      </c>
      <c r="J1179" t="s">
        <v>5470</v>
      </c>
      <c r="K1179" t="s">
        <v>2345</v>
      </c>
      <c r="M1179" t="s">
        <v>131</v>
      </c>
      <c r="O1179" t="s">
        <v>237</v>
      </c>
      <c r="P1179" t="s">
        <v>238</v>
      </c>
      <c r="Q1179" t="s">
        <v>448</v>
      </c>
      <c r="R1179" t="s">
        <v>111</v>
      </c>
      <c r="S1179" t="s">
        <v>51</v>
      </c>
      <c r="T1179" t="s">
        <v>3989</v>
      </c>
      <c r="U1179" s="1">
        <v>46076.34170138889</v>
      </c>
      <c r="V1179" t="s">
        <v>54</v>
      </c>
      <c r="W1179" t="s">
        <v>55</v>
      </c>
      <c r="X1179" t="s">
        <v>56</v>
      </c>
      <c r="Y1179" t="s">
        <v>5471</v>
      </c>
      <c r="Z1179" t="s">
        <v>58</v>
      </c>
      <c r="AA1179" t="s">
        <v>54</v>
      </c>
      <c r="AB1179" t="s">
        <v>1212</v>
      </c>
      <c r="AC1179" t="s">
        <v>242</v>
      </c>
      <c r="AD1179" t="s">
        <v>1189</v>
      </c>
      <c r="AE1179" t="s">
        <v>1190</v>
      </c>
      <c r="AF1179" t="s">
        <v>5472</v>
      </c>
      <c r="AG1179" t="s">
        <v>58</v>
      </c>
      <c r="AK1179">
        <v>0</v>
      </c>
      <c r="AL1179" t="s">
        <v>61</v>
      </c>
      <c r="AM1179" t="s">
        <v>576</v>
      </c>
      <c r="AN1179" t="s">
        <v>577</v>
      </c>
    </row>
    <row r="1180" spans="1:40" x14ac:dyDescent="0.35">
      <c r="A1180" t="s">
        <v>37</v>
      </c>
      <c r="B1180" t="s">
        <v>5473</v>
      </c>
      <c r="C1180" t="s">
        <v>39</v>
      </c>
      <c r="D1180" t="s">
        <v>5474</v>
      </c>
      <c r="E1180" t="s">
        <v>770</v>
      </c>
      <c r="F1180" s="1">
        <v>46076.287719907406</v>
      </c>
      <c r="G1180" t="s">
        <v>3050</v>
      </c>
      <c r="H1180" t="s">
        <v>233</v>
      </c>
      <c r="I1180" t="s">
        <v>171</v>
      </c>
      <c r="J1180" t="s">
        <v>3423</v>
      </c>
      <c r="K1180" t="s">
        <v>75</v>
      </c>
      <c r="M1180" t="s">
        <v>76</v>
      </c>
      <c r="O1180" t="s">
        <v>77</v>
      </c>
      <c r="P1180" t="s">
        <v>78</v>
      </c>
      <c r="Q1180" t="s">
        <v>4648</v>
      </c>
      <c r="R1180" t="s">
        <v>79</v>
      </c>
      <c r="S1180" t="s">
        <v>172</v>
      </c>
      <c r="T1180" t="s">
        <v>173</v>
      </c>
      <c r="U1180" s="1">
        <v>46076.288449074076</v>
      </c>
      <c r="V1180" t="s">
        <v>54</v>
      </c>
      <c r="W1180" t="s">
        <v>55</v>
      </c>
      <c r="X1180" t="s">
        <v>82</v>
      </c>
      <c r="Y1180" t="s">
        <v>3424</v>
      </c>
      <c r="Z1180" t="s">
        <v>58</v>
      </c>
      <c r="AA1180" t="s">
        <v>54</v>
      </c>
      <c r="AB1180" t="s">
        <v>3425</v>
      </c>
      <c r="AC1180" t="s">
        <v>85</v>
      </c>
      <c r="AD1180" t="s">
        <v>79</v>
      </c>
      <c r="AE1180" t="s">
        <v>172</v>
      </c>
      <c r="AF1180" t="s">
        <v>173</v>
      </c>
      <c r="AG1180" t="s">
        <v>58</v>
      </c>
      <c r="AH1180">
        <v>4372</v>
      </c>
      <c r="AK1180">
        <v>0</v>
      </c>
      <c r="AL1180" t="s">
        <v>61</v>
      </c>
      <c r="AM1180" t="s">
        <v>5475</v>
      </c>
      <c r="AN1180" t="s">
        <v>5476</v>
      </c>
    </row>
    <row r="1181" spans="1:40" x14ac:dyDescent="0.35">
      <c r="A1181" t="s">
        <v>37</v>
      </c>
      <c r="B1181" t="s">
        <v>5477</v>
      </c>
      <c r="C1181" t="s">
        <v>39</v>
      </c>
      <c r="D1181" t="s">
        <v>325</v>
      </c>
      <c r="E1181" t="s">
        <v>5478</v>
      </c>
      <c r="F1181" s="1">
        <v>46076.266608796293</v>
      </c>
      <c r="G1181" t="s">
        <v>464</v>
      </c>
      <c r="H1181" t="s">
        <v>287</v>
      </c>
      <c r="I1181" t="s">
        <v>3451</v>
      </c>
      <c r="J1181" t="s">
        <v>3423</v>
      </c>
      <c r="K1181" t="s">
        <v>75</v>
      </c>
      <c r="M1181" t="s">
        <v>76</v>
      </c>
      <c r="O1181" t="s">
        <v>77</v>
      </c>
      <c r="P1181" t="s">
        <v>78</v>
      </c>
      <c r="Q1181" t="s">
        <v>50</v>
      </c>
      <c r="R1181" t="s">
        <v>79</v>
      </c>
      <c r="S1181" t="s">
        <v>1078</v>
      </c>
      <c r="T1181" t="s">
        <v>1078</v>
      </c>
      <c r="U1181" s="1">
        <v>46076.267592592594</v>
      </c>
      <c r="V1181" t="s">
        <v>54</v>
      </c>
      <c r="W1181" t="s">
        <v>55</v>
      </c>
      <c r="X1181" t="s">
        <v>82</v>
      </c>
      <c r="Y1181" t="s">
        <v>3452</v>
      </c>
      <c r="Z1181" t="s">
        <v>58</v>
      </c>
      <c r="AA1181" t="s">
        <v>54</v>
      </c>
      <c r="AB1181" t="s">
        <v>3425</v>
      </c>
      <c r="AC1181" t="s">
        <v>85</v>
      </c>
      <c r="AD1181" t="s">
        <v>79</v>
      </c>
      <c r="AE1181" t="s">
        <v>1078</v>
      </c>
      <c r="AF1181" t="s">
        <v>1078</v>
      </c>
      <c r="AG1181" t="s">
        <v>58</v>
      </c>
      <c r="AH1181">
        <v>6102</v>
      </c>
      <c r="AK1181">
        <v>0</v>
      </c>
      <c r="AL1181" t="s">
        <v>61</v>
      </c>
      <c r="AM1181" t="s">
        <v>5479</v>
      </c>
      <c r="AN1181" t="s">
        <v>5480</v>
      </c>
    </row>
    <row r="1182" spans="1:40" x14ac:dyDescent="0.35">
      <c r="A1182" t="s">
        <v>37</v>
      </c>
      <c r="B1182" t="s">
        <v>5481</v>
      </c>
      <c r="C1182" t="s">
        <v>39</v>
      </c>
      <c r="D1182" t="s">
        <v>5482</v>
      </c>
      <c r="E1182" t="s">
        <v>2095</v>
      </c>
      <c r="F1182" s="1">
        <v>46076.265648148146</v>
      </c>
      <c r="G1182" t="s">
        <v>355</v>
      </c>
      <c r="H1182" t="s">
        <v>356</v>
      </c>
      <c r="I1182" t="s">
        <v>5483</v>
      </c>
      <c r="J1182" t="s">
        <v>3423</v>
      </c>
      <c r="K1182" t="s">
        <v>75</v>
      </c>
      <c r="M1182" t="s">
        <v>76</v>
      </c>
      <c r="O1182" t="s">
        <v>77</v>
      </c>
      <c r="P1182" t="s">
        <v>78</v>
      </c>
      <c r="Q1182" t="s">
        <v>50</v>
      </c>
      <c r="R1182" t="s">
        <v>79</v>
      </c>
      <c r="S1182" t="s">
        <v>975</v>
      </c>
      <c r="T1182" t="s">
        <v>976</v>
      </c>
      <c r="U1182" s="1">
        <v>46076.267314814817</v>
      </c>
      <c r="V1182" t="s">
        <v>54</v>
      </c>
      <c r="W1182" t="s">
        <v>55</v>
      </c>
      <c r="X1182" t="s">
        <v>82</v>
      </c>
      <c r="Y1182" t="s">
        <v>3621</v>
      </c>
      <c r="Z1182" t="s">
        <v>58</v>
      </c>
      <c r="AA1182" t="s">
        <v>54</v>
      </c>
      <c r="AB1182" t="s">
        <v>3425</v>
      </c>
      <c r="AC1182" t="s">
        <v>85</v>
      </c>
      <c r="AD1182" t="s">
        <v>79</v>
      </c>
      <c r="AE1182" t="s">
        <v>975</v>
      </c>
      <c r="AF1182" t="s">
        <v>3622</v>
      </c>
      <c r="AG1182" t="s">
        <v>58</v>
      </c>
      <c r="AH1182" t="s">
        <v>5484</v>
      </c>
      <c r="AK1182">
        <v>0</v>
      </c>
      <c r="AL1182" t="s">
        <v>61</v>
      </c>
      <c r="AM1182" t="s">
        <v>5485</v>
      </c>
      <c r="AN1182" t="s">
        <v>5486</v>
      </c>
    </row>
    <row r="1183" spans="1:40" x14ac:dyDescent="0.35">
      <c r="A1183" t="s">
        <v>37</v>
      </c>
      <c r="B1183" t="s">
        <v>5487</v>
      </c>
      <c r="C1183" t="s">
        <v>39</v>
      </c>
      <c r="D1183" t="s">
        <v>5488</v>
      </c>
      <c r="E1183" t="s">
        <v>5489</v>
      </c>
      <c r="F1183" s="1">
        <v>46076.260694444441</v>
      </c>
      <c r="G1183" t="s">
        <v>250</v>
      </c>
      <c r="H1183" t="s">
        <v>106</v>
      </c>
      <c r="I1183" t="s">
        <v>171</v>
      </c>
      <c r="J1183" t="s">
        <v>3423</v>
      </c>
      <c r="K1183" t="s">
        <v>75</v>
      </c>
      <c r="M1183" t="s">
        <v>76</v>
      </c>
      <c r="O1183" t="s">
        <v>77</v>
      </c>
      <c r="P1183" t="s">
        <v>78</v>
      </c>
      <c r="Q1183" t="s">
        <v>50</v>
      </c>
      <c r="R1183" t="s">
        <v>79</v>
      </c>
      <c r="S1183" t="s">
        <v>172</v>
      </c>
      <c r="T1183" t="s">
        <v>173</v>
      </c>
      <c r="U1183" s="1">
        <v>46076.266967592594</v>
      </c>
      <c r="V1183" t="s">
        <v>54</v>
      </c>
      <c r="W1183" t="s">
        <v>55</v>
      </c>
      <c r="X1183" t="s">
        <v>82</v>
      </c>
      <c r="Y1183" t="s">
        <v>3424</v>
      </c>
      <c r="Z1183" t="s">
        <v>58</v>
      </c>
      <c r="AA1183" t="s">
        <v>54</v>
      </c>
      <c r="AB1183" t="s">
        <v>3425</v>
      </c>
      <c r="AC1183" t="s">
        <v>85</v>
      </c>
      <c r="AD1183" t="s">
        <v>79</v>
      </c>
      <c r="AE1183" t="s">
        <v>172</v>
      </c>
      <c r="AF1183" t="s">
        <v>173</v>
      </c>
      <c r="AG1183" t="s">
        <v>58</v>
      </c>
      <c r="AH1183" t="s">
        <v>5490</v>
      </c>
      <c r="AK1183">
        <v>0</v>
      </c>
      <c r="AL1183" t="s">
        <v>61</v>
      </c>
      <c r="AM1183" t="s">
        <v>5491</v>
      </c>
      <c r="AN1183" t="s">
        <v>5492</v>
      </c>
    </row>
    <row r="1184" spans="1:40" x14ac:dyDescent="0.35">
      <c r="A1184" t="s">
        <v>37</v>
      </c>
      <c r="B1184" t="s">
        <v>5493</v>
      </c>
      <c r="C1184" t="s">
        <v>39</v>
      </c>
      <c r="D1184" t="s">
        <v>3421</v>
      </c>
      <c r="E1184" t="s">
        <v>3422</v>
      </c>
      <c r="F1184" s="1">
        <v>46076.259363425925</v>
      </c>
      <c r="G1184" t="s">
        <v>250</v>
      </c>
      <c r="H1184" t="s">
        <v>106</v>
      </c>
      <c r="I1184" t="s">
        <v>171</v>
      </c>
      <c r="J1184" t="s">
        <v>3423</v>
      </c>
      <c r="K1184" t="s">
        <v>75</v>
      </c>
      <c r="M1184" t="s">
        <v>76</v>
      </c>
      <c r="O1184" t="s">
        <v>77</v>
      </c>
      <c r="P1184" t="s">
        <v>78</v>
      </c>
      <c r="Q1184" t="s">
        <v>50</v>
      </c>
      <c r="R1184" t="s">
        <v>79</v>
      </c>
      <c r="S1184" t="s">
        <v>172</v>
      </c>
      <c r="T1184" t="s">
        <v>173</v>
      </c>
      <c r="U1184" s="1">
        <v>46076.266805555555</v>
      </c>
      <c r="V1184" t="s">
        <v>54</v>
      </c>
      <c r="W1184" t="s">
        <v>55</v>
      </c>
      <c r="X1184" t="s">
        <v>82</v>
      </c>
      <c r="Y1184" t="s">
        <v>3424</v>
      </c>
      <c r="Z1184" t="s">
        <v>58</v>
      </c>
      <c r="AA1184" t="s">
        <v>54</v>
      </c>
      <c r="AB1184" t="s">
        <v>3425</v>
      </c>
      <c r="AC1184" t="s">
        <v>85</v>
      </c>
      <c r="AD1184" t="s">
        <v>79</v>
      </c>
      <c r="AE1184" t="s">
        <v>172</v>
      </c>
      <c r="AF1184" t="s">
        <v>173</v>
      </c>
      <c r="AG1184" t="s">
        <v>58</v>
      </c>
      <c r="AK1184">
        <v>0</v>
      </c>
      <c r="AL1184" t="s">
        <v>61</v>
      </c>
      <c r="AM1184" t="s">
        <v>3426</v>
      </c>
      <c r="AN1184" t="s">
        <v>3427</v>
      </c>
    </row>
    <row r="1185" spans="1:40" x14ac:dyDescent="0.35">
      <c r="A1185" t="s">
        <v>37</v>
      </c>
      <c r="B1185" t="s">
        <v>5494</v>
      </c>
      <c r="C1185" t="s">
        <v>39</v>
      </c>
      <c r="D1185" t="s">
        <v>1481</v>
      </c>
      <c r="E1185" t="s">
        <v>1316</v>
      </c>
      <c r="F1185" s="1">
        <v>46076.25880787037</v>
      </c>
      <c r="G1185" t="s">
        <v>286</v>
      </c>
      <c r="H1185" t="s">
        <v>287</v>
      </c>
      <c r="I1185" t="s">
        <v>5495</v>
      </c>
      <c r="J1185" t="s">
        <v>1483</v>
      </c>
      <c r="K1185" t="s">
        <v>1484</v>
      </c>
      <c r="M1185" t="s">
        <v>131</v>
      </c>
      <c r="O1185" t="s">
        <v>77</v>
      </c>
      <c r="P1185" t="s">
        <v>78</v>
      </c>
      <c r="Q1185" t="s">
        <v>50</v>
      </c>
      <c r="R1185" t="s">
        <v>51</v>
      </c>
      <c r="S1185" t="s">
        <v>52</v>
      </c>
      <c r="T1185" t="s">
        <v>240</v>
      </c>
      <c r="U1185" s="1">
        <v>46076.508773148147</v>
      </c>
      <c r="V1185" t="s">
        <v>54</v>
      </c>
      <c r="W1185" t="s">
        <v>55</v>
      </c>
      <c r="X1185" t="s">
        <v>134</v>
      </c>
      <c r="Y1185" t="s">
        <v>1485</v>
      </c>
      <c r="Z1185" t="s">
        <v>58</v>
      </c>
      <c r="AA1185" t="s">
        <v>54</v>
      </c>
      <c r="AB1185" t="s">
        <v>1486</v>
      </c>
      <c r="AC1185" t="s">
        <v>85</v>
      </c>
      <c r="AD1185" t="s">
        <v>52</v>
      </c>
      <c r="AE1185" t="s">
        <v>243</v>
      </c>
      <c r="AF1185" t="s">
        <v>409</v>
      </c>
      <c r="AG1185" t="s">
        <v>58</v>
      </c>
      <c r="AK1185">
        <v>1</v>
      </c>
      <c r="AL1185" t="s">
        <v>61</v>
      </c>
      <c r="AM1185" t="s">
        <v>1487</v>
      </c>
      <c r="AN1185" t="s">
        <v>1488</v>
      </c>
    </row>
    <row r="1186" spans="1:40" x14ac:dyDescent="0.35">
      <c r="A1186" t="s">
        <v>37</v>
      </c>
      <c r="B1186" t="s">
        <v>5496</v>
      </c>
      <c r="C1186" t="s">
        <v>39</v>
      </c>
      <c r="D1186" t="s">
        <v>1481</v>
      </c>
      <c r="E1186" t="s">
        <v>1316</v>
      </c>
      <c r="F1186" s="1">
        <v>46076.2578125</v>
      </c>
      <c r="G1186" t="s">
        <v>286</v>
      </c>
      <c r="H1186" t="s">
        <v>287</v>
      </c>
      <c r="I1186" t="s">
        <v>5497</v>
      </c>
      <c r="J1186" t="s">
        <v>1483</v>
      </c>
      <c r="K1186" t="s">
        <v>1484</v>
      </c>
      <c r="M1186" t="s">
        <v>131</v>
      </c>
      <c r="O1186" t="s">
        <v>77</v>
      </c>
      <c r="P1186" t="s">
        <v>78</v>
      </c>
      <c r="Q1186" t="s">
        <v>50</v>
      </c>
      <c r="R1186" t="s">
        <v>51</v>
      </c>
      <c r="S1186" t="s">
        <v>52</v>
      </c>
      <c r="T1186" t="s">
        <v>240</v>
      </c>
      <c r="U1186" s="1">
        <v>46076.509479166663</v>
      </c>
      <c r="V1186" t="s">
        <v>54</v>
      </c>
      <c r="W1186" t="s">
        <v>55</v>
      </c>
      <c r="X1186" t="s">
        <v>134</v>
      </c>
      <c r="Y1186" t="s">
        <v>1485</v>
      </c>
      <c r="Z1186" t="s">
        <v>58</v>
      </c>
      <c r="AA1186" t="s">
        <v>54</v>
      </c>
      <c r="AB1186" t="s">
        <v>1486</v>
      </c>
      <c r="AC1186" t="s">
        <v>85</v>
      </c>
      <c r="AD1186" t="s">
        <v>52</v>
      </c>
      <c r="AE1186" t="s">
        <v>243</v>
      </c>
      <c r="AF1186" t="s">
        <v>409</v>
      </c>
      <c r="AG1186" t="s">
        <v>58</v>
      </c>
      <c r="AK1186">
        <v>1</v>
      </c>
      <c r="AL1186" t="s">
        <v>61</v>
      </c>
      <c r="AM1186" t="s">
        <v>1487</v>
      </c>
      <c r="AN1186" t="s">
        <v>1488</v>
      </c>
    </row>
    <row r="1187" spans="1:40" x14ac:dyDescent="0.35">
      <c r="A1187" t="s">
        <v>37</v>
      </c>
      <c r="B1187" t="s">
        <v>5498</v>
      </c>
      <c r="C1187" t="s">
        <v>39</v>
      </c>
      <c r="D1187" t="s">
        <v>1481</v>
      </c>
      <c r="E1187" t="s">
        <v>1316</v>
      </c>
      <c r="F1187" s="1">
        <v>46076.256562499999</v>
      </c>
      <c r="G1187" t="s">
        <v>286</v>
      </c>
      <c r="H1187" t="s">
        <v>287</v>
      </c>
      <c r="I1187" t="s">
        <v>5499</v>
      </c>
      <c r="J1187" t="s">
        <v>1483</v>
      </c>
      <c r="K1187" t="s">
        <v>1484</v>
      </c>
      <c r="M1187" t="s">
        <v>131</v>
      </c>
      <c r="O1187" t="s">
        <v>77</v>
      </c>
      <c r="P1187" t="s">
        <v>78</v>
      </c>
      <c r="Q1187" t="s">
        <v>50</v>
      </c>
      <c r="R1187" t="s">
        <v>51</v>
      </c>
      <c r="S1187" t="s">
        <v>52</v>
      </c>
      <c r="T1187" t="s">
        <v>240</v>
      </c>
      <c r="U1187" s="1">
        <v>46077.26599537037</v>
      </c>
      <c r="V1187" t="s">
        <v>54</v>
      </c>
      <c r="W1187" t="s">
        <v>55</v>
      </c>
      <c r="X1187" t="s">
        <v>134</v>
      </c>
      <c r="Y1187" t="s">
        <v>1485</v>
      </c>
      <c r="Z1187" t="s">
        <v>58</v>
      </c>
      <c r="AA1187" t="s">
        <v>54</v>
      </c>
      <c r="AB1187" t="s">
        <v>1486</v>
      </c>
      <c r="AC1187" t="s">
        <v>85</v>
      </c>
      <c r="AD1187" t="s">
        <v>52</v>
      </c>
      <c r="AE1187" t="s">
        <v>243</v>
      </c>
      <c r="AF1187" t="s">
        <v>409</v>
      </c>
      <c r="AG1187" t="s">
        <v>58</v>
      </c>
      <c r="AK1187">
        <v>1</v>
      </c>
      <c r="AL1187" t="s">
        <v>61</v>
      </c>
      <c r="AM1187" t="s">
        <v>1487</v>
      </c>
      <c r="AN1187" t="s">
        <v>1488</v>
      </c>
    </row>
    <row r="1188" spans="1:40" x14ac:dyDescent="0.35">
      <c r="A1188" t="s">
        <v>37</v>
      </c>
      <c r="B1188" t="s">
        <v>5500</v>
      </c>
      <c r="C1188" t="s">
        <v>39</v>
      </c>
      <c r="D1188" t="s">
        <v>1481</v>
      </c>
      <c r="E1188" t="s">
        <v>1316</v>
      </c>
      <c r="F1188" s="1">
        <v>46076.255509259259</v>
      </c>
      <c r="G1188" t="s">
        <v>286</v>
      </c>
      <c r="H1188" t="s">
        <v>287</v>
      </c>
      <c r="I1188" t="s">
        <v>5501</v>
      </c>
      <c r="J1188" t="s">
        <v>1483</v>
      </c>
      <c r="K1188" t="s">
        <v>1484</v>
      </c>
      <c r="M1188" t="s">
        <v>131</v>
      </c>
      <c r="O1188" t="s">
        <v>77</v>
      </c>
      <c r="P1188" t="s">
        <v>78</v>
      </c>
      <c r="Q1188" t="s">
        <v>50</v>
      </c>
      <c r="R1188" t="s">
        <v>51</v>
      </c>
      <c r="S1188" t="s">
        <v>52</v>
      </c>
      <c r="T1188" t="s">
        <v>240</v>
      </c>
      <c r="U1188" s="1">
        <v>46076.510451388887</v>
      </c>
      <c r="V1188" t="s">
        <v>54</v>
      </c>
      <c r="W1188" t="s">
        <v>55</v>
      </c>
      <c r="X1188" t="s">
        <v>134</v>
      </c>
      <c r="Y1188" t="s">
        <v>1485</v>
      </c>
      <c r="Z1188" t="s">
        <v>58</v>
      </c>
      <c r="AA1188" t="s">
        <v>54</v>
      </c>
      <c r="AB1188" t="s">
        <v>1486</v>
      </c>
      <c r="AC1188" t="s">
        <v>85</v>
      </c>
      <c r="AD1188" t="s">
        <v>52</v>
      </c>
      <c r="AE1188" t="s">
        <v>243</v>
      </c>
      <c r="AF1188" t="s">
        <v>409</v>
      </c>
      <c r="AG1188" t="s">
        <v>58</v>
      </c>
      <c r="AK1188">
        <v>1</v>
      </c>
      <c r="AL1188" t="s">
        <v>61</v>
      </c>
      <c r="AM1188" t="s">
        <v>1487</v>
      </c>
      <c r="AN1188" t="s">
        <v>1488</v>
      </c>
    </row>
    <row r="1189" spans="1:40" x14ac:dyDescent="0.35">
      <c r="A1189" t="s">
        <v>37</v>
      </c>
      <c r="B1189" t="s">
        <v>5502</v>
      </c>
      <c r="C1189" t="s">
        <v>39</v>
      </c>
      <c r="D1189" t="s">
        <v>40</v>
      </c>
      <c r="E1189" t="s">
        <v>41</v>
      </c>
      <c r="F1189" s="1">
        <v>46076.232071759259</v>
      </c>
      <c r="G1189" t="s">
        <v>42</v>
      </c>
      <c r="H1189" t="s">
        <v>43</v>
      </c>
      <c r="I1189" t="s">
        <v>5503</v>
      </c>
      <c r="J1189" t="s">
        <v>45</v>
      </c>
      <c r="K1189" t="s">
        <v>46</v>
      </c>
      <c r="M1189" t="s">
        <v>47</v>
      </c>
      <c r="O1189" t="s">
        <v>48</v>
      </c>
      <c r="P1189" t="s">
        <v>49</v>
      </c>
      <c r="Q1189" t="s">
        <v>50</v>
      </c>
      <c r="R1189" t="s">
        <v>51</v>
      </c>
      <c r="S1189" t="s">
        <v>52</v>
      </c>
      <c r="T1189" t="s">
        <v>53</v>
      </c>
      <c r="U1189" s="1">
        <v>46076.232870370368</v>
      </c>
      <c r="V1189" t="s">
        <v>54</v>
      </c>
      <c r="W1189" t="s">
        <v>55</v>
      </c>
      <c r="X1189" t="s">
        <v>56</v>
      </c>
      <c r="Y1189" t="s">
        <v>57</v>
      </c>
      <c r="Z1189" t="s">
        <v>58</v>
      </c>
      <c r="AA1189" t="s">
        <v>54</v>
      </c>
      <c r="AB1189" t="s">
        <v>59</v>
      </c>
      <c r="AC1189" t="s">
        <v>60</v>
      </c>
      <c r="AD1189" t="s">
        <v>51</v>
      </c>
      <c r="AE1189" t="s">
        <v>52</v>
      </c>
      <c r="AF1189" t="s">
        <v>53</v>
      </c>
      <c r="AG1189" t="s">
        <v>58</v>
      </c>
      <c r="AK1189">
        <v>0</v>
      </c>
      <c r="AL1189" t="s">
        <v>61</v>
      </c>
      <c r="AM1189" t="s">
        <v>59</v>
      </c>
      <c r="AN1189" t="s">
        <v>62</v>
      </c>
    </row>
    <row r="1190" spans="1:40" x14ac:dyDescent="0.35">
      <c r="A1190" t="s">
        <v>37</v>
      </c>
      <c r="B1190" t="s">
        <v>5504</v>
      </c>
      <c r="C1190" t="s">
        <v>102</v>
      </c>
      <c r="D1190" t="s">
        <v>3486</v>
      </c>
      <c r="E1190" t="s">
        <v>3487</v>
      </c>
      <c r="F1190" s="1">
        <v>46076.225648148145</v>
      </c>
      <c r="G1190" t="s">
        <v>105</v>
      </c>
      <c r="H1190" t="s">
        <v>106</v>
      </c>
      <c r="I1190" t="s">
        <v>3488</v>
      </c>
      <c r="J1190" t="s">
        <v>108</v>
      </c>
      <c r="K1190" t="s">
        <v>109</v>
      </c>
      <c r="M1190" t="s">
        <v>76</v>
      </c>
      <c r="O1190" t="s">
        <v>77</v>
      </c>
      <c r="P1190" t="s">
        <v>78</v>
      </c>
      <c r="Q1190" t="s">
        <v>50</v>
      </c>
      <c r="R1190" t="s">
        <v>111</v>
      </c>
      <c r="S1190" t="s">
        <v>51</v>
      </c>
      <c r="T1190" t="s">
        <v>112</v>
      </c>
      <c r="U1190" s="1">
        <v>46076.298275462963</v>
      </c>
      <c r="V1190" t="s">
        <v>54</v>
      </c>
      <c r="W1190" t="s">
        <v>55</v>
      </c>
      <c r="X1190" t="s">
        <v>113</v>
      </c>
      <c r="Y1190" t="s">
        <v>5505</v>
      </c>
      <c r="Z1190" t="s">
        <v>58</v>
      </c>
      <c r="AA1190" t="s">
        <v>54</v>
      </c>
      <c r="AB1190" t="s">
        <v>115</v>
      </c>
      <c r="AC1190" t="s">
        <v>85</v>
      </c>
      <c r="AD1190" t="s">
        <v>116</v>
      </c>
      <c r="AE1190" t="s">
        <v>334</v>
      </c>
      <c r="AF1190" t="s">
        <v>335</v>
      </c>
      <c r="AG1190" t="s">
        <v>58</v>
      </c>
      <c r="AH1190" t="s">
        <v>3491</v>
      </c>
      <c r="AK1190">
        <v>1</v>
      </c>
      <c r="AL1190" t="s">
        <v>61</v>
      </c>
      <c r="AM1190" t="s">
        <v>3492</v>
      </c>
      <c r="AN1190" t="s">
        <v>3493</v>
      </c>
    </row>
    <row r="1191" spans="1:40" x14ac:dyDescent="0.35">
      <c r="A1191" t="s">
        <v>37</v>
      </c>
      <c r="B1191" t="s">
        <v>5506</v>
      </c>
      <c r="C1191" t="s">
        <v>102</v>
      </c>
      <c r="D1191" t="s">
        <v>3486</v>
      </c>
      <c r="E1191" t="s">
        <v>3487</v>
      </c>
      <c r="F1191" s="1">
        <v>46076.22420138889</v>
      </c>
      <c r="G1191" t="s">
        <v>105</v>
      </c>
      <c r="H1191" t="s">
        <v>106</v>
      </c>
      <c r="I1191" t="s">
        <v>5507</v>
      </c>
      <c r="J1191" t="s">
        <v>108</v>
      </c>
      <c r="K1191" t="s">
        <v>109</v>
      </c>
      <c r="M1191" t="s">
        <v>76</v>
      </c>
      <c r="O1191" t="s">
        <v>77</v>
      </c>
      <c r="P1191" t="s">
        <v>78</v>
      </c>
      <c r="Q1191" t="s">
        <v>50</v>
      </c>
      <c r="R1191" t="s">
        <v>111</v>
      </c>
      <c r="S1191" t="s">
        <v>51</v>
      </c>
      <c r="T1191" t="s">
        <v>112</v>
      </c>
      <c r="U1191" s="1">
        <v>46076.731203703705</v>
      </c>
      <c r="V1191" t="s">
        <v>54</v>
      </c>
      <c r="W1191" t="s">
        <v>1584</v>
      </c>
      <c r="X1191" t="s">
        <v>113</v>
      </c>
      <c r="Y1191" t="s">
        <v>5508</v>
      </c>
      <c r="Z1191" t="s">
        <v>58</v>
      </c>
      <c r="AA1191" t="s">
        <v>54</v>
      </c>
      <c r="AB1191" t="s">
        <v>115</v>
      </c>
      <c r="AC1191" t="s">
        <v>85</v>
      </c>
      <c r="AD1191" t="s">
        <v>116</v>
      </c>
      <c r="AE1191" t="s">
        <v>334</v>
      </c>
      <c r="AF1191" t="s">
        <v>2466</v>
      </c>
      <c r="AG1191" t="s">
        <v>58</v>
      </c>
      <c r="AH1191" t="s">
        <v>3491</v>
      </c>
      <c r="AK1191">
        <v>1</v>
      </c>
      <c r="AL1191" t="s">
        <v>61</v>
      </c>
      <c r="AM1191" t="s">
        <v>3492</v>
      </c>
      <c r="AN1191" t="s">
        <v>3493</v>
      </c>
    </row>
    <row r="1192" spans="1:40" x14ac:dyDescent="0.35">
      <c r="A1192" t="s">
        <v>37</v>
      </c>
      <c r="B1192" t="s">
        <v>5509</v>
      </c>
      <c r="C1192" t="s">
        <v>102</v>
      </c>
      <c r="D1192" t="s">
        <v>3486</v>
      </c>
      <c r="E1192" t="s">
        <v>3487</v>
      </c>
      <c r="F1192" s="1">
        <v>46076.208715277775</v>
      </c>
      <c r="G1192" t="s">
        <v>105</v>
      </c>
      <c r="H1192" t="s">
        <v>106</v>
      </c>
      <c r="I1192" t="s">
        <v>1815</v>
      </c>
      <c r="J1192" t="s">
        <v>108</v>
      </c>
      <c r="K1192" t="s">
        <v>571</v>
      </c>
      <c r="M1192" t="s">
        <v>76</v>
      </c>
      <c r="O1192" t="s">
        <v>77</v>
      </c>
      <c r="P1192" t="s">
        <v>78</v>
      </c>
      <c r="Q1192" t="s">
        <v>50</v>
      </c>
      <c r="R1192" t="s">
        <v>111</v>
      </c>
      <c r="S1192" t="s">
        <v>51</v>
      </c>
      <c r="T1192" t="s">
        <v>112</v>
      </c>
      <c r="U1192" s="1">
        <v>46078.622175925928</v>
      </c>
      <c r="V1192" t="s">
        <v>54</v>
      </c>
      <c r="W1192" t="s">
        <v>55</v>
      </c>
      <c r="X1192" t="s">
        <v>113</v>
      </c>
      <c r="Y1192" t="s">
        <v>3515</v>
      </c>
      <c r="Z1192" t="s">
        <v>58</v>
      </c>
      <c r="AA1192" t="s">
        <v>54</v>
      </c>
      <c r="AB1192" t="s">
        <v>115</v>
      </c>
      <c r="AC1192" t="s">
        <v>85</v>
      </c>
      <c r="AD1192" t="s">
        <v>116</v>
      </c>
      <c r="AE1192" t="s">
        <v>574</v>
      </c>
      <c r="AF1192" t="s">
        <v>664</v>
      </c>
      <c r="AG1192" t="s">
        <v>58</v>
      </c>
      <c r="AH1192" t="s">
        <v>3491</v>
      </c>
      <c r="AK1192">
        <v>1</v>
      </c>
      <c r="AL1192" t="s">
        <v>61</v>
      </c>
      <c r="AM1192" t="s">
        <v>3492</v>
      </c>
      <c r="AN1192" t="s">
        <v>3493</v>
      </c>
    </row>
    <row r="1193" spans="1:40" x14ac:dyDescent="0.35">
      <c r="A1193" t="s">
        <v>37</v>
      </c>
      <c r="B1193" t="s">
        <v>5510</v>
      </c>
      <c r="C1193" t="s">
        <v>102</v>
      </c>
      <c r="D1193" t="s">
        <v>3486</v>
      </c>
      <c r="E1193" t="s">
        <v>3487</v>
      </c>
      <c r="F1193" s="1">
        <v>46076.208043981482</v>
      </c>
      <c r="G1193" t="s">
        <v>105</v>
      </c>
      <c r="H1193" t="s">
        <v>106</v>
      </c>
      <c r="I1193" t="s">
        <v>5511</v>
      </c>
      <c r="J1193" t="s">
        <v>108</v>
      </c>
      <c r="K1193" t="s">
        <v>571</v>
      </c>
      <c r="M1193" t="s">
        <v>76</v>
      </c>
      <c r="O1193" t="s">
        <v>77</v>
      </c>
      <c r="P1193" t="s">
        <v>78</v>
      </c>
      <c r="Q1193" t="s">
        <v>50</v>
      </c>
      <c r="R1193" t="s">
        <v>111</v>
      </c>
      <c r="S1193" t="s">
        <v>51</v>
      </c>
      <c r="T1193" t="s">
        <v>112</v>
      </c>
      <c r="U1193" s="1">
        <v>46076.422488425924</v>
      </c>
      <c r="V1193" t="s">
        <v>54</v>
      </c>
      <c r="W1193" t="s">
        <v>55</v>
      </c>
      <c r="X1193" t="s">
        <v>113</v>
      </c>
      <c r="Y1193" t="s">
        <v>1577</v>
      </c>
      <c r="Z1193" t="s">
        <v>58</v>
      </c>
      <c r="AA1193" t="s">
        <v>54</v>
      </c>
      <c r="AB1193" t="s">
        <v>115</v>
      </c>
      <c r="AC1193" t="s">
        <v>85</v>
      </c>
      <c r="AD1193" t="s">
        <v>116</v>
      </c>
      <c r="AE1193" t="s">
        <v>574</v>
      </c>
      <c r="AF1193" t="s">
        <v>664</v>
      </c>
      <c r="AG1193" t="s">
        <v>58</v>
      </c>
      <c r="AH1193" t="s">
        <v>3491</v>
      </c>
      <c r="AK1193">
        <v>1</v>
      </c>
      <c r="AL1193" t="s">
        <v>61</v>
      </c>
      <c r="AM1193" t="s">
        <v>3492</v>
      </c>
      <c r="AN1193" t="s">
        <v>3493</v>
      </c>
    </row>
    <row r="1194" spans="1:40" x14ac:dyDescent="0.35">
      <c r="A1194" t="s">
        <v>37</v>
      </c>
      <c r="B1194" t="s">
        <v>5512</v>
      </c>
      <c r="C1194" t="s">
        <v>102</v>
      </c>
      <c r="D1194" t="s">
        <v>3486</v>
      </c>
      <c r="E1194" t="s">
        <v>3487</v>
      </c>
      <c r="F1194" s="1">
        <v>46076.206203703703</v>
      </c>
      <c r="G1194" t="s">
        <v>105</v>
      </c>
      <c r="H1194" t="s">
        <v>106</v>
      </c>
      <c r="I1194" t="s">
        <v>5513</v>
      </c>
      <c r="J1194" t="s">
        <v>108</v>
      </c>
      <c r="K1194" t="s">
        <v>571</v>
      </c>
      <c r="M1194" t="s">
        <v>76</v>
      </c>
      <c r="O1194" t="s">
        <v>77</v>
      </c>
      <c r="P1194" t="s">
        <v>78</v>
      </c>
      <c r="Q1194" t="s">
        <v>50</v>
      </c>
      <c r="R1194" t="s">
        <v>111</v>
      </c>
      <c r="S1194" t="s">
        <v>51</v>
      </c>
      <c r="T1194" t="s">
        <v>112</v>
      </c>
      <c r="U1194" s="1">
        <v>46076.418356481481</v>
      </c>
      <c r="V1194" t="s">
        <v>54</v>
      </c>
      <c r="W1194" t="s">
        <v>55</v>
      </c>
      <c r="X1194" t="s">
        <v>113</v>
      </c>
      <c r="Y1194" t="s">
        <v>5514</v>
      </c>
      <c r="Z1194" t="s">
        <v>58</v>
      </c>
      <c r="AA1194" t="s">
        <v>54</v>
      </c>
      <c r="AB1194" t="s">
        <v>115</v>
      </c>
      <c r="AC1194" t="s">
        <v>85</v>
      </c>
      <c r="AD1194" t="s">
        <v>116</v>
      </c>
      <c r="AE1194" t="s">
        <v>574</v>
      </c>
      <c r="AF1194" t="s">
        <v>664</v>
      </c>
      <c r="AG1194" t="s">
        <v>58</v>
      </c>
      <c r="AH1194" t="s">
        <v>3491</v>
      </c>
      <c r="AK1194">
        <v>1</v>
      </c>
      <c r="AL1194" t="s">
        <v>61</v>
      </c>
      <c r="AM1194" t="s">
        <v>3492</v>
      </c>
      <c r="AN1194" t="s">
        <v>3493</v>
      </c>
    </row>
    <row r="1195" spans="1:40" x14ac:dyDescent="0.35">
      <c r="A1195" t="s">
        <v>37</v>
      </c>
      <c r="B1195" t="s">
        <v>5515</v>
      </c>
      <c r="C1195" t="s">
        <v>102</v>
      </c>
      <c r="D1195" t="s">
        <v>3486</v>
      </c>
      <c r="E1195" t="s">
        <v>3487</v>
      </c>
      <c r="F1195" s="1">
        <v>46076.205335648148</v>
      </c>
      <c r="G1195" t="s">
        <v>105</v>
      </c>
      <c r="H1195" t="s">
        <v>106</v>
      </c>
      <c r="I1195" t="s">
        <v>5516</v>
      </c>
      <c r="J1195" t="s">
        <v>108</v>
      </c>
      <c r="K1195" t="s">
        <v>571</v>
      </c>
      <c r="M1195" t="s">
        <v>76</v>
      </c>
      <c r="O1195" t="s">
        <v>77</v>
      </c>
      <c r="P1195" t="s">
        <v>78</v>
      </c>
      <c r="Q1195" t="s">
        <v>50</v>
      </c>
      <c r="R1195" t="s">
        <v>111</v>
      </c>
      <c r="S1195" t="s">
        <v>51</v>
      </c>
      <c r="T1195" t="s">
        <v>112</v>
      </c>
      <c r="U1195" s="1">
        <v>46076.276655092595</v>
      </c>
      <c r="V1195" t="s">
        <v>54</v>
      </c>
      <c r="W1195" t="s">
        <v>55</v>
      </c>
      <c r="X1195" t="s">
        <v>113</v>
      </c>
      <c r="Y1195" t="s">
        <v>5517</v>
      </c>
      <c r="Z1195" t="s">
        <v>58</v>
      </c>
      <c r="AA1195" t="s">
        <v>54</v>
      </c>
      <c r="AB1195" t="s">
        <v>115</v>
      </c>
      <c r="AC1195" t="s">
        <v>85</v>
      </c>
      <c r="AD1195" t="s">
        <v>116</v>
      </c>
      <c r="AE1195" t="s">
        <v>574</v>
      </c>
      <c r="AF1195" t="s">
        <v>664</v>
      </c>
      <c r="AG1195" t="s">
        <v>58</v>
      </c>
      <c r="AH1195" t="s">
        <v>3491</v>
      </c>
      <c r="AK1195">
        <v>1</v>
      </c>
      <c r="AL1195" t="s">
        <v>61</v>
      </c>
      <c r="AM1195" t="s">
        <v>3492</v>
      </c>
      <c r="AN1195" t="s">
        <v>3493</v>
      </c>
    </row>
    <row r="1196" spans="1:40" x14ac:dyDescent="0.35">
      <c r="A1196" t="s">
        <v>37</v>
      </c>
      <c r="B1196" t="s">
        <v>5518</v>
      </c>
      <c r="C1196" t="s">
        <v>102</v>
      </c>
      <c r="D1196" t="s">
        <v>3486</v>
      </c>
      <c r="E1196" t="s">
        <v>3487</v>
      </c>
      <c r="F1196" s="1">
        <v>46076.204664351855</v>
      </c>
      <c r="G1196" t="s">
        <v>105</v>
      </c>
      <c r="H1196" t="s">
        <v>106</v>
      </c>
      <c r="I1196" t="s">
        <v>5519</v>
      </c>
      <c r="J1196" t="s">
        <v>108</v>
      </c>
      <c r="K1196" t="s">
        <v>571</v>
      </c>
      <c r="M1196" t="s">
        <v>76</v>
      </c>
      <c r="O1196" t="s">
        <v>77</v>
      </c>
      <c r="P1196" t="s">
        <v>78</v>
      </c>
      <c r="Q1196" t="s">
        <v>50</v>
      </c>
      <c r="R1196" t="s">
        <v>111</v>
      </c>
      <c r="S1196" t="s">
        <v>51</v>
      </c>
      <c r="T1196" t="s">
        <v>112</v>
      </c>
      <c r="U1196" s="1">
        <v>46076.297083333331</v>
      </c>
      <c r="V1196" t="s">
        <v>54</v>
      </c>
      <c r="W1196" t="s">
        <v>55</v>
      </c>
      <c r="X1196" t="s">
        <v>113</v>
      </c>
      <c r="Y1196" t="s">
        <v>5520</v>
      </c>
      <c r="Z1196" t="s">
        <v>58</v>
      </c>
      <c r="AA1196" t="s">
        <v>54</v>
      </c>
      <c r="AB1196" t="s">
        <v>115</v>
      </c>
      <c r="AC1196" t="s">
        <v>85</v>
      </c>
      <c r="AD1196" t="s">
        <v>116</v>
      </c>
      <c r="AE1196" t="s">
        <v>574</v>
      </c>
      <c r="AF1196" t="s">
        <v>664</v>
      </c>
      <c r="AG1196" t="s">
        <v>58</v>
      </c>
      <c r="AH1196" t="s">
        <v>3491</v>
      </c>
      <c r="AK1196">
        <v>1</v>
      </c>
      <c r="AL1196" t="s">
        <v>61</v>
      </c>
      <c r="AM1196" t="s">
        <v>3492</v>
      </c>
      <c r="AN1196" t="s">
        <v>3493</v>
      </c>
    </row>
    <row r="1197" spans="1:40" x14ac:dyDescent="0.35">
      <c r="A1197" t="s">
        <v>37</v>
      </c>
      <c r="B1197" t="s">
        <v>5521</v>
      </c>
      <c r="C1197" t="s">
        <v>102</v>
      </c>
      <c r="D1197" t="s">
        <v>3486</v>
      </c>
      <c r="E1197" t="s">
        <v>3487</v>
      </c>
      <c r="F1197" s="1">
        <v>46076.203680555554</v>
      </c>
      <c r="G1197" t="s">
        <v>105</v>
      </c>
      <c r="H1197" t="s">
        <v>106</v>
      </c>
      <c r="I1197" t="s">
        <v>1679</v>
      </c>
      <c r="J1197" t="s">
        <v>108</v>
      </c>
      <c r="K1197" t="s">
        <v>571</v>
      </c>
      <c r="M1197" t="s">
        <v>76</v>
      </c>
      <c r="O1197" t="s">
        <v>77</v>
      </c>
      <c r="P1197" t="s">
        <v>78</v>
      </c>
      <c r="Q1197" t="s">
        <v>50</v>
      </c>
      <c r="R1197" t="s">
        <v>111</v>
      </c>
      <c r="S1197" t="s">
        <v>51</v>
      </c>
      <c r="T1197" t="s">
        <v>112</v>
      </c>
      <c r="U1197" s="1">
        <v>46076.275520833333</v>
      </c>
      <c r="V1197" t="s">
        <v>54</v>
      </c>
      <c r="W1197" t="s">
        <v>55</v>
      </c>
      <c r="X1197" t="s">
        <v>113</v>
      </c>
      <c r="Y1197" t="s">
        <v>5522</v>
      </c>
      <c r="Z1197" t="s">
        <v>58</v>
      </c>
      <c r="AA1197" t="s">
        <v>54</v>
      </c>
      <c r="AB1197" t="s">
        <v>115</v>
      </c>
      <c r="AC1197" t="s">
        <v>85</v>
      </c>
      <c r="AD1197" t="s">
        <v>116</v>
      </c>
      <c r="AE1197" t="s">
        <v>574</v>
      </c>
      <c r="AF1197" t="s">
        <v>664</v>
      </c>
      <c r="AG1197" t="s">
        <v>58</v>
      </c>
      <c r="AH1197" t="s">
        <v>3491</v>
      </c>
      <c r="AK1197">
        <v>1</v>
      </c>
      <c r="AL1197" t="s">
        <v>61</v>
      </c>
      <c r="AM1197" t="s">
        <v>3492</v>
      </c>
      <c r="AN1197" t="s">
        <v>3493</v>
      </c>
    </row>
    <row r="1198" spans="1:40" x14ac:dyDescent="0.35">
      <c r="A1198" t="s">
        <v>37</v>
      </c>
      <c r="B1198" t="s">
        <v>5523</v>
      </c>
      <c r="C1198" t="s">
        <v>102</v>
      </c>
      <c r="D1198" t="s">
        <v>3486</v>
      </c>
      <c r="E1198" t="s">
        <v>3487</v>
      </c>
      <c r="F1198" s="1">
        <v>46076.203182870369</v>
      </c>
      <c r="G1198" t="s">
        <v>105</v>
      </c>
      <c r="H1198" t="s">
        <v>106</v>
      </c>
      <c r="I1198" t="s">
        <v>1845</v>
      </c>
      <c r="J1198" t="s">
        <v>108</v>
      </c>
      <c r="K1198" t="s">
        <v>571</v>
      </c>
      <c r="M1198" t="s">
        <v>76</v>
      </c>
      <c r="O1198" t="s">
        <v>77</v>
      </c>
      <c r="P1198" t="s">
        <v>78</v>
      </c>
      <c r="Q1198" t="s">
        <v>50</v>
      </c>
      <c r="R1198" t="s">
        <v>111</v>
      </c>
      <c r="S1198" t="s">
        <v>51</v>
      </c>
      <c r="T1198" t="s">
        <v>112</v>
      </c>
      <c r="U1198" s="1">
        <v>46076.417604166665</v>
      </c>
      <c r="V1198" t="s">
        <v>54</v>
      </c>
      <c r="W1198" t="s">
        <v>55</v>
      </c>
      <c r="X1198" t="s">
        <v>113</v>
      </c>
      <c r="Y1198" t="s">
        <v>1577</v>
      </c>
      <c r="Z1198" t="s">
        <v>58</v>
      </c>
      <c r="AA1198" t="s">
        <v>54</v>
      </c>
      <c r="AB1198" t="s">
        <v>115</v>
      </c>
      <c r="AC1198" t="s">
        <v>85</v>
      </c>
      <c r="AD1198" t="s">
        <v>116</v>
      </c>
      <c r="AE1198" t="s">
        <v>574</v>
      </c>
      <c r="AF1198" t="s">
        <v>664</v>
      </c>
      <c r="AG1198" t="s">
        <v>58</v>
      </c>
      <c r="AH1198" t="s">
        <v>3491</v>
      </c>
      <c r="AK1198">
        <v>1</v>
      </c>
      <c r="AL1198" t="s">
        <v>61</v>
      </c>
      <c r="AM1198" t="s">
        <v>3492</v>
      </c>
      <c r="AN1198" t="s">
        <v>3493</v>
      </c>
    </row>
    <row r="1199" spans="1:40" x14ac:dyDescent="0.35">
      <c r="A1199" t="s">
        <v>37</v>
      </c>
      <c r="B1199" t="s">
        <v>5524</v>
      </c>
      <c r="C1199" t="s">
        <v>102</v>
      </c>
      <c r="D1199" t="s">
        <v>3486</v>
      </c>
      <c r="E1199" t="s">
        <v>3487</v>
      </c>
      <c r="F1199" s="1">
        <v>46076.199687499997</v>
      </c>
      <c r="G1199" t="s">
        <v>105</v>
      </c>
      <c r="H1199" t="s">
        <v>106</v>
      </c>
      <c r="I1199" t="s">
        <v>5525</v>
      </c>
      <c r="J1199" t="s">
        <v>108</v>
      </c>
      <c r="K1199" t="s">
        <v>109</v>
      </c>
      <c r="M1199" t="s">
        <v>76</v>
      </c>
      <c r="O1199" t="s">
        <v>77</v>
      </c>
      <c r="P1199" t="s">
        <v>78</v>
      </c>
      <c r="Q1199" t="s">
        <v>50</v>
      </c>
      <c r="R1199" t="s">
        <v>111</v>
      </c>
      <c r="S1199" t="s">
        <v>51</v>
      </c>
      <c r="T1199" t="s">
        <v>1583</v>
      </c>
      <c r="U1199" s="1">
        <v>46077.821712962963</v>
      </c>
      <c r="V1199" t="s">
        <v>54</v>
      </c>
      <c r="W1199" t="s">
        <v>1584</v>
      </c>
      <c r="X1199" t="s">
        <v>113</v>
      </c>
      <c r="Y1199" t="s">
        <v>5526</v>
      </c>
      <c r="Z1199" t="s">
        <v>58</v>
      </c>
      <c r="AA1199" t="s">
        <v>54</v>
      </c>
      <c r="AB1199" t="s">
        <v>115</v>
      </c>
      <c r="AC1199" t="s">
        <v>85</v>
      </c>
      <c r="AD1199" t="s">
        <v>116</v>
      </c>
      <c r="AE1199" t="s">
        <v>1586</v>
      </c>
      <c r="AF1199" t="s">
        <v>664</v>
      </c>
      <c r="AG1199" t="s">
        <v>58</v>
      </c>
      <c r="AH1199" t="s">
        <v>3491</v>
      </c>
      <c r="AK1199">
        <v>1</v>
      </c>
      <c r="AL1199" t="s">
        <v>61</v>
      </c>
      <c r="AM1199" t="s">
        <v>3492</v>
      </c>
      <c r="AN1199" t="s">
        <v>3493</v>
      </c>
    </row>
    <row r="1200" spans="1:40" x14ac:dyDescent="0.35">
      <c r="A1200" t="s">
        <v>37</v>
      </c>
      <c r="B1200" t="s">
        <v>5527</v>
      </c>
      <c r="C1200" t="s">
        <v>102</v>
      </c>
      <c r="D1200" t="s">
        <v>3486</v>
      </c>
      <c r="E1200" t="s">
        <v>3487</v>
      </c>
      <c r="F1200" s="1">
        <v>46076.198946759258</v>
      </c>
      <c r="G1200" t="s">
        <v>105</v>
      </c>
      <c r="H1200" t="s">
        <v>106</v>
      </c>
      <c r="I1200" t="s">
        <v>5528</v>
      </c>
      <c r="J1200" t="s">
        <v>108</v>
      </c>
      <c r="K1200" t="s">
        <v>109</v>
      </c>
      <c r="M1200" t="s">
        <v>76</v>
      </c>
      <c r="O1200" t="s">
        <v>77</v>
      </c>
      <c r="P1200" t="s">
        <v>78</v>
      </c>
      <c r="Q1200" t="s">
        <v>50</v>
      </c>
      <c r="R1200" t="s">
        <v>111</v>
      </c>
      <c r="S1200" t="s">
        <v>51</v>
      </c>
      <c r="T1200" t="s">
        <v>1583</v>
      </c>
      <c r="U1200" s="1">
        <v>46076.280671296299</v>
      </c>
      <c r="V1200" t="s">
        <v>54</v>
      </c>
      <c r="W1200" t="s">
        <v>55</v>
      </c>
      <c r="X1200" t="s">
        <v>113</v>
      </c>
      <c r="Y1200" t="s">
        <v>5529</v>
      </c>
      <c r="Z1200" t="s">
        <v>58</v>
      </c>
      <c r="AA1200" t="s">
        <v>54</v>
      </c>
      <c r="AB1200" t="s">
        <v>115</v>
      </c>
      <c r="AC1200" t="s">
        <v>85</v>
      </c>
      <c r="AD1200" t="s">
        <v>116</v>
      </c>
      <c r="AE1200" t="s">
        <v>1586</v>
      </c>
      <c r="AF1200" t="s">
        <v>664</v>
      </c>
      <c r="AG1200" t="s">
        <v>58</v>
      </c>
      <c r="AH1200" t="s">
        <v>3491</v>
      </c>
      <c r="AK1200">
        <v>1</v>
      </c>
      <c r="AL1200" t="s">
        <v>61</v>
      </c>
      <c r="AM1200" t="s">
        <v>3492</v>
      </c>
      <c r="AN1200" t="s">
        <v>3493</v>
      </c>
    </row>
    <row r="1201" spans="1:40" x14ac:dyDescent="0.35">
      <c r="A1201" t="s">
        <v>37</v>
      </c>
      <c r="B1201" t="s">
        <v>5530</v>
      </c>
      <c r="C1201" t="s">
        <v>102</v>
      </c>
      <c r="D1201" t="s">
        <v>3486</v>
      </c>
      <c r="E1201" t="s">
        <v>3487</v>
      </c>
      <c r="F1201" s="1">
        <v>46076.197337962964</v>
      </c>
      <c r="G1201" t="s">
        <v>105</v>
      </c>
      <c r="H1201" t="s">
        <v>106</v>
      </c>
      <c r="I1201" t="s">
        <v>5531</v>
      </c>
      <c r="J1201" t="s">
        <v>108</v>
      </c>
      <c r="K1201" t="s">
        <v>109</v>
      </c>
      <c r="M1201" t="s">
        <v>76</v>
      </c>
      <c r="O1201" t="s">
        <v>77</v>
      </c>
      <c r="P1201" t="s">
        <v>78</v>
      </c>
      <c r="Q1201" t="s">
        <v>50</v>
      </c>
      <c r="R1201" t="s">
        <v>111</v>
      </c>
      <c r="S1201" t="s">
        <v>51</v>
      </c>
      <c r="T1201" t="s">
        <v>1583</v>
      </c>
      <c r="U1201" s="1">
        <v>46076.281041666669</v>
      </c>
      <c r="V1201" t="s">
        <v>54</v>
      </c>
      <c r="W1201" t="s">
        <v>55</v>
      </c>
      <c r="X1201" t="s">
        <v>113</v>
      </c>
      <c r="Y1201" t="s">
        <v>5532</v>
      </c>
      <c r="Z1201" t="s">
        <v>58</v>
      </c>
      <c r="AA1201" t="s">
        <v>54</v>
      </c>
      <c r="AB1201" t="s">
        <v>115</v>
      </c>
      <c r="AC1201" t="s">
        <v>85</v>
      </c>
      <c r="AD1201" t="s">
        <v>116</v>
      </c>
      <c r="AE1201" t="s">
        <v>1586</v>
      </c>
      <c r="AF1201" t="s">
        <v>664</v>
      </c>
      <c r="AG1201" t="s">
        <v>58</v>
      </c>
      <c r="AH1201" t="s">
        <v>3491</v>
      </c>
      <c r="AK1201">
        <v>1</v>
      </c>
      <c r="AL1201" t="s">
        <v>61</v>
      </c>
      <c r="AM1201" t="s">
        <v>3492</v>
      </c>
      <c r="AN1201" t="s">
        <v>3493</v>
      </c>
    </row>
    <row r="1202" spans="1:40" x14ac:dyDescent="0.35">
      <c r="A1202" t="s">
        <v>37</v>
      </c>
      <c r="B1202" t="s">
        <v>5533</v>
      </c>
      <c r="C1202" t="s">
        <v>102</v>
      </c>
      <c r="D1202" t="s">
        <v>3486</v>
      </c>
      <c r="E1202" t="s">
        <v>3487</v>
      </c>
      <c r="F1202" s="1">
        <v>46076.196099537039</v>
      </c>
      <c r="G1202" t="s">
        <v>105</v>
      </c>
      <c r="H1202" t="s">
        <v>106</v>
      </c>
      <c r="I1202" t="s">
        <v>5534</v>
      </c>
      <c r="J1202" t="s">
        <v>108</v>
      </c>
      <c r="K1202" t="s">
        <v>109</v>
      </c>
      <c r="M1202" t="s">
        <v>76</v>
      </c>
      <c r="O1202" t="s">
        <v>77</v>
      </c>
      <c r="P1202" t="s">
        <v>78</v>
      </c>
      <c r="Q1202" t="s">
        <v>50</v>
      </c>
      <c r="R1202" t="s">
        <v>111</v>
      </c>
      <c r="S1202" t="s">
        <v>51</v>
      </c>
      <c r="T1202" t="s">
        <v>1583</v>
      </c>
      <c r="U1202" s="1">
        <v>46076.281400462962</v>
      </c>
      <c r="V1202" t="s">
        <v>54</v>
      </c>
      <c r="W1202" t="s">
        <v>55</v>
      </c>
      <c r="X1202" t="s">
        <v>113</v>
      </c>
      <c r="Y1202" t="s">
        <v>5535</v>
      </c>
      <c r="Z1202" t="s">
        <v>58</v>
      </c>
      <c r="AA1202" t="s">
        <v>54</v>
      </c>
      <c r="AB1202" t="s">
        <v>115</v>
      </c>
      <c r="AC1202" t="s">
        <v>85</v>
      </c>
      <c r="AD1202" t="s">
        <v>116</v>
      </c>
      <c r="AE1202" t="s">
        <v>1586</v>
      </c>
      <c r="AF1202" t="s">
        <v>664</v>
      </c>
      <c r="AG1202" t="s">
        <v>58</v>
      </c>
      <c r="AH1202" t="s">
        <v>3491</v>
      </c>
      <c r="AK1202">
        <v>1</v>
      </c>
      <c r="AL1202" t="s">
        <v>61</v>
      </c>
      <c r="AM1202" t="s">
        <v>3492</v>
      </c>
      <c r="AN1202" t="s">
        <v>3493</v>
      </c>
    </row>
    <row r="1203" spans="1:40" x14ac:dyDescent="0.35">
      <c r="A1203" t="s">
        <v>37</v>
      </c>
      <c r="B1203" t="s">
        <v>5536</v>
      </c>
      <c r="C1203" t="s">
        <v>102</v>
      </c>
      <c r="D1203" t="s">
        <v>3486</v>
      </c>
      <c r="E1203" t="s">
        <v>3487</v>
      </c>
      <c r="F1203" s="1">
        <v>46076.195428240739</v>
      </c>
      <c r="G1203" t="s">
        <v>105</v>
      </c>
      <c r="H1203" t="s">
        <v>106</v>
      </c>
      <c r="I1203" t="s">
        <v>5537</v>
      </c>
      <c r="J1203" t="s">
        <v>108</v>
      </c>
      <c r="K1203" t="s">
        <v>109</v>
      </c>
      <c r="M1203" t="s">
        <v>76</v>
      </c>
      <c r="O1203" t="s">
        <v>77</v>
      </c>
      <c r="P1203" t="s">
        <v>78</v>
      </c>
      <c r="Q1203" t="s">
        <v>50</v>
      </c>
      <c r="R1203" t="s">
        <v>111</v>
      </c>
      <c r="S1203" t="s">
        <v>51</v>
      </c>
      <c r="T1203" t="s">
        <v>1583</v>
      </c>
      <c r="U1203" s="1">
        <v>46076.281770833331</v>
      </c>
      <c r="V1203" t="s">
        <v>54</v>
      </c>
      <c r="W1203" t="s">
        <v>55</v>
      </c>
      <c r="X1203" t="s">
        <v>113</v>
      </c>
      <c r="Y1203" t="s">
        <v>3572</v>
      </c>
      <c r="Z1203" t="s">
        <v>58</v>
      </c>
      <c r="AA1203" t="s">
        <v>54</v>
      </c>
      <c r="AB1203" t="s">
        <v>115</v>
      </c>
      <c r="AC1203" t="s">
        <v>85</v>
      </c>
      <c r="AD1203" t="s">
        <v>116</v>
      </c>
      <c r="AE1203" t="s">
        <v>1586</v>
      </c>
      <c r="AF1203" t="s">
        <v>664</v>
      </c>
      <c r="AG1203" t="s">
        <v>58</v>
      </c>
      <c r="AH1203" t="s">
        <v>3491</v>
      </c>
      <c r="AK1203">
        <v>1</v>
      </c>
      <c r="AL1203" t="s">
        <v>61</v>
      </c>
      <c r="AM1203" t="s">
        <v>3492</v>
      </c>
      <c r="AN1203" t="s">
        <v>3493</v>
      </c>
    </row>
    <row r="1204" spans="1:40" x14ac:dyDescent="0.35">
      <c r="A1204" t="s">
        <v>37</v>
      </c>
      <c r="B1204" t="s">
        <v>5538</v>
      </c>
      <c r="C1204" t="s">
        <v>102</v>
      </c>
      <c r="D1204" t="s">
        <v>3486</v>
      </c>
      <c r="E1204" t="s">
        <v>3487</v>
      </c>
      <c r="F1204" s="1">
        <v>46076.191296296296</v>
      </c>
      <c r="G1204" t="s">
        <v>105</v>
      </c>
      <c r="H1204" t="s">
        <v>106</v>
      </c>
      <c r="I1204" t="s">
        <v>5100</v>
      </c>
      <c r="J1204" t="s">
        <v>108</v>
      </c>
      <c r="K1204" t="s">
        <v>109</v>
      </c>
      <c r="M1204" t="s">
        <v>76</v>
      </c>
      <c r="O1204" t="s">
        <v>77</v>
      </c>
      <c r="P1204" t="s">
        <v>78</v>
      </c>
      <c r="Q1204" t="s">
        <v>50</v>
      </c>
      <c r="R1204" t="s">
        <v>111</v>
      </c>
      <c r="S1204" t="s">
        <v>51</v>
      </c>
      <c r="T1204" t="s">
        <v>112</v>
      </c>
      <c r="U1204" s="1">
        <v>46077.345636574071</v>
      </c>
      <c r="V1204" t="s">
        <v>54</v>
      </c>
      <c r="W1204" t="s">
        <v>1584</v>
      </c>
      <c r="X1204" t="s">
        <v>113</v>
      </c>
      <c r="Y1204" t="s">
        <v>5539</v>
      </c>
      <c r="Z1204" t="s">
        <v>58</v>
      </c>
      <c r="AA1204" t="s">
        <v>54</v>
      </c>
      <c r="AB1204" t="s">
        <v>115</v>
      </c>
      <c r="AC1204" t="s">
        <v>85</v>
      </c>
      <c r="AD1204" t="s">
        <v>116</v>
      </c>
      <c r="AE1204" t="s">
        <v>117</v>
      </c>
      <c r="AF1204" t="s">
        <v>664</v>
      </c>
      <c r="AG1204" t="s">
        <v>58</v>
      </c>
      <c r="AH1204" t="s">
        <v>3491</v>
      </c>
      <c r="AK1204">
        <v>1</v>
      </c>
      <c r="AL1204" t="s">
        <v>61</v>
      </c>
      <c r="AM1204" t="s">
        <v>3492</v>
      </c>
      <c r="AN1204" t="s">
        <v>3493</v>
      </c>
    </row>
    <row r="1205" spans="1:40" x14ac:dyDescent="0.35">
      <c r="A1205" t="s">
        <v>37</v>
      </c>
      <c r="B1205" t="s">
        <v>5540</v>
      </c>
      <c r="C1205" t="s">
        <v>656</v>
      </c>
      <c r="D1205" t="s">
        <v>5040</v>
      </c>
      <c r="E1205" t="s">
        <v>5041</v>
      </c>
      <c r="F1205" s="1">
        <v>46076.185636574075</v>
      </c>
      <c r="G1205" t="s">
        <v>355</v>
      </c>
      <c r="H1205" t="s">
        <v>356</v>
      </c>
      <c r="I1205" t="s">
        <v>5541</v>
      </c>
      <c r="J1205" t="s">
        <v>1318</v>
      </c>
      <c r="K1205" t="s">
        <v>1319</v>
      </c>
      <c r="M1205" t="s">
        <v>76</v>
      </c>
      <c r="O1205" t="s">
        <v>77</v>
      </c>
      <c r="P1205" t="s">
        <v>78</v>
      </c>
      <c r="Q1205" t="s">
        <v>50</v>
      </c>
      <c r="R1205" t="s">
        <v>1321</v>
      </c>
      <c r="S1205" t="s">
        <v>1322</v>
      </c>
      <c r="T1205" t="s">
        <v>5542</v>
      </c>
      <c r="U1205" s="1">
        <v>46078.411319444444</v>
      </c>
      <c r="V1205" t="s">
        <v>54</v>
      </c>
      <c r="W1205" t="s">
        <v>55</v>
      </c>
      <c r="X1205" t="s">
        <v>56</v>
      </c>
      <c r="Y1205" t="s">
        <v>5543</v>
      </c>
      <c r="Z1205" t="s">
        <v>58</v>
      </c>
      <c r="AA1205" t="s">
        <v>54</v>
      </c>
      <c r="AB1205" t="s">
        <v>5044</v>
      </c>
      <c r="AC1205" t="s">
        <v>85</v>
      </c>
      <c r="AD1205" t="s">
        <v>1321</v>
      </c>
      <c r="AE1205" t="s">
        <v>1322</v>
      </c>
      <c r="AF1205" t="s">
        <v>5542</v>
      </c>
      <c r="AG1205" t="s">
        <v>58</v>
      </c>
      <c r="AH1205" t="s">
        <v>5043</v>
      </c>
      <c r="AK1205">
        <v>0</v>
      </c>
      <c r="AL1205" t="s">
        <v>61</v>
      </c>
      <c r="AM1205" t="s">
        <v>5044</v>
      </c>
      <c r="AN1205" t="s">
        <v>5045</v>
      </c>
    </row>
    <row r="1206" spans="1:40" x14ac:dyDescent="0.35">
      <c r="A1206" t="s">
        <v>37</v>
      </c>
      <c r="B1206" t="s">
        <v>5544</v>
      </c>
      <c r="C1206" t="s">
        <v>39</v>
      </c>
      <c r="D1206" t="s">
        <v>40</v>
      </c>
      <c r="E1206" t="s">
        <v>41</v>
      </c>
      <c r="F1206" s="1">
        <v>46076.161215277774</v>
      </c>
      <c r="G1206" t="s">
        <v>42</v>
      </c>
      <c r="H1206" t="s">
        <v>43</v>
      </c>
      <c r="I1206" t="s">
        <v>5545</v>
      </c>
      <c r="J1206" t="s">
        <v>45</v>
      </c>
      <c r="K1206" t="s">
        <v>46</v>
      </c>
      <c r="M1206" t="s">
        <v>47</v>
      </c>
      <c r="O1206" t="s">
        <v>48</v>
      </c>
      <c r="P1206" t="s">
        <v>49</v>
      </c>
      <c r="Q1206" t="s">
        <v>50</v>
      </c>
      <c r="R1206" t="s">
        <v>51</v>
      </c>
      <c r="S1206" t="s">
        <v>52</v>
      </c>
      <c r="T1206" t="s">
        <v>53</v>
      </c>
      <c r="U1206" s="1">
        <v>46076.161874999998</v>
      </c>
      <c r="V1206" t="s">
        <v>54</v>
      </c>
      <c r="W1206" t="s">
        <v>55</v>
      </c>
      <c r="X1206" t="s">
        <v>56</v>
      </c>
      <c r="Y1206" t="s">
        <v>57</v>
      </c>
      <c r="Z1206" t="s">
        <v>58</v>
      </c>
      <c r="AA1206" t="s">
        <v>54</v>
      </c>
      <c r="AB1206" t="s">
        <v>59</v>
      </c>
      <c r="AC1206" t="s">
        <v>60</v>
      </c>
      <c r="AD1206" t="s">
        <v>51</v>
      </c>
      <c r="AE1206" t="s">
        <v>52</v>
      </c>
      <c r="AF1206" t="s">
        <v>53</v>
      </c>
      <c r="AG1206" t="s">
        <v>58</v>
      </c>
      <c r="AK1206">
        <v>0</v>
      </c>
      <c r="AL1206" t="s">
        <v>61</v>
      </c>
      <c r="AM1206" t="s">
        <v>59</v>
      </c>
      <c r="AN1206" t="s">
        <v>62</v>
      </c>
    </row>
    <row r="1207" spans="1:40" x14ac:dyDescent="0.35">
      <c r="A1207" t="s">
        <v>37</v>
      </c>
      <c r="B1207" t="s">
        <v>5546</v>
      </c>
      <c r="C1207" t="s">
        <v>39</v>
      </c>
      <c r="D1207" t="s">
        <v>40</v>
      </c>
      <c r="E1207" t="s">
        <v>41</v>
      </c>
      <c r="F1207" s="1">
        <v>46076.140509259261</v>
      </c>
      <c r="G1207" t="s">
        <v>42</v>
      </c>
      <c r="H1207" t="s">
        <v>43</v>
      </c>
      <c r="I1207" t="s">
        <v>5547</v>
      </c>
      <c r="J1207" t="s">
        <v>45</v>
      </c>
      <c r="K1207" t="s">
        <v>46</v>
      </c>
      <c r="M1207" t="s">
        <v>47</v>
      </c>
      <c r="O1207" t="s">
        <v>48</v>
      </c>
      <c r="P1207" t="s">
        <v>49</v>
      </c>
      <c r="Q1207" t="s">
        <v>50</v>
      </c>
      <c r="R1207" t="s">
        <v>51</v>
      </c>
      <c r="S1207" t="s">
        <v>52</v>
      </c>
      <c r="T1207" t="s">
        <v>53</v>
      </c>
      <c r="U1207" s="1">
        <v>46076.141203703701</v>
      </c>
      <c r="V1207" t="s">
        <v>54</v>
      </c>
      <c r="W1207" t="s">
        <v>55</v>
      </c>
      <c r="X1207" t="s">
        <v>56</v>
      </c>
      <c r="Y1207" t="s">
        <v>57</v>
      </c>
      <c r="Z1207" t="s">
        <v>58</v>
      </c>
      <c r="AA1207" t="s">
        <v>54</v>
      </c>
      <c r="AB1207" t="s">
        <v>59</v>
      </c>
      <c r="AC1207" t="s">
        <v>60</v>
      </c>
      <c r="AD1207" t="s">
        <v>51</v>
      </c>
      <c r="AE1207" t="s">
        <v>52</v>
      </c>
      <c r="AF1207" t="s">
        <v>53</v>
      </c>
      <c r="AG1207" t="s">
        <v>58</v>
      </c>
      <c r="AK1207">
        <v>0</v>
      </c>
      <c r="AL1207" t="s">
        <v>61</v>
      </c>
      <c r="AM1207" t="s">
        <v>59</v>
      </c>
      <c r="AN1207" t="s">
        <v>62</v>
      </c>
    </row>
    <row r="1208" spans="1:40" x14ac:dyDescent="0.35">
      <c r="A1208" t="s">
        <v>37</v>
      </c>
      <c r="B1208" t="s">
        <v>5548</v>
      </c>
      <c r="C1208" t="s">
        <v>39</v>
      </c>
      <c r="D1208" t="s">
        <v>40</v>
      </c>
      <c r="E1208" t="s">
        <v>41</v>
      </c>
      <c r="F1208" s="1">
        <v>46076.129965277774</v>
      </c>
      <c r="G1208" t="s">
        <v>42</v>
      </c>
      <c r="H1208" t="s">
        <v>43</v>
      </c>
      <c r="I1208" t="s">
        <v>5549</v>
      </c>
      <c r="J1208" t="s">
        <v>45</v>
      </c>
      <c r="K1208" t="s">
        <v>46</v>
      </c>
      <c r="M1208" t="s">
        <v>47</v>
      </c>
      <c r="O1208" t="s">
        <v>48</v>
      </c>
      <c r="P1208" t="s">
        <v>49</v>
      </c>
      <c r="Q1208" t="s">
        <v>50</v>
      </c>
      <c r="R1208" t="s">
        <v>51</v>
      </c>
      <c r="S1208" t="s">
        <v>52</v>
      </c>
      <c r="T1208" t="s">
        <v>53</v>
      </c>
      <c r="U1208" s="1">
        <v>46076.130659722221</v>
      </c>
      <c r="V1208" t="s">
        <v>54</v>
      </c>
      <c r="W1208" t="s">
        <v>55</v>
      </c>
      <c r="X1208" t="s">
        <v>56</v>
      </c>
      <c r="Y1208" t="s">
        <v>65</v>
      </c>
      <c r="Z1208" t="s">
        <v>58</v>
      </c>
      <c r="AA1208" t="s">
        <v>54</v>
      </c>
      <c r="AB1208" t="s">
        <v>59</v>
      </c>
      <c r="AC1208" t="s">
        <v>60</v>
      </c>
      <c r="AD1208" t="s">
        <v>51</v>
      </c>
      <c r="AE1208" t="s">
        <v>52</v>
      </c>
      <c r="AF1208" t="s">
        <v>53</v>
      </c>
      <c r="AG1208" t="s">
        <v>58</v>
      </c>
      <c r="AK1208">
        <v>0</v>
      </c>
      <c r="AL1208" t="s">
        <v>61</v>
      </c>
      <c r="AM1208" t="s">
        <v>59</v>
      </c>
      <c r="AN1208" t="s">
        <v>62</v>
      </c>
    </row>
    <row r="1209" spans="1:40" x14ac:dyDescent="0.35">
      <c r="A1209" t="s">
        <v>37</v>
      </c>
      <c r="B1209" t="s">
        <v>5550</v>
      </c>
      <c r="C1209" t="s">
        <v>39</v>
      </c>
      <c r="D1209" t="s">
        <v>40</v>
      </c>
      <c r="E1209" t="s">
        <v>41</v>
      </c>
      <c r="F1209" s="1">
        <v>46076.098726851851</v>
      </c>
      <c r="G1209" t="s">
        <v>42</v>
      </c>
      <c r="H1209" t="s">
        <v>43</v>
      </c>
      <c r="I1209" t="s">
        <v>5551</v>
      </c>
      <c r="J1209" t="s">
        <v>45</v>
      </c>
      <c r="K1209" t="s">
        <v>46</v>
      </c>
      <c r="M1209" t="s">
        <v>47</v>
      </c>
      <c r="O1209" t="s">
        <v>48</v>
      </c>
      <c r="P1209" t="s">
        <v>49</v>
      </c>
      <c r="Q1209" t="s">
        <v>50</v>
      </c>
      <c r="R1209" t="s">
        <v>51</v>
      </c>
      <c r="S1209" t="s">
        <v>52</v>
      </c>
      <c r="T1209" t="s">
        <v>53</v>
      </c>
      <c r="U1209" s="1">
        <v>46076.099421296298</v>
      </c>
      <c r="V1209" t="s">
        <v>54</v>
      </c>
      <c r="W1209" t="s">
        <v>55</v>
      </c>
      <c r="X1209" t="s">
        <v>56</v>
      </c>
      <c r="Y1209" t="s">
        <v>57</v>
      </c>
      <c r="Z1209" t="s">
        <v>58</v>
      </c>
      <c r="AA1209" t="s">
        <v>54</v>
      </c>
      <c r="AB1209" t="s">
        <v>59</v>
      </c>
      <c r="AC1209" t="s">
        <v>60</v>
      </c>
      <c r="AD1209" t="s">
        <v>51</v>
      </c>
      <c r="AE1209" t="s">
        <v>52</v>
      </c>
      <c r="AF1209" t="s">
        <v>53</v>
      </c>
      <c r="AG1209" t="s">
        <v>58</v>
      </c>
      <c r="AK1209">
        <v>0</v>
      </c>
      <c r="AL1209" t="s">
        <v>61</v>
      </c>
      <c r="AM1209" t="s">
        <v>59</v>
      </c>
      <c r="AN1209" t="s">
        <v>62</v>
      </c>
    </row>
    <row r="1210" spans="1:40" x14ac:dyDescent="0.35">
      <c r="A1210" t="s">
        <v>37</v>
      </c>
      <c r="B1210" t="s">
        <v>5552</v>
      </c>
      <c r="C1210" t="s">
        <v>39</v>
      </c>
      <c r="D1210" t="s">
        <v>303</v>
      </c>
      <c r="E1210" t="s">
        <v>5553</v>
      </c>
      <c r="F1210" s="1">
        <v>46076.094768518517</v>
      </c>
      <c r="G1210" t="s">
        <v>297</v>
      </c>
      <c r="H1210" t="s">
        <v>287</v>
      </c>
      <c r="I1210" t="s">
        <v>5554</v>
      </c>
      <c r="J1210" t="s">
        <v>5555</v>
      </c>
      <c r="K1210" t="s">
        <v>5556</v>
      </c>
      <c r="M1210" t="s">
        <v>76</v>
      </c>
      <c r="O1210" t="s">
        <v>77</v>
      </c>
      <c r="P1210" t="s">
        <v>78</v>
      </c>
      <c r="Q1210" t="s">
        <v>50</v>
      </c>
      <c r="R1210" t="s">
        <v>51</v>
      </c>
      <c r="S1210" t="s">
        <v>52</v>
      </c>
      <c r="T1210" t="s">
        <v>773</v>
      </c>
      <c r="U1210" s="1">
        <v>46076.578136574077</v>
      </c>
      <c r="V1210" t="s">
        <v>54</v>
      </c>
      <c r="W1210" t="s">
        <v>55</v>
      </c>
      <c r="X1210" t="s">
        <v>134</v>
      </c>
      <c r="Y1210" t="s">
        <v>5557</v>
      </c>
      <c r="Z1210" t="s">
        <v>58</v>
      </c>
      <c r="AA1210" t="s">
        <v>54</v>
      </c>
      <c r="AB1210" t="s">
        <v>3425</v>
      </c>
      <c r="AC1210" t="s">
        <v>85</v>
      </c>
      <c r="AD1210" t="s">
        <v>52</v>
      </c>
      <c r="AE1210" t="s">
        <v>438</v>
      </c>
      <c r="AF1210" t="s">
        <v>2204</v>
      </c>
      <c r="AG1210" t="s">
        <v>58</v>
      </c>
      <c r="AH1210">
        <v>15239</v>
      </c>
      <c r="AK1210">
        <v>0</v>
      </c>
      <c r="AL1210" t="s">
        <v>61</v>
      </c>
      <c r="AM1210" t="s">
        <v>5558</v>
      </c>
      <c r="AN1210" t="s">
        <v>5559</v>
      </c>
    </row>
    <row r="1211" spans="1:40" x14ac:dyDescent="0.35">
      <c r="A1211" t="s">
        <v>37</v>
      </c>
      <c r="B1211" t="s">
        <v>5560</v>
      </c>
      <c r="C1211" t="s">
        <v>39</v>
      </c>
      <c r="D1211" t="s">
        <v>1646</v>
      </c>
      <c r="E1211" t="s">
        <v>1647</v>
      </c>
      <c r="F1211" s="1">
        <v>46076.093761574077</v>
      </c>
      <c r="G1211" t="s">
        <v>355</v>
      </c>
      <c r="H1211" t="s">
        <v>356</v>
      </c>
      <c r="I1211" t="s">
        <v>5561</v>
      </c>
      <c r="J1211" t="s">
        <v>1649</v>
      </c>
      <c r="K1211" t="s">
        <v>1650</v>
      </c>
      <c r="M1211" t="s">
        <v>131</v>
      </c>
      <c r="O1211" t="s">
        <v>77</v>
      </c>
      <c r="P1211" t="s">
        <v>78</v>
      </c>
      <c r="Q1211" t="s">
        <v>50</v>
      </c>
      <c r="R1211" t="s">
        <v>79</v>
      </c>
      <c r="S1211" t="s">
        <v>1556</v>
      </c>
      <c r="T1211" t="s">
        <v>1557</v>
      </c>
      <c r="U1211" s="1">
        <v>46077.968078703707</v>
      </c>
      <c r="V1211" t="s">
        <v>54</v>
      </c>
      <c r="W1211" t="s">
        <v>55</v>
      </c>
      <c r="X1211" t="s">
        <v>134</v>
      </c>
      <c r="Y1211" t="s">
        <v>5562</v>
      </c>
      <c r="Z1211" t="s">
        <v>58</v>
      </c>
      <c r="AA1211" t="s">
        <v>54</v>
      </c>
      <c r="AB1211" t="s">
        <v>3425</v>
      </c>
      <c r="AC1211" t="s">
        <v>85</v>
      </c>
      <c r="AD1211" t="s">
        <v>79</v>
      </c>
      <c r="AE1211" t="s">
        <v>1556</v>
      </c>
      <c r="AF1211" t="s">
        <v>1557</v>
      </c>
      <c r="AG1211" t="s">
        <v>58</v>
      </c>
      <c r="AH1211" t="s">
        <v>1652</v>
      </c>
      <c r="AK1211">
        <v>0</v>
      </c>
      <c r="AL1211" t="s">
        <v>61</v>
      </c>
      <c r="AM1211" t="s">
        <v>1653</v>
      </c>
      <c r="AN1211" t="s">
        <v>1654</v>
      </c>
    </row>
    <row r="1212" spans="1:40" x14ac:dyDescent="0.35">
      <c r="A1212" t="s">
        <v>37</v>
      </c>
      <c r="B1212" t="s">
        <v>5563</v>
      </c>
      <c r="C1212" t="s">
        <v>39</v>
      </c>
      <c r="D1212" t="s">
        <v>1255</v>
      </c>
      <c r="E1212" t="s">
        <v>1256</v>
      </c>
      <c r="F1212" s="1">
        <v>46076.089965277781</v>
      </c>
      <c r="G1212" t="s">
        <v>913</v>
      </c>
      <c r="H1212" t="s">
        <v>72</v>
      </c>
      <c r="I1212" t="s">
        <v>5564</v>
      </c>
      <c r="J1212" t="s">
        <v>2718</v>
      </c>
      <c r="K1212" t="s">
        <v>951</v>
      </c>
      <c r="M1212" t="s">
        <v>76</v>
      </c>
      <c r="O1212" t="s">
        <v>77</v>
      </c>
      <c r="P1212" t="s">
        <v>78</v>
      </c>
      <c r="Q1212" t="s">
        <v>50</v>
      </c>
      <c r="R1212" t="s">
        <v>79</v>
      </c>
      <c r="S1212" t="s">
        <v>1556</v>
      </c>
      <c r="T1212" t="s">
        <v>1557</v>
      </c>
      <c r="U1212" s="1">
        <v>46077.322627314818</v>
      </c>
      <c r="V1212" t="s">
        <v>54</v>
      </c>
      <c r="W1212" t="s">
        <v>55</v>
      </c>
      <c r="X1212" t="s">
        <v>134</v>
      </c>
      <c r="Y1212" t="s">
        <v>5565</v>
      </c>
      <c r="Z1212" t="s">
        <v>58</v>
      </c>
      <c r="AA1212" t="s">
        <v>54</v>
      </c>
      <c r="AB1212" t="s">
        <v>3425</v>
      </c>
      <c r="AC1212" t="s">
        <v>85</v>
      </c>
      <c r="AD1212" t="s">
        <v>79</v>
      </c>
      <c r="AE1212" t="s">
        <v>1556</v>
      </c>
      <c r="AF1212" t="s">
        <v>1557</v>
      </c>
      <c r="AG1212" t="s">
        <v>58</v>
      </c>
      <c r="AH1212" t="s">
        <v>1259</v>
      </c>
      <c r="AK1212">
        <v>0</v>
      </c>
      <c r="AL1212" t="s">
        <v>61</v>
      </c>
      <c r="AM1212" t="s">
        <v>1260</v>
      </c>
      <c r="AN1212" t="s">
        <v>1261</v>
      </c>
    </row>
    <row r="1213" spans="1:40" x14ac:dyDescent="0.35">
      <c r="A1213" t="s">
        <v>37</v>
      </c>
      <c r="B1213" t="s">
        <v>5566</v>
      </c>
      <c r="C1213" t="s">
        <v>39</v>
      </c>
      <c r="D1213" t="s">
        <v>5567</v>
      </c>
      <c r="E1213" t="s">
        <v>5568</v>
      </c>
      <c r="F1213" s="1">
        <v>46076.087766203702</v>
      </c>
      <c r="G1213" t="s">
        <v>377</v>
      </c>
      <c r="H1213" t="s">
        <v>287</v>
      </c>
      <c r="I1213" t="s">
        <v>5564</v>
      </c>
      <c r="J1213" t="s">
        <v>5027</v>
      </c>
      <c r="K1213" t="s">
        <v>951</v>
      </c>
      <c r="M1213" t="s">
        <v>76</v>
      </c>
      <c r="O1213" t="s">
        <v>77</v>
      </c>
      <c r="P1213" t="s">
        <v>78</v>
      </c>
      <c r="Q1213" t="s">
        <v>50</v>
      </c>
      <c r="R1213" t="s">
        <v>79</v>
      </c>
      <c r="S1213" t="s">
        <v>1556</v>
      </c>
      <c r="T1213" t="s">
        <v>1557</v>
      </c>
      <c r="U1213" s="1">
        <v>46078.34746527778</v>
      </c>
      <c r="V1213" t="s">
        <v>54</v>
      </c>
      <c r="W1213" t="s">
        <v>55</v>
      </c>
      <c r="X1213" t="s">
        <v>134</v>
      </c>
      <c r="Y1213" t="s">
        <v>5569</v>
      </c>
      <c r="Z1213" t="s">
        <v>58</v>
      </c>
      <c r="AA1213" t="s">
        <v>54</v>
      </c>
      <c r="AB1213" t="s">
        <v>3425</v>
      </c>
      <c r="AC1213" t="s">
        <v>85</v>
      </c>
      <c r="AD1213" t="s">
        <v>79</v>
      </c>
      <c r="AE1213" t="s">
        <v>1556</v>
      </c>
      <c r="AF1213" t="s">
        <v>1557</v>
      </c>
      <c r="AG1213" t="s">
        <v>58</v>
      </c>
      <c r="AH1213" t="s">
        <v>5570</v>
      </c>
      <c r="AK1213">
        <v>0</v>
      </c>
      <c r="AL1213" t="s">
        <v>61</v>
      </c>
      <c r="AM1213" t="s">
        <v>5571</v>
      </c>
      <c r="AN1213" t="s">
        <v>5572</v>
      </c>
    </row>
    <row r="1214" spans="1:40" x14ac:dyDescent="0.35">
      <c r="A1214" t="s">
        <v>37</v>
      </c>
      <c r="B1214" t="s">
        <v>5573</v>
      </c>
      <c r="C1214" t="s">
        <v>39</v>
      </c>
      <c r="D1214" t="s">
        <v>5574</v>
      </c>
      <c r="E1214" t="s">
        <v>5575</v>
      </c>
      <c r="F1214" s="1">
        <v>46076.086643518516</v>
      </c>
      <c r="G1214" t="s">
        <v>497</v>
      </c>
      <c r="H1214" t="s">
        <v>72</v>
      </c>
      <c r="I1214" t="s">
        <v>5564</v>
      </c>
      <c r="J1214" t="s">
        <v>2718</v>
      </c>
      <c r="K1214" t="s">
        <v>951</v>
      </c>
      <c r="M1214" t="s">
        <v>76</v>
      </c>
      <c r="O1214" t="s">
        <v>77</v>
      </c>
      <c r="P1214" t="s">
        <v>78</v>
      </c>
      <c r="R1214" t="s">
        <v>79</v>
      </c>
      <c r="S1214" t="s">
        <v>1556</v>
      </c>
      <c r="T1214" t="s">
        <v>1557</v>
      </c>
      <c r="U1214" s="1">
        <v>46078.356712962966</v>
      </c>
      <c r="V1214" t="s">
        <v>54</v>
      </c>
      <c r="W1214" t="s">
        <v>55</v>
      </c>
      <c r="X1214" t="s">
        <v>134</v>
      </c>
      <c r="Y1214" t="s">
        <v>5576</v>
      </c>
      <c r="Z1214" t="s">
        <v>58</v>
      </c>
      <c r="AA1214" t="s">
        <v>54</v>
      </c>
      <c r="AB1214" t="s">
        <v>3425</v>
      </c>
      <c r="AC1214" t="s">
        <v>85</v>
      </c>
      <c r="AD1214" t="s">
        <v>79</v>
      </c>
      <c r="AE1214" t="s">
        <v>1556</v>
      </c>
      <c r="AF1214" t="s">
        <v>1557</v>
      </c>
      <c r="AG1214" t="s">
        <v>58</v>
      </c>
      <c r="AH1214" t="s">
        <v>5577</v>
      </c>
      <c r="AK1214">
        <v>0</v>
      </c>
      <c r="AL1214" t="s">
        <v>61</v>
      </c>
      <c r="AM1214" t="s">
        <v>5578</v>
      </c>
      <c r="AN1214" t="s">
        <v>5579</v>
      </c>
    </row>
    <row r="1215" spans="1:40" x14ac:dyDescent="0.35">
      <c r="A1215" t="s">
        <v>37</v>
      </c>
      <c r="B1215" t="s">
        <v>5580</v>
      </c>
      <c r="C1215" t="s">
        <v>39</v>
      </c>
      <c r="D1215" t="s">
        <v>5581</v>
      </c>
      <c r="E1215" t="s">
        <v>5582</v>
      </c>
      <c r="F1215" s="1">
        <v>46076.085081018522</v>
      </c>
      <c r="G1215" t="s">
        <v>250</v>
      </c>
      <c r="H1215" t="s">
        <v>106</v>
      </c>
      <c r="I1215" t="s">
        <v>5564</v>
      </c>
      <c r="J1215" t="s">
        <v>5583</v>
      </c>
      <c r="K1215" t="s">
        <v>951</v>
      </c>
      <c r="M1215" t="s">
        <v>76</v>
      </c>
      <c r="O1215" t="s">
        <v>77</v>
      </c>
      <c r="P1215" t="s">
        <v>78</v>
      </c>
      <c r="R1215" t="s">
        <v>79</v>
      </c>
      <c r="S1215" t="s">
        <v>1556</v>
      </c>
      <c r="T1215" t="s">
        <v>1557</v>
      </c>
      <c r="U1215" s="1">
        <v>46078.462592592594</v>
      </c>
      <c r="V1215" t="s">
        <v>54</v>
      </c>
      <c r="W1215" t="s">
        <v>55</v>
      </c>
      <c r="X1215" t="s">
        <v>134</v>
      </c>
      <c r="Y1215" t="s">
        <v>5584</v>
      </c>
      <c r="Z1215" t="s">
        <v>58</v>
      </c>
      <c r="AA1215" t="s">
        <v>54</v>
      </c>
      <c r="AB1215" t="s">
        <v>3425</v>
      </c>
      <c r="AC1215" t="s">
        <v>85</v>
      </c>
      <c r="AD1215" t="s">
        <v>79</v>
      </c>
      <c r="AE1215" t="s">
        <v>1556</v>
      </c>
      <c r="AF1215" t="s">
        <v>1557</v>
      </c>
      <c r="AG1215" t="s">
        <v>58</v>
      </c>
      <c r="AH1215">
        <v>14868</v>
      </c>
      <c r="AK1215">
        <v>0</v>
      </c>
      <c r="AL1215" t="s">
        <v>61</v>
      </c>
      <c r="AM1215" t="s">
        <v>5585</v>
      </c>
      <c r="AN1215" t="s">
        <v>5586</v>
      </c>
    </row>
    <row r="1216" spans="1:40" x14ac:dyDescent="0.35">
      <c r="A1216" t="s">
        <v>37</v>
      </c>
      <c r="B1216" t="s">
        <v>5587</v>
      </c>
      <c r="C1216" t="s">
        <v>39</v>
      </c>
      <c r="D1216" t="s">
        <v>2024</v>
      </c>
      <c r="E1216" t="s">
        <v>2024</v>
      </c>
      <c r="F1216" s="1">
        <v>46076.083449074074</v>
      </c>
      <c r="G1216" t="s">
        <v>4421</v>
      </c>
      <c r="H1216" t="s">
        <v>92</v>
      </c>
      <c r="I1216" t="s">
        <v>5564</v>
      </c>
      <c r="J1216" t="s">
        <v>5588</v>
      </c>
      <c r="K1216" t="s">
        <v>951</v>
      </c>
      <c r="M1216" t="s">
        <v>76</v>
      </c>
      <c r="O1216" t="s">
        <v>77</v>
      </c>
      <c r="P1216" t="s">
        <v>78</v>
      </c>
      <c r="Q1216" t="s">
        <v>50</v>
      </c>
      <c r="R1216" t="s">
        <v>79</v>
      </c>
      <c r="S1216" t="s">
        <v>1556</v>
      </c>
      <c r="T1216" t="s">
        <v>1557</v>
      </c>
      <c r="U1216" s="1">
        <v>46078.420300925929</v>
      </c>
      <c r="V1216" t="s">
        <v>54</v>
      </c>
      <c r="W1216" t="s">
        <v>55</v>
      </c>
      <c r="X1216" t="s">
        <v>134</v>
      </c>
      <c r="Y1216" t="s">
        <v>5589</v>
      </c>
      <c r="Z1216" t="s">
        <v>58</v>
      </c>
      <c r="AA1216" t="s">
        <v>54</v>
      </c>
      <c r="AB1216" t="s">
        <v>3425</v>
      </c>
      <c r="AC1216" t="s">
        <v>85</v>
      </c>
      <c r="AD1216" t="s">
        <v>79</v>
      </c>
      <c r="AE1216" t="s">
        <v>1556</v>
      </c>
      <c r="AF1216" t="s">
        <v>1557</v>
      </c>
      <c r="AG1216" t="s">
        <v>58</v>
      </c>
      <c r="AH1216">
        <v>12415</v>
      </c>
      <c r="AK1216">
        <v>0</v>
      </c>
      <c r="AL1216" t="s">
        <v>61</v>
      </c>
      <c r="AM1216" t="s">
        <v>5590</v>
      </c>
      <c r="AN1216" t="s">
        <v>5591</v>
      </c>
    </row>
    <row r="1217" spans="1:40" x14ac:dyDescent="0.35">
      <c r="A1217" t="s">
        <v>37</v>
      </c>
      <c r="B1217" t="s">
        <v>5592</v>
      </c>
      <c r="C1217" t="s">
        <v>39</v>
      </c>
      <c r="D1217" t="s">
        <v>40</v>
      </c>
      <c r="E1217" t="s">
        <v>41</v>
      </c>
      <c r="F1217" s="1">
        <v>46075.964537037034</v>
      </c>
      <c r="G1217" t="s">
        <v>42</v>
      </c>
      <c r="H1217" t="s">
        <v>43</v>
      </c>
      <c r="I1217" t="s">
        <v>5593</v>
      </c>
      <c r="J1217" t="s">
        <v>45</v>
      </c>
      <c r="K1217" t="s">
        <v>46</v>
      </c>
      <c r="M1217" t="s">
        <v>47</v>
      </c>
      <c r="O1217" t="s">
        <v>48</v>
      </c>
      <c r="P1217" t="s">
        <v>49</v>
      </c>
      <c r="Q1217" t="s">
        <v>50</v>
      </c>
      <c r="R1217" t="s">
        <v>51</v>
      </c>
      <c r="S1217" t="s">
        <v>52</v>
      </c>
      <c r="T1217" t="s">
        <v>53</v>
      </c>
      <c r="U1217" s="1">
        <v>46075.966122685182</v>
      </c>
      <c r="V1217" t="s">
        <v>54</v>
      </c>
      <c r="W1217" t="s">
        <v>55</v>
      </c>
      <c r="X1217" t="s">
        <v>56</v>
      </c>
      <c r="Y1217" t="s">
        <v>65</v>
      </c>
      <c r="Z1217" t="s">
        <v>5594</v>
      </c>
      <c r="AA1217" t="s">
        <v>54</v>
      </c>
      <c r="AB1217" t="s">
        <v>59</v>
      </c>
      <c r="AC1217" t="s">
        <v>60</v>
      </c>
      <c r="AD1217" t="s">
        <v>51</v>
      </c>
      <c r="AE1217" t="s">
        <v>52</v>
      </c>
      <c r="AF1217" t="s">
        <v>53</v>
      </c>
      <c r="AG1217" t="s">
        <v>5594</v>
      </c>
      <c r="AK1217">
        <v>0</v>
      </c>
      <c r="AL1217" t="s">
        <v>61</v>
      </c>
      <c r="AM1217" t="s">
        <v>59</v>
      </c>
      <c r="AN1217" t="s">
        <v>62</v>
      </c>
    </row>
    <row r="1218" spans="1:40" x14ac:dyDescent="0.35">
      <c r="A1218" t="s">
        <v>37</v>
      </c>
      <c r="B1218" t="s">
        <v>5595</v>
      </c>
      <c r="C1218" t="s">
        <v>102</v>
      </c>
      <c r="D1218" t="s">
        <v>568</v>
      </c>
      <c r="E1218" t="s">
        <v>569</v>
      </c>
      <c r="F1218" s="1">
        <v>46075.963958333334</v>
      </c>
      <c r="G1218" t="s">
        <v>105</v>
      </c>
      <c r="H1218" t="s">
        <v>106</v>
      </c>
      <c r="I1218" t="s">
        <v>5596</v>
      </c>
      <c r="J1218" t="s">
        <v>5597</v>
      </c>
      <c r="K1218" t="s">
        <v>2345</v>
      </c>
      <c r="M1218" t="s">
        <v>47</v>
      </c>
      <c r="O1218" t="s">
        <v>237</v>
      </c>
      <c r="P1218" t="s">
        <v>238</v>
      </c>
      <c r="Q1218" t="s">
        <v>448</v>
      </c>
      <c r="R1218" t="s">
        <v>111</v>
      </c>
      <c r="S1218" t="s">
        <v>51</v>
      </c>
      <c r="T1218" t="s">
        <v>5598</v>
      </c>
      <c r="U1218" s="1">
        <v>46075.964409722219</v>
      </c>
      <c r="V1218" t="s">
        <v>54</v>
      </c>
      <c r="W1218" t="s">
        <v>55</v>
      </c>
      <c r="X1218" t="s">
        <v>56</v>
      </c>
      <c r="Y1218" t="s">
        <v>5599</v>
      </c>
      <c r="Z1218" t="s">
        <v>5594</v>
      </c>
      <c r="AA1218" t="s">
        <v>54</v>
      </c>
      <c r="AB1218" t="s">
        <v>1212</v>
      </c>
      <c r="AC1218" t="s">
        <v>242</v>
      </c>
      <c r="AD1218" t="s">
        <v>51</v>
      </c>
      <c r="AE1218" t="s">
        <v>52</v>
      </c>
      <c r="AF1218" t="s">
        <v>240</v>
      </c>
      <c r="AG1218" t="s">
        <v>5594</v>
      </c>
      <c r="AK1218">
        <v>0</v>
      </c>
      <c r="AL1218" t="s">
        <v>61</v>
      </c>
      <c r="AM1218" t="s">
        <v>576</v>
      </c>
      <c r="AN1218" t="s">
        <v>577</v>
      </c>
    </row>
    <row r="1219" spans="1:40" x14ac:dyDescent="0.35">
      <c r="A1219" t="s">
        <v>37</v>
      </c>
      <c r="B1219" t="s">
        <v>5600</v>
      </c>
      <c r="C1219" t="s">
        <v>102</v>
      </c>
      <c r="D1219" t="s">
        <v>568</v>
      </c>
      <c r="E1219" t="s">
        <v>569</v>
      </c>
      <c r="F1219" s="1">
        <v>46075.960034722222</v>
      </c>
      <c r="G1219" t="s">
        <v>105</v>
      </c>
      <c r="H1219" t="s">
        <v>106</v>
      </c>
      <c r="I1219" t="s">
        <v>5596</v>
      </c>
      <c r="J1219" t="s">
        <v>5597</v>
      </c>
      <c r="K1219" t="s">
        <v>2345</v>
      </c>
      <c r="M1219" t="s">
        <v>47</v>
      </c>
      <c r="O1219" t="s">
        <v>237</v>
      </c>
      <c r="P1219" t="s">
        <v>238</v>
      </c>
      <c r="Q1219" t="s">
        <v>448</v>
      </c>
      <c r="R1219" t="s">
        <v>111</v>
      </c>
      <c r="S1219" t="s">
        <v>51</v>
      </c>
      <c r="T1219" t="s">
        <v>5598</v>
      </c>
      <c r="U1219" s="1">
        <v>46075.960451388892</v>
      </c>
      <c r="V1219" t="s">
        <v>54</v>
      </c>
      <c r="W1219" t="s">
        <v>55</v>
      </c>
      <c r="X1219" t="s">
        <v>56</v>
      </c>
      <c r="Y1219" t="s">
        <v>5599</v>
      </c>
      <c r="Z1219" t="s">
        <v>5594</v>
      </c>
      <c r="AA1219" t="s">
        <v>54</v>
      </c>
      <c r="AB1219" t="s">
        <v>1212</v>
      </c>
      <c r="AC1219" t="s">
        <v>242</v>
      </c>
      <c r="AD1219" t="s">
        <v>51</v>
      </c>
      <c r="AE1219" t="s">
        <v>52</v>
      </c>
      <c r="AF1219" t="s">
        <v>240</v>
      </c>
      <c r="AG1219" t="s">
        <v>5594</v>
      </c>
      <c r="AK1219">
        <v>0</v>
      </c>
      <c r="AL1219" t="s">
        <v>61</v>
      </c>
      <c r="AM1219" t="s">
        <v>576</v>
      </c>
      <c r="AN1219" t="s">
        <v>577</v>
      </c>
    </row>
    <row r="1220" spans="1:40" x14ac:dyDescent="0.35">
      <c r="A1220" t="s">
        <v>37</v>
      </c>
      <c r="B1220" t="s">
        <v>5601</v>
      </c>
      <c r="C1220" t="s">
        <v>102</v>
      </c>
      <c r="D1220" t="s">
        <v>568</v>
      </c>
      <c r="E1220" t="s">
        <v>569</v>
      </c>
      <c r="F1220" s="1">
        <v>46075.957997685182</v>
      </c>
      <c r="G1220" t="s">
        <v>105</v>
      </c>
      <c r="H1220" t="s">
        <v>106</v>
      </c>
      <c r="I1220" t="s">
        <v>5596</v>
      </c>
      <c r="J1220" t="s">
        <v>5597</v>
      </c>
      <c r="K1220" t="s">
        <v>2345</v>
      </c>
      <c r="M1220" t="s">
        <v>47</v>
      </c>
      <c r="O1220" t="s">
        <v>237</v>
      </c>
      <c r="P1220" t="s">
        <v>238</v>
      </c>
      <c r="Q1220" t="s">
        <v>448</v>
      </c>
      <c r="R1220" t="s">
        <v>111</v>
      </c>
      <c r="S1220" t="s">
        <v>51</v>
      </c>
      <c r="T1220" t="s">
        <v>5598</v>
      </c>
      <c r="U1220" s="1">
        <v>46075.958460648151</v>
      </c>
      <c r="V1220" t="s">
        <v>54</v>
      </c>
      <c r="W1220" t="s">
        <v>55</v>
      </c>
      <c r="X1220" t="s">
        <v>56</v>
      </c>
      <c r="Y1220" t="s">
        <v>5599</v>
      </c>
      <c r="Z1220" t="s">
        <v>5594</v>
      </c>
      <c r="AA1220" t="s">
        <v>54</v>
      </c>
      <c r="AB1220" t="s">
        <v>1212</v>
      </c>
      <c r="AC1220" t="s">
        <v>242</v>
      </c>
      <c r="AD1220" t="s">
        <v>51</v>
      </c>
      <c r="AE1220" t="s">
        <v>52</v>
      </c>
      <c r="AF1220" t="s">
        <v>240</v>
      </c>
      <c r="AG1220" t="s">
        <v>5594</v>
      </c>
      <c r="AK1220">
        <v>0</v>
      </c>
      <c r="AL1220" t="s">
        <v>61</v>
      </c>
      <c r="AM1220" t="s">
        <v>576</v>
      </c>
      <c r="AN1220" t="s">
        <v>577</v>
      </c>
    </row>
    <row r="1221" spans="1:40" x14ac:dyDescent="0.35">
      <c r="A1221" t="s">
        <v>37</v>
      </c>
      <c r="B1221" t="s">
        <v>5602</v>
      </c>
      <c r="C1221" t="s">
        <v>102</v>
      </c>
      <c r="D1221" t="s">
        <v>1698</v>
      </c>
      <c r="E1221" t="s">
        <v>584</v>
      </c>
      <c r="F1221" s="1">
        <v>46075.927337962959</v>
      </c>
      <c r="G1221" t="s">
        <v>105</v>
      </c>
      <c r="H1221" t="s">
        <v>106</v>
      </c>
      <c r="I1221" t="s">
        <v>1851</v>
      </c>
      <c r="J1221" t="s">
        <v>108</v>
      </c>
      <c r="K1221" t="s">
        <v>109</v>
      </c>
      <c r="M1221" t="s">
        <v>47</v>
      </c>
      <c r="O1221" t="s">
        <v>77</v>
      </c>
      <c r="P1221" t="s">
        <v>78</v>
      </c>
      <c r="Q1221" t="s">
        <v>50</v>
      </c>
      <c r="R1221" t="s">
        <v>111</v>
      </c>
      <c r="S1221" t="s">
        <v>51</v>
      </c>
      <c r="T1221" t="s">
        <v>112</v>
      </c>
      <c r="U1221" s="1">
        <v>46075.956261574072</v>
      </c>
      <c r="V1221" t="s">
        <v>54</v>
      </c>
      <c r="W1221" t="s">
        <v>55</v>
      </c>
      <c r="X1221" t="s">
        <v>134</v>
      </c>
      <c r="Y1221" t="s">
        <v>5603</v>
      </c>
      <c r="Z1221" t="s">
        <v>5594</v>
      </c>
      <c r="AA1221" t="s">
        <v>54</v>
      </c>
      <c r="AB1221" t="s">
        <v>1701</v>
      </c>
      <c r="AC1221" t="s">
        <v>85</v>
      </c>
      <c r="AD1221" t="s">
        <v>116</v>
      </c>
      <c r="AE1221" t="s">
        <v>117</v>
      </c>
      <c r="AF1221" t="s">
        <v>1706</v>
      </c>
      <c r="AG1221" t="s">
        <v>5594</v>
      </c>
      <c r="AK1221">
        <v>1</v>
      </c>
      <c r="AL1221" t="s">
        <v>61</v>
      </c>
      <c r="AM1221" t="s">
        <v>1701</v>
      </c>
      <c r="AN1221" t="s">
        <v>1702</v>
      </c>
    </row>
    <row r="1222" spans="1:40" x14ac:dyDescent="0.35">
      <c r="A1222" t="s">
        <v>37</v>
      </c>
      <c r="B1222" t="s">
        <v>5604</v>
      </c>
      <c r="C1222" t="s">
        <v>39</v>
      </c>
      <c r="D1222" t="s">
        <v>1623</v>
      </c>
      <c r="E1222" t="s">
        <v>1624</v>
      </c>
      <c r="F1222" s="1">
        <v>46075.919907407406</v>
      </c>
      <c r="G1222" t="s">
        <v>355</v>
      </c>
      <c r="H1222" t="s">
        <v>356</v>
      </c>
      <c r="I1222" t="s">
        <v>5605</v>
      </c>
      <c r="J1222" t="s">
        <v>1626</v>
      </c>
      <c r="K1222" t="s">
        <v>1627</v>
      </c>
      <c r="M1222" t="s">
        <v>131</v>
      </c>
      <c r="O1222" t="s">
        <v>77</v>
      </c>
      <c r="P1222" t="s">
        <v>78</v>
      </c>
      <c r="Q1222" t="s">
        <v>50</v>
      </c>
      <c r="R1222" t="s">
        <v>79</v>
      </c>
      <c r="S1222" t="s">
        <v>1556</v>
      </c>
      <c r="T1222" t="s">
        <v>1557</v>
      </c>
      <c r="U1222" s="1">
        <v>46076.838009259256</v>
      </c>
      <c r="V1222" t="s">
        <v>54</v>
      </c>
      <c r="W1222" t="s">
        <v>55</v>
      </c>
      <c r="X1222" t="s">
        <v>134</v>
      </c>
      <c r="Y1222" t="s">
        <v>5606</v>
      </c>
      <c r="Z1222" t="s">
        <v>58</v>
      </c>
      <c r="AA1222" t="s">
        <v>54</v>
      </c>
      <c r="AB1222" t="s">
        <v>84</v>
      </c>
      <c r="AC1222" t="s">
        <v>85</v>
      </c>
      <c r="AD1222" t="s">
        <v>79</v>
      </c>
      <c r="AE1222" t="s">
        <v>952</v>
      </c>
      <c r="AF1222" t="s">
        <v>1630</v>
      </c>
      <c r="AG1222" t="s">
        <v>58</v>
      </c>
      <c r="AH1222" t="s">
        <v>1631</v>
      </c>
      <c r="AK1222">
        <v>1</v>
      </c>
      <c r="AL1222" t="s">
        <v>61</v>
      </c>
      <c r="AM1222" t="s">
        <v>1632</v>
      </c>
      <c r="AN1222" t="s">
        <v>1633</v>
      </c>
    </row>
    <row r="1223" spans="1:40" x14ac:dyDescent="0.35">
      <c r="A1223" t="s">
        <v>37</v>
      </c>
      <c r="B1223" t="s">
        <v>5607</v>
      </c>
      <c r="C1223" t="s">
        <v>39</v>
      </c>
      <c r="D1223" t="s">
        <v>1623</v>
      </c>
      <c r="E1223" t="s">
        <v>1624</v>
      </c>
      <c r="F1223" s="1">
        <v>46075.919224537036</v>
      </c>
      <c r="G1223" t="s">
        <v>355</v>
      </c>
      <c r="H1223" t="s">
        <v>356</v>
      </c>
      <c r="I1223" t="s">
        <v>5605</v>
      </c>
      <c r="J1223" t="s">
        <v>1626</v>
      </c>
      <c r="K1223" t="s">
        <v>1627</v>
      </c>
      <c r="M1223" t="s">
        <v>131</v>
      </c>
      <c r="O1223" t="s">
        <v>77</v>
      </c>
      <c r="P1223" t="s">
        <v>78</v>
      </c>
      <c r="Q1223" t="s">
        <v>50</v>
      </c>
      <c r="R1223" t="s">
        <v>79</v>
      </c>
      <c r="S1223" t="s">
        <v>1556</v>
      </c>
      <c r="T1223" t="s">
        <v>1557</v>
      </c>
      <c r="U1223" s="1">
        <v>46076.835462962961</v>
      </c>
      <c r="V1223" t="s">
        <v>54</v>
      </c>
      <c r="W1223" t="s">
        <v>55</v>
      </c>
      <c r="X1223" t="s">
        <v>134</v>
      </c>
      <c r="Y1223" t="s">
        <v>5608</v>
      </c>
      <c r="Z1223" t="s">
        <v>58</v>
      </c>
      <c r="AA1223" t="s">
        <v>54</v>
      </c>
      <c r="AB1223" t="s">
        <v>84</v>
      </c>
      <c r="AC1223" t="s">
        <v>85</v>
      </c>
      <c r="AD1223" t="s">
        <v>79</v>
      </c>
      <c r="AE1223" t="s">
        <v>952</v>
      </c>
      <c r="AF1223" t="s">
        <v>1630</v>
      </c>
      <c r="AG1223" t="s">
        <v>58</v>
      </c>
      <c r="AH1223" t="s">
        <v>1631</v>
      </c>
      <c r="AK1223">
        <v>1</v>
      </c>
      <c r="AL1223" t="s">
        <v>61</v>
      </c>
      <c r="AM1223" t="s">
        <v>1632</v>
      </c>
      <c r="AN1223" t="s">
        <v>1633</v>
      </c>
    </row>
    <row r="1224" spans="1:40" x14ac:dyDescent="0.35">
      <c r="A1224" t="s">
        <v>37</v>
      </c>
      <c r="B1224" t="s">
        <v>5609</v>
      </c>
      <c r="C1224" t="s">
        <v>39</v>
      </c>
      <c r="D1224" t="s">
        <v>1623</v>
      </c>
      <c r="E1224" t="s">
        <v>1624</v>
      </c>
      <c r="F1224" s="1">
        <v>46075.918437499997</v>
      </c>
      <c r="G1224" t="s">
        <v>355</v>
      </c>
      <c r="H1224" t="s">
        <v>356</v>
      </c>
      <c r="I1224" t="s">
        <v>5605</v>
      </c>
      <c r="J1224" t="s">
        <v>1626</v>
      </c>
      <c r="K1224" t="s">
        <v>1627</v>
      </c>
      <c r="M1224" t="s">
        <v>131</v>
      </c>
      <c r="O1224" t="s">
        <v>77</v>
      </c>
      <c r="P1224" t="s">
        <v>78</v>
      </c>
      <c r="Q1224" t="s">
        <v>50</v>
      </c>
      <c r="R1224" t="s">
        <v>79</v>
      </c>
      <c r="S1224" t="s">
        <v>1556</v>
      </c>
      <c r="T1224" t="s">
        <v>1557</v>
      </c>
      <c r="U1224" s="1">
        <v>46076.832372685189</v>
      </c>
      <c r="V1224" t="s">
        <v>54</v>
      </c>
      <c r="W1224" t="s">
        <v>55</v>
      </c>
      <c r="X1224" t="s">
        <v>134</v>
      </c>
      <c r="Y1224" t="s">
        <v>5610</v>
      </c>
      <c r="Z1224" t="s">
        <v>58</v>
      </c>
      <c r="AA1224" t="s">
        <v>54</v>
      </c>
      <c r="AB1224" t="s">
        <v>84</v>
      </c>
      <c r="AC1224" t="s">
        <v>85</v>
      </c>
      <c r="AD1224" t="s">
        <v>79</v>
      </c>
      <c r="AE1224" t="s">
        <v>952</v>
      </c>
      <c r="AF1224" t="s">
        <v>1630</v>
      </c>
      <c r="AG1224" t="s">
        <v>58</v>
      </c>
      <c r="AH1224" t="s">
        <v>1631</v>
      </c>
      <c r="AK1224">
        <v>1</v>
      </c>
      <c r="AL1224" t="s">
        <v>61</v>
      </c>
      <c r="AM1224" t="s">
        <v>1632</v>
      </c>
      <c r="AN1224" t="s">
        <v>1633</v>
      </c>
    </row>
    <row r="1225" spans="1:40" x14ac:dyDescent="0.35">
      <c r="A1225" t="s">
        <v>37</v>
      </c>
      <c r="B1225" t="s">
        <v>5611</v>
      </c>
      <c r="C1225" t="s">
        <v>39</v>
      </c>
      <c r="D1225" t="s">
        <v>1623</v>
      </c>
      <c r="E1225" t="s">
        <v>1624</v>
      </c>
      <c r="F1225" s="1">
        <v>46075.917557870373</v>
      </c>
      <c r="G1225" t="s">
        <v>355</v>
      </c>
      <c r="H1225" t="s">
        <v>356</v>
      </c>
      <c r="I1225" t="s">
        <v>5605</v>
      </c>
      <c r="J1225" t="s">
        <v>1626</v>
      </c>
      <c r="K1225" t="s">
        <v>1627</v>
      </c>
      <c r="M1225" t="s">
        <v>131</v>
      </c>
      <c r="O1225" t="s">
        <v>77</v>
      </c>
      <c r="P1225" t="s">
        <v>78</v>
      </c>
      <c r="Q1225" t="s">
        <v>50</v>
      </c>
      <c r="R1225" t="s">
        <v>79</v>
      </c>
      <c r="S1225" t="s">
        <v>1556</v>
      </c>
      <c r="T1225" t="s">
        <v>1557</v>
      </c>
      <c r="U1225" s="1">
        <v>46076.829872685186</v>
      </c>
      <c r="V1225" t="s">
        <v>54</v>
      </c>
      <c r="W1225" t="s">
        <v>55</v>
      </c>
      <c r="X1225" t="s">
        <v>134</v>
      </c>
      <c r="Y1225" t="s">
        <v>5612</v>
      </c>
      <c r="Z1225" t="s">
        <v>58</v>
      </c>
      <c r="AA1225" t="s">
        <v>54</v>
      </c>
      <c r="AB1225" t="s">
        <v>84</v>
      </c>
      <c r="AC1225" t="s">
        <v>85</v>
      </c>
      <c r="AD1225" t="s">
        <v>79</v>
      </c>
      <c r="AE1225" t="s">
        <v>952</v>
      </c>
      <c r="AF1225" t="s">
        <v>1630</v>
      </c>
      <c r="AG1225" t="s">
        <v>58</v>
      </c>
      <c r="AH1225" t="s">
        <v>1631</v>
      </c>
      <c r="AK1225">
        <v>1</v>
      </c>
      <c r="AL1225" t="s">
        <v>61</v>
      </c>
      <c r="AM1225" t="s">
        <v>1632</v>
      </c>
      <c r="AN1225" t="s">
        <v>1633</v>
      </c>
    </row>
    <row r="1226" spans="1:40" x14ac:dyDescent="0.35">
      <c r="A1226" t="s">
        <v>37</v>
      </c>
      <c r="B1226" t="s">
        <v>5613</v>
      </c>
      <c r="C1226" t="s">
        <v>102</v>
      </c>
      <c r="D1226" t="s">
        <v>2780</v>
      </c>
      <c r="E1226" t="s">
        <v>2504</v>
      </c>
      <c r="F1226" s="1">
        <v>46075.913993055554</v>
      </c>
      <c r="G1226" t="s">
        <v>71</v>
      </c>
      <c r="H1226" t="s">
        <v>72</v>
      </c>
      <c r="I1226" t="s">
        <v>2420</v>
      </c>
      <c r="J1226" t="s">
        <v>2421</v>
      </c>
      <c r="K1226" t="s">
        <v>2422</v>
      </c>
      <c r="M1226" t="s">
        <v>47</v>
      </c>
      <c r="O1226" t="s">
        <v>1501</v>
      </c>
      <c r="P1226" t="s">
        <v>1502</v>
      </c>
      <c r="Q1226" t="s">
        <v>5614</v>
      </c>
      <c r="R1226" t="s">
        <v>51</v>
      </c>
      <c r="S1226" t="s">
        <v>52</v>
      </c>
      <c r="T1226" t="s">
        <v>240</v>
      </c>
      <c r="U1226" s="1">
        <v>46075.919895833336</v>
      </c>
      <c r="V1226" t="s">
        <v>54</v>
      </c>
      <c r="W1226" t="s">
        <v>55</v>
      </c>
      <c r="X1226" t="s">
        <v>134</v>
      </c>
      <c r="Y1226" t="s">
        <v>5615</v>
      </c>
      <c r="Z1226" t="s">
        <v>5594</v>
      </c>
      <c r="AA1226" t="s">
        <v>54</v>
      </c>
      <c r="AB1226" t="s">
        <v>84</v>
      </c>
      <c r="AC1226" t="s">
        <v>1504</v>
      </c>
      <c r="AD1226" t="s">
        <v>52</v>
      </c>
      <c r="AE1226" t="s">
        <v>243</v>
      </c>
      <c r="AF1226" t="s">
        <v>4340</v>
      </c>
      <c r="AG1226" t="s">
        <v>5594</v>
      </c>
      <c r="AH1226">
        <v>10519</v>
      </c>
      <c r="AK1226">
        <v>1</v>
      </c>
      <c r="AL1226" t="s">
        <v>61</v>
      </c>
      <c r="AM1226" t="s">
        <v>5616</v>
      </c>
      <c r="AN1226" t="s">
        <v>5617</v>
      </c>
    </row>
    <row r="1227" spans="1:40" x14ac:dyDescent="0.35">
      <c r="A1227" t="s">
        <v>37</v>
      </c>
      <c r="B1227" t="s">
        <v>5618</v>
      </c>
      <c r="C1227" t="s">
        <v>102</v>
      </c>
      <c r="D1227" t="s">
        <v>568</v>
      </c>
      <c r="E1227" t="s">
        <v>569</v>
      </c>
      <c r="F1227" s="1">
        <v>46075.908865740741</v>
      </c>
      <c r="G1227" t="s">
        <v>105</v>
      </c>
      <c r="H1227" t="s">
        <v>106</v>
      </c>
      <c r="I1227" t="s">
        <v>5596</v>
      </c>
      <c r="J1227" t="s">
        <v>5597</v>
      </c>
      <c r="K1227" t="s">
        <v>2345</v>
      </c>
      <c r="M1227" t="s">
        <v>47</v>
      </c>
      <c r="O1227" t="s">
        <v>237</v>
      </c>
      <c r="P1227" t="s">
        <v>238</v>
      </c>
      <c r="Q1227" t="s">
        <v>448</v>
      </c>
      <c r="R1227" t="s">
        <v>111</v>
      </c>
      <c r="S1227" t="s">
        <v>51</v>
      </c>
      <c r="T1227" t="s">
        <v>5598</v>
      </c>
      <c r="U1227" s="1">
        <v>46075.909375000003</v>
      </c>
      <c r="V1227" t="s">
        <v>54</v>
      </c>
      <c r="W1227" t="s">
        <v>55</v>
      </c>
      <c r="X1227" t="s">
        <v>56</v>
      </c>
      <c r="Y1227" t="s">
        <v>5599</v>
      </c>
      <c r="Z1227" t="s">
        <v>5594</v>
      </c>
      <c r="AA1227" t="s">
        <v>54</v>
      </c>
      <c r="AB1227" t="s">
        <v>1212</v>
      </c>
      <c r="AC1227" t="s">
        <v>242</v>
      </c>
      <c r="AD1227" t="s">
        <v>51</v>
      </c>
      <c r="AE1227" t="s">
        <v>52</v>
      </c>
      <c r="AF1227" t="s">
        <v>240</v>
      </c>
      <c r="AG1227" t="s">
        <v>5594</v>
      </c>
      <c r="AK1227">
        <v>0</v>
      </c>
      <c r="AL1227" t="s">
        <v>61</v>
      </c>
      <c r="AM1227" t="s">
        <v>576</v>
      </c>
      <c r="AN1227" t="s">
        <v>577</v>
      </c>
    </row>
    <row r="1228" spans="1:40" x14ac:dyDescent="0.35">
      <c r="A1228" t="s">
        <v>37</v>
      </c>
      <c r="B1228" t="s">
        <v>5619</v>
      </c>
      <c r="C1228" t="s">
        <v>102</v>
      </c>
      <c r="D1228" t="s">
        <v>1698</v>
      </c>
      <c r="E1228" t="s">
        <v>584</v>
      </c>
      <c r="F1228" s="1">
        <v>46075.891898148147</v>
      </c>
      <c r="G1228" t="s">
        <v>105</v>
      </c>
      <c r="H1228" t="s">
        <v>106</v>
      </c>
      <c r="I1228" t="s">
        <v>1699</v>
      </c>
      <c r="J1228" t="s">
        <v>108</v>
      </c>
      <c r="K1228" t="s">
        <v>341</v>
      </c>
      <c r="M1228" t="s">
        <v>76</v>
      </c>
      <c r="O1228" t="s">
        <v>77</v>
      </c>
      <c r="P1228" t="s">
        <v>78</v>
      </c>
      <c r="Q1228" t="s">
        <v>50</v>
      </c>
      <c r="R1228" t="s">
        <v>111</v>
      </c>
      <c r="S1228" t="s">
        <v>51</v>
      </c>
      <c r="T1228" t="s">
        <v>112</v>
      </c>
      <c r="U1228" s="1">
        <v>46076.217812499999</v>
      </c>
      <c r="V1228" t="s">
        <v>54</v>
      </c>
      <c r="X1228" t="s">
        <v>134</v>
      </c>
      <c r="Y1228" t="s">
        <v>5620</v>
      </c>
      <c r="Z1228" t="s">
        <v>58</v>
      </c>
      <c r="AA1228" t="s">
        <v>54</v>
      </c>
      <c r="AB1228" t="s">
        <v>1701</v>
      </c>
      <c r="AC1228" t="s">
        <v>85</v>
      </c>
      <c r="AD1228" t="s">
        <v>116</v>
      </c>
      <c r="AE1228" t="s">
        <v>117</v>
      </c>
      <c r="AF1228" t="s">
        <v>1740</v>
      </c>
      <c r="AG1228" t="s">
        <v>58</v>
      </c>
      <c r="AK1228">
        <v>1</v>
      </c>
      <c r="AL1228" t="s">
        <v>61</v>
      </c>
      <c r="AM1228" t="s">
        <v>1701</v>
      </c>
      <c r="AN1228" t="s">
        <v>1702</v>
      </c>
    </row>
    <row r="1229" spans="1:40" x14ac:dyDescent="0.35">
      <c r="A1229" t="s">
        <v>37</v>
      </c>
      <c r="B1229" t="s">
        <v>5621</v>
      </c>
      <c r="C1229" t="s">
        <v>102</v>
      </c>
      <c r="D1229" t="s">
        <v>1698</v>
      </c>
      <c r="E1229" t="s">
        <v>584</v>
      </c>
      <c r="F1229" s="1">
        <v>46075.890451388892</v>
      </c>
      <c r="G1229" t="s">
        <v>105</v>
      </c>
      <c r="H1229" t="s">
        <v>106</v>
      </c>
      <c r="I1229" t="s">
        <v>3589</v>
      </c>
      <c r="J1229" t="s">
        <v>108</v>
      </c>
      <c r="K1229" t="s">
        <v>109</v>
      </c>
      <c r="M1229" t="s">
        <v>47</v>
      </c>
      <c r="O1229" t="s">
        <v>77</v>
      </c>
      <c r="P1229" t="s">
        <v>78</v>
      </c>
      <c r="Q1229" t="s">
        <v>50</v>
      </c>
      <c r="R1229" t="s">
        <v>111</v>
      </c>
      <c r="S1229" t="s">
        <v>51</v>
      </c>
      <c r="T1229" t="s">
        <v>112</v>
      </c>
      <c r="U1229" s="1">
        <v>46076.000590277778</v>
      </c>
      <c r="V1229" t="s">
        <v>54</v>
      </c>
      <c r="W1229" t="s">
        <v>55</v>
      </c>
      <c r="X1229" t="s">
        <v>134</v>
      </c>
      <c r="Y1229" t="s">
        <v>5622</v>
      </c>
      <c r="Z1229" t="s">
        <v>5594</v>
      </c>
      <c r="AA1229" t="s">
        <v>54</v>
      </c>
      <c r="AB1229" t="s">
        <v>1701</v>
      </c>
      <c r="AC1229" t="s">
        <v>85</v>
      </c>
      <c r="AD1229" t="s">
        <v>116</v>
      </c>
      <c r="AE1229" t="s">
        <v>117</v>
      </c>
      <c r="AF1229" t="s">
        <v>1706</v>
      </c>
      <c r="AG1229" t="s">
        <v>5594</v>
      </c>
      <c r="AK1229">
        <v>1</v>
      </c>
      <c r="AL1229" t="s">
        <v>61</v>
      </c>
      <c r="AM1229" t="s">
        <v>1701</v>
      </c>
      <c r="AN1229" t="s">
        <v>1702</v>
      </c>
    </row>
    <row r="1230" spans="1:40" x14ac:dyDescent="0.35">
      <c r="A1230" t="s">
        <v>37</v>
      </c>
      <c r="B1230" t="s">
        <v>5623</v>
      </c>
      <c r="C1230" t="s">
        <v>102</v>
      </c>
      <c r="D1230" t="s">
        <v>103</v>
      </c>
      <c r="E1230" t="s">
        <v>104</v>
      </c>
      <c r="F1230" s="1">
        <v>46075.881724537037</v>
      </c>
      <c r="G1230" t="s">
        <v>105</v>
      </c>
      <c r="H1230" t="s">
        <v>106</v>
      </c>
      <c r="I1230" t="s">
        <v>5624</v>
      </c>
      <c r="J1230" t="s">
        <v>108</v>
      </c>
      <c r="K1230" t="s">
        <v>571</v>
      </c>
      <c r="M1230" t="s">
        <v>76</v>
      </c>
      <c r="O1230" t="s">
        <v>77</v>
      </c>
      <c r="P1230" t="s">
        <v>78</v>
      </c>
      <c r="Q1230" t="s">
        <v>110</v>
      </c>
      <c r="R1230" t="s">
        <v>111</v>
      </c>
      <c r="S1230" t="s">
        <v>51</v>
      </c>
      <c r="T1230" t="s">
        <v>112</v>
      </c>
      <c r="U1230" s="1">
        <v>46076.361134259256</v>
      </c>
      <c r="V1230" t="s">
        <v>54</v>
      </c>
      <c r="W1230" t="s">
        <v>55</v>
      </c>
      <c r="X1230" t="s">
        <v>113</v>
      </c>
      <c r="Y1230" t="s">
        <v>5625</v>
      </c>
      <c r="Z1230" t="s">
        <v>58</v>
      </c>
      <c r="AA1230" t="s">
        <v>54</v>
      </c>
      <c r="AB1230" t="s">
        <v>115</v>
      </c>
      <c r="AC1230" t="s">
        <v>85</v>
      </c>
      <c r="AD1230" t="s">
        <v>116</v>
      </c>
      <c r="AE1230" t="s">
        <v>574</v>
      </c>
      <c r="AF1230" t="s">
        <v>1874</v>
      </c>
      <c r="AG1230" t="s">
        <v>58</v>
      </c>
      <c r="AH1230">
        <v>5928</v>
      </c>
      <c r="AK1230">
        <v>1</v>
      </c>
      <c r="AL1230" t="s">
        <v>61</v>
      </c>
      <c r="AM1230" t="s">
        <v>119</v>
      </c>
      <c r="AN1230" t="s">
        <v>120</v>
      </c>
    </row>
    <row r="1231" spans="1:40" x14ac:dyDescent="0.35">
      <c r="A1231" t="s">
        <v>37</v>
      </c>
      <c r="B1231" t="s">
        <v>5626</v>
      </c>
      <c r="C1231" t="s">
        <v>39</v>
      </c>
      <c r="D1231" t="s">
        <v>40</v>
      </c>
      <c r="E1231" t="s">
        <v>41</v>
      </c>
      <c r="F1231" s="1">
        <v>46075.869652777779</v>
      </c>
      <c r="G1231" t="s">
        <v>42</v>
      </c>
      <c r="H1231" t="s">
        <v>43</v>
      </c>
      <c r="I1231" t="s">
        <v>5627</v>
      </c>
      <c r="J1231" t="s">
        <v>45</v>
      </c>
      <c r="K1231" t="s">
        <v>46</v>
      </c>
      <c r="M1231" t="s">
        <v>47</v>
      </c>
      <c r="O1231" t="s">
        <v>48</v>
      </c>
      <c r="P1231" t="s">
        <v>49</v>
      </c>
      <c r="Q1231" t="s">
        <v>50</v>
      </c>
      <c r="R1231" t="s">
        <v>51</v>
      </c>
      <c r="S1231" t="s">
        <v>52</v>
      </c>
      <c r="T1231" t="s">
        <v>53</v>
      </c>
      <c r="U1231" s="1">
        <v>46075.870347222219</v>
      </c>
      <c r="V1231" t="s">
        <v>54</v>
      </c>
      <c r="W1231" t="s">
        <v>55</v>
      </c>
      <c r="X1231" t="s">
        <v>56</v>
      </c>
      <c r="Y1231" t="s">
        <v>57</v>
      </c>
      <c r="Z1231" t="s">
        <v>5594</v>
      </c>
      <c r="AA1231" t="s">
        <v>54</v>
      </c>
      <c r="AB1231" t="s">
        <v>59</v>
      </c>
      <c r="AC1231" t="s">
        <v>60</v>
      </c>
      <c r="AD1231" t="s">
        <v>51</v>
      </c>
      <c r="AE1231" t="s">
        <v>52</v>
      </c>
      <c r="AF1231" t="s">
        <v>53</v>
      </c>
      <c r="AG1231" t="s">
        <v>5594</v>
      </c>
      <c r="AK1231">
        <v>0</v>
      </c>
      <c r="AL1231" t="s">
        <v>61</v>
      </c>
      <c r="AM1231" t="s">
        <v>59</v>
      </c>
      <c r="AN1231" t="s">
        <v>62</v>
      </c>
    </row>
    <row r="1232" spans="1:40" x14ac:dyDescent="0.35">
      <c r="A1232" t="s">
        <v>37</v>
      </c>
      <c r="B1232" t="s">
        <v>5628</v>
      </c>
      <c r="C1232" t="s">
        <v>39</v>
      </c>
      <c r="D1232" t="s">
        <v>40</v>
      </c>
      <c r="E1232" t="s">
        <v>41</v>
      </c>
      <c r="F1232" s="1">
        <v>46075.869606481479</v>
      </c>
      <c r="G1232" t="s">
        <v>42</v>
      </c>
      <c r="H1232" t="s">
        <v>43</v>
      </c>
      <c r="I1232" t="s">
        <v>5629</v>
      </c>
      <c r="J1232" t="s">
        <v>45</v>
      </c>
      <c r="K1232" t="s">
        <v>46</v>
      </c>
      <c r="M1232" t="s">
        <v>47</v>
      </c>
      <c r="O1232" t="s">
        <v>48</v>
      </c>
      <c r="P1232" t="s">
        <v>49</v>
      </c>
      <c r="Q1232" t="s">
        <v>50</v>
      </c>
      <c r="R1232" t="s">
        <v>51</v>
      </c>
      <c r="S1232" t="s">
        <v>52</v>
      </c>
      <c r="T1232" t="s">
        <v>53</v>
      </c>
      <c r="U1232" s="1">
        <v>46075.87023148148</v>
      </c>
      <c r="V1232" t="s">
        <v>54</v>
      </c>
      <c r="W1232" t="s">
        <v>55</v>
      </c>
      <c r="X1232" t="s">
        <v>56</v>
      </c>
      <c r="Y1232" t="s">
        <v>57</v>
      </c>
      <c r="Z1232" t="s">
        <v>5594</v>
      </c>
      <c r="AA1232" t="s">
        <v>54</v>
      </c>
      <c r="AB1232" t="s">
        <v>59</v>
      </c>
      <c r="AC1232" t="s">
        <v>60</v>
      </c>
      <c r="AD1232" t="s">
        <v>51</v>
      </c>
      <c r="AE1232" t="s">
        <v>52</v>
      </c>
      <c r="AF1232" t="s">
        <v>53</v>
      </c>
      <c r="AG1232" t="s">
        <v>5594</v>
      </c>
      <c r="AK1232">
        <v>0</v>
      </c>
      <c r="AL1232" t="s">
        <v>61</v>
      </c>
      <c r="AM1232" t="s">
        <v>59</v>
      </c>
      <c r="AN1232" t="s">
        <v>62</v>
      </c>
    </row>
    <row r="1233" spans="1:40" x14ac:dyDescent="0.35">
      <c r="A1233" t="s">
        <v>37</v>
      </c>
      <c r="B1233" t="s">
        <v>5630</v>
      </c>
      <c r="C1233" t="s">
        <v>39</v>
      </c>
      <c r="D1233" t="s">
        <v>5631</v>
      </c>
      <c r="E1233" t="s">
        <v>770</v>
      </c>
      <c r="F1233" s="1">
        <v>46075.84479166667</v>
      </c>
      <c r="G1233" t="s">
        <v>71</v>
      </c>
      <c r="H1233" t="s">
        <v>72</v>
      </c>
      <c r="I1233" t="s">
        <v>1071</v>
      </c>
      <c r="J1233" t="s">
        <v>74</v>
      </c>
      <c r="K1233" t="s">
        <v>75</v>
      </c>
      <c r="M1233" t="s">
        <v>47</v>
      </c>
      <c r="O1233" t="s">
        <v>77</v>
      </c>
      <c r="P1233" t="s">
        <v>78</v>
      </c>
      <c r="Q1233" t="s">
        <v>50</v>
      </c>
      <c r="R1233" t="s">
        <v>79</v>
      </c>
      <c r="S1233" t="s">
        <v>967</v>
      </c>
      <c r="T1233" t="s">
        <v>1072</v>
      </c>
      <c r="U1233" s="1">
        <v>46075.845879629633</v>
      </c>
      <c r="V1233" t="s">
        <v>54</v>
      </c>
      <c r="W1233" t="s">
        <v>55</v>
      </c>
      <c r="X1233" t="s">
        <v>82</v>
      </c>
      <c r="Y1233" t="s">
        <v>5632</v>
      </c>
      <c r="Z1233" t="s">
        <v>5594</v>
      </c>
      <c r="AA1233" t="s">
        <v>54</v>
      </c>
      <c r="AB1233" t="s">
        <v>84</v>
      </c>
      <c r="AC1233" t="s">
        <v>85</v>
      </c>
      <c r="AD1233" t="s">
        <v>79</v>
      </c>
      <c r="AE1233" t="s">
        <v>967</v>
      </c>
      <c r="AF1233" t="s">
        <v>1072</v>
      </c>
      <c r="AG1233" t="s">
        <v>5594</v>
      </c>
      <c r="AH1233" t="s">
        <v>5633</v>
      </c>
      <c r="AK1233">
        <v>0</v>
      </c>
      <c r="AL1233" t="s">
        <v>61</v>
      </c>
      <c r="AM1233" t="s">
        <v>5634</v>
      </c>
      <c r="AN1233" t="s">
        <v>5635</v>
      </c>
    </row>
    <row r="1234" spans="1:40" x14ac:dyDescent="0.35">
      <c r="A1234" t="s">
        <v>37</v>
      </c>
      <c r="B1234" t="s">
        <v>5636</v>
      </c>
      <c r="C1234" t="s">
        <v>39</v>
      </c>
      <c r="D1234" t="s">
        <v>5637</v>
      </c>
      <c r="E1234" t="s">
        <v>5638</v>
      </c>
      <c r="F1234" s="1">
        <v>46075.843900462962</v>
      </c>
      <c r="G1234" t="s">
        <v>807</v>
      </c>
      <c r="H1234" t="s">
        <v>43</v>
      </c>
      <c r="I1234" t="s">
        <v>2152</v>
      </c>
      <c r="J1234" t="s">
        <v>74</v>
      </c>
      <c r="K1234" t="s">
        <v>75</v>
      </c>
      <c r="M1234" t="s">
        <v>47</v>
      </c>
      <c r="O1234" t="s">
        <v>77</v>
      </c>
      <c r="P1234" t="s">
        <v>78</v>
      </c>
      <c r="Q1234" t="s">
        <v>50</v>
      </c>
      <c r="R1234" t="s">
        <v>79</v>
      </c>
      <c r="S1234" t="s">
        <v>967</v>
      </c>
      <c r="T1234" t="s">
        <v>1072</v>
      </c>
      <c r="U1234" s="1">
        <v>46075.845717592594</v>
      </c>
      <c r="V1234" t="s">
        <v>54</v>
      </c>
      <c r="W1234" t="s">
        <v>55</v>
      </c>
      <c r="X1234" t="s">
        <v>82</v>
      </c>
      <c r="Y1234" t="s">
        <v>5632</v>
      </c>
      <c r="Z1234" t="s">
        <v>5594</v>
      </c>
      <c r="AA1234" t="s">
        <v>54</v>
      </c>
      <c r="AB1234" t="s">
        <v>84</v>
      </c>
      <c r="AC1234" t="s">
        <v>85</v>
      </c>
      <c r="AD1234" t="s">
        <v>79</v>
      </c>
      <c r="AE1234" t="s">
        <v>967</v>
      </c>
      <c r="AF1234" t="s">
        <v>1072</v>
      </c>
      <c r="AG1234" t="s">
        <v>5594</v>
      </c>
      <c r="AH1234">
        <v>15301</v>
      </c>
      <c r="AK1234">
        <v>0</v>
      </c>
      <c r="AL1234" t="s">
        <v>61</v>
      </c>
      <c r="AM1234" t="s">
        <v>5639</v>
      </c>
      <c r="AN1234" t="s">
        <v>5640</v>
      </c>
    </row>
    <row r="1235" spans="1:40" x14ac:dyDescent="0.35">
      <c r="A1235" t="s">
        <v>37</v>
      </c>
      <c r="B1235" t="s">
        <v>5641</v>
      </c>
      <c r="C1235" t="s">
        <v>102</v>
      </c>
      <c r="D1235" t="s">
        <v>1698</v>
      </c>
      <c r="E1235" t="s">
        <v>584</v>
      </c>
      <c r="F1235" s="1">
        <v>46075.826168981483</v>
      </c>
      <c r="G1235" t="s">
        <v>105</v>
      </c>
      <c r="H1235" t="s">
        <v>106</v>
      </c>
      <c r="I1235" t="s">
        <v>5642</v>
      </c>
      <c r="J1235" t="s">
        <v>108</v>
      </c>
      <c r="K1235" t="s">
        <v>109</v>
      </c>
      <c r="M1235" t="s">
        <v>76</v>
      </c>
      <c r="O1235" t="s">
        <v>77</v>
      </c>
      <c r="P1235" t="s">
        <v>78</v>
      </c>
      <c r="Q1235" t="s">
        <v>50</v>
      </c>
      <c r="R1235" t="s">
        <v>111</v>
      </c>
      <c r="S1235" t="s">
        <v>51</v>
      </c>
      <c r="T1235" t="s">
        <v>112</v>
      </c>
      <c r="U1235" s="1">
        <v>46076.698946759258</v>
      </c>
      <c r="V1235" t="s">
        <v>54</v>
      </c>
      <c r="W1235" t="s">
        <v>1584</v>
      </c>
      <c r="X1235" t="s">
        <v>134</v>
      </c>
      <c r="Y1235" t="s">
        <v>5643</v>
      </c>
      <c r="Z1235" t="s">
        <v>58</v>
      </c>
      <c r="AA1235" t="s">
        <v>54</v>
      </c>
      <c r="AB1235" t="s">
        <v>1701</v>
      </c>
      <c r="AC1235" t="s">
        <v>85</v>
      </c>
      <c r="AD1235" t="s">
        <v>116</v>
      </c>
      <c r="AE1235" t="s">
        <v>117</v>
      </c>
      <c r="AF1235" t="s">
        <v>144</v>
      </c>
      <c r="AG1235" t="s">
        <v>58</v>
      </c>
      <c r="AK1235">
        <v>1</v>
      </c>
      <c r="AL1235" t="s">
        <v>61</v>
      </c>
      <c r="AM1235" t="s">
        <v>1701</v>
      </c>
      <c r="AN1235" t="s">
        <v>1702</v>
      </c>
    </row>
    <row r="1236" spans="1:40" x14ac:dyDescent="0.35">
      <c r="A1236" t="s">
        <v>37</v>
      </c>
      <c r="B1236" t="s">
        <v>5644</v>
      </c>
      <c r="C1236" t="s">
        <v>102</v>
      </c>
      <c r="D1236" t="s">
        <v>103</v>
      </c>
      <c r="E1236" t="s">
        <v>104</v>
      </c>
      <c r="F1236" s="1">
        <v>46075.808055555557</v>
      </c>
      <c r="G1236" t="s">
        <v>105</v>
      </c>
      <c r="H1236" t="s">
        <v>106</v>
      </c>
      <c r="I1236" t="s">
        <v>789</v>
      </c>
      <c r="J1236" t="s">
        <v>108</v>
      </c>
      <c r="K1236" t="s">
        <v>109</v>
      </c>
      <c r="M1236" t="s">
        <v>47</v>
      </c>
      <c r="O1236" t="s">
        <v>77</v>
      </c>
      <c r="P1236" t="s">
        <v>78</v>
      </c>
      <c r="Q1236" t="s">
        <v>110</v>
      </c>
      <c r="R1236" t="s">
        <v>111</v>
      </c>
      <c r="S1236" t="s">
        <v>51</v>
      </c>
      <c r="T1236" t="s">
        <v>112</v>
      </c>
      <c r="U1236" s="1">
        <v>46075.871793981481</v>
      </c>
      <c r="V1236" t="s">
        <v>54</v>
      </c>
      <c r="W1236" t="s">
        <v>55</v>
      </c>
      <c r="X1236" t="s">
        <v>113</v>
      </c>
      <c r="Y1236" t="s">
        <v>5645</v>
      </c>
      <c r="Z1236" t="s">
        <v>5594</v>
      </c>
      <c r="AA1236" t="s">
        <v>54</v>
      </c>
      <c r="AB1236" t="s">
        <v>115</v>
      </c>
      <c r="AC1236" t="s">
        <v>85</v>
      </c>
      <c r="AD1236" t="s">
        <v>116</v>
      </c>
      <c r="AE1236" t="s">
        <v>117</v>
      </c>
      <c r="AF1236" t="s">
        <v>118</v>
      </c>
      <c r="AG1236" t="s">
        <v>5594</v>
      </c>
      <c r="AH1236">
        <v>5928</v>
      </c>
      <c r="AK1236">
        <v>1</v>
      </c>
      <c r="AL1236" t="s">
        <v>61</v>
      </c>
      <c r="AM1236" t="s">
        <v>119</v>
      </c>
      <c r="AN1236" t="s">
        <v>120</v>
      </c>
    </row>
    <row r="1237" spans="1:40" x14ac:dyDescent="0.35">
      <c r="A1237" t="s">
        <v>37</v>
      </c>
      <c r="B1237" t="s">
        <v>5646</v>
      </c>
      <c r="C1237" t="s">
        <v>102</v>
      </c>
      <c r="D1237" t="s">
        <v>1698</v>
      </c>
      <c r="E1237" t="s">
        <v>584</v>
      </c>
      <c r="F1237" s="1">
        <v>46075.807337962964</v>
      </c>
      <c r="G1237" t="s">
        <v>105</v>
      </c>
      <c r="H1237" t="s">
        <v>106</v>
      </c>
      <c r="I1237" t="s">
        <v>5647</v>
      </c>
      <c r="J1237" t="s">
        <v>108</v>
      </c>
      <c r="K1237" t="s">
        <v>109</v>
      </c>
      <c r="M1237" t="s">
        <v>47</v>
      </c>
      <c r="O1237" t="s">
        <v>77</v>
      </c>
      <c r="P1237" t="s">
        <v>78</v>
      </c>
      <c r="Q1237" t="s">
        <v>50</v>
      </c>
      <c r="R1237" t="s">
        <v>111</v>
      </c>
      <c r="S1237" t="s">
        <v>51</v>
      </c>
      <c r="T1237" t="s">
        <v>112</v>
      </c>
      <c r="U1237" s="1">
        <v>46075.872453703705</v>
      </c>
      <c r="V1237" t="s">
        <v>54</v>
      </c>
      <c r="W1237" t="s">
        <v>55</v>
      </c>
      <c r="X1237" t="s">
        <v>134</v>
      </c>
      <c r="Y1237" t="s">
        <v>5648</v>
      </c>
      <c r="Z1237" t="s">
        <v>5594</v>
      </c>
      <c r="AA1237" t="s">
        <v>54</v>
      </c>
      <c r="AB1237" t="s">
        <v>1701</v>
      </c>
      <c r="AC1237" t="s">
        <v>85</v>
      </c>
      <c r="AD1237" t="s">
        <v>116</v>
      </c>
      <c r="AE1237" t="s">
        <v>117</v>
      </c>
      <c r="AF1237" t="s">
        <v>1896</v>
      </c>
      <c r="AG1237" t="s">
        <v>5594</v>
      </c>
      <c r="AK1237">
        <v>1</v>
      </c>
      <c r="AL1237" t="s">
        <v>61</v>
      </c>
      <c r="AM1237" t="s">
        <v>1701</v>
      </c>
      <c r="AN1237" t="s">
        <v>1702</v>
      </c>
    </row>
    <row r="1238" spans="1:40" x14ac:dyDescent="0.35">
      <c r="A1238" t="s">
        <v>37</v>
      </c>
      <c r="B1238" t="s">
        <v>5649</v>
      </c>
      <c r="C1238" t="s">
        <v>39</v>
      </c>
      <c r="D1238" t="s">
        <v>40</v>
      </c>
      <c r="E1238" t="s">
        <v>41</v>
      </c>
      <c r="F1238" s="1">
        <v>46075.797326388885</v>
      </c>
      <c r="G1238" t="s">
        <v>42</v>
      </c>
      <c r="H1238" t="s">
        <v>43</v>
      </c>
      <c r="I1238" t="s">
        <v>5650</v>
      </c>
      <c r="J1238" t="s">
        <v>45</v>
      </c>
      <c r="K1238" t="s">
        <v>46</v>
      </c>
      <c r="M1238" t="s">
        <v>47</v>
      </c>
      <c r="O1238" t="s">
        <v>48</v>
      </c>
      <c r="P1238" t="s">
        <v>49</v>
      </c>
      <c r="Q1238" t="s">
        <v>50</v>
      </c>
      <c r="R1238" t="s">
        <v>51</v>
      </c>
      <c r="S1238" t="s">
        <v>52</v>
      </c>
      <c r="T1238" t="s">
        <v>53</v>
      </c>
      <c r="U1238" s="1">
        <v>46075.798182870371</v>
      </c>
      <c r="V1238" t="s">
        <v>54</v>
      </c>
      <c r="W1238" t="s">
        <v>55</v>
      </c>
      <c r="X1238" t="s">
        <v>56</v>
      </c>
      <c r="Y1238" t="s">
        <v>65</v>
      </c>
      <c r="Z1238" t="s">
        <v>5594</v>
      </c>
      <c r="AA1238" t="s">
        <v>54</v>
      </c>
      <c r="AB1238" t="s">
        <v>59</v>
      </c>
      <c r="AC1238" t="s">
        <v>60</v>
      </c>
      <c r="AD1238" t="s">
        <v>51</v>
      </c>
      <c r="AE1238" t="s">
        <v>52</v>
      </c>
      <c r="AF1238" t="s">
        <v>53</v>
      </c>
      <c r="AG1238" t="s">
        <v>5594</v>
      </c>
      <c r="AK1238">
        <v>0</v>
      </c>
      <c r="AL1238" t="s">
        <v>61</v>
      </c>
      <c r="AM1238" t="s">
        <v>59</v>
      </c>
      <c r="AN1238" t="s">
        <v>62</v>
      </c>
    </row>
    <row r="1239" spans="1:40" x14ac:dyDescent="0.35">
      <c r="A1239" t="s">
        <v>37</v>
      </c>
      <c r="B1239" t="s">
        <v>5651</v>
      </c>
      <c r="C1239" t="s">
        <v>102</v>
      </c>
      <c r="D1239" t="s">
        <v>103</v>
      </c>
      <c r="E1239" t="s">
        <v>104</v>
      </c>
      <c r="F1239" s="1">
        <v>46075.79184027778</v>
      </c>
      <c r="G1239" t="s">
        <v>105</v>
      </c>
      <c r="H1239" t="s">
        <v>106</v>
      </c>
      <c r="I1239" t="s">
        <v>5652</v>
      </c>
      <c r="J1239" t="s">
        <v>108</v>
      </c>
      <c r="K1239" t="s">
        <v>571</v>
      </c>
      <c r="M1239" t="s">
        <v>76</v>
      </c>
      <c r="O1239" t="s">
        <v>77</v>
      </c>
      <c r="P1239" t="s">
        <v>78</v>
      </c>
      <c r="Q1239" t="s">
        <v>110</v>
      </c>
      <c r="R1239" t="s">
        <v>111</v>
      </c>
      <c r="S1239" t="s">
        <v>51</v>
      </c>
      <c r="T1239" t="s">
        <v>112</v>
      </c>
      <c r="U1239" s="1">
        <v>46076.156412037039</v>
      </c>
      <c r="V1239" t="s">
        <v>54</v>
      </c>
      <c r="W1239" t="s">
        <v>55</v>
      </c>
      <c r="X1239" t="s">
        <v>113</v>
      </c>
      <c r="Y1239" t="s">
        <v>5653</v>
      </c>
      <c r="Z1239" t="s">
        <v>58</v>
      </c>
      <c r="AA1239" t="s">
        <v>54</v>
      </c>
      <c r="AB1239" t="s">
        <v>115</v>
      </c>
      <c r="AC1239" t="s">
        <v>85</v>
      </c>
      <c r="AD1239" t="s">
        <v>116</v>
      </c>
      <c r="AE1239" t="s">
        <v>1541</v>
      </c>
      <c r="AF1239" t="s">
        <v>2738</v>
      </c>
      <c r="AG1239" t="s">
        <v>58</v>
      </c>
      <c r="AH1239">
        <v>5928</v>
      </c>
      <c r="AK1239">
        <v>1</v>
      </c>
      <c r="AL1239" t="s">
        <v>61</v>
      </c>
      <c r="AM1239" t="s">
        <v>119</v>
      </c>
      <c r="AN1239" t="s">
        <v>120</v>
      </c>
    </row>
    <row r="1240" spans="1:40" x14ac:dyDescent="0.35">
      <c r="A1240" t="s">
        <v>37</v>
      </c>
      <c r="B1240" t="s">
        <v>5654</v>
      </c>
      <c r="C1240" t="s">
        <v>102</v>
      </c>
      <c r="D1240" t="s">
        <v>103</v>
      </c>
      <c r="E1240" t="s">
        <v>104</v>
      </c>
      <c r="F1240" s="1">
        <v>46075.790462962963</v>
      </c>
      <c r="G1240" t="s">
        <v>105</v>
      </c>
      <c r="H1240" t="s">
        <v>106</v>
      </c>
      <c r="I1240" t="s">
        <v>5100</v>
      </c>
      <c r="J1240" t="s">
        <v>108</v>
      </c>
      <c r="K1240" t="s">
        <v>109</v>
      </c>
      <c r="M1240" t="s">
        <v>47</v>
      </c>
      <c r="O1240" t="s">
        <v>77</v>
      </c>
      <c r="P1240" t="s">
        <v>78</v>
      </c>
      <c r="Q1240" t="s">
        <v>110</v>
      </c>
      <c r="R1240" t="s">
        <v>111</v>
      </c>
      <c r="S1240" t="s">
        <v>51</v>
      </c>
      <c r="T1240" t="s">
        <v>112</v>
      </c>
      <c r="U1240" s="1">
        <v>46075.872025462966</v>
      </c>
      <c r="V1240" t="s">
        <v>54</v>
      </c>
      <c r="W1240" t="s">
        <v>55</v>
      </c>
      <c r="X1240" t="s">
        <v>113</v>
      </c>
      <c r="Y1240" t="s">
        <v>5655</v>
      </c>
      <c r="Z1240" t="s">
        <v>5594</v>
      </c>
      <c r="AA1240" t="s">
        <v>54</v>
      </c>
      <c r="AB1240" t="s">
        <v>115</v>
      </c>
      <c r="AC1240" t="s">
        <v>85</v>
      </c>
      <c r="AD1240" t="s">
        <v>116</v>
      </c>
      <c r="AE1240" t="s">
        <v>117</v>
      </c>
      <c r="AF1240" t="s">
        <v>118</v>
      </c>
      <c r="AG1240" t="s">
        <v>5594</v>
      </c>
      <c r="AH1240">
        <v>5928</v>
      </c>
      <c r="AK1240">
        <v>1</v>
      </c>
      <c r="AL1240" t="s">
        <v>61</v>
      </c>
      <c r="AM1240" t="s">
        <v>119</v>
      </c>
      <c r="AN1240" t="s">
        <v>120</v>
      </c>
    </row>
    <row r="1241" spans="1:40" x14ac:dyDescent="0.35">
      <c r="A1241" t="s">
        <v>37</v>
      </c>
      <c r="B1241" t="s">
        <v>5656</v>
      </c>
      <c r="C1241" t="s">
        <v>102</v>
      </c>
      <c r="D1241" t="s">
        <v>1698</v>
      </c>
      <c r="E1241" t="s">
        <v>584</v>
      </c>
      <c r="F1241" s="1">
        <v>46075.773240740738</v>
      </c>
      <c r="G1241" t="s">
        <v>105</v>
      </c>
      <c r="H1241" t="s">
        <v>106</v>
      </c>
      <c r="I1241" t="s">
        <v>5657</v>
      </c>
      <c r="J1241" t="s">
        <v>108</v>
      </c>
      <c r="K1241" t="s">
        <v>109</v>
      </c>
      <c r="M1241" t="s">
        <v>47</v>
      </c>
      <c r="O1241" t="s">
        <v>77</v>
      </c>
      <c r="P1241" t="s">
        <v>78</v>
      </c>
      <c r="Q1241" t="s">
        <v>50</v>
      </c>
      <c r="R1241" t="s">
        <v>111</v>
      </c>
      <c r="S1241" t="s">
        <v>51</v>
      </c>
      <c r="T1241" t="s">
        <v>112</v>
      </c>
      <c r="U1241" s="1">
        <v>46075.871134259258</v>
      </c>
      <c r="V1241" t="s">
        <v>54</v>
      </c>
      <c r="W1241" t="s">
        <v>55</v>
      </c>
      <c r="X1241" t="s">
        <v>134</v>
      </c>
      <c r="Y1241" t="s">
        <v>5658</v>
      </c>
      <c r="Z1241" t="s">
        <v>5594</v>
      </c>
      <c r="AA1241" t="s">
        <v>54</v>
      </c>
      <c r="AB1241" t="s">
        <v>1701</v>
      </c>
      <c r="AC1241" t="s">
        <v>85</v>
      </c>
      <c r="AD1241" t="s">
        <v>116</v>
      </c>
      <c r="AE1241" t="s">
        <v>117</v>
      </c>
      <c r="AF1241" t="s">
        <v>1724</v>
      </c>
      <c r="AG1241" t="s">
        <v>5594</v>
      </c>
      <c r="AK1241">
        <v>1</v>
      </c>
      <c r="AL1241" t="s">
        <v>61</v>
      </c>
      <c r="AM1241" t="s">
        <v>1701</v>
      </c>
      <c r="AN1241" t="s">
        <v>1702</v>
      </c>
    </row>
    <row r="1242" spans="1:40" x14ac:dyDescent="0.35">
      <c r="A1242" t="s">
        <v>37</v>
      </c>
      <c r="B1242" t="s">
        <v>5659</v>
      </c>
      <c r="C1242" t="s">
        <v>102</v>
      </c>
      <c r="D1242" t="s">
        <v>568</v>
      </c>
      <c r="E1242" t="s">
        <v>569</v>
      </c>
      <c r="F1242" s="1">
        <v>46075.765081018515</v>
      </c>
      <c r="G1242" t="s">
        <v>105</v>
      </c>
      <c r="H1242" t="s">
        <v>106</v>
      </c>
      <c r="I1242" t="s">
        <v>5660</v>
      </c>
      <c r="J1242" t="s">
        <v>5597</v>
      </c>
      <c r="K1242" t="s">
        <v>2345</v>
      </c>
      <c r="M1242" t="s">
        <v>47</v>
      </c>
      <c r="O1242" t="s">
        <v>237</v>
      </c>
      <c r="P1242" t="s">
        <v>238</v>
      </c>
      <c r="Q1242" t="s">
        <v>448</v>
      </c>
      <c r="R1242" t="s">
        <v>111</v>
      </c>
      <c r="S1242" t="s">
        <v>51</v>
      </c>
      <c r="T1242" t="s">
        <v>5598</v>
      </c>
      <c r="U1242" s="1">
        <v>46075.766331018516</v>
      </c>
      <c r="V1242" t="s">
        <v>54</v>
      </c>
      <c r="W1242" t="s">
        <v>55</v>
      </c>
      <c r="X1242" t="s">
        <v>56</v>
      </c>
      <c r="Y1242" t="s">
        <v>5661</v>
      </c>
      <c r="Z1242" t="s">
        <v>5594</v>
      </c>
      <c r="AA1242" t="s">
        <v>54</v>
      </c>
      <c r="AB1242" t="s">
        <v>1212</v>
      </c>
      <c r="AC1242" t="s">
        <v>242</v>
      </c>
      <c r="AD1242" t="s">
        <v>51</v>
      </c>
      <c r="AE1242" t="s">
        <v>52</v>
      </c>
      <c r="AF1242" t="s">
        <v>240</v>
      </c>
      <c r="AG1242" t="s">
        <v>5594</v>
      </c>
      <c r="AK1242">
        <v>0</v>
      </c>
      <c r="AL1242" t="s">
        <v>61</v>
      </c>
      <c r="AM1242" t="s">
        <v>576</v>
      </c>
      <c r="AN1242" t="s">
        <v>577</v>
      </c>
    </row>
    <row r="1243" spans="1:40" x14ac:dyDescent="0.35">
      <c r="A1243" t="s">
        <v>37</v>
      </c>
      <c r="B1243" t="s">
        <v>5662</v>
      </c>
      <c r="C1243" t="s">
        <v>102</v>
      </c>
      <c r="D1243" t="s">
        <v>1698</v>
      </c>
      <c r="E1243" t="s">
        <v>584</v>
      </c>
      <c r="F1243" s="1">
        <v>46075.758587962962</v>
      </c>
      <c r="G1243" t="s">
        <v>105</v>
      </c>
      <c r="H1243" t="s">
        <v>106</v>
      </c>
      <c r="I1243" t="s">
        <v>1579</v>
      </c>
      <c r="J1243" t="s">
        <v>108</v>
      </c>
      <c r="K1243" t="s">
        <v>571</v>
      </c>
      <c r="M1243" t="s">
        <v>47</v>
      </c>
      <c r="O1243" t="s">
        <v>77</v>
      </c>
      <c r="P1243" t="s">
        <v>78</v>
      </c>
      <c r="Q1243" t="s">
        <v>50</v>
      </c>
      <c r="R1243" t="s">
        <v>111</v>
      </c>
      <c r="S1243" t="s">
        <v>51</v>
      </c>
      <c r="T1243" t="s">
        <v>112</v>
      </c>
      <c r="U1243" s="1">
        <v>46075.870289351849</v>
      </c>
      <c r="V1243" t="s">
        <v>54</v>
      </c>
      <c r="W1243" t="s">
        <v>55</v>
      </c>
      <c r="X1243" t="s">
        <v>134</v>
      </c>
      <c r="Y1243" t="s">
        <v>5663</v>
      </c>
      <c r="Z1243" t="s">
        <v>5594</v>
      </c>
      <c r="AA1243" t="s">
        <v>54</v>
      </c>
      <c r="AB1243" t="s">
        <v>1701</v>
      </c>
      <c r="AC1243" t="s">
        <v>85</v>
      </c>
      <c r="AD1243" t="s">
        <v>116</v>
      </c>
      <c r="AE1243" t="s">
        <v>574</v>
      </c>
      <c r="AF1243" t="s">
        <v>1706</v>
      </c>
      <c r="AG1243" t="s">
        <v>5594</v>
      </c>
      <c r="AK1243">
        <v>1</v>
      </c>
      <c r="AL1243" t="s">
        <v>61</v>
      </c>
      <c r="AM1243" t="s">
        <v>1701</v>
      </c>
      <c r="AN1243" t="s">
        <v>1702</v>
      </c>
    </row>
    <row r="1244" spans="1:40" x14ac:dyDescent="0.35">
      <c r="A1244" t="s">
        <v>37</v>
      </c>
      <c r="B1244" t="s">
        <v>5664</v>
      </c>
      <c r="C1244" t="s">
        <v>39</v>
      </c>
      <c r="D1244" t="s">
        <v>40</v>
      </c>
      <c r="E1244" t="s">
        <v>41</v>
      </c>
      <c r="F1244" s="1">
        <v>46075.744560185187</v>
      </c>
      <c r="G1244" t="s">
        <v>42</v>
      </c>
      <c r="H1244" t="s">
        <v>43</v>
      </c>
      <c r="I1244" t="s">
        <v>5665</v>
      </c>
      <c r="J1244" t="s">
        <v>45</v>
      </c>
      <c r="K1244" t="s">
        <v>46</v>
      </c>
      <c r="M1244" t="s">
        <v>47</v>
      </c>
      <c r="O1244" t="s">
        <v>48</v>
      </c>
      <c r="P1244" t="s">
        <v>49</v>
      </c>
      <c r="Q1244" t="s">
        <v>50</v>
      </c>
      <c r="R1244" t="s">
        <v>51</v>
      </c>
      <c r="S1244" t="s">
        <v>52</v>
      </c>
      <c r="T1244" t="s">
        <v>53</v>
      </c>
      <c r="U1244" s="1">
        <v>46075.745208333334</v>
      </c>
      <c r="V1244" t="s">
        <v>54</v>
      </c>
      <c r="W1244" t="s">
        <v>55</v>
      </c>
      <c r="X1244" t="s">
        <v>56</v>
      </c>
      <c r="Y1244" t="s">
        <v>57</v>
      </c>
      <c r="Z1244" t="s">
        <v>5594</v>
      </c>
      <c r="AA1244" t="s">
        <v>54</v>
      </c>
      <c r="AB1244" t="s">
        <v>59</v>
      </c>
      <c r="AC1244" t="s">
        <v>60</v>
      </c>
      <c r="AD1244" t="s">
        <v>51</v>
      </c>
      <c r="AE1244" t="s">
        <v>52</v>
      </c>
      <c r="AF1244" t="s">
        <v>53</v>
      </c>
      <c r="AG1244" t="s">
        <v>5594</v>
      </c>
      <c r="AK1244">
        <v>0</v>
      </c>
      <c r="AL1244" t="s">
        <v>61</v>
      </c>
      <c r="AM1244" t="s">
        <v>59</v>
      </c>
      <c r="AN1244" t="s">
        <v>62</v>
      </c>
    </row>
    <row r="1245" spans="1:40" x14ac:dyDescent="0.35">
      <c r="A1245" t="s">
        <v>37</v>
      </c>
      <c r="B1245" t="s">
        <v>5666</v>
      </c>
      <c r="C1245" t="s">
        <v>102</v>
      </c>
      <c r="D1245" t="s">
        <v>1698</v>
      </c>
      <c r="E1245" t="s">
        <v>584</v>
      </c>
      <c r="F1245" s="1">
        <v>46075.741863425923</v>
      </c>
      <c r="G1245" t="s">
        <v>105</v>
      </c>
      <c r="H1245" t="s">
        <v>106</v>
      </c>
      <c r="I1245" t="s">
        <v>107</v>
      </c>
      <c r="J1245" t="s">
        <v>108</v>
      </c>
      <c r="K1245" t="s">
        <v>109</v>
      </c>
      <c r="M1245" t="s">
        <v>47</v>
      </c>
      <c r="O1245" t="s">
        <v>77</v>
      </c>
      <c r="P1245" t="s">
        <v>78</v>
      </c>
      <c r="Q1245" t="s">
        <v>50</v>
      </c>
      <c r="R1245" t="s">
        <v>111</v>
      </c>
      <c r="S1245" t="s">
        <v>51</v>
      </c>
      <c r="T1245" t="s">
        <v>112</v>
      </c>
      <c r="U1245" s="1">
        <v>46075.871516203704</v>
      </c>
      <c r="V1245" t="s">
        <v>54</v>
      </c>
      <c r="W1245" t="s">
        <v>55</v>
      </c>
      <c r="X1245" t="s">
        <v>134</v>
      </c>
      <c r="Y1245" t="s">
        <v>5667</v>
      </c>
      <c r="Z1245" t="s">
        <v>5594</v>
      </c>
      <c r="AA1245" t="s">
        <v>54</v>
      </c>
      <c r="AB1245" t="s">
        <v>1701</v>
      </c>
      <c r="AC1245" t="s">
        <v>85</v>
      </c>
      <c r="AD1245" t="s">
        <v>116</v>
      </c>
      <c r="AE1245" t="s">
        <v>117</v>
      </c>
      <c r="AF1245" t="s">
        <v>1896</v>
      </c>
      <c r="AG1245" t="s">
        <v>5594</v>
      </c>
      <c r="AK1245">
        <v>1</v>
      </c>
      <c r="AL1245" t="s">
        <v>61</v>
      </c>
      <c r="AM1245" t="s">
        <v>1701</v>
      </c>
      <c r="AN1245" t="s">
        <v>1702</v>
      </c>
    </row>
    <row r="1246" spans="1:40" x14ac:dyDescent="0.35">
      <c r="A1246" t="s">
        <v>37</v>
      </c>
      <c r="B1246" t="s">
        <v>5668</v>
      </c>
      <c r="C1246" t="s">
        <v>39</v>
      </c>
      <c r="D1246" t="s">
        <v>2844</v>
      </c>
      <c r="E1246" t="s">
        <v>5669</v>
      </c>
      <c r="F1246" s="1">
        <v>46075.726006944446</v>
      </c>
      <c r="G1246" t="s">
        <v>1249</v>
      </c>
      <c r="H1246" t="s">
        <v>233</v>
      </c>
      <c r="I1246" t="s">
        <v>2152</v>
      </c>
      <c r="J1246" t="s">
        <v>74</v>
      </c>
      <c r="K1246" t="s">
        <v>75</v>
      </c>
      <c r="M1246" t="s">
        <v>47</v>
      </c>
      <c r="O1246" t="s">
        <v>77</v>
      </c>
      <c r="P1246" t="s">
        <v>78</v>
      </c>
      <c r="Q1246" t="s">
        <v>1088</v>
      </c>
      <c r="R1246" t="s">
        <v>79</v>
      </c>
      <c r="S1246" t="s">
        <v>967</v>
      </c>
      <c r="T1246" t="s">
        <v>1072</v>
      </c>
      <c r="U1246" s="1">
        <v>46075.726643518516</v>
      </c>
      <c r="V1246" t="s">
        <v>54</v>
      </c>
      <c r="W1246" t="s">
        <v>55</v>
      </c>
      <c r="X1246" t="s">
        <v>82</v>
      </c>
      <c r="Y1246" t="s">
        <v>2154</v>
      </c>
      <c r="Z1246" t="s">
        <v>5594</v>
      </c>
      <c r="AA1246" t="s">
        <v>54</v>
      </c>
      <c r="AB1246" t="s">
        <v>84</v>
      </c>
      <c r="AC1246" t="s">
        <v>85</v>
      </c>
      <c r="AD1246" t="s">
        <v>79</v>
      </c>
      <c r="AE1246" t="s">
        <v>967</v>
      </c>
      <c r="AF1246" t="s">
        <v>1072</v>
      </c>
      <c r="AG1246" t="s">
        <v>5594</v>
      </c>
      <c r="AH1246">
        <v>11111</v>
      </c>
      <c r="AK1246">
        <v>0</v>
      </c>
      <c r="AL1246" t="s">
        <v>61</v>
      </c>
      <c r="AM1246" t="s">
        <v>5670</v>
      </c>
      <c r="AN1246" t="s">
        <v>5671</v>
      </c>
    </row>
    <row r="1247" spans="1:40" x14ac:dyDescent="0.35">
      <c r="A1247" t="s">
        <v>37</v>
      </c>
      <c r="B1247" t="s">
        <v>5672</v>
      </c>
      <c r="C1247" t="s">
        <v>102</v>
      </c>
      <c r="D1247" t="s">
        <v>3786</v>
      </c>
      <c r="E1247" t="s">
        <v>469</v>
      </c>
      <c r="F1247" s="1">
        <v>46075.723483796297</v>
      </c>
      <c r="G1247" t="s">
        <v>105</v>
      </c>
      <c r="H1247" t="s">
        <v>106</v>
      </c>
      <c r="I1247" t="s">
        <v>5673</v>
      </c>
      <c r="J1247" t="s">
        <v>108</v>
      </c>
      <c r="K1247" t="s">
        <v>109</v>
      </c>
      <c r="M1247" t="s">
        <v>47</v>
      </c>
      <c r="O1247" t="s">
        <v>77</v>
      </c>
      <c r="P1247" t="s">
        <v>78</v>
      </c>
      <c r="Q1247" t="s">
        <v>541</v>
      </c>
      <c r="R1247" t="s">
        <v>111</v>
      </c>
      <c r="S1247" t="s">
        <v>51</v>
      </c>
      <c r="T1247" t="s">
        <v>112</v>
      </c>
      <c r="U1247" s="1">
        <v>46075.792592592596</v>
      </c>
      <c r="V1247" t="s">
        <v>54</v>
      </c>
      <c r="W1247" t="s">
        <v>55</v>
      </c>
      <c r="X1247" t="s">
        <v>113</v>
      </c>
      <c r="Y1247" t="s">
        <v>5674</v>
      </c>
      <c r="Z1247" t="s">
        <v>5594</v>
      </c>
      <c r="AA1247" t="s">
        <v>54</v>
      </c>
      <c r="AB1247" t="s">
        <v>115</v>
      </c>
      <c r="AC1247" t="s">
        <v>85</v>
      </c>
      <c r="AD1247" t="s">
        <v>116</v>
      </c>
      <c r="AE1247" t="s">
        <v>117</v>
      </c>
      <c r="AF1247" t="s">
        <v>118</v>
      </c>
      <c r="AG1247" t="s">
        <v>5594</v>
      </c>
      <c r="AH1247">
        <v>5935</v>
      </c>
      <c r="AK1247">
        <v>1</v>
      </c>
      <c r="AL1247" t="s">
        <v>61</v>
      </c>
      <c r="AM1247" t="s">
        <v>3789</v>
      </c>
      <c r="AN1247" t="s">
        <v>3790</v>
      </c>
    </row>
    <row r="1248" spans="1:40" x14ac:dyDescent="0.35">
      <c r="A1248" t="s">
        <v>37</v>
      </c>
      <c r="B1248" t="s">
        <v>5675</v>
      </c>
      <c r="C1248" t="s">
        <v>102</v>
      </c>
      <c r="D1248" t="s">
        <v>3786</v>
      </c>
      <c r="E1248" t="s">
        <v>469</v>
      </c>
      <c r="F1248" s="1">
        <v>46075.722546296296</v>
      </c>
      <c r="G1248" t="s">
        <v>105</v>
      </c>
      <c r="H1248" t="s">
        <v>106</v>
      </c>
      <c r="I1248" t="s">
        <v>5676</v>
      </c>
      <c r="J1248" t="s">
        <v>108</v>
      </c>
      <c r="K1248" t="s">
        <v>109</v>
      </c>
      <c r="M1248" t="s">
        <v>47</v>
      </c>
      <c r="O1248" t="s">
        <v>77</v>
      </c>
      <c r="P1248" t="s">
        <v>78</v>
      </c>
      <c r="Q1248" t="s">
        <v>541</v>
      </c>
      <c r="R1248" t="s">
        <v>111</v>
      </c>
      <c r="S1248" t="s">
        <v>51</v>
      </c>
      <c r="T1248" t="s">
        <v>112</v>
      </c>
      <c r="U1248" s="1">
        <v>46075.792314814818</v>
      </c>
      <c r="V1248" t="s">
        <v>54</v>
      </c>
      <c r="W1248" t="s">
        <v>55</v>
      </c>
      <c r="X1248" t="s">
        <v>113</v>
      </c>
      <c r="Y1248" t="s">
        <v>5677</v>
      </c>
      <c r="Z1248" t="s">
        <v>5594</v>
      </c>
      <c r="AA1248" t="s">
        <v>54</v>
      </c>
      <c r="AB1248" t="s">
        <v>115</v>
      </c>
      <c r="AC1248" t="s">
        <v>85</v>
      </c>
      <c r="AD1248" t="s">
        <v>116</v>
      </c>
      <c r="AE1248" t="s">
        <v>117</v>
      </c>
      <c r="AF1248" t="s">
        <v>118</v>
      </c>
      <c r="AG1248" t="s">
        <v>5594</v>
      </c>
      <c r="AH1248">
        <v>5935</v>
      </c>
      <c r="AK1248">
        <v>1</v>
      </c>
      <c r="AL1248" t="s">
        <v>61</v>
      </c>
      <c r="AM1248" t="s">
        <v>3789</v>
      </c>
      <c r="AN1248" t="s">
        <v>3790</v>
      </c>
    </row>
    <row r="1249" spans="1:40" x14ac:dyDescent="0.35">
      <c r="A1249" t="s">
        <v>37</v>
      </c>
      <c r="B1249" t="s">
        <v>5678</v>
      </c>
      <c r="C1249" t="s">
        <v>39</v>
      </c>
      <c r="D1249" t="s">
        <v>5679</v>
      </c>
      <c r="E1249" t="s">
        <v>5680</v>
      </c>
      <c r="F1249" s="1">
        <v>46075.714317129627</v>
      </c>
      <c r="G1249" t="s">
        <v>71</v>
      </c>
      <c r="H1249" t="s">
        <v>72</v>
      </c>
      <c r="I1249" t="s">
        <v>1185</v>
      </c>
      <c r="J1249" t="s">
        <v>2333</v>
      </c>
      <c r="K1249" t="s">
        <v>1187</v>
      </c>
      <c r="M1249" t="s">
        <v>76</v>
      </c>
      <c r="O1249" t="s">
        <v>77</v>
      </c>
      <c r="P1249" t="s">
        <v>78</v>
      </c>
      <c r="Q1249" t="s">
        <v>50</v>
      </c>
      <c r="R1249" t="s">
        <v>305</v>
      </c>
      <c r="S1249" t="s">
        <v>306</v>
      </c>
      <c r="T1249" t="s">
        <v>307</v>
      </c>
      <c r="U1249" s="1">
        <v>46076.362488425926</v>
      </c>
      <c r="V1249" t="s">
        <v>54</v>
      </c>
      <c r="W1249" t="s">
        <v>55</v>
      </c>
      <c r="X1249" t="s">
        <v>211</v>
      </c>
      <c r="Y1249" t="s">
        <v>5681</v>
      </c>
      <c r="Z1249" t="s">
        <v>58</v>
      </c>
      <c r="AA1249" t="s">
        <v>54</v>
      </c>
      <c r="AB1249" t="s">
        <v>213</v>
      </c>
      <c r="AC1249" t="s">
        <v>85</v>
      </c>
      <c r="AD1249" t="s">
        <v>1189</v>
      </c>
      <c r="AE1249" t="s">
        <v>1190</v>
      </c>
      <c r="AF1249" t="s">
        <v>1191</v>
      </c>
      <c r="AG1249" t="s">
        <v>58</v>
      </c>
      <c r="AH1249" t="s">
        <v>5682</v>
      </c>
      <c r="AK1249">
        <v>2</v>
      </c>
      <c r="AL1249" t="s">
        <v>61</v>
      </c>
      <c r="AM1249" t="s">
        <v>5683</v>
      </c>
      <c r="AN1249" t="s">
        <v>5684</v>
      </c>
    </row>
    <row r="1250" spans="1:40" x14ac:dyDescent="0.35">
      <c r="A1250" t="s">
        <v>37</v>
      </c>
      <c r="B1250" t="s">
        <v>5685</v>
      </c>
      <c r="C1250" t="s">
        <v>102</v>
      </c>
      <c r="D1250" t="s">
        <v>1698</v>
      </c>
      <c r="E1250" t="s">
        <v>584</v>
      </c>
      <c r="F1250" s="1">
        <v>46075.714004629626</v>
      </c>
      <c r="G1250" t="s">
        <v>105</v>
      </c>
      <c r="H1250" t="s">
        <v>106</v>
      </c>
      <c r="I1250" t="s">
        <v>3488</v>
      </c>
      <c r="J1250" t="s">
        <v>108</v>
      </c>
      <c r="K1250" t="s">
        <v>109</v>
      </c>
      <c r="M1250" t="s">
        <v>47</v>
      </c>
      <c r="O1250" t="s">
        <v>77</v>
      </c>
      <c r="P1250" t="s">
        <v>78</v>
      </c>
      <c r="Q1250" t="s">
        <v>50</v>
      </c>
      <c r="R1250" t="s">
        <v>111</v>
      </c>
      <c r="S1250" t="s">
        <v>51</v>
      </c>
      <c r="T1250" t="s">
        <v>112</v>
      </c>
      <c r="U1250" s="1">
        <v>46075.870729166665</v>
      </c>
      <c r="V1250" t="s">
        <v>54</v>
      </c>
      <c r="W1250" t="s">
        <v>55</v>
      </c>
      <c r="X1250" t="s">
        <v>134</v>
      </c>
      <c r="Y1250" t="s">
        <v>5686</v>
      </c>
      <c r="Z1250" t="s">
        <v>5594</v>
      </c>
      <c r="AA1250" t="s">
        <v>54</v>
      </c>
      <c r="AB1250" t="s">
        <v>1701</v>
      </c>
      <c r="AC1250" t="s">
        <v>85</v>
      </c>
      <c r="AD1250" t="s">
        <v>116</v>
      </c>
      <c r="AE1250" t="s">
        <v>117</v>
      </c>
      <c r="AF1250" t="s">
        <v>1706</v>
      </c>
      <c r="AG1250" t="s">
        <v>5594</v>
      </c>
      <c r="AK1250">
        <v>1</v>
      </c>
      <c r="AL1250" t="s">
        <v>61</v>
      </c>
      <c r="AM1250" t="s">
        <v>1701</v>
      </c>
      <c r="AN1250" t="s">
        <v>1702</v>
      </c>
    </row>
    <row r="1251" spans="1:40" x14ac:dyDescent="0.35">
      <c r="A1251" t="s">
        <v>37</v>
      </c>
      <c r="B1251" t="s">
        <v>5687</v>
      </c>
      <c r="C1251" t="s">
        <v>39</v>
      </c>
      <c r="D1251" t="s">
        <v>5679</v>
      </c>
      <c r="E1251" t="s">
        <v>5680</v>
      </c>
      <c r="F1251" s="1">
        <v>46075.712800925925</v>
      </c>
      <c r="G1251" t="s">
        <v>71</v>
      </c>
      <c r="H1251" t="s">
        <v>72</v>
      </c>
      <c r="I1251" t="s">
        <v>1185</v>
      </c>
      <c r="J1251" t="s">
        <v>2406</v>
      </c>
      <c r="K1251" t="s">
        <v>1187</v>
      </c>
      <c r="M1251" t="s">
        <v>131</v>
      </c>
      <c r="O1251" t="s">
        <v>77</v>
      </c>
      <c r="P1251" t="s">
        <v>78</v>
      </c>
      <c r="Q1251" t="s">
        <v>50</v>
      </c>
      <c r="R1251" t="s">
        <v>305</v>
      </c>
      <c r="S1251" t="s">
        <v>306</v>
      </c>
      <c r="T1251" t="s">
        <v>307</v>
      </c>
      <c r="U1251" s="1">
        <v>46077.563587962963</v>
      </c>
      <c r="V1251" t="s">
        <v>54</v>
      </c>
      <c r="W1251" t="s">
        <v>55</v>
      </c>
      <c r="X1251" t="s">
        <v>211</v>
      </c>
      <c r="Y1251" t="s">
        <v>5688</v>
      </c>
      <c r="Z1251" t="s">
        <v>58</v>
      </c>
      <c r="AA1251" t="s">
        <v>54</v>
      </c>
      <c r="AB1251" t="s">
        <v>213</v>
      </c>
      <c r="AC1251" t="s">
        <v>85</v>
      </c>
      <c r="AD1251" t="s">
        <v>1189</v>
      </c>
      <c r="AE1251" t="s">
        <v>1190</v>
      </c>
      <c r="AF1251" t="s">
        <v>1191</v>
      </c>
      <c r="AG1251" t="s">
        <v>58</v>
      </c>
      <c r="AH1251" t="s">
        <v>5682</v>
      </c>
      <c r="AK1251">
        <v>2</v>
      </c>
      <c r="AL1251" t="s">
        <v>61</v>
      </c>
      <c r="AM1251" t="s">
        <v>5683</v>
      </c>
      <c r="AN1251" t="s">
        <v>5684</v>
      </c>
    </row>
    <row r="1252" spans="1:40" x14ac:dyDescent="0.35">
      <c r="A1252" t="s">
        <v>37</v>
      </c>
      <c r="B1252" t="s">
        <v>5689</v>
      </c>
      <c r="C1252" t="s">
        <v>39</v>
      </c>
      <c r="D1252" t="s">
        <v>5679</v>
      </c>
      <c r="E1252" t="s">
        <v>5680</v>
      </c>
      <c r="F1252" s="1">
        <v>46075.711493055554</v>
      </c>
      <c r="G1252" t="s">
        <v>71</v>
      </c>
      <c r="H1252" t="s">
        <v>72</v>
      </c>
      <c r="I1252" t="s">
        <v>1185</v>
      </c>
      <c r="J1252" t="s">
        <v>2333</v>
      </c>
      <c r="K1252" t="s">
        <v>1187</v>
      </c>
      <c r="M1252" t="s">
        <v>76</v>
      </c>
      <c r="O1252" t="s">
        <v>77</v>
      </c>
      <c r="P1252" t="s">
        <v>78</v>
      </c>
      <c r="Q1252" t="s">
        <v>50</v>
      </c>
      <c r="R1252" t="s">
        <v>305</v>
      </c>
      <c r="S1252" t="s">
        <v>306</v>
      </c>
      <c r="T1252" t="s">
        <v>307</v>
      </c>
      <c r="U1252" s="1">
        <v>46076.346018518518</v>
      </c>
      <c r="V1252" t="s">
        <v>54</v>
      </c>
      <c r="W1252" t="s">
        <v>55</v>
      </c>
      <c r="X1252" t="s">
        <v>211</v>
      </c>
      <c r="Y1252" t="s">
        <v>5690</v>
      </c>
      <c r="Z1252" t="s">
        <v>58</v>
      </c>
      <c r="AA1252" t="s">
        <v>54</v>
      </c>
      <c r="AB1252" t="s">
        <v>213</v>
      </c>
      <c r="AC1252" t="s">
        <v>85</v>
      </c>
      <c r="AD1252" t="s">
        <v>1189</v>
      </c>
      <c r="AE1252" t="s">
        <v>1190</v>
      </c>
      <c r="AF1252" t="s">
        <v>1191</v>
      </c>
      <c r="AG1252" t="s">
        <v>58</v>
      </c>
      <c r="AH1252" t="s">
        <v>5682</v>
      </c>
      <c r="AK1252">
        <v>2</v>
      </c>
      <c r="AL1252" t="s">
        <v>61</v>
      </c>
      <c r="AM1252" t="s">
        <v>5683</v>
      </c>
      <c r="AN1252" t="s">
        <v>5684</v>
      </c>
    </row>
    <row r="1253" spans="1:40" x14ac:dyDescent="0.35">
      <c r="A1253" t="s">
        <v>37</v>
      </c>
      <c r="B1253" t="s">
        <v>5691</v>
      </c>
      <c r="C1253" t="s">
        <v>39</v>
      </c>
      <c r="D1253" t="s">
        <v>5679</v>
      </c>
      <c r="E1253" t="s">
        <v>5680</v>
      </c>
      <c r="F1253" s="1">
        <v>46075.710682870369</v>
      </c>
      <c r="G1253" t="s">
        <v>71</v>
      </c>
      <c r="H1253" t="s">
        <v>72</v>
      </c>
      <c r="I1253" t="s">
        <v>1185</v>
      </c>
      <c r="J1253" t="s">
        <v>2406</v>
      </c>
      <c r="K1253" t="s">
        <v>1187</v>
      </c>
      <c r="M1253" t="s">
        <v>131</v>
      </c>
      <c r="O1253" t="s">
        <v>77</v>
      </c>
      <c r="P1253" t="s">
        <v>78</v>
      </c>
      <c r="Q1253" t="s">
        <v>50</v>
      </c>
      <c r="R1253" t="s">
        <v>305</v>
      </c>
      <c r="S1253" t="s">
        <v>306</v>
      </c>
      <c r="T1253" t="s">
        <v>307</v>
      </c>
      <c r="U1253" s="1">
        <v>46077.563298611109</v>
      </c>
      <c r="V1253" t="s">
        <v>54</v>
      </c>
      <c r="W1253" t="s">
        <v>55</v>
      </c>
      <c r="X1253" t="s">
        <v>211</v>
      </c>
      <c r="Y1253" t="s">
        <v>5688</v>
      </c>
      <c r="Z1253" t="s">
        <v>58</v>
      </c>
      <c r="AA1253" t="s">
        <v>54</v>
      </c>
      <c r="AB1253" t="s">
        <v>213</v>
      </c>
      <c r="AC1253" t="s">
        <v>85</v>
      </c>
      <c r="AD1253" t="s">
        <v>1189</v>
      </c>
      <c r="AE1253" t="s">
        <v>1190</v>
      </c>
      <c r="AF1253" t="s">
        <v>1191</v>
      </c>
      <c r="AG1253" t="s">
        <v>58</v>
      </c>
      <c r="AH1253" t="s">
        <v>5682</v>
      </c>
      <c r="AK1253">
        <v>2</v>
      </c>
      <c r="AL1253" t="s">
        <v>61</v>
      </c>
      <c r="AM1253" t="s">
        <v>5683</v>
      </c>
      <c r="AN1253" t="s">
        <v>5684</v>
      </c>
    </row>
    <row r="1254" spans="1:40" x14ac:dyDescent="0.35">
      <c r="A1254" t="s">
        <v>37</v>
      </c>
      <c r="B1254" t="s">
        <v>5692</v>
      </c>
      <c r="C1254" t="s">
        <v>39</v>
      </c>
      <c r="D1254" t="s">
        <v>40</v>
      </c>
      <c r="E1254" t="s">
        <v>41</v>
      </c>
      <c r="F1254" s="1">
        <v>46075.708935185183</v>
      </c>
      <c r="G1254" t="s">
        <v>42</v>
      </c>
      <c r="H1254" t="s">
        <v>43</v>
      </c>
      <c r="I1254" t="s">
        <v>5693</v>
      </c>
      <c r="J1254" t="s">
        <v>45</v>
      </c>
      <c r="K1254" t="s">
        <v>46</v>
      </c>
      <c r="M1254" t="s">
        <v>47</v>
      </c>
      <c r="O1254" t="s">
        <v>48</v>
      </c>
      <c r="P1254" t="s">
        <v>49</v>
      </c>
      <c r="Q1254" t="s">
        <v>50</v>
      </c>
      <c r="R1254" t="s">
        <v>214</v>
      </c>
      <c r="S1254" t="s">
        <v>589</v>
      </c>
      <c r="T1254" t="s">
        <v>3593</v>
      </c>
      <c r="U1254" s="1">
        <v>46075.9141087963</v>
      </c>
      <c r="V1254" t="s">
        <v>54</v>
      </c>
      <c r="W1254" t="s">
        <v>55</v>
      </c>
      <c r="X1254" t="s">
        <v>56</v>
      </c>
      <c r="Y1254" t="s">
        <v>5694</v>
      </c>
      <c r="Z1254" t="s">
        <v>5594</v>
      </c>
      <c r="AA1254" t="s">
        <v>54</v>
      </c>
      <c r="AB1254" t="s">
        <v>59</v>
      </c>
      <c r="AC1254" t="s">
        <v>60</v>
      </c>
      <c r="AD1254" t="s">
        <v>51</v>
      </c>
      <c r="AE1254" t="s">
        <v>52</v>
      </c>
      <c r="AF1254" t="s">
        <v>53</v>
      </c>
      <c r="AG1254" t="s">
        <v>5594</v>
      </c>
      <c r="AK1254">
        <v>0</v>
      </c>
      <c r="AL1254" t="s">
        <v>61</v>
      </c>
      <c r="AM1254" t="s">
        <v>59</v>
      </c>
      <c r="AN1254" t="s">
        <v>62</v>
      </c>
    </row>
    <row r="1255" spans="1:40" x14ac:dyDescent="0.35">
      <c r="A1255" t="s">
        <v>37</v>
      </c>
      <c r="B1255" t="s">
        <v>5695</v>
      </c>
      <c r="C1255" t="s">
        <v>102</v>
      </c>
      <c r="D1255" t="s">
        <v>1698</v>
      </c>
      <c r="E1255" t="s">
        <v>584</v>
      </c>
      <c r="F1255" s="1">
        <v>46075.702118055553</v>
      </c>
      <c r="G1255" t="s">
        <v>105</v>
      </c>
      <c r="H1255" t="s">
        <v>106</v>
      </c>
      <c r="I1255" t="s">
        <v>1951</v>
      </c>
      <c r="J1255" t="s">
        <v>108</v>
      </c>
      <c r="K1255" t="s">
        <v>109</v>
      </c>
      <c r="M1255" t="s">
        <v>47</v>
      </c>
      <c r="O1255" t="s">
        <v>77</v>
      </c>
      <c r="P1255" t="s">
        <v>78</v>
      </c>
      <c r="Q1255" t="s">
        <v>50</v>
      </c>
      <c r="R1255" t="s">
        <v>111</v>
      </c>
      <c r="S1255" t="s">
        <v>51</v>
      </c>
      <c r="T1255" t="s">
        <v>112</v>
      </c>
      <c r="U1255" s="1">
        <v>46075.750844907408</v>
      </c>
      <c r="V1255" t="s">
        <v>54</v>
      </c>
      <c r="W1255" t="s">
        <v>55</v>
      </c>
      <c r="X1255" t="s">
        <v>134</v>
      </c>
      <c r="Y1255" t="s">
        <v>5696</v>
      </c>
      <c r="Z1255" t="s">
        <v>5594</v>
      </c>
      <c r="AA1255" t="s">
        <v>54</v>
      </c>
      <c r="AB1255" t="s">
        <v>1701</v>
      </c>
      <c r="AC1255" t="s">
        <v>85</v>
      </c>
      <c r="AD1255" t="s">
        <v>116</v>
      </c>
      <c r="AE1255" t="s">
        <v>117</v>
      </c>
      <c r="AF1255" t="s">
        <v>5697</v>
      </c>
      <c r="AG1255" t="s">
        <v>5594</v>
      </c>
      <c r="AK1255">
        <v>1</v>
      </c>
      <c r="AL1255" t="s">
        <v>61</v>
      </c>
      <c r="AM1255" t="s">
        <v>1701</v>
      </c>
      <c r="AN1255" t="s">
        <v>1702</v>
      </c>
    </row>
    <row r="1256" spans="1:40" x14ac:dyDescent="0.35">
      <c r="A1256" t="s">
        <v>37</v>
      </c>
      <c r="B1256" t="s">
        <v>5698</v>
      </c>
      <c r="C1256" t="s">
        <v>39</v>
      </c>
      <c r="D1256" t="s">
        <v>430</v>
      </c>
      <c r="E1256" t="s">
        <v>4764</v>
      </c>
      <c r="F1256" s="1">
        <v>46075.687418981484</v>
      </c>
      <c r="G1256" t="s">
        <v>597</v>
      </c>
      <c r="H1256" t="s">
        <v>287</v>
      </c>
      <c r="I1256" t="s">
        <v>2096</v>
      </c>
      <c r="J1256" t="s">
        <v>455</v>
      </c>
      <c r="K1256" t="s">
        <v>436</v>
      </c>
      <c r="M1256" t="s">
        <v>76</v>
      </c>
      <c r="O1256" t="s">
        <v>77</v>
      </c>
      <c r="P1256" t="s">
        <v>78</v>
      </c>
      <c r="Q1256" t="s">
        <v>50</v>
      </c>
      <c r="R1256" t="s">
        <v>51</v>
      </c>
      <c r="S1256" t="s">
        <v>52</v>
      </c>
      <c r="T1256" t="s">
        <v>240</v>
      </c>
      <c r="U1256" s="1">
        <v>46076.332037037035</v>
      </c>
      <c r="V1256" t="s">
        <v>54</v>
      </c>
      <c r="W1256" t="s">
        <v>55</v>
      </c>
      <c r="X1256" t="s">
        <v>82</v>
      </c>
      <c r="Y1256" t="s">
        <v>5699</v>
      </c>
      <c r="Z1256" t="s">
        <v>58</v>
      </c>
      <c r="AA1256" t="s">
        <v>54</v>
      </c>
      <c r="AB1256" t="s">
        <v>84</v>
      </c>
      <c r="AC1256" t="s">
        <v>85</v>
      </c>
      <c r="AD1256" t="s">
        <v>52</v>
      </c>
      <c r="AE1256" t="s">
        <v>438</v>
      </c>
      <c r="AF1256" t="s">
        <v>775</v>
      </c>
      <c r="AG1256" t="s">
        <v>58</v>
      </c>
      <c r="AH1256" t="s">
        <v>5700</v>
      </c>
      <c r="AK1256">
        <v>1</v>
      </c>
      <c r="AL1256" t="s">
        <v>61</v>
      </c>
      <c r="AM1256" t="s">
        <v>5701</v>
      </c>
      <c r="AN1256" t="s">
        <v>5702</v>
      </c>
    </row>
    <row r="1257" spans="1:40" x14ac:dyDescent="0.35">
      <c r="A1257" t="s">
        <v>37</v>
      </c>
      <c r="B1257" t="s">
        <v>5703</v>
      </c>
      <c r="C1257" t="s">
        <v>102</v>
      </c>
      <c r="D1257" t="s">
        <v>3786</v>
      </c>
      <c r="E1257" t="s">
        <v>469</v>
      </c>
      <c r="F1257" s="1">
        <v>46075.683831018519</v>
      </c>
      <c r="G1257" t="s">
        <v>105</v>
      </c>
      <c r="H1257" t="s">
        <v>106</v>
      </c>
      <c r="I1257" t="s">
        <v>4575</v>
      </c>
      <c r="J1257" t="s">
        <v>108</v>
      </c>
      <c r="K1257" t="s">
        <v>571</v>
      </c>
      <c r="M1257" t="s">
        <v>47</v>
      </c>
      <c r="O1257" t="s">
        <v>77</v>
      </c>
      <c r="P1257" t="s">
        <v>78</v>
      </c>
      <c r="Q1257" t="s">
        <v>541</v>
      </c>
      <c r="R1257" t="s">
        <v>111</v>
      </c>
      <c r="S1257" t="s">
        <v>51</v>
      </c>
      <c r="T1257" t="s">
        <v>112</v>
      </c>
      <c r="U1257" s="1">
        <v>46075.736018518517</v>
      </c>
      <c r="V1257" t="s">
        <v>54</v>
      </c>
      <c r="W1257" t="s">
        <v>55</v>
      </c>
      <c r="X1257" t="s">
        <v>113</v>
      </c>
      <c r="Y1257" t="s">
        <v>5704</v>
      </c>
      <c r="Z1257" t="s">
        <v>5594</v>
      </c>
      <c r="AA1257" t="s">
        <v>54</v>
      </c>
      <c r="AB1257" t="s">
        <v>115</v>
      </c>
      <c r="AC1257" t="s">
        <v>85</v>
      </c>
      <c r="AD1257" t="s">
        <v>116</v>
      </c>
      <c r="AE1257" t="s">
        <v>574</v>
      </c>
      <c r="AF1257" t="s">
        <v>4577</v>
      </c>
      <c r="AG1257" t="s">
        <v>5594</v>
      </c>
      <c r="AH1257">
        <v>5935</v>
      </c>
      <c r="AK1257">
        <v>1</v>
      </c>
      <c r="AL1257" t="s">
        <v>61</v>
      </c>
      <c r="AM1257" t="s">
        <v>3789</v>
      </c>
      <c r="AN1257" t="s">
        <v>3790</v>
      </c>
    </row>
    <row r="1258" spans="1:40" x14ac:dyDescent="0.35">
      <c r="A1258" t="s">
        <v>37</v>
      </c>
      <c r="B1258" t="s">
        <v>5705</v>
      </c>
      <c r="C1258" t="s">
        <v>39</v>
      </c>
      <c r="D1258" t="s">
        <v>40</v>
      </c>
      <c r="E1258" t="s">
        <v>41</v>
      </c>
      <c r="F1258" s="1">
        <v>46075.682337962964</v>
      </c>
      <c r="G1258" t="s">
        <v>42</v>
      </c>
      <c r="H1258" t="s">
        <v>43</v>
      </c>
      <c r="I1258" t="s">
        <v>5706</v>
      </c>
      <c r="J1258" t="s">
        <v>45</v>
      </c>
      <c r="K1258" t="s">
        <v>46</v>
      </c>
      <c r="M1258" t="s">
        <v>47</v>
      </c>
      <c r="O1258" t="s">
        <v>48</v>
      </c>
      <c r="P1258" t="s">
        <v>49</v>
      </c>
      <c r="Q1258" t="s">
        <v>50</v>
      </c>
      <c r="R1258" t="s">
        <v>51</v>
      </c>
      <c r="S1258" t="s">
        <v>52</v>
      </c>
      <c r="T1258" t="s">
        <v>53</v>
      </c>
      <c r="U1258" s="1">
        <v>46075.683009259257</v>
      </c>
      <c r="V1258" t="s">
        <v>54</v>
      </c>
      <c r="W1258" t="s">
        <v>55</v>
      </c>
      <c r="X1258" t="s">
        <v>56</v>
      </c>
      <c r="Y1258" t="s">
        <v>57</v>
      </c>
      <c r="Z1258" t="s">
        <v>5594</v>
      </c>
      <c r="AA1258" t="s">
        <v>54</v>
      </c>
      <c r="AB1258" t="s">
        <v>59</v>
      </c>
      <c r="AC1258" t="s">
        <v>60</v>
      </c>
      <c r="AD1258" t="s">
        <v>51</v>
      </c>
      <c r="AE1258" t="s">
        <v>52</v>
      </c>
      <c r="AF1258" t="s">
        <v>53</v>
      </c>
      <c r="AG1258" t="s">
        <v>5594</v>
      </c>
      <c r="AK1258">
        <v>0</v>
      </c>
      <c r="AL1258" t="s">
        <v>61</v>
      </c>
      <c r="AM1258" t="s">
        <v>59</v>
      </c>
      <c r="AN1258" t="s">
        <v>62</v>
      </c>
    </row>
    <row r="1259" spans="1:40" x14ac:dyDescent="0.35">
      <c r="A1259" t="s">
        <v>37</v>
      </c>
      <c r="B1259" t="s">
        <v>5707</v>
      </c>
      <c r="C1259" t="s">
        <v>39</v>
      </c>
      <c r="D1259" t="s">
        <v>40</v>
      </c>
      <c r="E1259" t="s">
        <v>41</v>
      </c>
      <c r="F1259" s="1">
        <v>46075.682175925926</v>
      </c>
      <c r="G1259" t="s">
        <v>42</v>
      </c>
      <c r="H1259" t="s">
        <v>43</v>
      </c>
      <c r="I1259" t="s">
        <v>5708</v>
      </c>
      <c r="J1259" t="s">
        <v>45</v>
      </c>
      <c r="K1259" t="s">
        <v>46</v>
      </c>
      <c r="M1259" t="s">
        <v>47</v>
      </c>
      <c r="O1259" t="s">
        <v>48</v>
      </c>
      <c r="P1259" t="s">
        <v>49</v>
      </c>
      <c r="Q1259" t="s">
        <v>50</v>
      </c>
      <c r="R1259" t="s">
        <v>51</v>
      </c>
      <c r="S1259" t="s">
        <v>52</v>
      </c>
      <c r="T1259" t="s">
        <v>53</v>
      </c>
      <c r="U1259" s="1">
        <v>46075.683009259257</v>
      </c>
      <c r="V1259" t="s">
        <v>54</v>
      </c>
      <c r="W1259" t="s">
        <v>55</v>
      </c>
      <c r="X1259" t="s">
        <v>56</v>
      </c>
      <c r="Y1259" t="s">
        <v>57</v>
      </c>
      <c r="Z1259" t="s">
        <v>5594</v>
      </c>
      <c r="AA1259" t="s">
        <v>54</v>
      </c>
      <c r="AB1259" t="s">
        <v>59</v>
      </c>
      <c r="AC1259" t="s">
        <v>60</v>
      </c>
      <c r="AD1259" t="s">
        <v>51</v>
      </c>
      <c r="AE1259" t="s">
        <v>52</v>
      </c>
      <c r="AF1259" t="s">
        <v>53</v>
      </c>
      <c r="AG1259" t="s">
        <v>5594</v>
      </c>
      <c r="AK1259">
        <v>0</v>
      </c>
      <c r="AL1259" t="s">
        <v>61</v>
      </c>
      <c r="AM1259" t="s">
        <v>59</v>
      </c>
      <c r="AN1259" t="s">
        <v>62</v>
      </c>
    </row>
    <row r="1260" spans="1:40" x14ac:dyDescent="0.35">
      <c r="A1260" t="s">
        <v>37</v>
      </c>
      <c r="B1260" t="s">
        <v>5709</v>
      </c>
      <c r="C1260" t="s">
        <v>39</v>
      </c>
      <c r="D1260" t="s">
        <v>3028</v>
      </c>
      <c r="E1260" t="s">
        <v>5710</v>
      </c>
      <c r="F1260" s="1">
        <v>46075.65457175926</v>
      </c>
      <c r="G1260" t="s">
        <v>487</v>
      </c>
      <c r="H1260" t="s">
        <v>447</v>
      </c>
      <c r="I1260" t="s">
        <v>171</v>
      </c>
      <c r="J1260" t="s">
        <v>1518</v>
      </c>
      <c r="K1260" t="s">
        <v>75</v>
      </c>
      <c r="M1260" t="s">
        <v>47</v>
      </c>
      <c r="O1260" t="s">
        <v>77</v>
      </c>
      <c r="P1260" t="s">
        <v>78</v>
      </c>
      <c r="Q1260" t="s">
        <v>1141</v>
      </c>
      <c r="R1260" t="s">
        <v>79</v>
      </c>
      <c r="S1260" t="s">
        <v>172</v>
      </c>
      <c r="T1260" t="s">
        <v>173</v>
      </c>
      <c r="U1260" s="1">
        <v>46075.657835648148</v>
      </c>
      <c r="V1260" t="s">
        <v>54</v>
      </c>
      <c r="W1260" t="s">
        <v>55</v>
      </c>
      <c r="X1260" t="s">
        <v>82</v>
      </c>
      <c r="Y1260" t="s">
        <v>5711</v>
      </c>
      <c r="Z1260" t="s">
        <v>5594</v>
      </c>
      <c r="AA1260" t="s">
        <v>54</v>
      </c>
      <c r="AB1260" t="s">
        <v>1503</v>
      </c>
      <c r="AC1260" t="s">
        <v>85</v>
      </c>
      <c r="AD1260" t="s">
        <v>79</v>
      </c>
      <c r="AE1260" t="s">
        <v>172</v>
      </c>
      <c r="AF1260" t="s">
        <v>173</v>
      </c>
      <c r="AG1260" t="s">
        <v>5594</v>
      </c>
      <c r="AH1260">
        <v>5781</v>
      </c>
      <c r="AK1260">
        <v>0</v>
      </c>
      <c r="AL1260" t="s">
        <v>61</v>
      </c>
      <c r="AM1260" t="s">
        <v>5712</v>
      </c>
      <c r="AN1260" t="s">
        <v>5713</v>
      </c>
    </row>
    <row r="1261" spans="1:40" x14ac:dyDescent="0.35">
      <c r="A1261" t="s">
        <v>37</v>
      </c>
      <c r="B1261" t="s">
        <v>5714</v>
      </c>
      <c r="C1261" t="s">
        <v>102</v>
      </c>
      <c r="D1261" t="s">
        <v>5715</v>
      </c>
      <c r="E1261" t="s">
        <v>5716</v>
      </c>
      <c r="F1261" s="1">
        <v>46075.651493055557</v>
      </c>
      <c r="G1261" t="s">
        <v>297</v>
      </c>
      <c r="H1261" t="s">
        <v>287</v>
      </c>
      <c r="I1261" t="s">
        <v>5717</v>
      </c>
      <c r="J1261" t="s">
        <v>235</v>
      </c>
      <c r="K1261" t="s">
        <v>236</v>
      </c>
      <c r="M1261" t="s">
        <v>76</v>
      </c>
      <c r="O1261" t="s">
        <v>237</v>
      </c>
      <c r="P1261" t="s">
        <v>238</v>
      </c>
      <c r="Q1261" t="s">
        <v>465</v>
      </c>
      <c r="R1261" t="s">
        <v>51</v>
      </c>
      <c r="S1261" t="s">
        <v>52</v>
      </c>
      <c r="T1261" t="s">
        <v>240</v>
      </c>
      <c r="U1261" s="1">
        <v>46076.579953703702</v>
      </c>
      <c r="V1261" t="s">
        <v>54</v>
      </c>
      <c r="W1261" t="s">
        <v>55</v>
      </c>
      <c r="X1261" t="s">
        <v>211</v>
      </c>
      <c r="Y1261" t="s">
        <v>4350</v>
      </c>
      <c r="Z1261" t="s">
        <v>58</v>
      </c>
      <c r="AA1261" t="s">
        <v>54</v>
      </c>
      <c r="AB1261" t="s">
        <v>213</v>
      </c>
      <c r="AC1261" t="s">
        <v>242</v>
      </c>
      <c r="AD1261" t="s">
        <v>52</v>
      </c>
      <c r="AE1261" t="s">
        <v>243</v>
      </c>
      <c r="AF1261" t="s">
        <v>244</v>
      </c>
      <c r="AG1261" t="s">
        <v>58</v>
      </c>
      <c r="AH1261">
        <v>2863</v>
      </c>
      <c r="AK1261">
        <v>1</v>
      </c>
      <c r="AL1261" t="s">
        <v>61</v>
      </c>
      <c r="AM1261" t="s">
        <v>5718</v>
      </c>
      <c r="AN1261" t="s">
        <v>5719</v>
      </c>
    </row>
    <row r="1262" spans="1:40" x14ac:dyDescent="0.35">
      <c r="A1262" t="s">
        <v>37</v>
      </c>
      <c r="B1262" t="s">
        <v>5720</v>
      </c>
      <c r="C1262" t="s">
        <v>39</v>
      </c>
      <c r="D1262" t="s">
        <v>5721</v>
      </c>
      <c r="E1262" t="s">
        <v>5722</v>
      </c>
      <c r="F1262" s="1">
        <v>46075.647094907406</v>
      </c>
      <c r="G1262" t="s">
        <v>487</v>
      </c>
      <c r="H1262" t="s">
        <v>447</v>
      </c>
      <c r="I1262" t="s">
        <v>5723</v>
      </c>
      <c r="J1262" t="s">
        <v>5724</v>
      </c>
      <c r="K1262" t="s">
        <v>5725</v>
      </c>
      <c r="M1262" t="s">
        <v>131</v>
      </c>
      <c r="O1262" t="s">
        <v>77</v>
      </c>
      <c r="P1262" t="s">
        <v>78</v>
      </c>
      <c r="Q1262" t="s">
        <v>50</v>
      </c>
      <c r="R1262" t="s">
        <v>51</v>
      </c>
      <c r="S1262" t="s">
        <v>52</v>
      </c>
      <c r="T1262" t="s">
        <v>240</v>
      </c>
      <c r="U1262" s="1">
        <v>46076.399594907409</v>
      </c>
      <c r="V1262" t="s">
        <v>54</v>
      </c>
      <c r="W1262" t="s">
        <v>55</v>
      </c>
      <c r="X1262" t="s">
        <v>134</v>
      </c>
      <c r="Y1262" t="s">
        <v>5726</v>
      </c>
      <c r="Z1262" t="s">
        <v>58</v>
      </c>
      <c r="AA1262" t="s">
        <v>54</v>
      </c>
      <c r="AB1262" t="s">
        <v>5727</v>
      </c>
      <c r="AC1262" t="s">
        <v>85</v>
      </c>
      <c r="AD1262" t="s">
        <v>52</v>
      </c>
      <c r="AE1262" t="s">
        <v>2140</v>
      </c>
      <c r="AF1262" t="s">
        <v>2710</v>
      </c>
      <c r="AG1262" t="s">
        <v>58</v>
      </c>
      <c r="AH1262">
        <v>14767</v>
      </c>
      <c r="AK1262">
        <v>0</v>
      </c>
      <c r="AL1262" t="s">
        <v>61</v>
      </c>
      <c r="AM1262" t="s">
        <v>5728</v>
      </c>
      <c r="AN1262" t="s">
        <v>5729</v>
      </c>
    </row>
    <row r="1263" spans="1:40" x14ac:dyDescent="0.35">
      <c r="A1263" t="s">
        <v>37</v>
      </c>
      <c r="B1263" t="s">
        <v>5730</v>
      </c>
      <c r="C1263" t="s">
        <v>39</v>
      </c>
      <c r="D1263" t="s">
        <v>5721</v>
      </c>
      <c r="E1263" t="s">
        <v>5722</v>
      </c>
      <c r="F1263" s="1">
        <v>46075.647094907406</v>
      </c>
      <c r="G1263" t="s">
        <v>487</v>
      </c>
      <c r="H1263" t="s">
        <v>447</v>
      </c>
      <c r="I1263" t="s">
        <v>5731</v>
      </c>
      <c r="J1263" t="s">
        <v>5724</v>
      </c>
      <c r="K1263" t="s">
        <v>5725</v>
      </c>
      <c r="M1263" t="s">
        <v>131</v>
      </c>
      <c r="O1263" t="s">
        <v>77</v>
      </c>
      <c r="P1263" t="s">
        <v>78</v>
      </c>
      <c r="Q1263" t="s">
        <v>50</v>
      </c>
      <c r="R1263" t="s">
        <v>51</v>
      </c>
      <c r="S1263" t="s">
        <v>52</v>
      </c>
      <c r="T1263" t="s">
        <v>240</v>
      </c>
      <c r="U1263" s="1">
        <v>46076.529421296298</v>
      </c>
      <c r="V1263" t="s">
        <v>54</v>
      </c>
      <c r="W1263" t="s">
        <v>55</v>
      </c>
      <c r="X1263" t="s">
        <v>134</v>
      </c>
      <c r="Y1263" t="s">
        <v>5732</v>
      </c>
      <c r="Z1263" t="s">
        <v>58</v>
      </c>
      <c r="AA1263" t="s">
        <v>54</v>
      </c>
      <c r="AB1263" t="s">
        <v>5727</v>
      </c>
      <c r="AC1263" t="s">
        <v>85</v>
      </c>
      <c r="AD1263" t="s">
        <v>52</v>
      </c>
      <c r="AE1263" t="s">
        <v>2140</v>
      </c>
      <c r="AF1263" t="s">
        <v>2710</v>
      </c>
      <c r="AG1263" t="s">
        <v>58</v>
      </c>
      <c r="AH1263">
        <v>14767</v>
      </c>
      <c r="AK1263">
        <v>0</v>
      </c>
      <c r="AL1263" t="s">
        <v>61</v>
      </c>
      <c r="AM1263" t="s">
        <v>5728</v>
      </c>
      <c r="AN1263" t="s">
        <v>5729</v>
      </c>
    </row>
    <row r="1264" spans="1:40" x14ac:dyDescent="0.35">
      <c r="A1264" t="s">
        <v>37</v>
      </c>
      <c r="B1264" t="s">
        <v>5733</v>
      </c>
      <c r="C1264" t="s">
        <v>39</v>
      </c>
      <c r="D1264" t="s">
        <v>5734</v>
      </c>
      <c r="E1264" t="s">
        <v>5735</v>
      </c>
      <c r="F1264" s="1">
        <v>46075.647094907406</v>
      </c>
      <c r="G1264" t="s">
        <v>487</v>
      </c>
      <c r="H1264" t="s">
        <v>447</v>
      </c>
      <c r="I1264" t="s">
        <v>5736</v>
      </c>
      <c r="J1264" t="s">
        <v>5724</v>
      </c>
      <c r="K1264" t="s">
        <v>5725</v>
      </c>
      <c r="M1264" t="s">
        <v>131</v>
      </c>
      <c r="O1264" t="s">
        <v>77</v>
      </c>
      <c r="P1264" t="s">
        <v>78</v>
      </c>
      <c r="Q1264" t="s">
        <v>1141</v>
      </c>
      <c r="R1264" t="s">
        <v>51</v>
      </c>
      <c r="S1264" t="s">
        <v>52</v>
      </c>
      <c r="T1264" t="s">
        <v>240</v>
      </c>
      <c r="U1264" s="1">
        <v>46076.530150462961</v>
      </c>
      <c r="V1264" t="s">
        <v>54</v>
      </c>
      <c r="W1264" t="s">
        <v>55</v>
      </c>
      <c r="X1264" t="s">
        <v>134</v>
      </c>
      <c r="Y1264" t="s">
        <v>5737</v>
      </c>
      <c r="Z1264" t="s">
        <v>58</v>
      </c>
      <c r="AA1264" t="s">
        <v>54</v>
      </c>
      <c r="AB1264" t="s">
        <v>5727</v>
      </c>
      <c r="AC1264" t="s">
        <v>85</v>
      </c>
      <c r="AD1264" t="s">
        <v>52</v>
      </c>
      <c r="AE1264" t="s">
        <v>2140</v>
      </c>
      <c r="AF1264" t="s">
        <v>2710</v>
      </c>
      <c r="AG1264" t="s">
        <v>58</v>
      </c>
      <c r="AH1264">
        <v>6808</v>
      </c>
      <c r="AK1264">
        <v>0</v>
      </c>
      <c r="AL1264" t="s">
        <v>61</v>
      </c>
      <c r="AM1264" t="s">
        <v>5738</v>
      </c>
      <c r="AN1264" t="s">
        <v>5739</v>
      </c>
    </row>
    <row r="1265" spans="1:40" x14ac:dyDescent="0.35">
      <c r="A1265" t="s">
        <v>37</v>
      </c>
      <c r="B1265" t="s">
        <v>5740</v>
      </c>
      <c r="C1265" t="s">
        <v>39</v>
      </c>
      <c r="D1265" t="s">
        <v>5725</v>
      </c>
      <c r="E1265" t="s">
        <v>1316</v>
      </c>
      <c r="F1265" s="1">
        <v>46075.646307870367</v>
      </c>
      <c r="G1265" t="s">
        <v>5741</v>
      </c>
      <c r="H1265" t="s">
        <v>447</v>
      </c>
      <c r="I1265" t="s">
        <v>5742</v>
      </c>
      <c r="J1265" t="s">
        <v>5724</v>
      </c>
      <c r="K1265" t="s">
        <v>5725</v>
      </c>
      <c r="M1265" t="s">
        <v>131</v>
      </c>
      <c r="O1265" t="s">
        <v>77</v>
      </c>
      <c r="P1265" t="s">
        <v>78</v>
      </c>
      <c r="Q1265" t="s">
        <v>50</v>
      </c>
      <c r="R1265" t="s">
        <v>51</v>
      </c>
      <c r="S1265" t="s">
        <v>52</v>
      </c>
      <c r="T1265" t="s">
        <v>240</v>
      </c>
      <c r="U1265" s="1">
        <v>46076.530729166669</v>
      </c>
      <c r="V1265" t="s">
        <v>54</v>
      </c>
      <c r="W1265" t="s">
        <v>55</v>
      </c>
      <c r="X1265" t="s">
        <v>134</v>
      </c>
      <c r="Y1265" t="s">
        <v>5743</v>
      </c>
      <c r="Z1265" t="s">
        <v>58</v>
      </c>
      <c r="AA1265" t="s">
        <v>54</v>
      </c>
      <c r="AB1265" t="s">
        <v>5727</v>
      </c>
      <c r="AC1265" t="s">
        <v>85</v>
      </c>
      <c r="AD1265" t="s">
        <v>52</v>
      </c>
      <c r="AE1265" t="s">
        <v>2140</v>
      </c>
      <c r="AF1265" t="s">
        <v>2710</v>
      </c>
      <c r="AG1265" t="s">
        <v>58</v>
      </c>
      <c r="AK1265">
        <v>0</v>
      </c>
      <c r="AL1265" t="s">
        <v>61</v>
      </c>
      <c r="AM1265" t="s">
        <v>5727</v>
      </c>
      <c r="AN1265" t="s">
        <v>5744</v>
      </c>
    </row>
    <row r="1266" spans="1:40" x14ac:dyDescent="0.35">
      <c r="A1266" t="s">
        <v>37</v>
      </c>
      <c r="B1266" t="s">
        <v>5745</v>
      </c>
      <c r="C1266" t="s">
        <v>39</v>
      </c>
      <c r="D1266" t="s">
        <v>5725</v>
      </c>
      <c r="E1266" t="s">
        <v>1316</v>
      </c>
      <c r="F1266" s="1">
        <v>46075.646307870367</v>
      </c>
      <c r="G1266" t="s">
        <v>5741</v>
      </c>
      <c r="H1266" t="s">
        <v>447</v>
      </c>
      <c r="I1266" t="s">
        <v>5746</v>
      </c>
      <c r="J1266" t="s">
        <v>5724</v>
      </c>
      <c r="K1266" t="s">
        <v>5725</v>
      </c>
      <c r="M1266" t="s">
        <v>131</v>
      </c>
      <c r="O1266" t="s">
        <v>77</v>
      </c>
      <c r="P1266" t="s">
        <v>78</v>
      </c>
      <c r="Q1266" t="s">
        <v>50</v>
      </c>
      <c r="R1266" t="s">
        <v>51</v>
      </c>
      <c r="S1266" t="s">
        <v>52</v>
      </c>
      <c r="T1266" t="s">
        <v>240</v>
      </c>
      <c r="U1266" s="1">
        <v>46076.531064814815</v>
      </c>
      <c r="V1266" t="s">
        <v>54</v>
      </c>
      <c r="W1266" t="s">
        <v>55</v>
      </c>
      <c r="X1266" t="s">
        <v>134</v>
      </c>
      <c r="Y1266" t="s">
        <v>5747</v>
      </c>
      <c r="Z1266" t="s">
        <v>58</v>
      </c>
      <c r="AA1266" t="s">
        <v>54</v>
      </c>
      <c r="AB1266" t="s">
        <v>5727</v>
      </c>
      <c r="AC1266" t="s">
        <v>85</v>
      </c>
      <c r="AD1266" t="s">
        <v>52</v>
      </c>
      <c r="AE1266" t="s">
        <v>2140</v>
      </c>
      <c r="AF1266" t="s">
        <v>2710</v>
      </c>
      <c r="AG1266" t="s">
        <v>58</v>
      </c>
      <c r="AK1266">
        <v>0</v>
      </c>
      <c r="AL1266" t="s">
        <v>61</v>
      </c>
      <c r="AM1266" t="s">
        <v>5727</v>
      </c>
      <c r="AN1266" t="s">
        <v>5744</v>
      </c>
    </row>
    <row r="1267" spans="1:40" x14ac:dyDescent="0.35">
      <c r="A1267" t="s">
        <v>37</v>
      </c>
      <c r="B1267" t="s">
        <v>5748</v>
      </c>
      <c r="C1267" t="s">
        <v>39</v>
      </c>
      <c r="D1267" t="s">
        <v>5721</v>
      </c>
      <c r="E1267" t="s">
        <v>5722</v>
      </c>
      <c r="F1267" s="1">
        <v>46075.644155092596</v>
      </c>
      <c r="G1267" t="s">
        <v>487</v>
      </c>
      <c r="H1267" t="s">
        <v>447</v>
      </c>
      <c r="I1267" t="s">
        <v>5749</v>
      </c>
      <c r="J1267" t="s">
        <v>5724</v>
      </c>
      <c r="K1267" t="s">
        <v>5725</v>
      </c>
      <c r="M1267" t="s">
        <v>131</v>
      </c>
      <c r="O1267" t="s">
        <v>77</v>
      </c>
      <c r="P1267" t="s">
        <v>78</v>
      </c>
      <c r="Q1267" t="s">
        <v>50</v>
      </c>
      <c r="R1267" t="s">
        <v>51</v>
      </c>
      <c r="S1267" t="s">
        <v>52</v>
      </c>
      <c r="T1267" t="s">
        <v>240</v>
      </c>
      <c r="U1267" s="1">
        <v>46076.531458333331</v>
      </c>
      <c r="V1267" t="s">
        <v>54</v>
      </c>
      <c r="W1267" t="s">
        <v>55</v>
      </c>
      <c r="X1267" t="s">
        <v>134</v>
      </c>
      <c r="Y1267" t="s">
        <v>5750</v>
      </c>
      <c r="Z1267" t="s">
        <v>58</v>
      </c>
      <c r="AA1267" t="s">
        <v>54</v>
      </c>
      <c r="AB1267" t="s">
        <v>5727</v>
      </c>
      <c r="AC1267" t="s">
        <v>85</v>
      </c>
      <c r="AD1267" t="s">
        <v>52</v>
      </c>
      <c r="AE1267" t="s">
        <v>2140</v>
      </c>
      <c r="AF1267" t="s">
        <v>2710</v>
      </c>
      <c r="AG1267" t="s">
        <v>58</v>
      </c>
      <c r="AH1267">
        <v>14767</v>
      </c>
      <c r="AK1267">
        <v>0</v>
      </c>
      <c r="AL1267" t="s">
        <v>61</v>
      </c>
      <c r="AM1267" t="s">
        <v>5728</v>
      </c>
      <c r="AN1267" t="s">
        <v>5729</v>
      </c>
    </row>
    <row r="1268" spans="1:40" x14ac:dyDescent="0.35">
      <c r="A1268" t="s">
        <v>37</v>
      </c>
      <c r="B1268" t="s">
        <v>5751</v>
      </c>
      <c r="C1268" t="s">
        <v>39</v>
      </c>
      <c r="D1268" t="s">
        <v>5721</v>
      </c>
      <c r="E1268" t="s">
        <v>5722</v>
      </c>
      <c r="F1268" s="1">
        <v>46075.644155092596</v>
      </c>
      <c r="G1268" t="s">
        <v>487</v>
      </c>
      <c r="H1268" t="s">
        <v>447</v>
      </c>
      <c r="I1268" t="s">
        <v>5752</v>
      </c>
      <c r="J1268" t="s">
        <v>5724</v>
      </c>
      <c r="K1268" t="s">
        <v>5725</v>
      </c>
      <c r="M1268" t="s">
        <v>131</v>
      </c>
      <c r="O1268" t="s">
        <v>77</v>
      </c>
      <c r="P1268" t="s">
        <v>78</v>
      </c>
      <c r="Q1268" t="s">
        <v>50</v>
      </c>
      <c r="R1268" t="s">
        <v>51</v>
      </c>
      <c r="S1268" t="s">
        <v>52</v>
      </c>
      <c r="T1268" t="s">
        <v>240</v>
      </c>
      <c r="U1268" s="1">
        <v>46076.531921296293</v>
      </c>
      <c r="V1268" t="s">
        <v>54</v>
      </c>
      <c r="W1268" t="s">
        <v>55</v>
      </c>
      <c r="X1268" t="s">
        <v>134</v>
      </c>
      <c r="Y1268" t="s">
        <v>5753</v>
      </c>
      <c r="Z1268" t="s">
        <v>58</v>
      </c>
      <c r="AA1268" t="s">
        <v>54</v>
      </c>
      <c r="AB1268" t="s">
        <v>5727</v>
      </c>
      <c r="AC1268" t="s">
        <v>85</v>
      </c>
      <c r="AD1268" t="s">
        <v>52</v>
      </c>
      <c r="AE1268" t="s">
        <v>2140</v>
      </c>
      <c r="AF1268" t="s">
        <v>2710</v>
      </c>
      <c r="AG1268" t="s">
        <v>58</v>
      </c>
      <c r="AH1268">
        <v>14767</v>
      </c>
      <c r="AK1268">
        <v>0</v>
      </c>
      <c r="AL1268" t="s">
        <v>61</v>
      </c>
      <c r="AM1268" t="s">
        <v>5728</v>
      </c>
      <c r="AN1268" t="s">
        <v>5729</v>
      </c>
    </row>
    <row r="1269" spans="1:40" x14ac:dyDescent="0.35">
      <c r="A1269" t="s">
        <v>37</v>
      </c>
      <c r="B1269" t="s">
        <v>5754</v>
      </c>
      <c r="C1269" t="s">
        <v>39</v>
      </c>
      <c r="D1269" t="s">
        <v>5755</v>
      </c>
      <c r="E1269" t="s">
        <v>5756</v>
      </c>
      <c r="F1269" s="1">
        <v>46075.64267361111</v>
      </c>
      <c r="G1269" t="s">
        <v>487</v>
      </c>
      <c r="H1269" t="s">
        <v>447</v>
      </c>
      <c r="I1269" t="s">
        <v>5757</v>
      </c>
      <c r="J1269" t="s">
        <v>5724</v>
      </c>
      <c r="K1269" t="s">
        <v>5725</v>
      </c>
      <c r="M1269" t="s">
        <v>131</v>
      </c>
      <c r="O1269" t="s">
        <v>77</v>
      </c>
      <c r="P1269" t="s">
        <v>78</v>
      </c>
      <c r="Q1269" t="s">
        <v>50</v>
      </c>
      <c r="R1269" t="s">
        <v>51</v>
      </c>
      <c r="S1269" t="s">
        <v>52</v>
      </c>
      <c r="T1269" t="s">
        <v>240</v>
      </c>
      <c r="U1269" s="1">
        <v>46076.533078703702</v>
      </c>
      <c r="V1269" t="s">
        <v>54</v>
      </c>
      <c r="W1269" t="s">
        <v>55</v>
      </c>
      <c r="X1269" t="s">
        <v>134</v>
      </c>
      <c r="Y1269" t="s">
        <v>5758</v>
      </c>
      <c r="Z1269" t="s">
        <v>58</v>
      </c>
      <c r="AA1269" t="s">
        <v>54</v>
      </c>
      <c r="AB1269" t="s">
        <v>5727</v>
      </c>
      <c r="AC1269" t="s">
        <v>85</v>
      </c>
      <c r="AD1269" t="s">
        <v>52</v>
      </c>
      <c r="AE1269" t="s">
        <v>2140</v>
      </c>
      <c r="AF1269" t="s">
        <v>2710</v>
      </c>
      <c r="AG1269" t="s">
        <v>58</v>
      </c>
      <c r="AH1269" t="s">
        <v>5759</v>
      </c>
      <c r="AK1269">
        <v>0</v>
      </c>
      <c r="AL1269" t="s">
        <v>61</v>
      </c>
      <c r="AM1269" t="s">
        <v>5760</v>
      </c>
      <c r="AN1269" t="s">
        <v>5761</v>
      </c>
    </row>
    <row r="1270" spans="1:40" x14ac:dyDescent="0.35">
      <c r="A1270" t="s">
        <v>37</v>
      </c>
      <c r="B1270" t="s">
        <v>5762</v>
      </c>
      <c r="C1270" t="s">
        <v>39</v>
      </c>
      <c r="D1270" t="s">
        <v>5725</v>
      </c>
      <c r="E1270" t="s">
        <v>1316</v>
      </c>
      <c r="F1270" s="1">
        <v>46075.64267361111</v>
      </c>
      <c r="G1270" t="s">
        <v>5741</v>
      </c>
      <c r="H1270" t="s">
        <v>447</v>
      </c>
      <c r="I1270" t="s">
        <v>5763</v>
      </c>
      <c r="J1270" t="s">
        <v>5724</v>
      </c>
      <c r="K1270" t="s">
        <v>5725</v>
      </c>
      <c r="M1270" t="s">
        <v>131</v>
      </c>
      <c r="O1270" t="s">
        <v>77</v>
      </c>
      <c r="P1270" t="s">
        <v>78</v>
      </c>
      <c r="Q1270" t="s">
        <v>50</v>
      </c>
      <c r="R1270" t="s">
        <v>51</v>
      </c>
      <c r="S1270" t="s">
        <v>52</v>
      </c>
      <c r="T1270" t="s">
        <v>240</v>
      </c>
      <c r="U1270" s="1">
        <v>46076.53361111111</v>
      </c>
      <c r="V1270" t="s">
        <v>54</v>
      </c>
      <c r="W1270" t="s">
        <v>55</v>
      </c>
      <c r="X1270" t="s">
        <v>134</v>
      </c>
      <c r="Y1270" t="s">
        <v>5764</v>
      </c>
      <c r="Z1270" t="s">
        <v>58</v>
      </c>
      <c r="AA1270" t="s">
        <v>54</v>
      </c>
      <c r="AB1270" t="s">
        <v>5727</v>
      </c>
      <c r="AC1270" t="s">
        <v>85</v>
      </c>
      <c r="AD1270" t="s">
        <v>52</v>
      </c>
      <c r="AE1270" t="s">
        <v>2140</v>
      </c>
      <c r="AF1270" t="s">
        <v>2710</v>
      </c>
      <c r="AG1270" t="s">
        <v>58</v>
      </c>
      <c r="AK1270">
        <v>0</v>
      </c>
      <c r="AL1270" t="s">
        <v>61</v>
      </c>
      <c r="AM1270" t="s">
        <v>5727</v>
      </c>
      <c r="AN1270" t="s">
        <v>5744</v>
      </c>
    </row>
    <row r="1271" spans="1:40" x14ac:dyDescent="0.35">
      <c r="A1271" t="s">
        <v>37</v>
      </c>
      <c r="B1271" t="s">
        <v>5765</v>
      </c>
      <c r="C1271" t="s">
        <v>39</v>
      </c>
      <c r="D1271" t="s">
        <v>761</v>
      </c>
      <c r="E1271" t="s">
        <v>5766</v>
      </c>
      <c r="F1271" s="1">
        <v>46075.64267361111</v>
      </c>
      <c r="G1271" t="s">
        <v>1249</v>
      </c>
      <c r="H1271" t="s">
        <v>233</v>
      </c>
      <c r="I1271" t="s">
        <v>5767</v>
      </c>
      <c r="J1271" t="s">
        <v>5724</v>
      </c>
      <c r="K1271" t="s">
        <v>5725</v>
      </c>
      <c r="M1271" t="s">
        <v>131</v>
      </c>
      <c r="O1271" t="s">
        <v>77</v>
      </c>
      <c r="P1271" t="s">
        <v>78</v>
      </c>
      <c r="Q1271" t="s">
        <v>5768</v>
      </c>
      <c r="R1271" t="s">
        <v>51</v>
      </c>
      <c r="S1271" t="s">
        <v>52</v>
      </c>
      <c r="T1271" t="s">
        <v>240</v>
      </c>
      <c r="U1271" s="1">
        <v>46076.534907407404</v>
      </c>
      <c r="V1271" t="s">
        <v>54</v>
      </c>
      <c r="W1271" t="s">
        <v>55</v>
      </c>
      <c r="X1271" t="s">
        <v>134</v>
      </c>
      <c r="Y1271" t="s">
        <v>5769</v>
      </c>
      <c r="Z1271" t="s">
        <v>58</v>
      </c>
      <c r="AA1271" t="s">
        <v>54</v>
      </c>
      <c r="AB1271" t="s">
        <v>5727</v>
      </c>
      <c r="AC1271" t="s">
        <v>85</v>
      </c>
      <c r="AD1271" t="s">
        <v>52</v>
      </c>
      <c r="AE1271" t="s">
        <v>2140</v>
      </c>
      <c r="AF1271" t="s">
        <v>2710</v>
      </c>
      <c r="AG1271" t="s">
        <v>58</v>
      </c>
      <c r="AH1271">
        <v>11078</v>
      </c>
      <c r="AK1271">
        <v>0</v>
      </c>
      <c r="AL1271" t="s">
        <v>61</v>
      </c>
      <c r="AM1271" t="s">
        <v>5770</v>
      </c>
      <c r="AN1271" t="s">
        <v>5771</v>
      </c>
    </row>
    <row r="1272" spans="1:40" x14ac:dyDescent="0.35">
      <c r="A1272" t="s">
        <v>37</v>
      </c>
      <c r="B1272" t="s">
        <v>5772</v>
      </c>
      <c r="C1272" t="s">
        <v>39</v>
      </c>
      <c r="D1272" t="s">
        <v>5721</v>
      </c>
      <c r="E1272" t="s">
        <v>5722</v>
      </c>
      <c r="F1272" s="1">
        <v>46075.641851851855</v>
      </c>
      <c r="G1272" t="s">
        <v>487</v>
      </c>
      <c r="H1272" t="s">
        <v>447</v>
      </c>
      <c r="I1272" t="s">
        <v>5773</v>
      </c>
      <c r="J1272" t="s">
        <v>5724</v>
      </c>
      <c r="K1272" t="s">
        <v>5725</v>
      </c>
      <c r="M1272" t="s">
        <v>131</v>
      </c>
      <c r="O1272" t="s">
        <v>77</v>
      </c>
      <c r="P1272" t="s">
        <v>78</v>
      </c>
      <c r="Q1272" t="s">
        <v>50</v>
      </c>
      <c r="R1272" t="s">
        <v>51</v>
      </c>
      <c r="S1272" t="s">
        <v>52</v>
      </c>
      <c r="T1272" t="s">
        <v>240</v>
      </c>
      <c r="U1272" s="1">
        <v>46076.535532407404</v>
      </c>
      <c r="V1272" t="s">
        <v>54</v>
      </c>
      <c r="W1272" t="s">
        <v>55</v>
      </c>
      <c r="X1272" t="s">
        <v>134</v>
      </c>
      <c r="Y1272" t="s">
        <v>5774</v>
      </c>
      <c r="Z1272" t="s">
        <v>58</v>
      </c>
      <c r="AA1272" t="s">
        <v>54</v>
      </c>
      <c r="AB1272" t="s">
        <v>5727</v>
      </c>
      <c r="AC1272" t="s">
        <v>85</v>
      </c>
      <c r="AD1272" t="s">
        <v>52</v>
      </c>
      <c r="AE1272" t="s">
        <v>2140</v>
      </c>
      <c r="AF1272" t="s">
        <v>2710</v>
      </c>
      <c r="AG1272" t="s">
        <v>58</v>
      </c>
      <c r="AH1272">
        <v>14767</v>
      </c>
      <c r="AK1272">
        <v>0</v>
      </c>
      <c r="AL1272" t="s">
        <v>61</v>
      </c>
      <c r="AM1272" t="s">
        <v>5728</v>
      </c>
      <c r="AN1272" t="s">
        <v>5729</v>
      </c>
    </row>
    <row r="1273" spans="1:40" x14ac:dyDescent="0.35">
      <c r="A1273" t="s">
        <v>37</v>
      </c>
      <c r="B1273" t="s">
        <v>5775</v>
      </c>
      <c r="C1273" t="s">
        <v>102</v>
      </c>
      <c r="D1273" t="s">
        <v>1698</v>
      </c>
      <c r="E1273" t="s">
        <v>584</v>
      </c>
      <c r="F1273" s="1">
        <v>46075.641851851855</v>
      </c>
      <c r="G1273" t="s">
        <v>105</v>
      </c>
      <c r="H1273" t="s">
        <v>106</v>
      </c>
      <c r="I1273" t="s">
        <v>1742</v>
      </c>
      <c r="J1273" t="s">
        <v>108</v>
      </c>
      <c r="K1273" t="s">
        <v>109</v>
      </c>
      <c r="M1273" t="s">
        <v>47</v>
      </c>
      <c r="O1273" t="s">
        <v>77</v>
      </c>
      <c r="P1273" t="s">
        <v>78</v>
      </c>
      <c r="Q1273" t="s">
        <v>50</v>
      </c>
      <c r="R1273" t="s">
        <v>111</v>
      </c>
      <c r="S1273" t="s">
        <v>51</v>
      </c>
      <c r="T1273" t="s">
        <v>112</v>
      </c>
      <c r="U1273" s="1">
        <v>46075.699386574073</v>
      </c>
      <c r="V1273" t="s">
        <v>54</v>
      </c>
      <c r="W1273" t="s">
        <v>55</v>
      </c>
      <c r="X1273" t="s">
        <v>134</v>
      </c>
      <c r="Y1273" t="s">
        <v>5776</v>
      </c>
      <c r="Z1273" t="s">
        <v>5594</v>
      </c>
      <c r="AA1273" t="s">
        <v>54</v>
      </c>
      <c r="AB1273" t="s">
        <v>1701</v>
      </c>
      <c r="AC1273" t="s">
        <v>85</v>
      </c>
      <c r="AD1273" t="s">
        <v>116</v>
      </c>
      <c r="AE1273" t="s">
        <v>117</v>
      </c>
      <c r="AF1273" t="s">
        <v>1874</v>
      </c>
      <c r="AG1273" t="s">
        <v>5594</v>
      </c>
      <c r="AK1273">
        <v>1</v>
      </c>
      <c r="AL1273" t="s">
        <v>61</v>
      </c>
      <c r="AM1273" t="s">
        <v>1701</v>
      </c>
      <c r="AN1273" t="s">
        <v>1702</v>
      </c>
    </row>
    <row r="1274" spans="1:40" x14ac:dyDescent="0.35">
      <c r="A1274" t="s">
        <v>37</v>
      </c>
      <c r="B1274" t="s">
        <v>5777</v>
      </c>
      <c r="C1274" t="s">
        <v>39</v>
      </c>
      <c r="D1274" t="s">
        <v>5721</v>
      </c>
      <c r="E1274" t="s">
        <v>5722</v>
      </c>
      <c r="F1274" s="1">
        <v>46075.641851851855</v>
      </c>
      <c r="G1274" t="s">
        <v>487</v>
      </c>
      <c r="H1274" t="s">
        <v>447</v>
      </c>
      <c r="I1274" t="s">
        <v>5778</v>
      </c>
      <c r="J1274" t="s">
        <v>5724</v>
      </c>
      <c r="K1274" t="s">
        <v>5725</v>
      </c>
      <c r="M1274" t="s">
        <v>131</v>
      </c>
      <c r="O1274" t="s">
        <v>77</v>
      </c>
      <c r="P1274" t="s">
        <v>78</v>
      </c>
      <c r="Q1274" t="s">
        <v>50</v>
      </c>
      <c r="R1274" t="s">
        <v>51</v>
      </c>
      <c r="S1274" t="s">
        <v>52</v>
      </c>
      <c r="T1274" t="s">
        <v>240</v>
      </c>
      <c r="U1274" s="1">
        <v>46076.536134259259</v>
      </c>
      <c r="V1274" t="s">
        <v>54</v>
      </c>
      <c r="W1274" t="s">
        <v>55</v>
      </c>
      <c r="X1274" t="s">
        <v>134</v>
      </c>
      <c r="Y1274" t="s">
        <v>5779</v>
      </c>
      <c r="Z1274" t="s">
        <v>58</v>
      </c>
      <c r="AA1274" t="s">
        <v>54</v>
      </c>
      <c r="AB1274" t="s">
        <v>5727</v>
      </c>
      <c r="AC1274" t="s">
        <v>85</v>
      </c>
      <c r="AD1274" t="s">
        <v>52</v>
      </c>
      <c r="AE1274" t="s">
        <v>2140</v>
      </c>
      <c r="AF1274" t="s">
        <v>2710</v>
      </c>
      <c r="AG1274" t="s">
        <v>58</v>
      </c>
      <c r="AH1274">
        <v>14767</v>
      </c>
      <c r="AK1274">
        <v>0</v>
      </c>
      <c r="AL1274" t="s">
        <v>61</v>
      </c>
      <c r="AM1274" t="s">
        <v>5728</v>
      </c>
      <c r="AN1274" t="s">
        <v>5729</v>
      </c>
    </row>
    <row r="1275" spans="1:40" x14ac:dyDescent="0.35">
      <c r="A1275" t="s">
        <v>37</v>
      </c>
      <c r="B1275" t="s">
        <v>5780</v>
      </c>
      <c r="C1275" t="s">
        <v>39</v>
      </c>
      <c r="D1275" t="s">
        <v>5725</v>
      </c>
      <c r="E1275" t="s">
        <v>1316</v>
      </c>
      <c r="F1275" s="1">
        <v>46075.641851851855</v>
      </c>
      <c r="G1275" t="s">
        <v>5741</v>
      </c>
      <c r="H1275" t="s">
        <v>447</v>
      </c>
      <c r="I1275" t="s">
        <v>5781</v>
      </c>
      <c r="J1275" t="s">
        <v>5724</v>
      </c>
      <c r="K1275" t="s">
        <v>5725</v>
      </c>
      <c r="M1275" t="s">
        <v>131</v>
      </c>
      <c r="O1275" t="s">
        <v>77</v>
      </c>
      <c r="P1275" t="s">
        <v>78</v>
      </c>
      <c r="Q1275" t="s">
        <v>50</v>
      </c>
      <c r="R1275" t="s">
        <v>51</v>
      </c>
      <c r="S1275" t="s">
        <v>52</v>
      </c>
      <c r="T1275" t="s">
        <v>240</v>
      </c>
      <c r="U1275" s="1">
        <v>46076.536574074074</v>
      </c>
      <c r="V1275" t="s">
        <v>54</v>
      </c>
      <c r="W1275" t="s">
        <v>55</v>
      </c>
      <c r="X1275" t="s">
        <v>134</v>
      </c>
      <c r="Y1275" t="s">
        <v>5782</v>
      </c>
      <c r="Z1275" t="s">
        <v>58</v>
      </c>
      <c r="AA1275" t="s">
        <v>54</v>
      </c>
      <c r="AB1275" t="s">
        <v>5727</v>
      </c>
      <c r="AC1275" t="s">
        <v>85</v>
      </c>
      <c r="AD1275" t="s">
        <v>52</v>
      </c>
      <c r="AE1275" t="s">
        <v>2140</v>
      </c>
      <c r="AF1275" t="s">
        <v>2710</v>
      </c>
      <c r="AG1275" t="s">
        <v>58</v>
      </c>
      <c r="AK1275">
        <v>0</v>
      </c>
      <c r="AL1275" t="s">
        <v>61</v>
      </c>
      <c r="AM1275" t="s">
        <v>5727</v>
      </c>
      <c r="AN1275" t="s">
        <v>5744</v>
      </c>
    </row>
    <row r="1276" spans="1:40" x14ac:dyDescent="0.35">
      <c r="A1276" t="s">
        <v>37</v>
      </c>
      <c r="B1276" t="s">
        <v>5783</v>
      </c>
      <c r="C1276" t="s">
        <v>39</v>
      </c>
      <c r="D1276" t="s">
        <v>5721</v>
      </c>
      <c r="E1276" t="s">
        <v>5722</v>
      </c>
      <c r="F1276" s="1">
        <v>46075.641087962962</v>
      </c>
      <c r="G1276" t="s">
        <v>487</v>
      </c>
      <c r="H1276" t="s">
        <v>447</v>
      </c>
      <c r="I1276" t="s">
        <v>5784</v>
      </c>
      <c r="J1276" t="s">
        <v>5724</v>
      </c>
      <c r="K1276" t="s">
        <v>5725</v>
      </c>
      <c r="M1276" t="s">
        <v>131</v>
      </c>
      <c r="O1276" t="s">
        <v>77</v>
      </c>
      <c r="P1276" t="s">
        <v>78</v>
      </c>
      <c r="Q1276" t="s">
        <v>50</v>
      </c>
      <c r="R1276" t="s">
        <v>51</v>
      </c>
      <c r="S1276" t="s">
        <v>52</v>
      </c>
      <c r="T1276" t="s">
        <v>240</v>
      </c>
      <c r="U1276" s="1">
        <v>46076.537141203706</v>
      </c>
      <c r="V1276" t="s">
        <v>54</v>
      </c>
      <c r="W1276" t="s">
        <v>55</v>
      </c>
      <c r="X1276" t="s">
        <v>134</v>
      </c>
      <c r="Y1276" t="s">
        <v>5785</v>
      </c>
      <c r="Z1276" t="s">
        <v>58</v>
      </c>
      <c r="AA1276" t="s">
        <v>54</v>
      </c>
      <c r="AB1276" t="s">
        <v>5727</v>
      </c>
      <c r="AC1276" t="s">
        <v>85</v>
      </c>
      <c r="AD1276" t="s">
        <v>52</v>
      </c>
      <c r="AE1276" t="s">
        <v>2140</v>
      </c>
      <c r="AF1276" t="s">
        <v>2710</v>
      </c>
      <c r="AG1276" t="s">
        <v>58</v>
      </c>
      <c r="AH1276">
        <v>14767</v>
      </c>
      <c r="AK1276">
        <v>0</v>
      </c>
      <c r="AL1276" t="s">
        <v>61</v>
      </c>
      <c r="AM1276" t="s">
        <v>5728</v>
      </c>
      <c r="AN1276" t="s">
        <v>5729</v>
      </c>
    </row>
    <row r="1277" spans="1:40" x14ac:dyDescent="0.35">
      <c r="A1277" t="s">
        <v>37</v>
      </c>
      <c r="B1277" t="s">
        <v>5786</v>
      </c>
      <c r="C1277" t="s">
        <v>39</v>
      </c>
      <c r="D1277" t="s">
        <v>5787</v>
      </c>
      <c r="E1277" t="s">
        <v>5787</v>
      </c>
      <c r="F1277" s="1">
        <v>46075.641087962962</v>
      </c>
      <c r="G1277" t="s">
        <v>487</v>
      </c>
      <c r="H1277" t="s">
        <v>447</v>
      </c>
      <c r="I1277" t="s">
        <v>5788</v>
      </c>
      <c r="J1277" t="s">
        <v>5724</v>
      </c>
      <c r="K1277" t="s">
        <v>5725</v>
      </c>
      <c r="M1277" t="s">
        <v>131</v>
      </c>
      <c r="O1277" t="s">
        <v>77</v>
      </c>
      <c r="P1277" t="s">
        <v>78</v>
      </c>
      <c r="Q1277" t="s">
        <v>50</v>
      </c>
      <c r="R1277" t="s">
        <v>51</v>
      </c>
      <c r="S1277" t="s">
        <v>52</v>
      </c>
      <c r="T1277" t="s">
        <v>240</v>
      </c>
      <c r="U1277" s="1">
        <v>46076.537708333337</v>
      </c>
      <c r="V1277" t="s">
        <v>54</v>
      </c>
      <c r="W1277" t="s">
        <v>55</v>
      </c>
      <c r="X1277" t="s">
        <v>134</v>
      </c>
      <c r="Y1277" t="s">
        <v>5789</v>
      </c>
      <c r="Z1277" t="s">
        <v>58</v>
      </c>
      <c r="AA1277" t="s">
        <v>54</v>
      </c>
      <c r="AB1277" t="s">
        <v>5727</v>
      </c>
      <c r="AC1277" t="s">
        <v>85</v>
      </c>
      <c r="AD1277" t="s">
        <v>52</v>
      </c>
      <c r="AE1277" t="s">
        <v>2140</v>
      </c>
      <c r="AF1277" t="s">
        <v>2710</v>
      </c>
      <c r="AG1277" t="s">
        <v>58</v>
      </c>
      <c r="AH1277" t="s">
        <v>5790</v>
      </c>
      <c r="AK1277">
        <v>0</v>
      </c>
      <c r="AL1277" t="s">
        <v>61</v>
      </c>
      <c r="AM1277" t="s">
        <v>5791</v>
      </c>
      <c r="AN1277" t="s">
        <v>5792</v>
      </c>
    </row>
    <row r="1278" spans="1:40" x14ac:dyDescent="0.35">
      <c r="A1278" t="s">
        <v>37</v>
      </c>
      <c r="B1278" t="s">
        <v>5793</v>
      </c>
      <c r="C1278" t="s">
        <v>39</v>
      </c>
      <c r="D1278" t="s">
        <v>5787</v>
      </c>
      <c r="E1278" t="s">
        <v>5787</v>
      </c>
      <c r="F1278" s="1">
        <v>46075.640335648146</v>
      </c>
      <c r="G1278" t="s">
        <v>487</v>
      </c>
      <c r="H1278" t="s">
        <v>447</v>
      </c>
      <c r="I1278" t="s">
        <v>5794</v>
      </c>
      <c r="J1278" t="s">
        <v>5724</v>
      </c>
      <c r="K1278" t="s">
        <v>5725</v>
      </c>
      <c r="M1278" t="s">
        <v>131</v>
      </c>
      <c r="O1278" t="s">
        <v>77</v>
      </c>
      <c r="P1278" t="s">
        <v>78</v>
      </c>
      <c r="Q1278" t="s">
        <v>50</v>
      </c>
      <c r="R1278" t="s">
        <v>51</v>
      </c>
      <c r="S1278" t="s">
        <v>52</v>
      </c>
      <c r="T1278" t="s">
        <v>240</v>
      </c>
      <c r="U1278" s="1">
        <v>46076.538194444445</v>
      </c>
      <c r="V1278" t="s">
        <v>54</v>
      </c>
      <c r="W1278" t="s">
        <v>55</v>
      </c>
      <c r="X1278" t="s">
        <v>134</v>
      </c>
      <c r="Y1278" t="s">
        <v>5795</v>
      </c>
      <c r="Z1278" t="s">
        <v>58</v>
      </c>
      <c r="AA1278" t="s">
        <v>54</v>
      </c>
      <c r="AB1278" t="s">
        <v>5727</v>
      </c>
      <c r="AC1278" t="s">
        <v>85</v>
      </c>
      <c r="AD1278" t="s">
        <v>52</v>
      </c>
      <c r="AE1278" t="s">
        <v>2140</v>
      </c>
      <c r="AF1278" t="s">
        <v>2710</v>
      </c>
      <c r="AG1278" t="s">
        <v>58</v>
      </c>
      <c r="AH1278" t="s">
        <v>5790</v>
      </c>
      <c r="AK1278">
        <v>0</v>
      </c>
      <c r="AL1278" t="s">
        <v>61</v>
      </c>
      <c r="AM1278" t="s">
        <v>5791</v>
      </c>
      <c r="AN1278" t="s">
        <v>5792</v>
      </c>
    </row>
    <row r="1279" spans="1:40" x14ac:dyDescent="0.35">
      <c r="A1279" t="s">
        <v>37</v>
      </c>
      <c r="B1279" t="s">
        <v>5796</v>
      </c>
      <c r="C1279" t="s">
        <v>39</v>
      </c>
      <c r="D1279" t="s">
        <v>5725</v>
      </c>
      <c r="E1279" t="s">
        <v>1316</v>
      </c>
      <c r="F1279" s="1">
        <v>46075.638854166667</v>
      </c>
      <c r="G1279" t="s">
        <v>5741</v>
      </c>
      <c r="H1279" t="s">
        <v>447</v>
      </c>
      <c r="I1279" t="s">
        <v>5797</v>
      </c>
      <c r="J1279" t="s">
        <v>5724</v>
      </c>
      <c r="K1279" t="s">
        <v>5725</v>
      </c>
      <c r="M1279" t="s">
        <v>131</v>
      </c>
      <c r="O1279" t="s">
        <v>77</v>
      </c>
      <c r="P1279" t="s">
        <v>78</v>
      </c>
      <c r="Q1279" t="s">
        <v>50</v>
      </c>
      <c r="R1279" t="s">
        <v>51</v>
      </c>
      <c r="S1279" t="s">
        <v>52</v>
      </c>
      <c r="T1279" t="s">
        <v>240</v>
      </c>
      <c r="U1279" s="1">
        <v>46076.538726851853</v>
      </c>
      <c r="V1279" t="s">
        <v>54</v>
      </c>
      <c r="W1279" t="s">
        <v>55</v>
      </c>
      <c r="X1279" t="s">
        <v>134</v>
      </c>
      <c r="Y1279" t="s">
        <v>5798</v>
      </c>
      <c r="Z1279" t="s">
        <v>58</v>
      </c>
      <c r="AA1279" t="s">
        <v>54</v>
      </c>
      <c r="AB1279" t="s">
        <v>5727</v>
      </c>
      <c r="AC1279" t="s">
        <v>85</v>
      </c>
      <c r="AD1279" t="s">
        <v>52</v>
      </c>
      <c r="AE1279" t="s">
        <v>2140</v>
      </c>
      <c r="AF1279" t="s">
        <v>2710</v>
      </c>
      <c r="AG1279" t="s">
        <v>58</v>
      </c>
      <c r="AK1279">
        <v>0</v>
      </c>
      <c r="AL1279" t="s">
        <v>61</v>
      </c>
      <c r="AM1279" t="s">
        <v>5727</v>
      </c>
      <c r="AN1279" t="s">
        <v>5744</v>
      </c>
    </row>
    <row r="1280" spans="1:40" x14ac:dyDescent="0.35">
      <c r="A1280" t="s">
        <v>37</v>
      </c>
      <c r="B1280" t="s">
        <v>5799</v>
      </c>
      <c r="C1280" t="s">
        <v>39</v>
      </c>
      <c r="D1280" t="s">
        <v>5725</v>
      </c>
      <c r="E1280" t="s">
        <v>1316</v>
      </c>
      <c r="F1280" s="1">
        <v>46075.638854166667</v>
      </c>
      <c r="G1280" t="s">
        <v>5741</v>
      </c>
      <c r="H1280" t="s">
        <v>447</v>
      </c>
      <c r="I1280" t="s">
        <v>5800</v>
      </c>
      <c r="J1280" t="s">
        <v>5724</v>
      </c>
      <c r="K1280" t="s">
        <v>5725</v>
      </c>
      <c r="M1280" t="s">
        <v>131</v>
      </c>
      <c r="O1280" t="s">
        <v>77</v>
      </c>
      <c r="P1280" t="s">
        <v>78</v>
      </c>
      <c r="Q1280" t="s">
        <v>50</v>
      </c>
      <c r="R1280" t="s">
        <v>51</v>
      </c>
      <c r="S1280" t="s">
        <v>52</v>
      </c>
      <c r="T1280" t="s">
        <v>240</v>
      </c>
      <c r="U1280" s="1">
        <v>46076.539155092592</v>
      </c>
      <c r="V1280" t="s">
        <v>54</v>
      </c>
      <c r="W1280" t="s">
        <v>55</v>
      </c>
      <c r="X1280" t="s">
        <v>134</v>
      </c>
      <c r="Y1280" t="s">
        <v>5801</v>
      </c>
      <c r="Z1280" t="s">
        <v>58</v>
      </c>
      <c r="AA1280" t="s">
        <v>54</v>
      </c>
      <c r="AB1280" t="s">
        <v>5727</v>
      </c>
      <c r="AC1280" t="s">
        <v>85</v>
      </c>
      <c r="AD1280" t="s">
        <v>52</v>
      </c>
      <c r="AE1280" t="s">
        <v>2140</v>
      </c>
      <c r="AF1280" t="s">
        <v>2710</v>
      </c>
      <c r="AG1280" t="s">
        <v>58</v>
      </c>
      <c r="AK1280">
        <v>0</v>
      </c>
      <c r="AL1280" t="s">
        <v>61</v>
      </c>
      <c r="AM1280" t="s">
        <v>5727</v>
      </c>
      <c r="AN1280" t="s">
        <v>5744</v>
      </c>
    </row>
    <row r="1281" spans="1:40" x14ac:dyDescent="0.35">
      <c r="A1281" t="s">
        <v>37</v>
      </c>
      <c r="B1281" t="s">
        <v>5802</v>
      </c>
      <c r="C1281" t="s">
        <v>39</v>
      </c>
      <c r="D1281" t="s">
        <v>5725</v>
      </c>
      <c r="E1281" t="s">
        <v>1316</v>
      </c>
      <c r="F1281" s="1">
        <v>46075.638020833336</v>
      </c>
      <c r="G1281" t="s">
        <v>5741</v>
      </c>
      <c r="H1281" t="s">
        <v>447</v>
      </c>
      <c r="I1281" t="s">
        <v>5803</v>
      </c>
      <c r="J1281" t="s">
        <v>5724</v>
      </c>
      <c r="K1281" t="s">
        <v>5725</v>
      </c>
      <c r="M1281" t="s">
        <v>131</v>
      </c>
      <c r="O1281" t="s">
        <v>77</v>
      </c>
      <c r="P1281" t="s">
        <v>78</v>
      </c>
      <c r="Q1281" t="s">
        <v>50</v>
      </c>
      <c r="R1281" t="s">
        <v>51</v>
      </c>
      <c r="S1281" t="s">
        <v>52</v>
      </c>
      <c r="T1281" t="s">
        <v>240</v>
      </c>
      <c r="U1281" s="1">
        <v>46076.543935185182</v>
      </c>
      <c r="V1281" t="s">
        <v>54</v>
      </c>
      <c r="W1281" t="s">
        <v>55</v>
      </c>
      <c r="X1281" t="s">
        <v>134</v>
      </c>
      <c r="Y1281" t="s">
        <v>5804</v>
      </c>
      <c r="Z1281" t="s">
        <v>58</v>
      </c>
      <c r="AA1281" t="s">
        <v>54</v>
      </c>
      <c r="AB1281" t="s">
        <v>5727</v>
      </c>
      <c r="AC1281" t="s">
        <v>85</v>
      </c>
      <c r="AD1281" t="s">
        <v>52</v>
      </c>
      <c r="AE1281" t="s">
        <v>2140</v>
      </c>
      <c r="AF1281" t="s">
        <v>2710</v>
      </c>
      <c r="AG1281" t="s">
        <v>58</v>
      </c>
      <c r="AK1281">
        <v>0</v>
      </c>
      <c r="AL1281" t="s">
        <v>61</v>
      </c>
      <c r="AM1281" t="s">
        <v>5727</v>
      </c>
      <c r="AN1281" t="s">
        <v>5744</v>
      </c>
    </row>
    <row r="1282" spans="1:40" x14ac:dyDescent="0.35">
      <c r="A1282" t="s">
        <v>37</v>
      </c>
      <c r="B1282" t="s">
        <v>5805</v>
      </c>
      <c r="C1282" t="s">
        <v>39</v>
      </c>
      <c r="D1282" t="s">
        <v>5806</v>
      </c>
      <c r="E1282" t="s">
        <v>5807</v>
      </c>
      <c r="F1282" s="1">
        <v>46075.638020833336</v>
      </c>
      <c r="G1282" t="s">
        <v>487</v>
      </c>
      <c r="H1282" t="s">
        <v>447</v>
      </c>
      <c r="I1282" t="s">
        <v>5808</v>
      </c>
      <c r="J1282" t="s">
        <v>5724</v>
      </c>
      <c r="K1282" t="s">
        <v>5725</v>
      </c>
      <c r="M1282" t="s">
        <v>131</v>
      </c>
      <c r="O1282" t="s">
        <v>77</v>
      </c>
      <c r="P1282" t="s">
        <v>78</v>
      </c>
      <c r="Q1282" t="s">
        <v>50</v>
      </c>
      <c r="R1282" t="s">
        <v>51</v>
      </c>
      <c r="S1282" t="s">
        <v>52</v>
      </c>
      <c r="T1282" t="s">
        <v>240</v>
      </c>
      <c r="U1282" s="1">
        <v>46076.546932870369</v>
      </c>
      <c r="V1282" t="s">
        <v>54</v>
      </c>
      <c r="W1282" t="s">
        <v>55</v>
      </c>
      <c r="X1282" t="s">
        <v>134</v>
      </c>
      <c r="Y1282" t="s">
        <v>5809</v>
      </c>
      <c r="Z1282" t="s">
        <v>58</v>
      </c>
      <c r="AA1282" t="s">
        <v>54</v>
      </c>
      <c r="AB1282" t="s">
        <v>5727</v>
      </c>
      <c r="AC1282" t="s">
        <v>85</v>
      </c>
      <c r="AD1282" t="s">
        <v>52</v>
      </c>
      <c r="AE1282" t="s">
        <v>2140</v>
      </c>
      <c r="AF1282" t="s">
        <v>2710</v>
      </c>
      <c r="AG1282" t="s">
        <v>58</v>
      </c>
      <c r="AH1282">
        <v>12744</v>
      </c>
      <c r="AK1282">
        <v>0</v>
      </c>
      <c r="AL1282" t="s">
        <v>61</v>
      </c>
      <c r="AM1282" t="s">
        <v>5810</v>
      </c>
      <c r="AN1282" t="s">
        <v>5811</v>
      </c>
    </row>
    <row r="1283" spans="1:40" x14ac:dyDescent="0.35">
      <c r="A1283" t="s">
        <v>37</v>
      </c>
      <c r="B1283" t="s">
        <v>5812</v>
      </c>
      <c r="C1283" t="s">
        <v>39</v>
      </c>
      <c r="D1283" t="s">
        <v>5787</v>
      </c>
      <c r="E1283" t="s">
        <v>5787</v>
      </c>
      <c r="F1283" s="1">
        <v>46075.638020833336</v>
      </c>
      <c r="G1283" t="s">
        <v>487</v>
      </c>
      <c r="H1283" t="s">
        <v>447</v>
      </c>
      <c r="I1283" t="s">
        <v>5813</v>
      </c>
      <c r="J1283" t="s">
        <v>5724</v>
      </c>
      <c r="K1283" t="s">
        <v>5725</v>
      </c>
      <c r="M1283" t="s">
        <v>131</v>
      </c>
      <c r="O1283" t="s">
        <v>77</v>
      </c>
      <c r="P1283" t="s">
        <v>78</v>
      </c>
      <c r="Q1283" t="s">
        <v>50</v>
      </c>
      <c r="R1283" t="s">
        <v>51</v>
      </c>
      <c r="S1283" t="s">
        <v>52</v>
      </c>
      <c r="T1283" t="s">
        <v>240</v>
      </c>
      <c r="U1283" s="1">
        <v>46076.547534722224</v>
      </c>
      <c r="V1283" t="s">
        <v>54</v>
      </c>
      <c r="W1283" t="s">
        <v>55</v>
      </c>
      <c r="X1283" t="s">
        <v>134</v>
      </c>
      <c r="Y1283" t="s">
        <v>5814</v>
      </c>
      <c r="Z1283" t="s">
        <v>58</v>
      </c>
      <c r="AA1283" t="s">
        <v>54</v>
      </c>
      <c r="AB1283" t="s">
        <v>5727</v>
      </c>
      <c r="AC1283" t="s">
        <v>85</v>
      </c>
      <c r="AD1283" t="s">
        <v>52</v>
      </c>
      <c r="AE1283" t="s">
        <v>2140</v>
      </c>
      <c r="AF1283" t="s">
        <v>2710</v>
      </c>
      <c r="AG1283" t="s">
        <v>58</v>
      </c>
      <c r="AH1283" t="s">
        <v>5790</v>
      </c>
      <c r="AK1283">
        <v>0</v>
      </c>
      <c r="AL1283" t="s">
        <v>61</v>
      </c>
      <c r="AM1283" t="s">
        <v>5791</v>
      </c>
      <c r="AN1283" t="s">
        <v>5792</v>
      </c>
    </row>
    <row r="1284" spans="1:40" x14ac:dyDescent="0.35">
      <c r="A1284" t="s">
        <v>37</v>
      </c>
      <c r="B1284" t="s">
        <v>5815</v>
      </c>
      <c r="C1284" t="s">
        <v>39</v>
      </c>
      <c r="D1284" t="s">
        <v>40</v>
      </c>
      <c r="E1284" t="s">
        <v>41</v>
      </c>
      <c r="F1284" s="1">
        <v>46075.631851851853</v>
      </c>
      <c r="G1284" t="s">
        <v>42</v>
      </c>
      <c r="H1284" t="s">
        <v>43</v>
      </c>
      <c r="I1284" t="s">
        <v>5816</v>
      </c>
      <c r="J1284" t="s">
        <v>45</v>
      </c>
      <c r="K1284" t="s">
        <v>46</v>
      </c>
      <c r="M1284" t="s">
        <v>47</v>
      </c>
      <c r="O1284" t="s">
        <v>48</v>
      </c>
      <c r="P1284" t="s">
        <v>49</v>
      </c>
      <c r="Q1284" t="s">
        <v>50</v>
      </c>
      <c r="R1284" t="s">
        <v>51</v>
      </c>
      <c r="S1284" t="s">
        <v>52</v>
      </c>
      <c r="T1284" t="s">
        <v>53</v>
      </c>
      <c r="U1284" s="1">
        <v>46075.632777777777</v>
      </c>
      <c r="V1284" t="s">
        <v>54</v>
      </c>
      <c r="W1284" t="s">
        <v>55</v>
      </c>
      <c r="X1284" t="s">
        <v>56</v>
      </c>
      <c r="Y1284" t="s">
        <v>65</v>
      </c>
      <c r="Z1284" t="s">
        <v>5594</v>
      </c>
      <c r="AA1284" t="s">
        <v>54</v>
      </c>
      <c r="AB1284" t="s">
        <v>59</v>
      </c>
      <c r="AC1284" t="s">
        <v>60</v>
      </c>
      <c r="AD1284" t="s">
        <v>51</v>
      </c>
      <c r="AE1284" t="s">
        <v>52</v>
      </c>
      <c r="AF1284" t="s">
        <v>53</v>
      </c>
      <c r="AG1284" t="s">
        <v>5594</v>
      </c>
      <c r="AK1284">
        <v>0</v>
      </c>
      <c r="AL1284" t="s">
        <v>61</v>
      </c>
      <c r="AM1284" t="s">
        <v>59</v>
      </c>
      <c r="AN1284" t="s">
        <v>62</v>
      </c>
    </row>
    <row r="1285" spans="1:40" x14ac:dyDescent="0.35">
      <c r="A1285" t="s">
        <v>37</v>
      </c>
      <c r="B1285" t="s">
        <v>5817</v>
      </c>
      <c r="C1285" t="s">
        <v>102</v>
      </c>
      <c r="D1285" t="s">
        <v>3786</v>
      </c>
      <c r="E1285" t="s">
        <v>469</v>
      </c>
      <c r="F1285" s="1">
        <v>46075.621527777781</v>
      </c>
      <c r="G1285" t="s">
        <v>105</v>
      </c>
      <c r="H1285" t="s">
        <v>106</v>
      </c>
      <c r="I1285" t="s">
        <v>1708</v>
      </c>
      <c r="J1285" t="s">
        <v>108</v>
      </c>
      <c r="K1285" t="s">
        <v>109</v>
      </c>
      <c r="M1285" t="s">
        <v>47</v>
      </c>
      <c r="O1285" t="s">
        <v>77</v>
      </c>
      <c r="P1285" t="s">
        <v>78</v>
      </c>
      <c r="Q1285" t="s">
        <v>541</v>
      </c>
      <c r="R1285" t="s">
        <v>111</v>
      </c>
      <c r="S1285" t="s">
        <v>51</v>
      </c>
      <c r="T1285" t="s">
        <v>112</v>
      </c>
      <c r="U1285" s="1">
        <v>46075.698912037034</v>
      </c>
      <c r="V1285" t="s">
        <v>54</v>
      </c>
      <c r="W1285" t="s">
        <v>55</v>
      </c>
      <c r="X1285" t="s">
        <v>113</v>
      </c>
      <c r="Y1285" t="s">
        <v>5818</v>
      </c>
      <c r="Z1285" t="s">
        <v>5594</v>
      </c>
      <c r="AA1285" t="s">
        <v>54</v>
      </c>
      <c r="AB1285" t="s">
        <v>115</v>
      </c>
      <c r="AC1285" t="s">
        <v>85</v>
      </c>
      <c r="AD1285" t="s">
        <v>116</v>
      </c>
      <c r="AE1285" t="s">
        <v>117</v>
      </c>
      <c r="AF1285" t="s">
        <v>144</v>
      </c>
      <c r="AG1285" t="s">
        <v>5594</v>
      </c>
      <c r="AH1285">
        <v>5935</v>
      </c>
      <c r="AK1285">
        <v>1</v>
      </c>
      <c r="AL1285" t="s">
        <v>61</v>
      </c>
      <c r="AM1285" t="s">
        <v>3789</v>
      </c>
      <c r="AN1285" t="s">
        <v>3790</v>
      </c>
    </row>
    <row r="1286" spans="1:40" x14ac:dyDescent="0.35">
      <c r="A1286" t="s">
        <v>37</v>
      </c>
      <c r="B1286" t="s">
        <v>5819</v>
      </c>
      <c r="C1286" t="s">
        <v>39</v>
      </c>
      <c r="D1286" t="s">
        <v>40</v>
      </c>
      <c r="E1286" t="s">
        <v>41</v>
      </c>
      <c r="F1286" s="1">
        <v>46075.618263888886</v>
      </c>
      <c r="G1286" t="s">
        <v>42</v>
      </c>
      <c r="H1286" t="s">
        <v>43</v>
      </c>
      <c r="I1286" t="s">
        <v>5820</v>
      </c>
      <c r="J1286" t="s">
        <v>45</v>
      </c>
      <c r="K1286" t="s">
        <v>46</v>
      </c>
      <c r="M1286" t="s">
        <v>47</v>
      </c>
      <c r="O1286" t="s">
        <v>48</v>
      </c>
      <c r="P1286" t="s">
        <v>49</v>
      </c>
      <c r="Q1286" t="s">
        <v>50</v>
      </c>
      <c r="R1286" t="s">
        <v>214</v>
      </c>
      <c r="S1286" t="s">
        <v>589</v>
      </c>
      <c r="T1286" t="s">
        <v>3593</v>
      </c>
      <c r="U1286" s="1">
        <v>46075.914733796293</v>
      </c>
      <c r="V1286" t="s">
        <v>54</v>
      </c>
      <c r="W1286" t="s">
        <v>55</v>
      </c>
      <c r="X1286" t="s">
        <v>56</v>
      </c>
      <c r="Y1286" t="s">
        <v>5694</v>
      </c>
      <c r="Z1286" t="s">
        <v>5594</v>
      </c>
      <c r="AA1286" t="s">
        <v>54</v>
      </c>
      <c r="AB1286" t="s">
        <v>59</v>
      </c>
      <c r="AC1286" t="s">
        <v>60</v>
      </c>
      <c r="AD1286" t="s">
        <v>51</v>
      </c>
      <c r="AE1286" t="s">
        <v>52</v>
      </c>
      <c r="AF1286" t="s">
        <v>53</v>
      </c>
      <c r="AG1286" t="s">
        <v>5594</v>
      </c>
      <c r="AK1286">
        <v>0</v>
      </c>
      <c r="AL1286" t="s">
        <v>61</v>
      </c>
      <c r="AM1286" t="s">
        <v>59</v>
      </c>
      <c r="AN1286" t="s">
        <v>62</v>
      </c>
    </row>
    <row r="1287" spans="1:40" x14ac:dyDescent="0.35">
      <c r="A1287" t="s">
        <v>37</v>
      </c>
      <c r="B1287" t="s">
        <v>5821</v>
      </c>
      <c r="C1287" t="s">
        <v>102</v>
      </c>
      <c r="D1287" t="s">
        <v>1698</v>
      </c>
      <c r="E1287" t="s">
        <v>584</v>
      </c>
      <c r="F1287" s="1">
        <v>46075.608761574076</v>
      </c>
      <c r="G1287" t="s">
        <v>105</v>
      </c>
      <c r="H1287" t="s">
        <v>106</v>
      </c>
      <c r="I1287" t="s">
        <v>5822</v>
      </c>
      <c r="J1287" t="s">
        <v>108</v>
      </c>
      <c r="K1287" t="s">
        <v>341</v>
      </c>
      <c r="M1287" t="s">
        <v>47</v>
      </c>
      <c r="O1287" t="s">
        <v>77</v>
      </c>
      <c r="P1287" t="s">
        <v>78</v>
      </c>
      <c r="Q1287" t="s">
        <v>50</v>
      </c>
      <c r="R1287" t="s">
        <v>111</v>
      </c>
      <c r="S1287" t="s">
        <v>51</v>
      </c>
      <c r="T1287" t="s">
        <v>112</v>
      </c>
      <c r="U1287" s="1">
        <v>46075.792951388888</v>
      </c>
      <c r="V1287" t="s">
        <v>54</v>
      </c>
      <c r="X1287" t="s">
        <v>134</v>
      </c>
      <c r="Y1287" t="s">
        <v>5823</v>
      </c>
      <c r="Z1287" t="s">
        <v>5594</v>
      </c>
      <c r="AA1287" t="s">
        <v>54</v>
      </c>
      <c r="AB1287" t="s">
        <v>1701</v>
      </c>
      <c r="AC1287" t="s">
        <v>85</v>
      </c>
      <c r="AD1287" t="s">
        <v>116</v>
      </c>
      <c r="AE1287" t="s">
        <v>117</v>
      </c>
      <c r="AF1287" t="s">
        <v>1740</v>
      </c>
      <c r="AG1287" t="s">
        <v>5594</v>
      </c>
      <c r="AK1287">
        <v>1</v>
      </c>
      <c r="AL1287" t="s">
        <v>61</v>
      </c>
      <c r="AM1287" t="s">
        <v>1701</v>
      </c>
      <c r="AN1287" t="s">
        <v>1702</v>
      </c>
    </row>
    <row r="1288" spans="1:40" x14ac:dyDescent="0.35">
      <c r="A1288" t="s">
        <v>37</v>
      </c>
      <c r="B1288" t="s">
        <v>5824</v>
      </c>
      <c r="C1288" t="s">
        <v>39</v>
      </c>
      <c r="D1288" t="s">
        <v>391</v>
      </c>
      <c r="E1288" t="s">
        <v>5825</v>
      </c>
      <c r="F1288" s="1">
        <v>46075.60359953704</v>
      </c>
      <c r="G1288" t="s">
        <v>71</v>
      </c>
      <c r="H1288" t="s">
        <v>72</v>
      </c>
      <c r="I1288" t="s">
        <v>171</v>
      </c>
      <c r="J1288" t="s">
        <v>1518</v>
      </c>
      <c r="K1288" t="s">
        <v>75</v>
      </c>
      <c r="M1288" t="s">
        <v>47</v>
      </c>
      <c r="O1288" t="s">
        <v>77</v>
      </c>
      <c r="P1288" t="s">
        <v>78</v>
      </c>
      <c r="Q1288" t="s">
        <v>1027</v>
      </c>
      <c r="R1288" t="s">
        <v>79</v>
      </c>
      <c r="S1288" t="s">
        <v>172</v>
      </c>
      <c r="T1288" t="s">
        <v>173</v>
      </c>
      <c r="U1288" s="1">
        <v>46075.603726851848</v>
      </c>
      <c r="V1288" t="s">
        <v>54</v>
      </c>
      <c r="W1288" t="s">
        <v>55</v>
      </c>
      <c r="X1288" t="s">
        <v>82</v>
      </c>
      <c r="Y1288" t="s">
        <v>5826</v>
      </c>
      <c r="Z1288" t="s">
        <v>5594</v>
      </c>
      <c r="AA1288" t="s">
        <v>54</v>
      </c>
      <c r="AB1288" t="s">
        <v>1503</v>
      </c>
      <c r="AC1288" t="s">
        <v>85</v>
      </c>
      <c r="AD1288" t="s">
        <v>79</v>
      </c>
      <c r="AE1288" t="s">
        <v>172</v>
      </c>
      <c r="AF1288" t="s">
        <v>173</v>
      </c>
      <c r="AG1288" t="s">
        <v>5594</v>
      </c>
      <c r="AH1288">
        <v>9916</v>
      </c>
      <c r="AK1288">
        <v>0</v>
      </c>
      <c r="AL1288" t="s">
        <v>410</v>
      </c>
      <c r="AM1288" t="s">
        <v>5827</v>
      </c>
      <c r="AN1288" t="s">
        <v>5828</v>
      </c>
    </row>
    <row r="1289" spans="1:40" x14ac:dyDescent="0.35">
      <c r="A1289" t="s">
        <v>37</v>
      </c>
      <c r="B1289" t="s">
        <v>5829</v>
      </c>
      <c r="C1289" t="s">
        <v>39</v>
      </c>
      <c r="D1289" t="s">
        <v>40</v>
      </c>
      <c r="E1289" t="s">
        <v>41</v>
      </c>
      <c r="F1289" s="1">
        <v>46075.598738425928</v>
      </c>
      <c r="G1289" t="s">
        <v>42</v>
      </c>
      <c r="H1289" t="s">
        <v>43</v>
      </c>
      <c r="I1289" t="s">
        <v>5830</v>
      </c>
      <c r="J1289" t="s">
        <v>45</v>
      </c>
      <c r="K1289" t="s">
        <v>46</v>
      </c>
      <c r="M1289" t="s">
        <v>47</v>
      </c>
      <c r="O1289" t="s">
        <v>48</v>
      </c>
      <c r="P1289" t="s">
        <v>49</v>
      </c>
      <c r="Q1289" t="s">
        <v>50</v>
      </c>
      <c r="R1289" t="s">
        <v>51</v>
      </c>
      <c r="S1289" t="s">
        <v>52</v>
      </c>
      <c r="T1289" t="s">
        <v>53</v>
      </c>
      <c r="U1289" s="1">
        <v>46075.599374999998</v>
      </c>
      <c r="V1289" t="s">
        <v>54</v>
      </c>
      <c r="W1289" t="s">
        <v>55</v>
      </c>
      <c r="X1289" t="s">
        <v>56</v>
      </c>
      <c r="Y1289" t="s">
        <v>57</v>
      </c>
      <c r="Z1289" t="s">
        <v>5594</v>
      </c>
      <c r="AA1289" t="s">
        <v>54</v>
      </c>
      <c r="AB1289" t="s">
        <v>59</v>
      </c>
      <c r="AC1289" t="s">
        <v>60</v>
      </c>
      <c r="AD1289" t="s">
        <v>51</v>
      </c>
      <c r="AE1289" t="s">
        <v>52</v>
      </c>
      <c r="AF1289" t="s">
        <v>53</v>
      </c>
      <c r="AG1289" t="s">
        <v>5594</v>
      </c>
      <c r="AK1289">
        <v>0</v>
      </c>
      <c r="AL1289" t="s">
        <v>61</v>
      </c>
      <c r="AM1289" t="s">
        <v>59</v>
      </c>
      <c r="AN1289" t="s">
        <v>62</v>
      </c>
    </row>
    <row r="1290" spans="1:40" x14ac:dyDescent="0.35">
      <c r="A1290" t="s">
        <v>37</v>
      </c>
      <c r="B1290" t="s">
        <v>5831</v>
      </c>
      <c r="C1290" t="s">
        <v>39</v>
      </c>
      <c r="D1290" t="s">
        <v>284</v>
      </c>
      <c r="E1290" t="s">
        <v>5832</v>
      </c>
      <c r="F1290" s="1">
        <v>46075.595185185186</v>
      </c>
      <c r="G1290" t="s">
        <v>71</v>
      </c>
      <c r="H1290" t="s">
        <v>72</v>
      </c>
      <c r="I1290" t="s">
        <v>171</v>
      </c>
      <c r="J1290" t="s">
        <v>1518</v>
      </c>
      <c r="K1290" t="s">
        <v>75</v>
      </c>
      <c r="M1290" t="s">
        <v>47</v>
      </c>
      <c r="O1290" t="s">
        <v>77</v>
      </c>
      <c r="P1290" t="s">
        <v>78</v>
      </c>
      <c r="Q1290" t="s">
        <v>50</v>
      </c>
      <c r="R1290" t="s">
        <v>79</v>
      </c>
      <c r="S1290" t="s">
        <v>172</v>
      </c>
      <c r="T1290" t="s">
        <v>173</v>
      </c>
      <c r="U1290" s="1">
        <v>46075.595486111109</v>
      </c>
      <c r="V1290" t="s">
        <v>54</v>
      </c>
      <c r="W1290" t="s">
        <v>55</v>
      </c>
      <c r="X1290" t="s">
        <v>82</v>
      </c>
      <c r="Y1290" t="s">
        <v>5833</v>
      </c>
      <c r="Z1290" t="s">
        <v>5594</v>
      </c>
      <c r="AA1290" t="s">
        <v>54</v>
      </c>
      <c r="AB1290" t="s">
        <v>1503</v>
      </c>
      <c r="AC1290" t="s">
        <v>85</v>
      </c>
      <c r="AD1290" t="s">
        <v>79</v>
      </c>
      <c r="AE1290" t="s">
        <v>172</v>
      </c>
      <c r="AF1290" t="s">
        <v>173</v>
      </c>
      <c r="AG1290" t="s">
        <v>5594</v>
      </c>
      <c r="AH1290" t="s">
        <v>5834</v>
      </c>
      <c r="AK1290">
        <v>0</v>
      </c>
      <c r="AL1290" t="s">
        <v>61</v>
      </c>
      <c r="AM1290" t="s">
        <v>5835</v>
      </c>
      <c r="AN1290" t="s">
        <v>5836</v>
      </c>
    </row>
    <row r="1291" spans="1:40" x14ac:dyDescent="0.35">
      <c r="A1291" t="s">
        <v>37</v>
      </c>
      <c r="B1291" t="s">
        <v>5837</v>
      </c>
      <c r="C1291" t="s">
        <v>102</v>
      </c>
      <c r="D1291" t="s">
        <v>1698</v>
      </c>
      <c r="E1291" t="s">
        <v>584</v>
      </c>
      <c r="F1291" s="1">
        <v>46075.583009259259</v>
      </c>
      <c r="G1291" t="s">
        <v>105</v>
      </c>
      <c r="H1291" t="s">
        <v>106</v>
      </c>
      <c r="I1291" t="s">
        <v>1742</v>
      </c>
      <c r="J1291" t="s">
        <v>108</v>
      </c>
      <c r="K1291" t="s">
        <v>109</v>
      </c>
      <c r="M1291" t="s">
        <v>47</v>
      </c>
      <c r="O1291" t="s">
        <v>77</v>
      </c>
      <c r="P1291" t="s">
        <v>78</v>
      </c>
      <c r="Q1291" t="s">
        <v>50</v>
      </c>
      <c r="R1291" t="s">
        <v>111</v>
      </c>
      <c r="S1291" t="s">
        <v>51</v>
      </c>
      <c r="T1291" t="s">
        <v>112</v>
      </c>
      <c r="U1291" s="1">
        <v>46075.691574074073</v>
      </c>
      <c r="V1291" t="s">
        <v>54</v>
      </c>
      <c r="W1291" t="s">
        <v>55</v>
      </c>
      <c r="X1291" t="s">
        <v>134</v>
      </c>
      <c r="Y1291" t="s">
        <v>5838</v>
      </c>
      <c r="Z1291" t="s">
        <v>5594</v>
      </c>
      <c r="AA1291" t="s">
        <v>54</v>
      </c>
      <c r="AB1291" t="s">
        <v>1701</v>
      </c>
      <c r="AC1291" t="s">
        <v>85</v>
      </c>
      <c r="AD1291" t="s">
        <v>116</v>
      </c>
      <c r="AE1291" t="s">
        <v>117</v>
      </c>
      <c r="AF1291" t="s">
        <v>144</v>
      </c>
      <c r="AG1291" t="s">
        <v>5594</v>
      </c>
      <c r="AK1291">
        <v>1</v>
      </c>
      <c r="AL1291" t="s">
        <v>61</v>
      </c>
      <c r="AM1291" t="s">
        <v>1701</v>
      </c>
      <c r="AN1291" t="s">
        <v>1702</v>
      </c>
    </row>
    <row r="1292" spans="1:40" x14ac:dyDescent="0.35">
      <c r="A1292" t="s">
        <v>37</v>
      </c>
      <c r="B1292" t="s">
        <v>5839</v>
      </c>
      <c r="C1292" t="s">
        <v>102</v>
      </c>
      <c r="D1292" t="s">
        <v>1698</v>
      </c>
      <c r="E1292" t="s">
        <v>584</v>
      </c>
      <c r="F1292" s="1">
        <v>46075.574618055558</v>
      </c>
      <c r="G1292" t="s">
        <v>105</v>
      </c>
      <c r="H1292" t="s">
        <v>106</v>
      </c>
      <c r="I1292" t="s">
        <v>5840</v>
      </c>
      <c r="J1292" t="s">
        <v>108</v>
      </c>
      <c r="K1292" t="s">
        <v>109</v>
      </c>
      <c r="M1292" t="s">
        <v>47</v>
      </c>
      <c r="O1292" t="s">
        <v>77</v>
      </c>
      <c r="P1292" t="s">
        <v>78</v>
      </c>
      <c r="Q1292" t="s">
        <v>50</v>
      </c>
      <c r="R1292" t="s">
        <v>111</v>
      </c>
      <c r="S1292" t="s">
        <v>51</v>
      </c>
      <c r="T1292" t="s">
        <v>112</v>
      </c>
      <c r="U1292" s="1">
        <v>46075.692129629628</v>
      </c>
      <c r="V1292" t="s">
        <v>54</v>
      </c>
      <c r="W1292" t="s">
        <v>55</v>
      </c>
      <c r="X1292" t="s">
        <v>134</v>
      </c>
      <c r="Y1292" t="s">
        <v>5841</v>
      </c>
      <c r="Z1292" t="s">
        <v>5594</v>
      </c>
      <c r="AA1292" t="s">
        <v>54</v>
      </c>
      <c r="AB1292" t="s">
        <v>1701</v>
      </c>
      <c r="AC1292" t="s">
        <v>85</v>
      </c>
      <c r="AD1292" t="s">
        <v>116</v>
      </c>
      <c r="AE1292" t="s">
        <v>117</v>
      </c>
      <c r="AF1292" t="s">
        <v>1706</v>
      </c>
      <c r="AG1292" t="s">
        <v>5594</v>
      </c>
      <c r="AK1292">
        <v>1</v>
      </c>
      <c r="AL1292" t="s">
        <v>61</v>
      </c>
      <c r="AM1292" t="s">
        <v>1701</v>
      </c>
      <c r="AN1292" t="s">
        <v>1702</v>
      </c>
    </row>
    <row r="1293" spans="1:40" x14ac:dyDescent="0.35">
      <c r="A1293" t="s">
        <v>37</v>
      </c>
      <c r="B1293" t="s">
        <v>5842</v>
      </c>
      <c r="C1293" t="s">
        <v>102</v>
      </c>
      <c r="D1293" t="s">
        <v>1698</v>
      </c>
      <c r="E1293" t="s">
        <v>584</v>
      </c>
      <c r="F1293" s="1">
        <v>46075.56695601852</v>
      </c>
      <c r="G1293" t="s">
        <v>105</v>
      </c>
      <c r="H1293" t="s">
        <v>106</v>
      </c>
      <c r="I1293" t="s">
        <v>5843</v>
      </c>
      <c r="J1293" t="s">
        <v>108</v>
      </c>
      <c r="K1293" t="s">
        <v>341</v>
      </c>
      <c r="M1293" t="s">
        <v>47</v>
      </c>
      <c r="O1293" t="s">
        <v>77</v>
      </c>
      <c r="P1293" t="s">
        <v>78</v>
      </c>
      <c r="Q1293" t="s">
        <v>50</v>
      </c>
      <c r="R1293" t="s">
        <v>111</v>
      </c>
      <c r="S1293" t="s">
        <v>51</v>
      </c>
      <c r="T1293" t="s">
        <v>112</v>
      </c>
      <c r="U1293" s="1">
        <v>46075.689143518517</v>
      </c>
      <c r="V1293" t="s">
        <v>54</v>
      </c>
      <c r="X1293" t="s">
        <v>134</v>
      </c>
      <c r="Y1293" t="s">
        <v>5844</v>
      </c>
      <c r="Z1293" t="s">
        <v>5594</v>
      </c>
      <c r="AA1293" t="s">
        <v>54</v>
      </c>
      <c r="AB1293" t="s">
        <v>1701</v>
      </c>
      <c r="AC1293" t="s">
        <v>85</v>
      </c>
      <c r="AD1293" t="s">
        <v>116</v>
      </c>
      <c r="AE1293" t="s">
        <v>117</v>
      </c>
      <c r="AF1293" t="s">
        <v>5255</v>
      </c>
      <c r="AG1293" t="s">
        <v>5594</v>
      </c>
      <c r="AK1293">
        <v>1</v>
      </c>
      <c r="AL1293" t="s">
        <v>61</v>
      </c>
      <c r="AM1293" t="s">
        <v>1701</v>
      </c>
      <c r="AN1293" t="s">
        <v>1702</v>
      </c>
    </row>
    <row r="1294" spans="1:40" x14ac:dyDescent="0.35">
      <c r="A1294" t="s">
        <v>37</v>
      </c>
      <c r="B1294" t="s">
        <v>5845</v>
      </c>
      <c r="C1294" t="s">
        <v>39</v>
      </c>
      <c r="D1294" t="s">
        <v>40</v>
      </c>
      <c r="E1294" t="s">
        <v>41</v>
      </c>
      <c r="F1294" s="1">
        <v>46075.557129629633</v>
      </c>
      <c r="G1294" t="s">
        <v>42</v>
      </c>
      <c r="H1294" t="s">
        <v>43</v>
      </c>
      <c r="I1294" t="s">
        <v>5846</v>
      </c>
      <c r="J1294" t="s">
        <v>45</v>
      </c>
      <c r="K1294" t="s">
        <v>46</v>
      </c>
      <c r="M1294" t="s">
        <v>47</v>
      </c>
      <c r="O1294" t="s">
        <v>48</v>
      </c>
      <c r="P1294" t="s">
        <v>49</v>
      </c>
      <c r="Q1294" t="s">
        <v>50</v>
      </c>
      <c r="R1294" t="s">
        <v>51</v>
      </c>
      <c r="S1294" t="s">
        <v>52</v>
      </c>
      <c r="T1294" t="s">
        <v>53</v>
      </c>
      <c r="U1294" s="1">
        <v>46075.557812500003</v>
      </c>
      <c r="V1294" t="s">
        <v>54</v>
      </c>
      <c r="W1294" t="s">
        <v>55</v>
      </c>
      <c r="X1294" t="s">
        <v>56</v>
      </c>
      <c r="Y1294" t="s">
        <v>57</v>
      </c>
      <c r="Z1294" t="s">
        <v>5594</v>
      </c>
      <c r="AA1294" t="s">
        <v>54</v>
      </c>
      <c r="AB1294" t="s">
        <v>59</v>
      </c>
      <c r="AC1294" t="s">
        <v>60</v>
      </c>
      <c r="AD1294" t="s">
        <v>51</v>
      </c>
      <c r="AE1294" t="s">
        <v>52</v>
      </c>
      <c r="AF1294" t="s">
        <v>53</v>
      </c>
      <c r="AG1294" t="s">
        <v>5594</v>
      </c>
      <c r="AK1294">
        <v>0</v>
      </c>
      <c r="AL1294" t="s">
        <v>61</v>
      </c>
      <c r="AM1294" t="s">
        <v>59</v>
      </c>
      <c r="AN1294" t="s">
        <v>62</v>
      </c>
    </row>
    <row r="1295" spans="1:40" x14ac:dyDescent="0.35">
      <c r="A1295" t="s">
        <v>37</v>
      </c>
      <c r="B1295" t="s">
        <v>5847</v>
      </c>
      <c r="C1295" t="s">
        <v>102</v>
      </c>
      <c r="D1295" t="s">
        <v>1698</v>
      </c>
      <c r="E1295" t="s">
        <v>584</v>
      </c>
      <c r="F1295" s="1">
        <v>46075.557164351849</v>
      </c>
      <c r="G1295" t="s">
        <v>105</v>
      </c>
      <c r="H1295" t="s">
        <v>106</v>
      </c>
      <c r="I1295" t="s">
        <v>332</v>
      </c>
      <c r="J1295" t="s">
        <v>108</v>
      </c>
      <c r="K1295" t="s">
        <v>109</v>
      </c>
      <c r="M1295" t="s">
        <v>47</v>
      </c>
      <c r="O1295" t="s">
        <v>77</v>
      </c>
      <c r="P1295" t="s">
        <v>78</v>
      </c>
      <c r="Q1295" t="s">
        <v>50</v>
      </c>
      <c r="R1295" t="s">
        <v>111</v>
      </c>
      <c r="S1295" t="s">
        <v>51</v>
      </c>
      <c r="T1295" t="s">
        <v>112</v>
      </c>
      <c r="U1295" s="1">
        <v>46075.693472222221</v>
      </c>
      <c r="V1295" t="s">
        <v>54</v>
      </c>
      <c r="W1295" t="s">
        <v>55</v>
      </c>
      <c r="X1295" t="s">
        <v>134</v>
      </c>
      <c r="Y1295" t="s">
        <v>5848</v>
      </c>
      <c r="Z1295" t="s">
        <v>5594</v>
      </c>
      <c r="AA1295" t="s">
        <v>54</v>
      </c>
      <c r="AB1295" t="s">
        <v>1701</v>
      </c>
      <c r="AC1295" t="s">
        <v>85</v>
      </c>
      <c r="AD1295" t="s">
        <v>116</v>
      </c>
      <c r="AE1295" t="s">
        <v>117</v>
      </c>
      <c r="AF1295" t="s">
        <v>1706</v>
      </c>
      <c r="AG1295" t="s">
        <v>5594</v>
      </c>
      <c r="AK1295">
        <v>1</v>
      </c>
      <c r="AL1295" t="s">
        <v>61</v>
      </c>
      <c r="AM1295" t="s">
        <v>1701</v>
      </c>
      <c r="AN1295" t="s">
        <v>1702</v>
      </c>
    </row>
    <row r="1296" spans="1:40" x14ac:dyDescent="0.35">
      <c r="A1296" t="s">
        <v>37</v>
      </c>
      <c r="B1296" t="s">
        <v>5849</v>
      </c>
      <c r="C1296" t="s">
        <v>39</v>
      </c>
      <c r="D1296" t="s">
        <v>40</v>
      </c>
      <c r="E1296" t="s">
        <v>41</v>
      </c>
      <c r="F1296" s="1">
        <v>46075.557071759256</v>
      </c>
      <c r="G1296" t="s">
        <v>42</v>
      </c>
      <c r="H1296" t="s">
        <v>43</v>
      </c>
      <c r="I1296" t="s">
        <v>5850</v>
      </c>
      <c r="J1296" t="s">
        <v>45</v>
      </c>
      <c r="K1296" t="s">
        <v>46</v>
      </c>
      <c r="M1296" t="s">
        <v>47</v>
      </c>
      <c r="O1296" t="s">
        <v>48</v>
      </c>
      <c r="P1296" t="s">
        <v>49</v>
      </c>
      <c r="Q1296" t="s">
        <v>50</v>
      </c>
      <c r="R1296" t="s">
        <v>51</v>
      </c>
      <c r="S1296" t="s">
        <v>52</v>
      </c>
      <c r="T1296" t="s">
        <v>53</v>
      </c>
      <c r="U1296" s="1">
        <v>46075.557754629626</v>
      </c>
      <c r="V1296" t="s">
        <v>54</v>
      </c>
      <c r="W1296" t="s">
        <v>55</v>
      </c>
      <c r="X1296" t="s">
        <v>56</v>
      </c>
      <c r="Y1296" t="s">
        <v>57</v>
      </c>
      <c r="Z1296" t="s">
        <v>5594</v>
      </c>
      <c r="AA1296" t="s">
        <v>54</v>
      </c>
      <c r="AB1296" t="s">
        <v>59</v>
      </c>
      <c r="AC1296" t="s">
        <v>60</v>
      </c>
      <c r="AD1296" t="s">
        <v>51</v>
      </c>
      <c r="AE1296" t="s">
        <v>52</v>
      </c>
      <c r="AF1296" t="s">
        <v>53</v>
      </c>
      <c r="AG1296" t="s">
        <v>5594</v>
      </c>
      <c r="AK1296">
        <v>0</v>
      </c>
      <c r="AL1296" t="s">
        <v>61</v>
      </c>
      <c r="AM1296" t="s">
        <v>59</v>
      </c>
      <c r="AN1296" t="s">
        <v>62</v>
      </c>
    </row>
    <row r="1297" spans="1:40" x14ac:dyDescent="0.35">
      <c r="A1297" t="s">
        <v>37</v>
      </c>
      <c r="B1297" t="s">
        <v>5851</v>
      </c>
      <c r="C1297" t="s">
        <v>102</v>
      </c>
      <c r="D1297" t="s">
        <v>1698</v>
      </c>
      <c r="E1297" t="s">
        <v>584</v>
      </c>
      <c r="F1297" s="1">
        <v>46075.542511574073</v>
      </c>
      <c r="G1297" t="s">
        <v>105</v>
      </c>
      <c r="H1297" t="s">
        <v>106</v>
      </c>
      <c r="I1297" t="s">
        <v>5852</v>
      </c>
      <c r="J1297" t="s">
        <v>108</v>
      </c>
      <c r="K1297" t="s">
        <v>571</v>
      </c>
      <c r="M1297" t="s">
        <v>47</v>
      </c>
      <c r="O1297" t="s">
        <v>77</v>
      </c>
      <c r="P1297" t="s">
        <v>78</v>
      </c>
      <c r="Q1297" t="s">
        <v>50</v>
      </c>
      <c r="R1297" t="s">
        <v>111</v>
      </c>
      <c r="S1297" t="s">
        <v>51</v>
      </c>
      <c r="T1297" t="s">
        <v>112</v>
      </c>
      <c r="U1297" s="1">
        <v>46075.690289351849</v>
      </c>
      <c r="V1297" t="s">
        <v>54</v>
      </c>
      <c r="W1297" t="s">
        <v>55</v>
      </c>
      <c r="X1297" t="s">
        <v>134</v>
      </c>
      <c r="Y1297" t="s">
        <v>5853</v>
      </c>
      <c r="Z1297" t="s">
        <v>5594</v>
      </c>
      <c r="AA1297" t="s">
        <v>54</v>
      </c>
      <c r="AB1297" t="s">
        <v>1701</v>
      </c>
      <c r="AC1297" t="s">
        <v>85</v>
      </c>
      <c r="AD1297" t="s">
        <v>116</v>
      </c>
      <c r="AE1297" t="s">
        <v>574</v>
      </c>
      <c r="AF1297" t="s">
        <v>1874</v>
      </c>
      <c r="AG1297" t="s">
        <v>5594</v>
      </c>
      <c r="AK1297">
        <v>1</v>
      </c>
      <c r="AL1297" t="s">
        <v>61</v>
      </c>
      <c r="AM1297" t="s">
        <v>1701</v>
      </c>
      <c r="AN1297" t="s">
        <v>1702</v>
      </c>
    </row>
    <row r="1298" spans="1:40" x14ac:dyDescent="0.35">
      <c r="A1298" t="s">
        <v>37</v>
      </c>
      <c r="B1298" t="s">
        <v>5854</v>
      </c>
      <c r="C1298" t="s">
        <v>39</v>
      </c>
      <c r="D1298" t="s">
        <v>40</v>
      </c>
      <c r="E1298" t="s">
        <v>41</v>
      </c>
      <c r="F1298" s="1">
        <v>46075.515405092592</v>
      </c>
      <c r="G1298" t="s">
        <v>42</v>
      </c>
      <c r="H1298" t="s">
        <v>43</v>
      </c>
      <c r="I1298" t="s">
        <v>5855</v>
      </c>
      <c r="J1298" t="s">
        <v>45</v>
      </c>
      <c r="K1298" t="s">
        <v>46</v>
      </c>
      <c r="M1298" t="s">
        <v>47</v>
      </c>
      <c r="O1298" t="s">
        <v>48</v>
      </c>
      <c r="P1298" t="s">
        <v>49</v>
      </c>
      <c r="Q1298" t="s">
        <v>50</v>
      </c>
      <c r="R1298" t="s">
        <v>51</v>
      </c>
      <c r="S1298" t="s">
        <v>52</v>
      </c>
      <c r="T1298" t="s">
        <v>53</v>
      </c>
      <c r="U1298" s="1">
        <v>46075.516018518516</v>
      </c>
      <c r="V1298" t="s">
        <v>54</v>
      </c>
      <c r="W1298" t="s">
        <v>55</v>
      </c>
      <c r="X1298" t="s">
        <v>56</v>
      </c>
      <c r="Y1298" t="s">
        <v>57</v>
      </c>
      <c r="Z1298" t="s">
        <v>5594</v>
      </c>
      <c r="AA1298" t="s">
        <v>54</v>
      </c>
      <c r="AB1298" t="s">
        <v>59</v>
      </c>
      <c r="AC1298" t="s">
        <v>60</v>
      </c>
      <c r="AD1298" t="s">
        <v>51</v>
      </c>
      <c r="AE1298" t="s">
        <v>52</v>
      </c>
      <c r="AF1298" t="s">
        <v>53</v>
      </c>
      <c r="AG1298" t="s">
        <v>5594</v>
      </c>
      <c r="AK1298">
        <v>0</v>
      </c>
      <c r="AL1298" t="s">
        <v>61</v>
      </c>
      <c r="AM1298" t="s">
        <v>59</v>
      </c>
      <c r="AN1298" t="s">
        <v>62</v>
      </c>
    </row>
    <row r="1299" spans="1:40" x14ac:dyDescent="0.35">
      <c r="A1299" t="s">
        <v>37</v>
      </c>
      <c r="B1299" t="s">
        <v>5856</v>
      </c>
      <c r="C1299" t="s">
        <v>102</v>
      </c>
      <c r="D1299" t="s">
        <v>1698</v>
      </c>
      <c r="E1299" t="s">
        <v>584</v>
      </c>
      <c r="F1299" s="1">
        <v>46075.510497685187</v>
      </c>
      <c r="G1299" t="s">
        <v>105</v>
      </c>
      <c r="H1299" t="s">
        <v>106</v>
      </c>
      <c r="I1299" t="s">
        <v>1742</v>
      </c>
      <c r="J1299" t="s">
        <v>108</v>
      </c>
      <c r="K1299" t="s">
        <v>109</v>
      </c>
      <c r="M1299" t="s">
        <v>47</v>
      </c>
      <c r="O1299" t="s">
        <v>77</v>
      </c>
      <c r="P1299" t="s">
        <v>78</v>
      </c>
      <c r="Q1299" t="s">
        <v>50</v>
      </c>
      <c r="R1299" t="s">
        <v>111</v>
      </c>
      <c r="S1299" t="s">
        <v>51</v>
      </c>
      <c r="T1299" t="s">
        <v>112</v>
      </c>
      <c r="U1299" s="1">
        <v>46075.691111111111</v>
      </c>
      <c r="V1299" t="s">
        <v>54</v>
      </c>
      <c r="W1299" t="s">
        <v>55</v>
      </c>
      <c r="X1299" t="s">
        <v>134</v>
      </c>
      <c r="Y1299" t="s">
        <v>5857</v>
      </c>
      <c r="Z1299" t="s">
        <v>5594</v>
      </c>
      <c r="AA1299" t="s">
        <v>54</v>
      </c>
      <c r="AB1299" t="s">
        <v>1701</v>
      </c>
      <c r="AC1299" t="s">
        <v>85</v>
      </c>
      <c r="AD1299" t="s">
        <v>116</v>
      </c>
      <c r="AE1299" t="s">
        <v>117</v>
      </c>
      <c r="AF1299" t="s">
        <v>1706</v>
      </c>
      <c r="AG1299" t="s">
        <v>5594</v>
      </c>
      <c r="AK1299">
        <v>1</v>
      </c>
      <c r="AL1299" t="s">
        <v>61</v>
      </c>
      <c r="AM1299" t="s">
        <v>1701</v>
      </c>
      <c r="AN1299" t="s">
        <v>1702</v>
      </c>
    </row>
    <row r="1300" spans="1:40" x14ac:dyDescent="0.35">
      <c r="A1300" t="s">
        <v>37</v>
      </c>
      <c r="B1300" t="s">
        <v>5858</v>
      </c>
      <c r="C1300" t="s">
        <v>102</v>
      </c>
      <c r="D1300" t="s">
        <v>761</v>
      </c>
      <c r="E1300" t="s">
        <v>762</v>
      </c>
      <c r="F1300" s="1">
        <v>46075.507222222222</v>
      </c>
      <c r="G1300" t="s">
        <v>105</v>
      </c>
      <c r="H1300" t="s">
        <v>106</v>
      </c>
      <c r="I1300" t="s">
        <v>5516</v>
      </c>
      <c r="J1300" t="s">
        <v>108</v>
      </c>
      <c r="K1300" t="s">
        <v>571</v>
      </c>
      <c r="M1300" t="s">
        <v>47</v>
      </c>
      <c r="O1300" t="s">
        <v>77</v>
      </c>
      <c r="P1300" t="s">
        <v>78</v>
      </c>
      <c r="Q1300" t="s">
        <v>50</v>
      </c>
      <c r="R1300" t="s">
        <v>111</v>
      </c>
      <c r="S1300" t="s">
        <v>51</v>
      </c>
      <c r="T1300" t="s">
        <v>112</v>
      </c>
      <c r="U1300" s="1">
        <v>46075.610937500001</v>
      </c>
      <c r="V1300" t="s">
        <v>54</v>
      </c>
      <c r="W1300" t="s">
        <v>55</v>
      </c>
      <c r="X1300" t="s">
        <v>82</v>
      </c>
      <c r="Y1300" t="s">
        <v>5859</v>
      </c>
      <c r="Z1300" t="s">
        <v>5594</v>
      </c>
      <c r="AA1300" t="s">
        <v>54</v>
      </c>
      <c r="AB1300" t="s">
        <v>115</v>
      </c>
      <c r="AC1300" t="s">
        <v>85</v>
      </c>
      <c r="AD1300" t="s">
        <v>116</v>
      </c>
      <c r="AE1300" t="s">
        <v>574</v>
      </c>
      <c r="AF1300" t="s">
        <v>144</v>
      </c>
      <c r="AG1300" t="s">
        <v>5594</v>
      </c>
      <c r="AH1300" t="s">
        <v>765</v>
      </c>
      <c r="AK1300">
        <v>1</v>
      </c>
      <c r="AL1300" t="s">
        <v>61</v>
      </c>
      <c r="AM1300" t="s">
        <v>766</v>
      </c>
      <c r="AN1300" t="s">
        <v>767</v>
      </c>
    </row>
    <row r="1301" spans="1:40" x14ac:dyDescent="0.35">
      <c r="A1301" t="s">
        <v>37</v>
      </c>
      <c r="B1301" t="s">
        <v>5860</v>
      </c>
      <c r="C1301" t="s">
        <v>39</v>
      </c>
      <c r="D1301" t="s">
        <v>40</v>
      </c>
      <c r="E1301" t="s">
        <v>41</v>
      </c>
      <c r="F1301" s="1">
        <v>46075.506331018521</v>
      </c>
      <c r="G1301" t="s">
        <v>42</v>
      </c>
      <c r="H1301" t="s">
        <v>43</v>
      </c>
      <c r="I1301" t="s">
        <v>5861</v>
      </c>
      <c r="J1301" t="s">
        <v>45</v>
      </c>
      <c r="K1301" t="s">
        <v>46</v>
      </c>
      <c r="M1301" t="s">
        <v>47</v>
      </c>
      <c r="O1301" t="s">
        <v>48</v>
      </c>
      <c r="P1301" t="s">
        <v>49</v>
      </c>
      <c r="Q1301" t="s">
        <v>50</v>
      </c>
      <c r="R1301" t="s">
        <v>51</v>
      </c>
      <c r="S1301" t="s">
        <v>52</v>
      </c>
      <c r="T1301" t="s">
        <v>53</v>
      </c>
      <c r="U1301" s="1">
        <v>46075.507187499999</v>
      </c>
      <c r="V1301" t="s">
        <v>54</v>
      </c>
      <c r="W1301" t="s">
        <v>55</v>
      </c>
      <c r="X1301" t="s">
        <v>56</v>
      </c>
      <c r="Y1301" t="s">
        <v>65</v>
      </c>
      <c r="Z1301" t="s">
        <v>5594</v>
      </c>
      <c r="AA1301" t="s">
        <v>54</v>
      </c>
      <c r="AB1301" t="s">
        <v>59</v>
      </c>
      <c r="AC1301" t="s">
        <v>60</v>
      </c>
      <c r="AD1301" t="s">
        <v>51</v>
      </c>
      <c r="AE1301" t="s">
        <v>52</v>
      </c>
      <c r="AF1301" t="s">
        <v>53</v>
      </c>
      <c r="AG1301" t="s">
        <v>5594</v>
      </c>
      <c r="AK1301">
        <v>0</v>
      </c>
      <c r="AL1301" t="s">
        <v>61</v>
      </c>
      <c r="AM1301" t="s">
        <v>59</v>
      </c>
      <c r="AN1301" t="s">
        <v>62</v>
      </c>
    </row>
    <row r="1302" spans="1:40" x14ac:dyDescent="0.35">
      <c r="A1302" t="s">
        <v>37</v>
      </c>
      <c r="B1302" t="s">
        <v>5862</v>
      </c>
      <c r="C1302" t="s">
        <v>102</v>
      </c>
      <c r="D1302" t="s">
        <v>761</v>
      </c>
      <c r="E1302" t="s">
        <v>762</v>
      </c>
      <c r="F1302" s="1">
        <v>46075.497002314813</v>
      </c>
      <c r="G1302" t="s">
        <v>105</v>
      </c>
      <c r="H1302" t="s">
        <v>106</v>
      </c>
      <c r="I1302" t="s">
        <v>3488</v>
      </c>
      <c r="J1302" t="s">
        <v>108</v>
      </c>
      <c r="K1302" t="s">
        <v>109</v>
      </c>
      <c r="M1302" t="s">
        <v>47</v>
      </c>
      <c r="O1302" t="s">
        <v>77</v>
      </c>
      <c r="P1302" t="s">
        <v>78</v>
      </c>
      <c r="Q1302" t="s">
        <v>50</v>
      </c>
      <c r="R1302" t="s">
        <v>111</v>
      </c>
      <c r="S1302" t="s">
        <v>51</v>
      </c>
      <c r="T1302" t="s">
        <v>112</v>
      </c>
      <c r="U1302" s="1">
        <v>46075.611550925925</v>
      </c>
      <c r="V1302" t="s">
        <v>54</v>
      </c>
      <c r="W1302" t="s">
        <v>55</v>
      </c>
      <c r="X1302" t="s">
        <v>82</v>
      </c>
      <c r="Y1302" t="s">
        <v>5863</v>
      </c>
      <c r="Z1302" t="s">
        <v>5594</v>
      </c>
      <c r="AA1302" t="s">
        <v>54</v>
      </c>
      <c r="AB1302" t="s">
        <v>115</v>
      </c>
      <c r="AC1302" t="s">
        <v>85</v>
      </c>
      <c r="AD1302" t="s">
        <v>116</v>
      </c>
      <c r="AE1302" t="s">
        <v>334</v>
      </c>
      <c r="AF1302" t="s">
        <v>5864</v>
      </c>
      <c r="AG1302" t="s">
        <v>5594</v>
      </c>
      <c r="AH1302" t="s">
        <v>765</v>
      </c>
      <c r="AK1302">
        <v>1</v>
      </c>
      <c r="AL1302" t="s">
        <v>61</v>
      </c>
      <c r="AM1302" t="s">
        <v>766</v>
      </c>
      <c r="AN1302" t="s">
        <v>767</v>
      </c>
    </row>
    <row r="1303" spans="1:40" x14ac:dyDescent="0.35">
      <c r="A1303" t="s">
        <v>37</v>
      </c>
      <c r="B1303" t="s">
        <v>5865</v>
      </c>
      <c r="C1303" t="s">
        <v>39</v>
      </c>
      <c r="D1303" t="s">
        <v>5866</v>
      </c>
      <c r="E1303" t="s">
        <v>5867</v>
      </c>
      <c r="F1303" s="1">
        <v>46075.484143518515</v>
      </c>
      <c r="G1303" t="s">
        <v>1363</v>
      </c>
      <c r="H1303" t="s">
        <v>106</v>
      </c>
      <c r="I1303" t="s">
        <v>205</v>
      </c>
      <c r="J1303" t="s">
        <v>1692</v>
      </c>
      <c r="K1303" t="s">
        <v>207</v>
      </c>
      <c r="M1303" t="s">
        <v>47</v>
      </c>
      <c r="O1303" t="s">
        <v>77</v>
      </c>
      <c r="P1303" t="s">
        <v>78</v>
      </c>
      <c r="Q1303" t="s">
        <v>50</v>
      </c>
      <c r="R1303" t="s">
        <v>208</v>
      </c>
      <c r="S1303" t="s">
        <v>209</v>
      </c>
      <c r="T1303" t="s">
        <v>210</v>
      </c>
      <c r="U1303" s="1">
        <v>46075.5471412037</v>
      </c>
      <c r="V1303" t="s">
        <v>54</v>
      </c>
      <c r="W1303" t="s">
        <v>55</v>
      </c>
      <c r="X1303" t="s">
        <v>211</v>
      </c>
      <c r="Y1303" t="s">
        <v>1693</v>
      </c>
      <c r="Z1303" t="s">
        <v>5594</v>
      </c>
      <c r="AA1303" t="s">
        <v>54</v>
      </c>
      <c r="AB1303" t="s">
        <v>213</v>
      </c>
      <c r="AC1303" t="s">
        <v>85</v>
      </c>
      <c r="AD1303" t="s">
        <v>214</v>
      </c>
      <c r="AE1303" t="s">
        <v>215</v>
      </c>
      <c r="AF1303" t="s">
        <v>216</v>
      </c>
      <c r="AG1303" t="s">
        <v>5594</v>
      </c>
      <c r="AH1303">
        <v>12319</v>
      </c>
      <c r="AK1303">
        <v>1</v>
      </c>
      <c r="AL1303" t="s">
        <v>61</v>
      </c>
      <c r="AM1303" t="s">
        <v>5868</v>
      </c>
      <c r="AN1303" t="s">
        <v>5869</v>
      </c>
    </row>
    <row r="1304" spans="1:40" x14ac:dyDescent="0.35">
      <c r="A1304" t="s">
        <v>37</v>
      </c>
      <c r="B1304" t="s">
        <v>5870</v>
      </c>
      <c r="C1304" t="s">
        <v>102</v>
      </c>
      <c r="D1304" t="s">
        <v>1698</v>
      </c>
      <c r="E1304" t="s">
        <v>584</v>
      </c>
      <c r="F1304" s="1">
        <v>46075.481956018521</v>
      </c>
      <c r="G1304" t="s">
        <v>105</v>
      </c>
      <c r="H1304" t="s">
        <v>106</v>
      </c>
      <c r="I1304" t="s">
        <v>5852</v>
      </c>
      <c r="J1304" t="s">
        <v>108</v>
      </c>
      <c r="K1304" t="s">
        <v>571</v>
      </c>
      <c r="M1304" t="s">
        <v>47</v>
      </c>
      <c r="O1304" t="s">
        <v>77</v>
      </c>
      <c r="P1304" t="s">
        <v>78</v>
      </c>
      <c r="Q1304" t="s">
        <v>50</v>
      </c>
      <c r="R1304" t="s">
        <v>111</v>
      </c>
      <c r="S1304" t="s">
        <v>51</v>
      </c>
      <c r="T1304" t="s">
        <v>112</v>
      </c>
      <c r="U1304" s="1">
        <v>46075.503506944442</v>
      </c>
      <c r="V1304" t="s">
        <v>54</v>
      </c>
      <c r="W1304" t="s">
        <v>55</v>
      </c>
      <c r="X1304" t="s">
        <v>134</v>
      </c>
      <c r="Y1304" t="s">
        <v>1923</v>
      </c>
      <c r="Z1304" t="s">
        <v>5594</v>
      </c>
      <c r="AA1304" t="s">
        <v>54</v>
      </c>
      <c r="AB1304" t="s">
        <v>1701</v>
      </c>
      <c r="AC1304" t="s">
        <v>85</v>
      </c>
      <c r="AD1304" t="s">
        <v>116</v>
      </c>
      <c r="AE1304" t="s">
        <v>574</v>
      </c>
      <c r="AF1304" t="s">
        <v>144</v>
      </c>
      <c r="AG1304" t="s">
        <v>5594</v>
      </c>
      <c r="AK1304">
        <v>1</v>
      </c>
      <c r="AL1304" t="s">
        <v>61</v>
      </c>
      <c r="AM1304" t="s">
        <v>1701</v>
      </c>
      <c r="AN1304" t="s">
        <v>1702</v>
      </c>
    </row>
    <row r="1305" spans="1:40" x14ac:dyDescent="0.35">
      <c r="A1305" t="s">
        <v>37</v>
      </c>
      <c r="B1305" t="s">
        <v>5871</v>
      </c>
      <c r="C1305" t="s">
        <v>39</v>
      </c>
      <c r="D1305" t="s">
        <v>5872</v>
      </c>
      <c r="E1305" t="s">
        <v>5873</v>
      </c>
      <c r="F1305" s="1">
        <v>46075.482233796298</v>
      </c>
      <c r="G1305" t="s">
        <v>355</v>
      </c>
      <c r="H1305" t="s">
        <v>356</v>
      </c>
      <c r="I1305" t="s">
        <v>1052</v>
      </c>
      <c r="J1305" t="s">
        <v>1518</v>
      </c>
      <c r="K1305" t="s">
        <v>75</v>
      </c>
      <c r="M1305" t="s">
        <v>47</v>
      </c>
      <c r="O1305" t="s">
        <v>77</v>
      </c>
      <c r="P1305" t="s">
        <v>78</v>
      </c>
      <c r="Q1305" t="s">
        <v>50</v>
      </c>
      <c r="R1305" t="s">
        <v>79</v>
      </c>
      <c r="S1305" t="s">
        <v>975</v>
      </c>
      <c r="T1305" t="s">
        <v>976</v>
      </c>
      <c r="U1305" s="1">
        <v>46075.48332175926</v>
      </c>
      <c r="V1305" t="s">
        <v>54</v>
      </c>
      <c r="W1305" t="s">
        <v>55</v>
      </c>
      <c r="X1305" t="s">
        <v>196</v>
      </c>
      <c r="Y1305" t="s">
        <v>5874</v>
      </c>
      <c r="Z1305" t="s">
        <v>5594</v>
      </c>
      <c r="AA1305" t="s">
        <v>54</v>
      </c>
      <c r="AB1305" t="s">
        <v>1503</v>
      </c>
      <c r="AC1305" t="s">
        <v>85</v>
      </c>
      <c r="AD1305" t="s">
        <v>79</v>
      </c>
      <c r="AE1305" t="s">
        <v>975</v>
      </c>
      <c r="AF1305" t="s">
        <v>976</v>
      </c>
      <c r="AG1305" t="s">
        <v>5594</v>
      </c>
      <c r="AH1305" t="s">
        <v>5875</v>
      </c>
      <c r="AK1305">
        <v>0</v>
      </c>
      <c r="AL1305" t="s">
        <v>61</v>
      </c>
      <c r="AM1305" t="s">
        <v>5876</v>
      </c>
      <c r="AN1305" t="s">
        <v>5877</v>
      </c>
    </row>
    <row r="1306" spans="1:40" x14ac:dyDescent="0.35">
      <c r="A1306" t="s">
        <v>37</v>
      </c>
      <c r="B1306" t="s">
        <v>5878</v>
      </c>
      <c r="C1306" t="s">
        <v>102</v>
      </c>
      <c r="D1306" t="s">
        <v>1698</v>
      </c>
      <c r="E1306" t="s">
        <v>584</v>
      </c>
      <c r="F1306" s="1">
        <v>46075.478425925925</v>
      </c>
      <c r="G1306" t="s">
        <v>105</v>
      </c>
      <c r="H1306" t="s">
        <v>106</v>
      </c>
      <c r="I1306" t="s">
        <v>5879</v>
      </c>
      <c r="J1306" t="s">
        <v>108</v>
      </c>
      <c r="K1306" t="s">
        <v>341</v>
      </c>
      <c r="M1306" t="s">
        <v>47</v>
      </c>
      <c r="O1306" t="s">
        <v>77</v>
      </c>
      <c r="P1306" t="s">
        <v>78</v>
      </c>
      <c r="Q1306" t="s">
        <v>50</v>
      </c>
      <c r="R1306" t="s">
        <v>111</v>
      </c>
      <c r="S1306" t="s">
        <v>51</v>
      </c>
      <c r="T1306" t="s">
        <v>112</v>
      </c>
      <c r="U1306" s="1">
        <v>46075.503854166665</v>
      </c>
      <c r="V1306" t="s">
        <v>54</v>
      </c>
      <c r="X1306" t="s">
        <v>134</v>
      </c>
      <c r="Y1306" t="s">
        <v>5880</v>
      </c>
      <c r="Z1306" t="s">
        <v>5594</v>
      </c>
      <c r="AA1306" t="s">
        <v>54</v>
      </c>
      <c r="AB1306" t="s">
        <v>1701</v>
      </c>
      <c r="AC1306" t="s">
        <v>85</v>
      </c>
      <c r="AD1306" t="s">
        <v>116</v>
      </c>
      <c r="AE1306" t="s">
        <v>574</v>
      </c>
      <c r="AF1306" t="s">
        <v>1740</v>
      </c>
      <c r="AG1306" t="s">
        <v>5594</v>
      </c>
      <c r="AK1306">
        <v>1</v>
      </c>
      <c r="AL1306" t="s">
        <v>61</v>
      </c>
      <c r="AM1306" t="s">
        <v>1701</v>
      </c>
      <c r="AN1306" t="s">
        <v>1702</v>
      </c>
    </row>
    <row r="1307" spans="1:40" x14ac:dyDescent="0.35">
      <c r="A1307" t="s">
        <v>37</v>
      </c>
      <c r="B1307" t="s">
        <v>5881</v>
      </c>
      <c r="C1307" t="s">
        <v>102</v>
      </c>
      <c r="D1307" t="s">
        <v>568</v>
      </c>
      <c r="E1307" t="s">
        <v>569</v>
      </c>
      <c r="F1307" s="1">
        <v>46075.474085648151</v>
      </c>
      <c r="G1307" t="s">
        <v>105</v>
      </c>
      <c r="H1307" t="s">
        <v>106</v>
      </c>
      <c r="I1307" t="s">
        <v>2736</v>
      </c>
      <c r="J1307" t="s">
        <v>108</v>
      </c>
      <c r="K1307" t="s">
        <v>571</v>
      </c>
      <c r="M1307" t="s">
        <v>76</v>
      </c>
      <c r="O1307" t="s">
        <v>77</v>
      </c>
      <c r="P1307" t="s">
        <v>78</v>
      </c>
      <c r="Q1307" t="s">
        <v>448</v>
      </c>
      <c r="R1307" t="s">
        <v>111</v>
      </c>
      <c r="S1307" t="s">
        <v>51</v>
      </c>
      <c r="T1307" t="s">
        <v>112</v>
      </c>
      <c r="U1307" s="1">
        <v>46076.488020833334</v>
      </c>
      <c r="V1307" t="s">
        <v>54</v>
      </c>
      <c r="W1307" t="s">
        <v>55</v>
      </c>
      <c r="X1307" t="s">
        <v>113</v>
      </c>
      <c r="Y1307" t="s">
        <v>5882</v>
      </c>
      <c r="Z1307" t="s">
        <v>58</v>
      </c>
      <c r="AA1307" t="s">
        <v>54</v>
      </c>
      <c r="AB1307" t="s">
        <v>1212</v>
      </c>
      <c r="AC1307" t="s">
        <v>85</v>
      </c>
      <c r="AD1307" t="s">
        <v>116</v>
      </c>
      <c r="AE1307" t="s">
        <v>1541</v>
      </c>
      <c r="AF1307" t="s">
        <v>2738</v>
      </c>
      <c r="AG1307" t="s">
        <v>58</v>
      </c>
      <c r="AK1307">
        <v>1</v>
      </c>
      <c r="AL1307" t="s">
        <v>61</v>
      </c>
      <c r="AM1307" t="s">
        <v>576</v>
      </c>
      <c r="AN1307" t="s">
        <v>577</v>
      </c>
    </row>
    <row r="1308" spans="1:40" x14ac:dyDescent="0.35">
      <c r="A1308" t="s">
        <v>37</v>
      </c>
      <c r="B1308" t="s">
        <v>5883</v>
      </c>
      <c r="C1308" t="s">
        <v>102</v>
      </c>
      <c r="D1308" t="s">
        <v>1698</v>
      </c>
      <c r="E1308" t="s">
        <v>584</v>
      </c>
      <c r="F1308" s="1">
        <v>46075.458912037036</v>
      </c>
      <c r="G1308" t="s">
        <v>105</v>
      </c>
      <c r="H1308" t="s">
        <v>106</v>
      </c>
      <c r="I1308" t="s">
        <v>5884</v>
      </c>
      <c r="J1308" t="s">
        <v>108</v>
      </c>
      <c r="K1308" t="s">
        <v>341</v>
      </c>
      <c r="M1308" t="s">
        <v>47</v>
      </c>
      <c r="O1308" t="s">
        <v>77</v>
      </c>
      <c r="P1308" t="s">
        <v>78</v>
      </c>
      <c r="Q1308" t="s">
        <v>50</v>
      </c>
      <c r="R1308" t="s">
        <v>111</v>
      </c>
      <c r="S1308" t="s">
        <v>51</v>
      </c>
      <c r="T1308" t="s">
        <v>112</v>
      </c>
      <c r="U1308" s="1">
        <v>46075.475439814814</v>
      </c>
      <c r="V1308" t="s">
        <v>54</v>
      </c>
      <c r="X1308" t="s">
        <v>134</v>
      </c>
      <c r="Y1308" t="s">
        <v>5885</v>
      </c>
      <c r="Z1308" t="s">
        <v>5594</v>
      </c>
      <c r="AA1308" t="s">
        <v>54</v>
      </c>
      <c r="AB1308" t="s">
        <v>1701</v>
      </c>
      <c r="AC1308" t="s">
        <v>85</v>
      </c>
      <c r="AD1308" t="s">
        <v>116</v>
      </c>
      <c r="AE1308" t="s">
        <v>574</v>
      </c>
      <c r="AF1308" t="s">
        <v>1740</v>
      </c>
      <c r="AG1308" t="s">
        <v>5594</v>
      </c>
      <c r="AK1308">
        <v>1</v>
      </c>
      <c r="AL1308" t="s">
        <v>61</v>
      </c>
      <c r="AM1308" t="s">
        <v>1701</v>
      </c>
      <c r="AN1308" t="s">
        <v>1702</v>
      </c>
    </row>
    <row r="1309" spans="1:40" x14ac:dyDescent="0.35">
      <c r="A1309" t="s">
        <v>37</v>
      </c>
      <c r="B1309" t="s">
        <v>5886</v>
      </c>
      <c r="C1309" t="s">
        <v>102</v>
      </c>
      <c r="D1309" t="s">
        <v>1698</v>
      </c>
      <c r="E1309" t="s">
        <v>584</v>
      </c>
      <c r="F1309" s="1">
        <v>46075.431770833333</v>
      </c>
      <c r="G1309" t="s">
        <v>105</v>
      </c>
      <c r="H1309" t="s">
        <v>106</v>
      </c>
      <c r="I1309" t="s">
        <v>1898</v>
      </c>
      <c r="J1309" t="s">
        <v>108</v>
      </c>
      <c r="K1309" t="s">
        <v>109</v>
      </c>
      <c r="M1309" t="s">
        <v>47</v>
      </c>
      <c r="O1309" t="s">
        <v>77</v>
      </c>
      <c r="P1309" t="s">
        <v>78</v>
      </c>
      <c r="Q1309" t="s">
        <v>50</v>
      </c>
      <c r="R1309" t="s">
        <v>111</v>
      </c>
      <c r="S1309" t="s">
        <v>51</v>
      </c>
      <c r="T1309" t="s">
        <v>112</v>
      </c>
      <c r="U1309" s="1">
        <v>46075.498564814814</v>
      </c>
      <c r="V1309" t="s">
        <v>54</v>
      </c>
      <c r="W1309" t="s">
        <v>55</v>
      </c>
      <c r="X1309" t="s">
        <v>134</v>
      </c>
      <c r="Y1309" t="s">
        <v>5887</v>
      </c>
      <c r="Z1309" t="s">
        <v>5594</v>
      </c>
      <c r="AA1309" t="s">
        <v>54</v>
      </c>
      <c r="AB1309" t="s">
        <v>1701</v>
      </c>
      <c r="AC1309" t="s">
        <v>85</v>
      </c>
      <c r="AD1309" t="s">
        <v>116</v>
      </c>
      <c r="AE1309" t="s">
        <v>117</v>
      </c>
      <c r="AF1309" t="s">
        <v>118</v>
      </c>
      <c r="AG1309" t="s">
        <v>5594</v>
      </c>
      <c r="AK1309">
        <v>1</v>
      </c>
      <c r="AL1309" t="s">
        <v>61</v>
      </c>
      <c r="AM1309" t="s">
        <v>1701</v>
      </c>
      <c r="AN1309" t="s">
        <v>1702</v>
      </c>
    </row>
    <row r="1310" spans="1:40" x14ac:dyDescent="0.35">
      <c r="A1310" t="s">
        <v>37</v>
      </c>
      <c r="B1310" t="s">
        <v>5888</v>
      </c>
      <c r="C1310" t="s">
        <v>102</v>
      </c>
      <c r="D1310" t="s">
        <v>1698</v>
      </c>
      <c r="E1310" t="s">
        <v>584</v>
      </c>
      <c r="F1310" s="1">
        <v>46075.403240740743</v>
      </c>
      <c r="G1310" t="s">
        <v>105</v>
      </c>
      <c r="H1310" t="s">
        <v>106</v>
      </c>
      <c r="I1310" t="s">
        <v>5889</v>
      </c>
      <c r="J1310" t="s">
        <v>108</v>
      </c>
      <c r="K1310" t="s">
        <v>341</v>
      </c>
      <c r="M1310" t="s">
        <v>47</v>
      </c>
      <c r="O1310" t="s">
        <v>77</v>
      </c>
      <c r="P1310" t="s">
        <v>78</v>
      </c>
      <c r="Q1310" t="s">
        <v>50</v>
      </c>
      <c r="R1310" t="s">
        <v>111</v>
      </c>
      <c r="S1310" t="s">
        <v>51</v>
      </c>
      <c r="T1310" t="s">
        <v>112</v>
      </c>
      <c r="U1310" s="1">
        <v>46075.504143518519</v>
      </c>
      <c r="V1310" t="s">
        <v>54</v>
      </c>
      <c r="X1310" t="s">
        <v>134</v>
      </c>
      <c r="Y1310" t="s">
        <v>5890</v>
      </c>
      <c r="Z1310" t="s">
        <v>5594</v>
      </c>
      <c r="AA1310" t="s">
        <v>54</v>
      </c>
      <c r="AB1310" t="s">
        <v>1701</v>
      </c>
      <c r="AC1310" t="s">
        <v>85</v>
      </c>
      <c r="AD1310" t="s">
        <v>116</v>
      </c>
      <c r="AE1310" t="s">
        <v>117</v>
      </c>
      <c r="AF1310" t="s">
        <v>1740</v>
      </c>
      <c r="AG1310" t="s">
        <v>5594</v>
      </c>
      <c r="AK1310">
        <v>1</v>
      </c>
      <c r="AL1310" t="s">
        <v>61</v>
      </c>
      <c r="AM1310" t="s">
        <v>1701</v>
      </c>
      <c r="AN1310" t="s">
        <v>1702</v>
      </c>
    </row>
    <row r="1311" spans="1:40" x14ac:dyDescent="0.35">
      <c r="A1311" t="s">
        <v>37</v>
      </c>
      <c r="B1311" t="s">
        <v>5891</v>
      </c>
      <c r="C1311" t="s">
        <v>102</v>
      </c>
      <c r="D1311" t="s">
        <v>1698</v>
      </c>
      <c r="E1311" t="s">
        <v>584</v>
      </c>
      <c r="F1311" s="1">
        <v>46075.396770833337</v>
      </c>
      <c r="G1311" t="s">
        <v>105</v>
      </c>
      <c r="H1311" t="s">
        <v>106</v>
      </c>
      <c r="I1311" t="s">
        <v>5892</v>
      </c>
      <c r="J1311" t="s">
        <v>108</v>
      </c>
      <c r="K1311" t="s">
        <v>341</v>
      </c>
      <c r="M1311" t="s">
        <v>47</v>
      </c>
      <c r="O1311" t="s">
        <v>77</v>
      </c>
      <c r="P1311" t="s">
        <v>78</v>
      </c>
      <c r="Q1311" t="s">
        <v>50</v>
      </c>
      <c r="R1311" t="s">
        <v>111</v>
      </c>
      <c r="S1311" t="s">
        <v>51</v>
      </c>
      <c r="T1311" t="s">
        <v>112</v>
      </c>
      <c r="U1311" s="1">
        <v>46075.61037037037</v>
      </c>
      <c r="V1311" t="s">
        <v>54</v>
      </c>
      <c r="X1311" t="s">
        <v>134</v>
      </c>
      <c r="Y1311" t="s">
        <v>5893</v>
      </c>
      <c r="Z1311" t="s">
        <v>5594</v>
      </c>
      <c r="AA1311" t="s">
        <v>54</v>
      </c>
      <c r="AB1311" t="s">
        <v>115</v>
      </c>
      <c r="AC1311" t="s">
        <v>85</v>
      </c>
      <c r="AD1311" t="s">
        <v>116</v>
      </c>
      <c r="AE1311" t="s">
        <v>117</v>
      </c>
      <c r="AF1311" t="s">
        <v>343</v>
      </c>
      <c r="AG1311" t="s">
        <v>5594</v>
      </c>
      <c r="AK1311">
        <v>1</v>
      </c>
      <c r="AL1311" t="s">
        <v>61</v>
      </c>
      <c r="AM1311" t="s">
        <v>1701</v>
      </c>
      <c r="AN1311" t="s">
        <v>1702</v>
      </c>
    </row>
    <row r="1312" spans="1:40" x14ac:dyDescent="0.35">
      <c r="A1312" t="s">
        <v>37</v>
      </c>
      <c r="B1312" t="s">
        <v>5894</v>
      </c>
      <c r="C1312" t="s">
        <v>102</v>
      </c>
      <c r="D1312" t="s">
        <v>1698</v>
      </c>
      <c r="E1312" t="s">
        <v>584</v>
      </c>
      <c r="F1312" s="1">
        <v>46075.391400462962</v>
      </c>
      <c r="G1312" t="s">
        <v>105</v>
      </c>
      <c r="H1312" t="s">
        <v>106</v>
      </c>
      <c r="I1312" t="s">
        <v>3159</v>
      </c>
      <c r="J1312" t="s">
        <v>108</v>
      </c>
      <c r="K1312" t="s">
        <v>571</v>
      </c>
      <c r="M1312" t="s">
        <v>47</v>
      </c>
      <c r="O1312" t="s">
        <v>77</v>
      </c>
      <c r="P1312" t="s">
        <v>78</v>
      </c>
      <c r="Q1312" t="s">
        <v>50</v>
      </c>
      <c r="R1312" t="s">
        <v>111</v>
      </c>
      <c r="S1312" t="s">
        <v>51</v>
      </c>
      <c r="T1312" t="s">
        <v>112</v>
      </c>
      <c r="U1312" s="1">
        <v>46075.497627314813</v>
      </c>
      <c r="V1312" t="s">
        <v>54</v>
      </c>
      <c r="W1312" t="s">
        <v>55</v>
      </c>
      <c r="X1312" t="s">
        <v>134</v>
      </c>
      <c r="Y1312" t="s">
        <v>5895</v>
      </c>
      <c r="Z1312" t="s">
        <v>5594</v>
      </c>
      <c r="AA1312" t="s">
        <v>54</v>
      </c>
      <c r="AB1312" t="s">
        <v>1701</v>
      </c>
      <c r="AC1312" t="s">
        <v>85</v>
      </c>
      <c r="AD1312" t="s">
        <v>116</v>
      </c>
      <c r="AE1312" t="s">
        <v>574</v>
      </c>
      <c r="AF1312" t="s">
        <v>575</v>
      </c>
      <c r="AG1312" t="s">
        <v>5594</v>
      </c>
      <c r="AK1312">
        <v>1</v>
      </c>
      <c r="AL1312" t="s">
        <v>61</v>
      </c>
      <c r="AM1312" t="s">
        <v>1701</v>
      </c>
      <c r="AN1312" t="s">
        <v>1702</v>
      </c>
    </row>
    <row r="1313" spans="1:40" x14ac:dyDescent="0.35">
      <c r="A1313" t="s">
        <v>37</v>
      </c>
      <c r="B1313" t="s">
        <v>5896</v>
      </c>
      <c r="C1313" t="s">
        <v>102</v>
      </c>
      <c r="D1313" t="s">
        <v>1698</v>
      </c>
      <c r="E1313" t="s">
        <v>584</v>
      </c>
      <c r="F1313" s="1">
        <v>46075.384386574071</v>
      </c>
      <c r="G1313" t="s">
        <v>105</v>
      </c>
      <c r="H1313" t="s">
        <v>106</v>
      </c>
      <c r="I1313" t="s">
        <v>3159</v>
      </c>
      <c r="J1313" t="s">
        <v>108</v>
      </c>
      <c r="K1313" t="s">
        <v>571</v>
      </c>
      <c r="M1313" t="s">
        <v>47</v>
      </c>
      <c r="O1313" t="s">
        <v>77</v>
      </c>
      <c r="P1313" t="s">
        <v>78</v>
      </c>
      <c r="Q1313" t="s">
        <v>50</v>
      </c>
      <c r="R1313" t="s">
        <v>111</v>
      </c>
      <c r="S1313" t="s">
        <v>51</v>
      </c>
      <c r="T1313" t="s">
        <v>112</v>
      </c>
      <c r="U1313" s="1">
        <v>46075.498032407406</v>
      </c>
      <c r="V1313" t="s">
        <v>54</v>
      </c>
      <c r="W1313" t="s">
        <v>55</v>
      </c>
      <c r="X1313" t="s">
        <v>134</v>
      </c>
      <c r="Y1313" t="s">
        <v>5897</v>
      </c>
      <c r="Z1313" t="s">
        <v>5594</v>
      </c>
      <c r="AA1313" t="s">
        <v>54</v>
      </c>
      <c r="AB1313" t="s">
        <v>1701</v>
      </c>
      <c r="AC1313" t="s">
        <v>85</v>
      </c>
      <c r="AD1313" t="s">
        <v>116</v>
      </c>
      <c r="AE1313" t="s">
        <v>574</v>
      </c>
      <c r="AF1313" t="s">
        <v>575</v>
      </c>
      <c r="AG1313" t="s">
        <v>5594</v>
      </c>
      <c r="AK1313">
        <v>1</v>
      </c>
      <c r="AL1313" t="s">
        <v>61</v>
      </c>
      <c r="AM1313" t="s">
        <v>1701</v>
      </c>
      <c r="AN1313" t="s">
        <v>1702</v>
      </c>
    </row>
    <row r="1314" spans="1:40" x14ac:dyDescent="0.35">
      <c r="A1314" t="s">
        <v>37</v>
      </c>
      <c r="B1314" t="s">
        <v>5898</v>
      </c>
      <c r="C1314" t="s">
        <v>102</v>
      </c>
      <c r="D1314" t="s">
        <v>1698</v>
      </c>
      <c r="E1314" t="s">
        <v>584</v>
      </c>
      <c r="F1314" s="1">
        <v>46075.37599537037</v>
      </c>
      <c r="G1314" t="s">
        <v>105</v>
      </c>
      <c r="H1314" t="s">
        <v>106</v>
      </c>
      <c r="I1314" t="s">
        <v>1841</v>
      </c>
      <c r="J1314" t="s">
        <v>108</v>
      </c>
      <c r="K1314" t="s">
        <v>109</v>
      </c>
      <c r="M1314" t="s">
        <v>47</v>
      </c>
      <c r="O1314" t="s">
        <v>77</v>
      </c>
      <c r="P1314" t="s">
        <v>78</v>
      </c>
      <c r="Q1314" t="s">
        <v>50</v>
      </c>
      <c r="R1314" t="s">
        <v>111</v>
      </c>
      <c r="S1314" t="s">
        <v>51</v>
      </c>
      <c r="T1314" t="s">
        <v>112</v>
      </c>
      <c r="U1314" s="1">
        <v>46075.695949074077</v>
      </c>
      <c r="V1314" t="s">
        <v>54</v>
      </c>
      <c r="W1314" t="s">
        <v>55</v>
      </c>
      <c r="X1314" t="s">
        <v>134</v>
      </c>
      <c r="Y1314" t="s">
        <v>5899</v>
      </c>
      <c r="Z1314" t="s">
        <v>5594</v>
      </c>
      <c r="AA1314" t="s">
        <v>54</v>
      </c>
      <c r="AB1314" t="s">
        <v>1701</v>
      </c>
      <c r="AC1314" t="s">
        <v>85</v>
      </c>
      <c r="AD1314" t="s">
        <v>116</v>
      </c>
      <c r="AE1314" t="s">
        <v>117</v>
      </c>
      <c r="AF1314" t="s">
        <v>1706</v>
      </c>
      <c r="AG1314" t="s">
        <v>5594</v>
      </c>
      <c r="AK1314">
        <v>1</v>
      </c>
      <c r="AL1314" t="s">
        <v>61</v>
      </c>
      <c r="AM1314" t="s">
        <v>1701</v>
      </c>
      <c r="AN1314" t="s">
        <v>1702</v>
      </c>
    </row>
    <row r="1315" spans="1:40" x14ac:dyDescent="0.35">
      <c r="A1315" t="s">
        <v>37</v>
      </c>
      <c r="B1315" t="s">
        <v>5900</v>
      </c>
      <c r="C1315" t="s">
        <v>39</v>
      </c>
      <c r="D1315" t="s">
        <v>3084</v>
      </c>
      <c r="E1315" t="s">
        <v>3084</v>
      </c>
      <c r="F1315" s="1">
        <v>46075.375</v>
      </c>
      <c r="G1315" t="s">
        <v>42</v>
      </c>
      <c r="H1315" t="s">
        <v>43</v>
      </c>
      <c r="I1315" t="s">
        <v>5901</v>
      </c>
      <c r="J1315" t="s">
        <v>2333</v>
      </c>
      <c r="K1315" t="s">
        <v>1187</v>
      </c>
      <c r="M1315" t="s">
        <v>47</v>
      </c>
      <c r="O1315" t="s">
        <v>77</v>
      </c>
      <c r="P1315" t="s">
        <v>78</v>
      </c>
      <c r="Q1315" t="s">
        <v>50</v>
      </c>
      <c r="R1315" t="s">
        <v>51</v>
      </c>
      <c r="S1315" t="s">
        <v>52</v>
      </c>
      <c r="T1315" t="s">
        <v>4080</v>
      </c>
      <c r="U1315" s="1">
        <v>46075.65357638889</v>
      </c>
      <c r="V1315" t="s">
        <v>54</v>
      </c>
      <c r="W1315" t="s">
        <v>55</v>
      </c>
      <c r="X1315" t="s">
        <v>134</v>
      </c>
      <c r="Y1315" t="s">
        <v>5902</v>
      </c>
      <c r="Z1315" t="s">
        <v>5594</v>
      </c>
      <c r="AA1315" t="s">
        <v>54</v>
      </c>
      <c r="AB1315" t="s">
        <v>5272</v>
      </c>
      <c r="AC1315" t="s">
        <v>85</v>
      </c>
      <c r="AD1315" t="s">
        <v>1189</v>
      </c>
      <c r="AE1315" t="s">
        <v>5346</v>
      </c>
      <c r="AF1315" t="s">
        <v>5903</v>
      </c>
      <c r="AG1315" t="s">
        <v>5594</v>
      </c>
      <c r="AH1315" t="s">
        <v>3087</v>
      </c>
      <c r="AK1315">
        <v>2</v>
      </c>
      <c r="AL1315" t="s">
        <v>61</v>
      </c>
      <c r="AM1315" t="s">
        <v>3088</v>
      </c>
      <c r="AN1315" t="s">
        <v>3089</v>
      </c>
    </row>
    <row r="1316" spans="1:40" x14ac:dyDescent="0.35">
      <c r="A1316" t="s">
        <v>37</v>
      </c>
      <c r="B1316" t="s">
        <v>5904</v>
      </c>
      <c r="C1316" t="s">
        <v>39</v>
      </c>
      <c r="D1316" t="s">
        <v>608</v>
      </c>
      <c r="E1316" t="s">
        <v>609</v>
      </c>
      <c r="F1316" s="1">
        <v>46075.375</v>
      </c>
      <c r="G1316" t="s">
        <v>42</v>
      </c>
      <c r="H1316" t="s">
        <v>43</v>
      </c>
      <c r="I1316" t="s">
        <v>5905</v>
      </c>
      <c r="J1316" t="s">
        <v>2406</v>
      </c>
      <c r="K1316" t="s">
        <v>1187</v>
      </c>
      <c r="M1316" t="s">
        <v>131</v>
      </c>
      <c r="O1316" t="s">
        <v>77</v>
      </c>
      <c r="P1316" t="s">
        <v>78</v>
      </c>
      <c r="Q1316" t="s">
        <v>50</v>
      </c>
      <c r="R1316" t="s">
        <v>51</v>
      </c>
      <c r="S1316" t="s">
        <v>819</v>
      </c>
      <c r="T1316" t="s">
        <v>819</v>
      </c>
      <c r="U1316" s="1">
        <v>46078.515729166669</v>
      </c>
      <c r="V1316" t="s">
        <v>54</v>
      </c>
      <c r="W1316" t="s">
        <v>55</v>
      </c>
      <c r="X1316" t="s">
        <v>134</v>
      </c>
      <c r="Y1316" t="s">
        <v>5906</v>
      </c>
      <c r="Z1316" t="s">
        <v>58</v>
      </c>
      <c r="AA1316" t="s">
        <v>54</v>
      </c>
      <c r="AB1316" t="s">
        <v>5272</v>
      </c>
      <c r="AC1316" t="s">
        <v>85</v>
      </c>
      <c r="AD1316" t="s">
        <v>1189</v>
      </c>
      <c r="AE1316" t="s">
        <v>5346</v>
      </c>
      <c r="AF1316" t="s">
        <v>5903</v>
      </c>
      <c r="AG1316" t="s">
        <v>58</v>
      </c>
      <c r="AH1316" t="s">
        <v>613</v>
      </c>
      <c r="AK1316">
        <v>2</v>
      </c>
      <c r="AL1316" t="s">
        <v>61</v>
      </c>
      <c r="AM1316" t="s">
        <v>614</v>
      </c>
      <c r="AN1316" t="s">
        <v>615</v>
      </c>
    </row>
    <row r="1317" spans="1:40" x14ac:dyDescent="0.35">
      <c r="A1317" t="s">
        <v>37</v>
      </c>
      <c r="B1317" t="s">
        <v>5907</v>
      </c>
      <c r="C1317" t="s">
        <v>39</v>
      </c>
      <c r="D1317" t="s">
        <v>513</v>
      </c>
      <c r="E1317" t="s">
        <v>5908</v>
      </c>
      <c r="F1317" s="1">
        <v>46075.375</v>
      </c>
      <c r="G1317" t="s">
        <v>42</v>
      </c>
      <c r="H1317" t="s">
        <v>43</v>
      </c>
      <c r="I1317" t="s">
        <v>5909</v>
      </c>
      <c r="J1317" t="s">
        <v>1518</v>
      </c>
      <c r="K1317" t="s">
        <v>75</v>
      </c>
      <c r="M1317" t="s">
        <v>76</v>
      </c>
      <c r="O1317" t="s">
        <v>77</v>
      </c>
      <c r="P1317" t="s">
        <v>78</v>
      </c>
      <c r="Q1317" t="s">
        <v>50</v>
      </c>
      <c r="R1317" t="s">
        <v>51</v>
      </c>
      <c r="S1317" t="s">
        <v>52</v>
      </c>
      <c r="T1317" t="s">
        <v>4080</v>
      </c>
      <c r="U1317" s="1">
        <v>46078.011331018519</v>
      </c>
      <c r="V1317" t="s">
        <v>54</v>
      </c>
      <c r="W1317" t="s">
        <v>55</v>
      </c>
      <c r="X1317" t="s">
        <v>134</v>
      </c>
      <c r="Y1317" t="s">
        <v>5910</v>
      </c>
      <c r="Z1317" t="s">
        <v>58</v>
      </c>
      <c r="AA1317" t="s">
        <v>54</v>
      </c>
      <c r="AB1317" t="s">
        <v>5272</v>
      </c>
      <c r="AC1317" t="s">
        <v>85</v>
      </c>
      <c r="AD1317" t="s">
        <v>1189</v>
      </c>
      <c r="AE1317" t="s">
        <v>5346</v>
      </c>
      <c r="AF1317" t="s">
        <v>5903</v>
      </c>
      <c r="AG1317" t="s">
        <v>58</v>
      </c>
      <c r="AH1317" t="s">
        <v>5911</v>
      </c>
      <c r="AK1317">
        <v>3</v>
      </c>
      <c r="AL1317" t="s">
        <v>61</v>
      </c>
      <c r="AM1317" t="s">
        <v>5912</v>
      </c>
      <c r="AN1317" t="s">
        <v>5913</v>
      </c>
    </row>
    <row r="1318" spans="1:40" x14ac:dyDescent="0.35">
      <c r="A1318" t="s">
        <v>37</v>
      </c>
      <c r="B1318" t="s">
        <v>5914</v>
      </c>
      <c r="C1318" t="s">
        <v>102</v>
      </c>
      <c r="D1318" t="s">
        <v>1698</v>
      </c>
      <c r="E1318" t="s">
        <v>584</v>
      </c>
      <c r="F1318" s="1">
        <v>46075.372453703705</v>
      </c>
      <c r="G1318" t="s">
        <v>105</v>
      </c>
      <c r="H1318" t="s">
        <v>106</v>
      </c>
      <c r="I1318" t="s">
        <v>5892</v>
      </c>
      <c r="J1318" t="s">
        <v>108</v>
      </c>
      <c r="K1318" t="s">
        <v>109</v>
      </c>
      <c r="M1318" t="s">
        <v>47</v>
      </c>
      <c r="O1318" t="s">
        <v>77</v>
      </c>
      <c r="P1318" t="s">
        <v>78</v>
      </c>
      <c r="Q1318" t="s">
        <v>50</v>
      </c>
      <c r="R1318" t="s">
        <v>111</v>
      </c>
      <c r="S1318" t="s">
        <v>51</v>
      </c>
      <c r="T1318" t="s">
        <v>112</v>
      </c>
      <c r="U1318" s="1">
        <v>46075.38989583333</v>
      </c>
      <c r="V1318" t="s">
        <v>54</v>
      </c>
      <c r="W1318" t="s">
        <v>55</v>
      </c>
      <c r="X1318" t="s">
        <v>134</v>
      </c>
      <c r="Y1318" t="s">
        <v>5915</v>
      </c>
      <c r="Z1318" t="s">
        <v>5594</v>
      </c>
      <c r="AA1318" t="s">
        <v>54</v>
      </c>
      <c r="AB1318" t="s">
        <v>1701</v>
      </c>
      <c r="AC1318" t="s">
        <v>85</v>
      </c>
      <c r="AD1318" t="s">
        <v>116</v>
      </c>
      <c r="AE1318" t="s">
        <v>117</v>
      </c>
      <c r="AF1318" t="s">
        <v>1706</v>
      </c>
      <c r="AG1318" t="s">
        <v>5594</v>
      </c>
      <c r="AK1318">
        <v>1</v>
      </c>
      <c r="AL1318" t="s">
        <v>61</v>
      </c>
      <c r="AM1318" t="s">
        <v>1701</v>
      </c>
      <c r="AN1318" t="s">
        <v>1702</v>
      </c>
    </row>
    <row r="1319" spans="1:40" x14ac:dyDescent="0.35">
      <c r="A1319" t="s">
        <v>37</v>
      </c>
      <c r="B1319" t="s">
        <v>5916</v>
      </c>
      <c r="C1319" t="s">
        <v>102</v>
      </c>
      <c r="D1319" t="s">
        <v>761</v>
      </c>
      <c r="E1319" t="s">
        <v>762</v>
      </c>
      <c r="F1319" s="1">
        <v>46075.360046296293</v>
      </c>
      <c r="G1319" t="s">
        <v>105</v>
      </c>
      <c r="H1319" t="s">
        <v>106</v>
      </c>
      <c r="I1319" t="s">
        <v>5917</v>
      </c>
      <c r="J1319" t="s">
        <v>108</v>
      </c>
      <c r="K1319" t="s">
        <v>571</v>
      </c>
      <c r="M1319" t="s">
        <v>76</v>
      </c>
      <c r="O1319" t="s">
        <v>77</v>
      </c>
      <c r="P1319" t="s">
        <v>78</v>
      </c>
      <c r="Q1319" t="s">
        <v>50</v>
      </c>
      <c r="R1319" t="s">
        <v>111</v>
      </c>
      <c r="S1319" t="s">
        <v>51</v>
      </c>
      <c r="T1319" t="s">
        <v>112</v>
      </c>
      <c r="U1319" s="1">
        <v>46076.425462962965</v>
      </c>
      <c r="V1319" t="s">
        <v>54</v>
      </c>
      <c r="W1319" t="s">
        <v>55</v>
      </c>
      <c r="X1319" t="s">
        <v>113</v>
      </c>
      <c r="Y1319" t="s">
        <v>5918</v>
      </c>
      <c r="Z1319" t="s">
        <v>58</v>
      </c>
      <c r="AA1319" t="s">
        <v>54</v>
      </c>
      <c r="AB1319" t="s">
        <v>115</v>
      </c>
      <c r="AC1319" t="s">
        <v>85</v>
      </c>
      <c r="AD1319" t="s">
        <v>116</v>
      </c>
      <c r="AE1319" t="s">
        <v>574</v>
      </c>
      <c r="AF1319" t="s">
        <v>1377</v>
      </c>
      <c r="AG1319" t="s">
        <v>58</v>
      </c>
      <c r="AH1319" t="s">
        <v>765</v>
      </c>
      <c r="AK1319">
        <v>1</v>
      </c>
      <c r="AL1319" t="s">
        <v>61</v>
      </c>
      <c r="AM1319" t="s">
        <v>766</v>
      </c>
      <c r="AN1319" t="s">
        <v>767</v>
      </c>
    </row>
    <row r="1320" spans="1:40" x14ac:dyDescent="0.35">
      <c r="A1320" t="s">
        <v>37</v>
      </c>
      <c r="B1320" t="s">
        <v>5919</v>
      </c>
      <c r="C1320" t="s">
        <v>39</v>
      </c>
      <c r="D1320" t="s">
        <v>40</v>
      </c>
      <c r="E1320" t="s">
        <v>41</v>
      </c>
      <c r="F1320" s="1">
        <v>46075.357071759259</v>
      </c>
      <c r="G1320" t="s">
        <v>42</v>
      </c>
      <c r="H1320" t="s">
        <v>43</v>
      </c>
      <c r="I1320" t="s">
        <v>5920</v>
      </c>
      <c r="J1320" t="s">
        <v>45</v>
      </c>
      <c r="K1320" t="s">
        <v>46</v>
      </c>
      <c r="M1320" t="s">
        <v>47</v>
      </c>
      <c r="O1320" t="s">
        <v>48</v>
      </c>
      <c r="P1320" t="s">
        <v>49</v>
      </c>
      <c r="Q1320" t="s">
        <v>50</v>
      </c>
      <c r="R1320" t="s">
        <v>51</v>
      </c>
      <c r="S1320" t="s">
        <v>52</v>
      </c>
      <c r="T1320" t="s">
        <v>53</v>
      </c>
      <c r="U1320" s="1">
        <v>46075.357743055552</v>
      </c>
      <c r="V1320" t="s">
        <v>54</v>
      </c>
      <c r="W1320" t="s">
        <v>55</v>
      </c>
      <c r="X1320" t="s">
        <v>56</v>
      </c>
      <c r="Y1320" t="s">
        <v>57</v>
      </c>
      <c r="Z1320" t="s">
        <v>5594</v>
      </c>
      <c r="AA1320" t="s">
        <v>54</v>
      </c>
      <c r="AB1320" t="s">
        <v>59</v>
      </c>
      <c r="AC1320" t="s">
        <v>60</v>
      </c>
      <c r="AD1320" t="s">
        <v>51</v>
      </c>
      <c r="AE1320" t="s">
        <v>52</v>
      </c>
      <c r="AF1320" t="s">
        <v>53</v>
      </c>
      <c r="AG1320" t="s">
        <v>5594</v>
      </c>
      <c r="AK1320">
        <v>0</v>
      </c>
      <c r="AL1320" t="s">
        <v>61</v>
      </c>
      <c r="AM1320" t="s">
        <v>59</v>
      </c>
      <c r="AN1320" t="s">
        <v>62</v>
      </c>
    </row>
    <row r="1321" spans="1:40" x14ac:dyDescent="0.35">
      <c r="A1321" t="s">
        <v>37</v>
      </c>
      <c r="B1321" t="s">
        <v>5921</v>
      </c>
      <c r="C1321" t="s">
        <v>102</v>
      </c>
      <c r="D1321" t="s">
        <v>1698</v>
      </c>
      <c r="E1321" t="s">
        <v>584</v>
      </c>
      <c r="F1321" s="1">
        <v>46075.350173611114</v>
      </c>
      <c r="G1321" t="s">
        <v>105</v>
      </c>
      <c r="H1321" t="s">
        <v>106</v>
      </c>
      <c r="I1321" t="s">
        <v>1812</v>
      </c>
      <c r="J1321" t="s">
        <v>108</v>
      </c>
      <c r="K1321" t="s">
        <v>571</v>
      </c>
      <c r="M1321" t="s">
        <v>47</v>
      </c>
      <c r="O1321" t="s">
        <v>77</v>
      </c>
      <c r="P1321" t="s">
        <v>78</v>
      </c>
      <c r="Q1321" t="s">
        <v>50</v>
      </c>
      <c r="R1321" t="s">
        <v>111</v>
      </c>
      <c r="S1321" t="s">
        <v>51</v>
      </c>
      <c r="T1321" t="s">
        <v>112</v>
      </c>
      <c r="U1321" s="1">
        <v>46075.397928240738</v>
      </c>
      <c r="V1321" t="s">
        <v>54</v>
      </c>
      <c r="W1321" t="s">
        <v>55</v>
      </c>
      <c r="X1321" t="s">
        <v>134</v>
      </c>
      <c r="Y1321" t="s">
        <v>5922</v>
      </c>
      <c r="Z1321" t="s">
        <v>5594</v>
      </c>
      <c r="AA1321" t="s">
        <v>54</v>
      </c>
      <c r="AB1321" t="s">
        <v>1701</v>
      </c>
      <c r="AC1321" t="s">
        <v>85</v>
      </c>
      <c r="AD1321" t="s">
        <v>116</v>
      </c>
      <c r="AE1321" t="s">
        <v>574</v>
      </c>
      <c r="AF1321" t="s">
        <v>1706</v>
      </c>
      <c r="AG1321" t="s">
        <v>5594</v>
      </c>
      <c r="AK1321">
        <v>1</v>
      </c>
      <c r="AL1321" t="s">
        <v>61</v>
      </c>
      <c r="AM1321" t="s">
        <v>1701</v>
      </c>
      <c r="AN1321" t="s">
        <v>1702</v>
      </c>
    </row>
    <row r="1322" spans="1:40" x14ac:dyDescent="0.35">
      <c r="A1322" t="s">
        <v>37</v>
      </c>
      <c r="B1322" t="s">
        <v>5923</v>
      </c>
      <c r="C1322" t="s">
        <v>102</v>
      </c>
      <c r="D1322" t="s">
        <v>1698</v>
      </c>
      <c r="E1322" t="s">
        <v>584</v>
      </c>
      <c r="F1322" s="1">
        <v>46075.345231481479</v>
      </c>
      <c r="G1322" t="s">
        <v>105</v>
      </c>
      <c r="H1322" t="s">
        <v>106</v>
      </c>
      <c r="I1322" t="s">
        <v>5924</v>
      </c>
      <c r="J1322" t="s">
        <v>108</v>
      </c>
      <c r="K1322" t="s">
        <v>341</v>
      </c>
      <c r="M1322" t="s">
        <v>47</v>
      </c>
      <c r="O1322" t="s">
        <v>77</v>
      </c>
      <c r="P1322" t="s">
        <v>78</v>
      </c>
      <c r="Q1322" t="s">
        <v>50</v>
      </c>
      <c r="R1322" t="s">
        <v>111</v>
      </c>
      <c r="S1322" t="s">
        <v>51</v>
      </c>
      <c r="T1322" t="s">
        <v>112</v>
      </c>
      <c r="U1322" s="1">
        <v>46075.689710648148</v>
      </c>
      <c r="V1322" t="s">
        <v>54</v>
      </c>
      <c r="X1322" t="s">
        <v>134</v>
      </c>
      <c r="Y1322" t="s">
        <v>5925</v>
      </c>
      <c r="Z1322" t="s">
        <v>5594</v>
      </c>
      <c r="AA1322" t="s">
        <v>54</v>
      </c>
      <c r="AB1322" t="s">
        <v>115</v>
      </c>
      <c r="AC1322" t="s">
        <v>85</v>
      </c>
      <c r="AD1322" t="s">
        <v>116</v>
      </c>
      <c r="AE1322" t="s">
        <v>117</v>
      </c>
      <c r="AF1322" t="s">
        <v>343</v>
      </c>
      <c r="AG1322" t="s">
        <v>5594</v>
      </c>
      <c r="AK1322">
        <v>1</v>
      </c>
      <c r="AL1322" t="s">
        <v>61</v>
      </c>
      <c r="AM1322" t="s">
        <v>1701</v>
      </c>
      <c r="AN1322" t="s">
        <v>1702</v>
      </c>
    </row>
    <row r="1323" spans="1:40" x14ac:dyDescent="0.35">
      <c r="A1323" t="s">
        <v>37</v>
      </c>
      <c r="B1323" t="s">
        <v>5926</v>
      </c>
      <c r="C1323" t="s">
        <v>102</v>
      </c>
      <c r="D1323" t="s">
        <v>761</v>
      </c>
      <c r="E1323" t="s">
        <v>762</v>
      </c>
      <c r="F1323" s="1">
        <v>46075.334340277775</v>
      </c>
      <c r="G1323" t="s">
        <v>105</v>
      </c>
      <c r="H1323" t="s">
        <v>106</v>
      </c>
      <c r="I1323" t="s">
        <v>5463</v>
      </c>
      <c r="J1323" t="s">
        <v>108</v>
      </c>
      <c r="K1323" t="s">
        <v>109</v>
      </c>
      <c r="M1323" t="s">
        <v>76</v>
      </c>
      <c r="O1323" t="s">
        <v>77</v>
      </c>
      <c r="P1323" t="s">
        <v>78</v>
      </c>
      <c r="Q1323" t="s">
        <v>50</v>
      </c>
      <c r="R1323" t="s">
        <v>111</v>
      </c>
      <c r="S1323" t="s">
        <v>51</v>
      </c>
      <c r="T1323" t="s">
        <v>112</v>
      </c>
      <c r="U1323" s="1">
        <v>46077.513518518521</v>
      </c>
      <c r="V1323" t="s">
        <v>54</v>
      </c>
      <c r="W1323" t="s">
        <v>55</v>
      </c>
      <c r="X1323" t="s">
        <v>113</v>
      </c>
      <c r="Y1323" t="s">
        <v>5927</v>
      </c>
      <c r="Z1323" t="s">
        <v>58</v>
      </c>
      <c r="AA1323" t="s">
        <v>54</v>
      </c>
      <c r="AB1323" t="s">
        <v>115</v>
      </c>
      <c r="AC1323" t="s">
        <v>85</v>
      </c>
      <c r="AD1323" t="s">
        <v>116</v>
      </c>
      <c r="AE1323" t="s">
        <v>334</v>
      </c>
      <c r="AF1323" t="s">
        <v>1377</v>
      </c>
      <c r="AG1323" t="s">
        <v>58</v>
      </c>
      <c r="AH1323" t="s">
        <v>765</v>
      </c>
      <c r="AK1323">
        <v>0</v>
      </c>
      <c r="AL1323" t="s">
        <v>61</v>
      </c>
      <c r="AM1323" t="s">
        <v>766</v>
      </c>
      <c r="AN1323" t="s">
        <v>767</v>
      </c>
    </row>
    <row r="1324" spans="1:40" x14ac:dyDescent="0.35">
      <c r="A1324" t="s">
        <v>37</v>
      </c>
      <c r="B1324" t="s">
        <v>5928</v>
      </c>
      <c r="C1324" t="s">
        <v>102</v>
      </c>
      <c r="D1324" t="s">
        <v>1698</v>
      </c>
      <c r="E1324" t="s">
        <v>584</v>
      </c>
      <c r="F1324" s="1">
        <v>46075.329942129632</v>
      </c>
      <c r="G1324" t="s">
        <v>105</v>
      </c>
      <c r="H1324" t="s">
        <v>106</v>
      </c>
      <c r="I1324" t="s">
        <v>340</v>
      </c>
      <c r="J1324" t="s">
        <v>108</v>
      </c>
      <c r="K1324" t="s">
        <v>341</v>
      </c>
      <c r="M1324" t="s">
        <v>47</v>
      </c>
      <c r="O1324" t="s">
        <v>77</v>
      </c>
      <c r="P1324" t="s">
        <v>78</v>
      </c>
      <c r="Q1324" t="s">
        <v>50</v>
      </c>
      <c r="R1324" t="s">
        <v>111</v>
      </c>
      <c r="S1324" t="s">
        <v>51</v>
      </c>
      <c r="T1324" t="s">
        <v>112</v>
      </c>
      <c r="U1324" s="1">
        <v>46075.388298611113</v>
      </c>
      <c r="V1324" t="s">
        <v>54</v>
      </c>
      <c r="X1324" t="s">
        <v>134</v>
      </c>
      <c r="Y1324" t="s">
        <v>5929</v>
      </c>
      <c r="Z1324" t="s">
        <v>5594</v>
      </c>
      <c r="AA1324" t="s">
        <v>54</v>
      </c>
      <c r="AB1324" t="s">
        <v>1701</v>
      </c>
      <c r="AC1324" t="s">
        <v>85</v>
      </c>
      <c r="AD1324" t="s">
        <v>116</v>
      </c>
      <c r="AE1324" t="s">
        <v>117</v>
      </c>
      <c r="AF1324" t="s">
        <v>1740</v>
      </c>
      <c r="AG1324" t="s">
        <v>5594</v>
      </c>
      <c r="AK1324">
        <v>1</v>
      </c>
      <c r="AL1324" t="s">
        <v>61</v>
      </c>
      <c r="AM1324" t="s">
        <v>1701</v>
      </c>
      <c r="AN1324" t="s">
        <v>1702</v>
      </c>
    </row>
    <row r="1325" spans="1:40" x14ac:dyDescent="0.35">
      <c r="A1325" t="s">
        <v>37</v>
      </c>
      <c r="B1325" t="s">
        <v>5930</v>
      </c>
      <c r="C1325" t="s">
        <v>102</v>
      </c>
      <c r="D1325" t="s">
        <v>1698</v>
      </c>
      <c r="E1325" t="s">
        <v>584</v>
      </c>
      <c r="F1325" s="1">
        <v>46075.329224537039</v>
      </c>
      <c r="G1325" t="s">
        <v>105</v>
      </c>
      <c r="H1325" t="s">
        <v>106</v>
      </c>
      <c r="I1325" t="s">
        <v>1851</v>
      </c>
      <c r="J1325" t="s">
        <v>108</v>
      </c>
      <c r="K1325" t="s">
        <v>341</v>
      </c>
      <c r="M1325" t="s">
        <v>47</v>
      </c>
      <c r="O1325" t="s">
        <v>77</v>
      </c>
      <c r="P1325" t="s">
        <v>78</v>
      </c>
      <c r="Q1325" t="s">
        <v>50</v>
      </c>
      <c r="R1325" t="s">
        <v>111</v>
      </c>
      <c r="S1325" t="s">
        <v>51</v>
      </c>
      <c r="T1325" t="s">
        <v>112</v>
      </c>
      <c r="U1325" s="1">
        <v>46075.609814814816</v>
      </c>
      <c r="V1325" t="s">
        <v>54</v>
      </c>
      <c r="X1325" t="s">
        <v>134</v>
      </c>
      <c r="Y1325" t="s">
        <v>5931</v>
      </c>
      <c r="Z1325" t="s">
        <v>5594</v>
      </c>
      <c r="AA1325" t="s">
        <v>54</v>
      </c>
      <c r="AB1325" t="s">
        <v>1701</v>
      </c>
      <c r="AC1325" t="s">
        <v>85</v>
      </c>
      <c r="AD1325" t="s">
        <v>116</v>
      </c>
      <c r="AE1325" t="s">
        <v>117</v>
      </c>
      <c r="AF1325" t="s">
        <v>5255</v>
      </c>
      <c r="AG1325" t="s">
        <v>5594</v>
      </c>
      <c r="AK1325">
        <v>1</v>
      </c>
      <c r="AL1325" t="s">
        <v>61</v>
      </c>
      <c r="AM1325" t="s">
        <v>1701</v>
      </c>
      <c r="AN1325" t="s">
        <v>1702</v>
      </c>
    </row>
    <row r="1326" spans="1:40" x14ac:dyDescent="0.35">
      <c r="A1326" t="s">
        <v>37</v>
      </c>
      <c r="B1326" t="s">
        <v>5932</v>
      </c>
      <c r="C1326" t="s">
        <v>102</v>
      </c>
      <c r="D1326" t="s">
        <v>5933</v>
      </c>
      <c r="E1326" t="s">
        <v>5934</v>
      </c>
      <c r="F1326" s="1">
        <v>46075.312951388885</v>
      </c>
      <c r="G1326" t="s">
        <v>3396</v>
      </c>
      <c r="H1326" t="s">
        <v>106</v>
      </c>
      <c r="I1326" t="s">
        <v>5935</v>
      </c>
      <c r="J1326" t="s">
        <v>2531</v>
      </c>
      <c r="K1326" t="s">
        <v>2532</v>
      </c>
      <c r="M1326" t="s">
        <v>76</v>
      </c>
      <c r="O1326" t="s">
        <v>237</v>
      </c>
      <c r="P1326" t="s">
        <v>238</v>
      </c>
      <c r="Q1326" t="s">
        <v>50</v>
      </c>
      <c r="R1326" t="s">
        <v>51</v>
      </c>
      <c r="S1326" t="s">
        <v>52</v>
      </c>
      <c r="T1326" t="s">
        <v>240</v>
      </c>
      <c r="U1326" s="1">
        <v>46076.376018518517</v>
      </c>
      <c r="V1326" t="s">
        <v>54</v>
      </c>
      <c r="W1326" t="s">
        <v>55</v>
      </c>
      <c r="X1326" t="s">
        <v>211</v>
      </c>
      <c r="Y1326" t="e">
        <f>- Please note that, your username has been whitelisted now. kindly ensure that you are using only one device to punch.</f>
        <v>#NAME?</v>
      </c>
      <c r="Z1326" t="s">
        <v>58</v>
      </c>
      <c r="AA1326" t="s">
        <v>54</v>
      </c>
      <c r="AB1326" t="s">
        <v>213</v>
      </c>
      <c r="AC1326" t="s">
        <v>242</v>
      </c>
      <c r="AD1326" t="s">
        <v>52</v>
      </c>
      <c r="AE1326" t="s">
        <v>243</v>
      </c>
      <c r="AF1326" t="s">
        <v>2533</v>
      </c>
      <c r="AG1326" t="s">
        <v>58</v>
      </c>
      <c r="AH1326">
        <v>12851</v>
      </c>
      <c r="AK1326">
        <v>1</v>
      </c>
      <c r="AL1326" t="s">
        <v>61</v>
      </c>
      <c r="AM1326" t="s">
        <v>5936</v>
      </c>
      <c r="AN1326" t="s">
        <v>5937</v>
      </c>
    </row>
    <row r="1327" spans="1:40" x14ac:dyDescent="0.35">
      <c r="A1327" t="s">
        <v>37</v>
      </c>
      <c r="B1327" t="s">
        <v>5938</v>
      </c>
      <c r="C1327" t="s">
        <v>102</v>
      </c>
      <c r="D1327" t="s">
        <v>1698</v>
      </c>
      <c r="E1327" t="s">
        <v>584</v>
      </c>
      <c r="F1327" s="1">
        <v>46075.309710648151</v>
      </c>
      <c r="G1327" t="s">
        <v>105</v>
      </c>
      <c r="H1327" t="s">
        <v>106</v>
      </c>
      <c r="I1327" t="s">
        <v>5892</v>
      </c>
      <c r="J1327" t="s">
        <v>108</v>
      </c>
      <c r="K1327" t="s">
        <v>109</v>
      </c>
      <c r="M1327" t="s">
        <v>47</v>
      </c>
      <c r="O1327" t="s">
        <v>77</v>
      </c>
      <c r="P1327" t="s">
        <v>78</v>
      </c>
      <c r="Q1327" t="s">
        <v>50</v>
      </c>
      <c r="R1327" t="s">
        <v>111</v>
      </c>
      <c r="S1327" t="s">
        <v>51</v>
      </c>
      <c r="T1327" t="s">
        <v>112</v>
      </c>
      <c r="U1327" s="1">
        <v>46075.535405092596</v>
      </c>
      <c r="V1327" t="s">
        <v>54</v>
      </c>
      <c r="W1327" t="s">
        <v>55</v>
      </c>
      <c r="X1327" t="s">
        <v>134</v>
      </c>
      <c r="Y1327" t="s">
        <v>5939</v>
      </c>
      <c r="Z1327" t="s">
        <v>5594</v>
      </c>
      <c r="AA1327" t="s">
        <v>54</v>
      </c>
      <c r="AB1327" t="s">
        <v>1701</v>
      </c>
      <c r="AC1327" t="s">
        <v>85</v>
      </c>
      <c r="AD1327" t="s">
        <v>116</v>
      </c>
      <c r="AE1327" t="s">
        <v>117</v>
      </c>
      <c r="AF1327" t="s">
        <v>1706</v>
      </c>
      <c r="AG1327" t="s">
        <v>5594</v>
      </c>
      <c r="AK1327">
        <v>1</v>
      </c>
      <c r="AL1327" t="s">
        <v>61</v>
      </c>
      <c r="AM1327" t="s">
        <v>1701</v>
      </c>
      <c r="AN1327" t="s">
        <v>1702</v>
      </c>
    </row>
    <row r="1328" spans="1:40" x14ac:dyDescent="0.35">
      <c r="A1328" t="s">
        <v>37</v>
      </c>
      <c r="B1328" t="s">
        <v>5940</v>
      </c>
      <c r="C1328" t="s">
        <v>102</v>
      </c>
      <c r="D1328" t="s">
        <v>1698</v>
      </c>
      <c r="E1328" t="s">
        <v>584</v>
      </c>
      <c r="F1328" s="1">
        <v>46075.306168981479</v>
      </c>
      <c r="G1328" t="s">
        <v>105</v>
      </c>
      <c r="H1328" t="s">
        <v>106</v>
      </c>
      <c r="I1328" t="s">
        <v>1726</v>
      </c>
      <c r="J1328" t="s">
        <v>108</v>
      </c>
      <c r="K1328" t="s">
        <v>109</v>
      </c>
      <c r="M1328" t="s">
        <v>47</v>
      </c>
      <c r="O1328" t="s">
        <v>77</v>
      </c>
      <c r="P1328" t="s">
        <v>78</v>
      </c>
      <c r="Q1328" t="s">
        <v>50</v>
      </c>
      <c r="R1328" t="s">
        <v>111</v>
      </c>
      <c r="S1328" t="s">
        <v>51</v>
      </c>
      <c r="T1328" t="s">
        <v>112</v>
      </c>
      <c r="U1328" s="1">
        <v>46075.612002314818</v>
      </c>
      <c r="V1328" t="s">
        <v>54</v>
      </c>
      <c r="W1328" t="s">
        <v>55</v>
      </c>
      <c r="X1328" t="s">
        <v>134</v>
      </c>
      <c r="Y1328" t="s">
        <v>5941</v>
      </c>
      <c r="Z1328" t="s">
        <v>5594</v>
      </c>
      <c r="AA1328" t="s">
        <v>54</v>
      </c>
      <c r="AB1328" t="s">
        <v>1701</v>
      </c>
      <c r="AC1328" t="s">
        <v>85</v>
      </c>
      <c r="AD1328" t="s">
        <v>116</v>
      </c>
      <c r="AE1328" t="s">
        <v>117</v>
      </c>
      <c r="AF1328" t="s">
        <v>5697</v>
      </c>
      <c r="AG1328" t="s">
        <v>5594</v>
      </c>
      <c r="AK1328">
        <v>1</v>
      </c>
      <c r="AL1328" t="s">
        <v>61</v>
      </c>
      <c r="AM1328" t="s">
        <v>1701</v>
      </c>
      <c r="AN1328" t="s">
        <v>1702</v>
      </c>
    </row>
    <row r="1329" spans="1:40" x14ac:dyDescent="0.35">
      <c r="A1329" t="s">
        <v>37</v>
      </c>
      <c r="B1329" t="s">
        <v>5942</v>
      </c>
      <c r="C1329" t="s">
        <v>102</v>
      </c>
      <c r="D1329" t="s">
        <v>1698</v>
      </c>
      <c r="E1329" t="s">
        <v>584</v>
      </c>
      <c r="F1329" s="1">
        <v>46075.253796296296</v>
      </c>
      <c r="G1329" t="s">
        <v>105</v>
      </c>
      <c r="H1329" t="s">
        <v>106</v>
      </c>
      <c r="I1329" t="s">
        <v>5943</v>
      </c>
      <c r="J1329" t="s">
        <v>108</v>
      </c>
      <c r="K1329" t="s">
        <v>109</v>
      </c>
      <c r="M1329" t="s">
        <v>47</v>
      </c>
      <c r="O1329" t="s">
        <v>77</v>
      </c>
      <c r="P1329" t="s">
        <v>78</v>
      </c>
      <c r="Q1329" t="s">
        <v>50</v>
      </c>
      <c r="R1329" t="s">
        <v>111</v>
      </c>
      <c r="S1329" t="s">
        <v>51</v>
      </c>
      <c r="T1329" t="s">
        <v>1583</v>
      </c>
      <c r="U1329" s="1">
        <v>46075.696736111109</v>
      </c>
      <c r="V1329" t="s">
        <v>54</v>
      </c>
      <c r="W1329" t="s">
        <v>55</v>
      </c>
      <c r="X1329" t="s">
        <v>134</v>
      </c>
      <c r="Y1329" t="s">
        <v>5944</v>
      </c>
      <c r="Z1329" t="s">
        <v>5594</v>
      </c>
      <c r="AA1329" t="s">
        <v>54</v>
      </c>
      <c r="AB1329" t="s">
        <v>1701</v>
      </c>
      <c r="AC1329" t="s">
        <v>85</v>
      </c>
      <c r="AD1329" t="s">
        <v>116</v>
      </c>
      <c r="AE1329" t="s">
        <v>3814</v>
      </c>
      <c r="AF1329" t="s">
        <v>3110</v>
      </c>
      <c r="AG1329" t="s">
        <v>5594</v>
      </c>
      <c r="AK1329">
        <v>1</v>
      </c>
      <c r="AL1329" t="s">
        <v>61</v>
      </c>
      <c r="AM1329" t="s">
        <v>1701</v>
      </c>
      <c r="AN1329" t="s">
        <v>1702</v>
      </c>
    </row>
    <row r="1330" spans="1:40" x14ac:dyDescent="0.35">
      <c r="A1330" t="s">
        <v>37</v>
      </c>
      <c r="B1330" t="s">
        <v>5945</v>
      </c>
      <c r="C1330" t="s">
        <v>39</v>
      </c>
      <c r="D1330" t="s">
        <v>5946</v>
      </c>
      <c r="E1330" t="s">
        <v>5947</v>
      </c>
      <c r="F1330" s="1">
        <v>46075.232881944445</v>
      </c>
      <c r="G1330" t="s">
        <v>3396</v>
      </c>
      <c r="H1330" t="s">
        <v>106</v>
      </c>
      <c r="I1330" t="s">
        <v>3620</v>
      </c>
      <c r="J1330" t="s">
        <v>3423</v>
      </c>
      <c r="K1330" t="s">
        <v>75</v>
      </c>
      <c r="M1330" t="s">
        <v>47</v>
      </c>
      <c r="O1330" t="s">
        <v>77</v>
      </c>
      <c r="P1330" t="s">
        <v>78</v>
      </c>
      <c r="Q1330" t="s">
        <v>50</v>
      </c>
      <c r="R1330" t="s">
        <v>79</v>
      </c>
      <c r="S1330" t="s">
        <v>975</v>
      </c>
      <c r="T1330" t="s">
        <v>976</v>
      </c>
      <c r="U1330" s="1">
        <v>46075.235474537039</v>
      </c>
      <c r="V1330" t="s">
        <v>54</v>
      </c>
      <c r="W1330" t="s">
        <v>55</v>
      </c>
      <c r="X1330" t="s">
        <v>82</v>
      </c>
      <c r="Y1330" t="s">
        <v>3621</v>
      </c>
      <c r="Z1330" t="s">
        <v>5594</v>
      </c>
      <c r="AA1330" t="s">
        <v>54</v>
      </c>
      <c r="AB1330" t="s">
        <v>3425</v>
      </c>
      <c r="AC1330" t="s">
        <v>85</v>
      </c>
      <c r="AD1330" t="s">
        <v>79</v>
      </c>
      <c r="AE1330" t="s">
        <v>975</v>
      </c>
      <c r="AF1330" t="s">
        <v>3622</v>
      </c>
      <c r="AG1330" t="s">
        <v>5594</v>
      </c>
      <c r="AH1330">
        <v>11629</v>
      </c>
      <c r="AK1330">
        <v>0</v>
      </c>
      <c r="AL1330" t="s">
        <v>61</v>
      </c>
      <c r="AM1330" t="s">
        <v>5948</v>
      </c>
      <c r="AN1330" t="s">
        <v>5949</v>
      </c>
    </row>
    <row r="1331" spans="1:40" x14ac:dyDescent="0.35">
      <c r="A1331" t="s">
        <v>37</v>
      </c>
      <c r="B1331" t="s">
        <v>5950</v>
      </c>
      <c r="C1331" t="s">
        <v>39</v>
      </c>
      <c r="D1331" t="s">
        <v>5951</v>
      </c>
      <c r="E1331" t="s">
        <v>5478</v>
      </c>
      <c r="F1331" s="1">
        <v>46075.232187499998</v>
      </c>
      <c r="G1331" t="s">
        <v>2015</v>
      </c>
      <c r="H1331" t="s">
        <v>447</v>
      </c>
      <c r="I1331" t="s">
        <v>5952</v>
      </c>
      <c r="J1331" t="s">
        <v>3423</v>
      </c>
      <c r="K1331" t="s">
        <v>75</v>
      </c>
      <c r="M1331" t="s">
        <v>47</v>
      </c>
      <c r="O1331" t="s">
        <v>77</v>
      </c>
      <c r="P1331" t="s">
        <v>78</v>
      </c>
      <c r="Q1331" t="s">
        <v>50</v>
      </c>
      <c r="R1331" t="s">
        <v>79</v>
      </c>
      <c r="S1331" t="s">
        <v>94</v>
      </c>
      <c r="T1331" t="s">
        <v>95</v>
      </c>
      <c r="U1331" s="1">
        <v>46075.235092592593</v>
      </c>
      <c r="V1331" t="s">
        <v>54</v>
      </c>
      <c r="W1331" t="s">
        <v>55</v>
      </c>
      <c r="X1331" t="s">
        <v>82</v>
      </c>
      <c r="Y1331" t="s">
        <v>5953</v>
      </c>
      <c r="Z1331" t="s">
        <v>5594</v>
      </c>
      <c r="AA1331" t="s">
        <v>54</v>
      </c>
      <c r="AB1331" t="s">
        <v>3425</v>
      </c>
      <c r="AC1331" t="s">
        <v>85</v>
      </c>
      <c r="AD1331" t="s">
        <v>79</v>
      </c>
      <c r="AE1331" t="s">
        <v>94</v>
      </c>
      <c r="AF1331" t="s">
        <v>95</v>
      </c>
      <c r="AG1331" t="s">
        <v>5594</v>
      </c>
      <c r="AH1331">
        <v>1964</v>
      </c>
      <c r="AK1331">
        <v>0</v>
      </c>
      <c r="AL1331" t="s">
        <v>61</v>
      </c>
      <c r="AM1331" t="s">
        <v>5954</v>
      </c>
      <c r="AN1331" t="s">
        <v>5955</v>
      </c>
    </row>
    <row r="1332" spans="1:40" x14ac:dyDescent="0.35">
      <c r="A1332" t="s">
        <v>37</v>
      </c>
      <c r="B1332" t="s">
        <v>5956</v>
      </c>
      <c r="C1332" t="s">
        <v>39</v>
      </c>
      <c r="D1332" t="s">
        <v>325</v>
      </c>
      <c r="E1332" t="s">
        <v>325</v>
      </c>
      <c r="F1332" s="1">
        <v>46075.231400462966</v>
      </c>
      <c r="G1332" t="s">
        <v>432</v>
      </c>
      <c r="H1332" t="s">
        <v>433</v>
      </c>
      <c r="I1332" t="s">
        <v>171</v>
      </c>
      <c r="J1332" t="s">
        <v>3423</v>
      </c>
      <c r="K1332" t="s">
        <v>75</v>
      </c>
      <c r="M1332" t="s">
        <v>47</v>
      </c>
      <c r="O1332" t="s">
        <v>77</v>
      </c>
      <c r="P1332" t="s">
        <v>78</v>
      </c>
      <c r="Q1332" t="s">
        <v>541</v>
      </c>
      <c r="R1332" t="s">
        <v>79</v>
      </c>
      <c r="S1332" t="s">
        <v>172</v>
      </c>
      <c r="T1332" t="s">
        <v>173</v>
      </c>
      <c r="U1332" s="1">
        <v>46075.2346412037</v>
      </c>
      <c r="V1332" t="s">
        <v>54</v>
      </c>
      <c r="W1332" t="s">
        <v>55</v>
      </c>
      <c r="X1332" t="s">
        <v>82</v>
      </c>
      <c r="Y1332" t="s">
        <v>3424</v>
      </c>
      <c r="Z1332" t="s">
        <v>5594</v>
      </c>
      <c r="AA1332" t="s">
        <v>54</v>
      </c>
      <c r="AB1332" t="s">
        <v>3425</v>
      </c>
      <c r="AC1332" t="s">
        <v>85</v>
      </c>
      <c r="AD1332" t="s">
        <v>79</v>
      </c>
      <c r="AE1332" t="s">
        <v>172</v>
      </c>
      <c r="AF1332" t="s">
        <v>173</v>
      </c>
      <c r="AG1332" t="s">
        <v>5594</v>
      </c>
      <c r="AH1332">
        <v>871</v>
      </c>
      <c r="AK1332">
        <v>0</v>
      </c>
      <c r="AL1332" t="s">
        <v>61</v>
      </c>
      <c r="AM1332" t="s">
        <v>3601</v>
      </c>
      <c r="AN1332" t="s">
        <v>3602</v>
      </c>
    </row>
    <row r="1333" spans="1:40" x14ac:dyDescent="0.35">
      <c r="A1333" t="s">
        <v>37</v>
      </c>
      <c r="B1333" t="s">
        <v>5957</v>
      </c>
      <c r="C1333" t="s">
        <v>39</v>
      </c>
      <c r="D1333" t="s">
        <v>5958</v>
      </c>
      <c r="E1333" t="s">
        <v>5959</v>
      </c>
      <c r="F1333" s="1">
        <v>46075.231145833335</v>
      </c>
      <c r="G1333" t="s">
        <v>855</v>
      </c>
      <c r="H1333" t="s">
        <v>447</v>
      </c>
      <c r="I1333" t="s">
        <v>171</v>
      </c>
      <c r="J1333" t="s">
        <v>3423</v>
      </c>
      <c r="K1333" t="s">
        <v>75</v>
      </c>
      <c r="M1333" t="s">
        <v>47</v>
      </c>
      <c r="O1333" t="s">
        <v>77</v>
      </c>
      <c r="P1333" t="s">
        <v>78</v>
      </c>
      <c r="Q1333" t="s">
        <v>50</v>
      </c>
      <c r="R1333" t="s">
        <v>79</v>
      </c>
      <c r="S1333" t="s">
        <v>172</v>
      </c>
      <c r="T1333" t="s">
        <v>173</v>
      </c>
      <c r="U1333" s="1">
        <v>46075.234513888892</v>
      </c>
      <c r="V1333" t="s">
        <v>54</v>
      </c>
      <c r="W1333" t="s">
        <v>55</v>
      </c>
      <c r="X1333" t="s">
        <v>82</v>
      </c>
      <c r="Y1333" t="s">
        <v>3424</v>
      </c>
      <c r="Z1333" t="s">
        <v>5594</v>
      </c>
      <c r="AA1333" t="s">
        <v>54</v>
      </c>
      <c r="AB1333" t="s">
        <v>3425</v>
      </c>
      <c r="AC1333" t="s">
        <v>85</v>
      </c>
      <c r="AD1333" t="s">
        <v>79</v>
      </c>
      <c r="AE1333" t="s">
        <v>172</v>
      </c>
      <c r="AF1333" t="s">
        <v>173</v>
      </c>
      <c r="AG1333" t="s">
        <v>5594</v>
      </c>
      <c r="AH1333">
        <v>15693</v>
      </c>
      <c r="AK1333">
        <v>0</v>
      </c>
      <c r="AL1333" t="s">
        <v>61</v>
      </c>
      <c r="AM1333" t="s">
        <v>5960</v>
      </c>
      <c r="AN1333" t="s">
        <v>5961</v>
      </c>
    </row>
    <row r="1334" spans="1:40" x14ac:dyDescent="0.35">
      <c r="A1334" t="s">
        <v>37</v>
      </c>
      <c r="B1334" t="s">
        <v>5962</v>
      </c>
      <c r="C1334" t="s">
        <v>39</v>
      </c>
      <c r="D1334" t="s">
        <v>5963</v>
      </c>
      <c r="E1334" t="s">
        <v>5964</v>
      </c>
      <c r="F1334" s="1">
        <v>46075.230856481481</v>
      </c>
      <c r="G1334" t="s">
        <v>4421</v>
      </c>
      <c r="H1334" t="s">
        <v>92</v>
      </c>
      <c r="I1334" t="s">
        <v>171</v>
      </c>
      <c r="J1334" t="s">
        <v>3423</v>
      </c>
      <c r="K1334" t="s">
        <v>75</v>
      </c>
      <c r="M1334" t="s">
        <v>47</v>
      </c>
      <c r="O1334" t="s">
        <v>77</v>
      </c>
      <c r="P1334" t="s">
        <v>78</v>
      </c>
      <c r="Q1334" t="s">
        <v>2305</v>
      </c>
      <c r="R1334" t="s">
        <v>79</v>
      </c>
      <c r="S1334" t="s">
        <v>172</v>
      </c>
      <c r="T1334" t="s">
        <v>173</v>
      </c>
      <c r="U1334" s="1">
        <v>46075.234351851854</v>
      </c>
      <c r="V1334" t="s">
        <v>54</v>
      </c>
      <c r="W1334" t="s">
        <v>55</v>
      </c>
      <c r="X1334" t="s">
        <v>82</v>
      </c>
      <c r="Y1334" t="s">
        <v>3424</v>
      </c>
      <c r="Z1334" t="s">
        <v>5594</v>
      </c>
      <c r="AA1334" t="s">
        <v>54</v>
      </c>
      <c r="AB1334" t="s">
        <v>3425</v>
      </c>
      <c r="AC1334" t="s">
        <v>85</v>
      </c>
      <c r="AD1334" t="s">
        <v>79</v>
      </c>
      <c r="AE1334" t="s">
        <v>172</v>
      </c>
      <c r="AF1334" t="s">
        <v>173</v>
      </c>
      <c r="AG1334" t="s">
        <v>5594</v>
      </c>
      <c r="AH1334">
        <v>3737</v>
      </c>
      <c r="AK1334">
        <v>0</v>
      </c>
      <c r="AL1334" t="s">
        <v>410</v>
      </c>
      <c r="AM1334" t="s">
        <v>5965</v>
      </c>
      <c r="AN1334" t="s">
        <v>5966</v>
      </c>
    </row>
    <row r="1335" spans="1:40" x14ac:dyDescent="0.35">
      <c r="A1335" t="s">
        <v>37</v>
      </c>
      <c r="B1335" t="s">
        <v>5967</v>
      </c>
      <c r="C1335" t="s">
        <v>39</v>
      </c>
      <c r="D1335" t="s">
        <v>5968</v>
      </c>
      <c r="E1335" t="s">
        <v>5934</v>
      </c>
      <c r="F1335" s="1">
        <v>46075.230624999997</v>
      </c>
      <c r="G1335" t="s">
        <v>3396</v>
      </c>
      <c r="H1335" t="s">
        <v>106</v>
      </c>
      <c r="I1335" t="s">
        <v>171</v>
      </c>
      <c r="J1335" t="s">
        <v>3423</v>
      </c>
      <c r="K1335" t="s">
        <v>75</v>
      </c>
      <c r="M1335" t="s">
        <v>47</v>
      </c>
      <c r="O1335" t="s">
        <v>77</v>
      </c>
      <c r="P1335" t="s">
        <v>78</v>
      </c>
      <c r="Q1335" t="s">
        <v>50</v>
      </c>
      <c r="R1335" t="s">
        <v>79</v>
      </c>
      <c r="S1335" t="s">
        <v>172</v>
      </c>
      <c r="T1335" t="s">
        <v>173</v>
      </c>
      <c r="U1335" s="1">
        <v>46075.234178240738</v>
      </c>
      <c r="V1335" t="s">
        <v>54</v>
      </c>
      <c r="W1335" t="s">
        <v>55</v>
      </c>
      <c r="X1335" t="s">
        <v>82</v>
      </c>
      <c r="Y1335" t="s">
        <v>3424</v>
      </c>
      <c r="Z1335" t="s">
        <v>5594</v>
      </c>
      <c r="AA1335" t="s">
        <v>54</v>
      </c>
      <c r="AB1335" t="s">
        <v>3425</v>
      </c>
      <c r="AC1335" t="s">
        <v>85</v>
      </c>
      <c r="AD1335" t="s">
        <v>79</v>
      </c>
      <c r="AE1335" t="s">
        <v>172</v>
      </c>
      <c r="AF1335" t="s">
        <v>173</v>
      </c>
      <c r="AG1335" t="s">
        <v>5594</v>
      </c>
      <c r="AH1335">
        <v>11272</v>
      </c>
      <c r="AK1335">
        <v>0</v>
      </c>
      <c r="AL1335" t="s">
        <v>61</v>
      </c>
      <c r="AM1335" t="s">
        <v>5969</v>
      </c>
      <c r="AN1335" t="s">
        <v>5970</v>
      </c>
    </row>
    <row r="1336" spans="1:40" x14ac:dyDescent="0.35">
      <c r="A1336" t="s">
        <v>37</v>
      </c>
      <c r="B1336" t="s">
        <v>5971</v>
      </c>
      <c r="C1336" t="s">
        <v>102</v>
      </c>
      <c r="D1336" t="s">
        <v>1698</v>
      </c>
      <c r="E1336" t="s">
        <v>584</v>
      </c>
      <c r="F1336" s="1">
        <v>46075.230393518519</v>
      </c>
      <c r="G1336" t="s">
        <v>105</v>
      </c>
      <c r="H1336" t="s">
        <v>106</v>
      </c>
      <c r="I1336" t="s">
        <v>5972</v>
      </c>
      <c r="J1336" t="s">
        <v>108</v>
      </c>
      <c r="K1336" t="s">
        <v>109</v>
      </c>
      <c r="M1336" t="s">
        <v>47</v>
      </c>
      <c r="O1336" t="s">
        <v>77</v>
      </c>
      <c r="P1336" t="s">
        <v>78</v>
      </c>
      <c r="Q1336" t="s">
        <v>50</v>
      </c>
      <c r="R1336" t="s">
        <v>111</v>
      </c>
      <c r="S1336" t="s">
        <v>51</v>
      </c>
      <c r="T1336" t="s">
        <v>112</v>
      </c>
      <c r="U1336" s="1">
        <v>46075.328668981485</v>
      </c>
      <c r="V1336" t="s">
        <v>54</v>
      </c>
      <c r="W1336" t="s">
        <v>55</v>
      </c>
      <c r="X1336" t="s">
        <v>134</v>
      </c>
      <c r="Y1336" t="s">
        <v>5973</v>
      </c>
      <c r="Z1336" t="s">
        <v>5594</v>
      </c>
      <c r="AA1336" t="s">
        <v>54</v>
      </c>
      <c r="AB1336" t="s">
        <v>1701</v>
      </c>
      <c r="AC1336" t="s">
        <v>85</v>
      </c>
      <c r="AD1336" t="s">
        <v>116</v>
      </c>
      <c r="AE1336" t="s">
        <v>117</v>
      </c>
      <c r="AF1336" t="s">
        <v>118</v>
      </c>
      <c r="AG1336" t="s">
        <v>5594</v>
      </c>
      <c r="AK1336">
        <v>1</v>
      </c>
      <c r="AL1336" t="s">
        <v>61</v>
      </c>
      <c r="AM1336" t="s">
        <v>1701</v>
      </c>
      <c r="AN1336" t="s">
        <v>1702</v>
      </c>
    </row>
    <row r="1337" spans="1:40" x14ac:dyDescent="0.35">
      <c r="A1337" t="s">
        <v>37</v>
      </c>
      <c r="B1337" t="s">
        <v>5974</v>
      </c>
      <c r="C1337" t="s">
        <v>102</v>
      </c>
      <c r="D1337" t="s">
        <v>1698</v>
      </c>
      <c r="E1337" t="s">
        <v>584</v>
      </c>
      <c r="F1337" s="1">
        <v>46075.230393518519</v>
      </c>
      <c r="G1337" t="s">
        <v>105</v>
      </c>
      <c r="H1337" t="s">
        <v>106</v>
      </c>
      <c r="I1337" t="s">
        <v>1934</v>
      </c>
      <c r="J1337" t="s">
        <v>108</v>
      </c>
      <c r="K1337" t="s">
        <v>109</v>
      </c>
      <c r="M1337" t="s">
        <v>47</v>
      </c>
      <c r="O1337" t="s">
        <v>77</v>
      </c>
      <c r="P1337" t="s">
        <v>78</v>
      </c>
      <c r="Q1337" t="s">
        <v>50</v>
      </c>
      <c r="R1337" t="s">
        <v>111</v>
      </c>
      <c r="S1337" t="s">
        <v>51</v>
      </c>
      <c r="T1337" t="s">
        <v>112</v>
      </c>
      <c r="U1337" s="1">
        <v>46075.345995370371</v>
      </c>
      <c r="V1337" t="s">
        <v>54</v>
      </c>
      <c r="W1337" t="s">
        <v>55</v>
      </c>
      <c r="X1337" t="s">
        <v>134</v>
      </c>
      <c r="Y1337" t="s">
        <v>5975</v>
      </c>
      <c r="Z1337" t="s">
        <v>5594</v>
      </c>
      <c r="AA1337" t="s">
        <v>54</v>
      </c>
      <c r="AB1337" t="s">
        <v>1701</v>
      </c>
      <c r="AC1337" t="s">
        <v>85</v>
      </c>
      <c r="AD1337" t="s">
        <v>116</v>
      </c>
      <c r="AE1337" t="s">
        <v>117</v>
      </c>
      <c r="AF1337" t="s">
        <v>5976</v>
      </c>
      <c r="AG1337" t="s">
        <v>5594</v>
      </c>
      <c r="AK1337">
        <v>1</v>
      </c>
      <c r="AL1337" t="s">
        <v>61</v>
      </c>
      <c r="AM1337" t="s">
        <v>1701</v>
      </c>
      <c r="AN1337" t="s">
        <v>1702</v>
      </c>
    </row>
    <row r="1338" spans="1:40" x14ac:dyDescent="0.35">
      <c r="A1338" t="s">
        <v>37</v>
      </c>
      <c r="B1338" t="s">
        <v>5977</v>
      </c>
      <c r="C1338" t="s">
        <v>39</v>
      </c>
      <c r="D1338" t="s">
        <v>5978</v>
      </c>
      <c r="E1338" t="s">
        <v>5979</v>
      </c>
      <c r="F1338" s="1">
        <v>46075.230381944442</v>
      </c>
      <c r="G1338" t="s">
        <v>2015</v>
      </c>
      <c r="H1338" t="s">
        <v>447</v>
      </c>
      <c r="I1338" t="s">
        <v>171</v>
      </c>
      <c r="J1338" t="s">
        <v>3423</v>
      </c>
      <c r="K1338" t="s">
        <v>75</v>
      </c>
      <c r="M1338" t="s">
        <v>47</v>
      </c>
      <c r="O1338" t="s">
        <v>77</v>
      </c>
      <c r="P1338" t="s">
        <v>78</v>
      </c>
      <c r="Q1338" t="s">
        <v>1296</v>
      </c>
      <c r="R1338" t="s">
        <v>79</v>
      </c>
      <c r="S1338" t="s">
        <v>172</v>
      </c>
      <c r="T1338" t="s">
        <v>173</v>
      </c>
      <c r="U1338" s="1">
        <v>46075.233981481484</v>
      </c>
      <c r="V1338" t="s">
        <v>54</v>
      </c>
      <c r="W1338" t="s">
        <v>55</v>
      </c>
      <c r="X1338" t="s">
        <v>82</v>
      </c>
      <c r="Y1338" t="s">
        <v>3424</v>
      </c>
      <c r="Z1338" t="s">
        <v>5594</v>
      </c>
      <c r="AA1338" t="s">
        <v>54</v>
      </c>
      <c r="AB1338" t="s">
        <v>3425</v>
      </c>
      <c r="AC1338" t="s">
        <v>85</v>
      </c>
      <c r="AD1338" t="s">
        <v>79</v>
      </c>
      <c r="AE1338" t="s">
        <v>172</v>
      </c>
      <c r="AF1338" t="s">
        <v>173</v>
      </c>
      <c r="AG1338" t="s">
        <v>5594</v>
      </c>
      <c r="AH1338">
        <v>886</v>
      </c>
      <c r="AK1338">
        <v>0</v>
      </c>
      <c r="AL1338" t="s">
        <v>61</v>
      </c>
      <c r="AM1338" t="s">
        <v>5980</v>
      </c>
      <c r="AN1338" t="s">
        <v>5981</v>
      </c>
    </row>
    <row r="1339" spans="1:40" x14ac:dyDescent="0.35">
      <c r="A1339" t="s">
        <v>37</v>
      </c>
      <c r="B1339" t="s">
        <v>5982</v>
      </c>
      <c r="C1339" t="s">
        <v>102</v>
      </c>
      <c r="D1339" t="s">
        <v>1698</v>
      </c>
      <c r="E1339" t="s">
        <v>584</v>
      </c>
      <c r="F1339" s="1">
        <v>46075.229629629626</v>
      </c>
      <c r="G1339" t="s">
        <v>105</v>
      </c>
      <c r="H1339" t="s">
        <v>106</v>
      </c>
      <c r="I1339" t="s">
        <v>1951</v>
      </c>
      <c r="J1339" t="s">
        <v>108</v>
      </c>
      <c r="K1339" t="s">
        <v>109</v>
      </c>
      <c r="M1339" t="s">
        <v>47</v>
      </c>
      <c r="O1339" t="s">
        <v>77</v>
      </c>
      <c r="P1339" t="s">
        <v>78</v>
      </c>
      <c r="Q1339" t="s">
        <v>50</v>
      </c>
      <c r="R1339" t="s">
        <v>111</v>
      </c>
      <c r="S1339" t="s">
        <v>51</v>
      </c>
      <c r="T1339" t="s">
        <v>112</v>
      </c>
      <c r="U1339" s="1">
        <v>46075.697175925925</v>
      </c>
      <c r="V1339" t="s">
        <v>54</v>
      </c>
      <c r="W1339" t="s">
        <v>55</v>
      </c>
      <c r="X1339" t="s">
        <v>134</v>
      </c>
      <c r="Y1339" t="s">
        <v>5983</v>
      </c>
      <c r="Z1339" t="s">
        <v>5594</v>
      </c>
      <c r="AA1339" t="s">
        <v>54</v>
      </c>
      <c r="AB1339" t="s">
        <v>1701</v>
      </c>
      <c r="AC1339" t="s">
        <v>85</v>
      </c>
      <c r="AD1339" t="s">
        <v>116</v>
      </c>
      <c r="AE1339" t="s">
        <v>117</v>
      </c>
      <c r="AF1339" t="s">
        <v>1706</v>
      </c>
      <c r="AG1339" t="s">
        <v>5594</v>
      </c>
      <c r="AK1339">
        <v>1</v>
      </c>
      <c r="AL1339" t="s">
        <v>61</v>
      </c>
      <c r="AM1339" t="s">
        <v>1701</v>
      </c>
      <c r="AN1339" t="s">
        <v>1702</v>
      </c>
    </row>
    <row r="1340" spans="1:40" x14ac:dyDescent="0.35">
      <c r="A1340" t="s">
        <v>37</v>
      </c>
      <c r="B1340" t="s">
        <v>5984</v>
      </c>
      <c r="C1340" t="s">
        <v>102</v>
      </c>
      <c r="D1340" t="s">
        <v>5985</v>
      </c>
      <c r="E1340" t="s">
        <v>127</v>
      </c>
      <c r="F1340" s="1">
        <v>46075.227916666663</v>
      </c>
      <c r="G1340" t="s">
        <v>250</v>
      </c>
      <c r="H1340" t="s">
        <v>106</v>
      </c>
      <c r="I1340" t="s">
        <v>5986</v>
      </c>
      <c r="J1340" t="s">
        <v>1555</v>
      </c>
      <c r="K1340" t="s">
        <v>951</v>
      </c>
      <c r="M1340" t="s">
        <v>76</v>
      </c>
      <c r="O1340" t="s">
        <v>1501</v>
      </c>
      <c r="P1340" t="s">
        <v>1502</v>
      </c>
      <c r="R1340" t="s">
        <v>79</v>
      </c>
      <c r="S1340" t="s">
        <v>590</v>
      </c>
      <c r="T1340" t="s">
        <v>5987</v>
      </c>
      <c r="U1340" s="1">
        <v>46077.339131944442</v>
      </c>
      <c r="V1340" t="s">
        <v>54</v>
      </c>
      <c r="W1340" t="s">
        <v>55</v>
      </c>
      <c r="X1340" t="s">
        <v>134</v>
      </c>
      <c r="Y1340" t="e">
        <f>- Ensured that SEP virus definitions are updated. - Cleaned / deleted Quarantined items. - deleted temporary files, temporary internet files and cookies. - Ran AV full scan. - No Risks were found.</f>
        <v>#NAME?</v>
      </c>
      <c r="Z1340" t="s">
        <v>58</v>
      </c>
      <c r="AA1340" t="s">
        <v>54</v>
      </c>
      <c r="AB1340" t="s">
        <v>3425</v>
      </c>
      <c r="AC1340" t="s">
        <v>1504</v>
      </c>
      <c r="AD1340" t="s">
        <v>79</v>
      </c>
      <c r="AE1340" t="s">
        <v>590</v>
      </c>
      <c r="AF1340" t="s">
        <v>5987</v>
      </c>
      <c r="AG1340" t="s">
        <v>58</v>
      </c>
      <c r="AH1340" t="s">
        <v>5988</v>
      </c>
      <c r="AK1340">
        <v>0</v>
      </c>
      <c r="AL1340" t="s">
        <v>61</v>
      </c>
      <c r="AM1340" t="s">
        <v>5989</v>
      </c>
      <c r="AN1340" t="s">
        <v>5990</v>
      </c>
    </row>
    <row r="1341" spans="1:40" x14ac:dyDescent="0.35">
      <c r="A1341" t="s">
        <v>37</v>
      </c>
      <c r="B1341" t="s">
        <v>5991</v>
      </c>
      <c r="C1341" t="s">
        <v>39</v>
      </c>
      <c r="D1341" t="s">
        <v>40</v>
      </c>
      <c r="E1341" t="s">
        <v>41</v>
      </c>
      <c r="F1341" s="1">
        <v>46075.223738425928</v>
      </c>
      <c r="G1341" t="s">
        <v>42</v>
      </c>
      <c r="H1341" t="s">
        <v>43</v>
      </c>
      <c r="I1341" t="s">
        <v>5992</v>
      </c>
      <c r="J1341" t="s">
        <v>45</v>
      </c>
      <c r="K1341" t="s">
        <v>46</v>
      </c>
      <c r="M1341" t="s">
        <v>47</v>
      </c>
      <c r="O1341" t="s">
        <v>48</v>
      </c>
      <c r="P1341" t="s">
        <v>49</v>
      </c>
      <c r="Q1341" t="s">
        <v>50</v>
      </c>
      <c r="R1341" t="s">
        <v>51</v>
      </c>
      <c r="S1341" t="s">
        <v>52</v>
      </c>
      <c r="T1341" t="s">
        <v>53</v>
      </c>
      <c r="U1341" s="1">
        <v>46075.224456018521</v>
      </c>
      <c r="V1341" t="s">
        <v>54</v>
      </c>
      <c r="W1341" t="s">
        <v>55</v>
      </c>
      <c r="X1341" t="s">
        <v>56</v>
      </c>
      <c r="Y1341" t="s">
        <v>57</v>
      </c>
      <c r="Z1341" t="s">
        <v>5594</v>
      </c>
      <c r="AA1341" t="s">
        <v>54</v>
      </c>
      <c r="AB1341" t="s">
        <v>59</v>
      </c>
      <c r="AC1341" t="s">
        <v>60</v>
      </c>
      <c r="AD1341" t="s">
        <v>51</v>
      </c>
      <c r="AE1341" t="s">
        <v>52</v>
      </c>
      <c r="AF1341" t="s">
        <v>53</v>
      </c>
      <c r="AG1341" t="s">
        <v>5594</v>
      </c>
      <c r="AK1341">
        <v>0</v>
      </c>
      <c r="AL1341" t="s">
        <v>61</v>
      </c>
      <c r="AM1341" t="s">
        <v>59</v>
      </c>
      <c r="AN1341" t="s">
        <v>62</v>
      </c>
    </row>
    <row r="1342" spans="1:40" x14ac:dyDescent="0.35">
      <c r="A1342" t="s">
        <v>37</v>
      </c>
      <c r="B1342" t="s">
        <v>5993</v>
      </c>
      <c r="C1342" t="s">
        <v>102</v>
      </c>
      <c r="D1342" t="s">
        <v>1698</v>
      </c>
      <c r="E1342" t="s">
        <v>584</v>
      </c>
      <c r="F1342" s="1">
        <v>46075.112870370373</v>
      </c>
      <c r="G1342" t="s">
        <v>105</v>
      </c>
      <c r="H1342" t="s">
        <v>106</v>
      </c>
      <c r="I1342" t="s">
        <v>5994</v>
      </c>
      <c r="J1342" t="s">
        <v>108</v>
      </c>
      <c r="K1342" t="s">
        <v>571</v>
      </c>
      <c r="M1342" t="s">
        <v>47</v>
      </c>
      <c r="O1342" t="s">
        <v>77</v>
      </c>
      <c r="P1342" t="s">
        <v>78</v>
      </c>
      <c r="Q1342" t="s">
        <v>50</v>
      </c>
      <c r="R1342" t="s">
        <v>111</v>
      </c>
      <c r="S1342" t="s">
        <v>51</v>
      </c>
      <c r="T1342" t="s">
        <v>112</v>
      </c>
      <c r="U1342" s="1">
        <v>46075.28696759259</v>
      </c>
      <c r="V1342" t="s">
        <v>54</v>
      </c>
      <c r="W1342" t="s">
        <v>55</v>
      </c>
      <c r="X1342" t="s">
        <v>134</v>
      </c>
      <c r="Y1342" t="s">
        <v>1680</v>
      </c>
      <c r="Z1342" t="s">
        <v>5594</v>
      </c>
      <c r="AA1342" t="s">
        <v>54</v>
      </c>
      <c r="AB1342" t="s">
        <v>1701</v>
      </c>
      <c r="AC1342" t="s">
        <v>85</v>
      </c>
      <c r="AD1342" t="s">
        <v>116</v>
      </c>
      <c r="AE1342" t="s">
        <v>574</v>
      </c>
      <c r="AF1342" t="s">
        <v>144</v>
      </c>
      <c r="AG1342" t="s">
        <v>5594</v>
      </c>
      <c r="AK1342">
        <v>1</v>
      </c>
      <c r="AL1342" t="s">
        <v>61</v>
      </c>
      <c r="AM1342" t="s">
        <v>1701</v>
      </c>
      <c r="AN1342" t="s">
        <v>1702</v>
      </c>
    </row>
    <row r="1343" spans="1:40" x14ac:dyDescent="0.35">
      <c r="A1343" t="s">
        <v>37</v>
      </c>
      <c r="B1343" t="s">
        <v>5995</v>
      </c>
      <c r="C1343" t="s">
        <v>102</v>
      </c>
      <c r="D1343" t="s">
        <v>1698</v>
      </c>
      <c r="E1343" t="s">
        <v>584</v>
      </c>
      <c r="F1343" s="1">
        <v>46075.105104166665</v>
      </c>
      <c r="G1343" t="s">
        <v>105</v>
      </c>
      <c r="H1343" t="s">
        <v>106</v>
      </c>
      <c r="I1343" t="s">
        <v>1949</v>
      </c>
      <c r="J1343" t="s">
        <v>108</v>
      </c>
      <c r="K1343" t="s">
        <v>571</v>
      </c>
      <c r="M1343" t="s">
        <v>47</v>
      </c>
      <c r="O1343" t="s">
        <v>77</v>
      </c>
      <c r="P1343" t="s">
        <v>78</v>
      </c>
      <c r="Q1343" t="s">
        <v>50</v>
      </c>
      <c r="R1343" t="s">
        <v>111</v>
      </c>
      <c r="S1343" t="s">
        <v>51</v>
      </c>
      <c r="T1343" t="s">
        <v>112</v>
      </c>
      <c r="U1343" s="1">
        <v>46075.27134259259</v>
      </c>
      <c r="V1343" t="s">
        <v>54</v>
      </c>
      <c r="W1343" t="s">
        <v>55</v>
      </c>
      <c r="X1343" t="s">
        <v>134</v>
      </c>
      <c r="Y1343" t="s">
        <v>1680</v>
      </c>
      <c r="Z1343" t="s">
        <v>5594</v>
      </c>
      <c r="AA1343" t="s">
        <v>54</v>
      </c>
      <c r="AB1343" t="s">
        <v>1701</v>
      </c>
      <c r="AC1343" t="s">
        <v>85</v>
      </c>
      <c r="AD1343" t="s">
        <v>116</v>
      </c>
      <c r="AE1343" t="s">
        <v>574</v>
      </c>
      <c r="AF1343" t="s">
        <v>144</v>
      </c>
      <c r="AG1343" t="s">
        <v>5594</v>
      </c>
      <c r="AK1343">
        <v>1</v>
      </c>
      <c r="AL1343" t="s">
        <v>61</v>
      </c>
      <c r="AM1343" t="s">
        <v>1701</v>
      </c>
      <c r="AN1343" t="s">
        <v>1702</v>
      </c>
    </row>
    <row r="1344" spans="1:40" x14ac:dyDescent="0.35">
      <c r="A1344" t="s">
        <v>37</v>
      </c>
      <c r="B1344" t="s">
        <v>5996</v>
      </c>
      <c r="C1344" t="s">
        <v>352</v>
      </c>
      <c r="D1344" t="s">
        <v>5040</v>
      </c>
      <c r="E1344" t="s">
        <v>5041</v>
      </c>
      <c r="F1344" s="1">
        <v>46075.063472222224</v>
      </c>
      <c r="G1344" t="s">
        <v>355</v>
      </c>
      <c r="H1344" t="s">
        <v>356</v>
      </c>
      <c r="I1344" t="s">
        <v>5997</v>
      </c>
      <c r="J1344" t="s">
        <v>206</v>
      </c>
      <c r="K1344" t="s">
        <v>207</v>
      </c>
      <c r="M1344" t="s">
        <v>47</v>
      </c>
      <c r="O1344" t="s">
        <v>237</v>
      </c>
      <c r="P1344" t="s">
        <v>238</v>
      </c>
      <c r="Q1344" t="s">
        <v>50</v>
      </c>
      <c r="R1344" t="s">
        <v>208</v>
      </c>
      <c r="S1344" t="s">
        <v>209</v>
      </c>
      <c r="T1344" t="s">
        <v>5998</v>
      </c>
      <c r="U1344" s="1">
        <v>46075.217812499999</v>
      </c>
      <c r="V1344" t="s">
        <v>54</v>
      </c>
      <c r="W1344" t="s">
        <v>55</v>
      </c>
      <c r="X1344" t="s">
        <v>134</v>
      </c>
      <c r="Y1344" t="s">
        <v>5999</v>
      </c>
      <c r="Z1344" t="s">
        <v>5594</v>
      </c>
      <c r="AA1344" t="s">
        <v>54</v>
      </c>
      <c r="AB1344" t="s">
        <v>6000</v>
      </c>
      <c r="AC1344" t="s">
        <v>242</v>
      </c>
      <c r="AD1344" t="s">
        <v>208</v>
      </c>
      <c r="AE1344" t="s">
        <v>209</v>
      </c>
      <c r="AF1344" t="s">
        <v>5998</v>
      </c>
      <c r="AG1344" t="s">
        <v>5594</v>
      </c>
      <c r="AH1344" t="s">
        <v>6001</v>
      </c>
      <c r="AK1344">
        <v>0</v>
      </c>
      <c r="AL1344" t="s">
        <v>61</v>
      </c>
      <c r="AM1344" t="s">
        <v>6000</v>
      </c>
      <c r="AN1344" t="s">
        <v>6002</v>
      </c>
    </row>
    <row r="1345" spans="1:40" x14ac:dyDescent="0.35">
      <c r="A1345" t="s">
        <v>37</v>
      </c>
      <c r="B1345" t="s">
        <v>6003</v>
      </c>
      <c r="C1345" t="s">
        <v>39</v>
      </c>
      <c r="D1345" t="s">
        <v>40</v>
      </c>
      <c r="E1345" t="s">
        <v>41</v>
      </c>
      <c r="F1345" s="1">
        <v>46075.057222222225</v>
      </c>
      <c r="G1345" t="s">
        <v>42</v>
      </c>
      <c r="H1345" t="s">
        <v>43</v>
      </c>
      <c r="I1345" t="s">
        <v>6004</v>
      </c>
      <c r="J1345" t="s">
        <v>45</v>
      </c>
      <c r="K1345" t="s">
        <v>46</v>
      </c>
      <c r="M1345" t="s">
        <v>47</v>
      </c>
      <c r="O1345" t="s">
        <v>48</v>
      </c>
      <c r="P1345" t="s">
        <v>49</v>
      </c>
      <c r="Q1345" t="s">
        <v>50</v>
      </c>
      <c r="R1345" t="s">
        <v>51</v>
      </c>
      <c r="S1345" t="s">
        <v>52</v>
      </c>
      <c r="T1345" t="s">
        <v>53</v>
      </c>
      <c r="U1345" s="1">
        <v>46075.057986111111</v>
      </c>
      <c r="V1345" t="s">
        <v>54</v>
      </c>
      <c r="W1345" t="s">
        <v>55</v>
      </c>
      <c r="X1345" t="s">
        <v>56</v>
      </c>
      <c r="Y1345" t="s">
        <v>57</v>
      </c>
      <c r="Z1345" t="s">
        <v>5594</v>
      </c>
      <c r="AA1345" t="s">
        <v>54</v>
      </c>
      <c r="AB1345" t="s">
        <v>59</v>
      </c>
      <c r="AC1345" t="s">
        <v>60</v>
      </c>
      <c r="AD1345" t="s">
        <v>51</v>
      </c>
      <c r="AE1345" t="s">
        <v>52</v>
      </c>
      <c r="AF1345" t="s">
        <v>53</v>
      </c>
      <c r="AG1345" t="s">
        <v>5594</v>
      </c>
      <c r="AK1345">
        <v>0</v>
      </c>
      <c r="AL1345" t="s">
        <v>61</v>
      </c>
      <c r="AM1345" t="s">
        <v>59</v>
      </c>
      <c r="AN1345" t="s">
        <v>62</v>
      </c>
    </row>
    <row r="1346" spans="1:40" x14ac:dyDescent="0.35">
      <c r="A1346" t="s">
        <v>37</v>
      </c>
      <c r="B1346" t="s">
        <v>6005</v>
      </c>
      <c r="C1346" t="s">
        <v>39</v>
      </c>
      <c r="D1346" t="s">
        <v>40</v>
      </c>
      <c r="E1346" t="s">
        <v>41</v>
      </c>
      <c r="F1346" s="1">
        <v>46075.047465277778</v>
      </c>
      <c r="G1346" t="s">
        <v>42</v>
      </c>
      <c r="H1346" t="s">
        <v>43</v>
      </c>
      <c r="I1346" t="s">
        <v>6006</v>
      </c>
      <c r="J1346" t="s">
        <v>45</v>
      </c>
      <c r="K1346" t="s">
        <v>46</v>
      </c>
      <c r="M1346" t="s">
        <v>47</v>
      </c>
      <c r="O1346" t="s">
        <v>48</v>
      </c>
      <c r="P1346" t="s">
        <v>49</v>
      </c>
      <c r="Q1346" t="s">
        <v>50</v>
      </c>
      <c r="R1346" t="s">
        <v>51</v>
      </c>
      <c r="S1346" t="s">
        <v>52</v>
      </c>
      <c r="T1346" t="s">
        <v>53</v>
      </c>
      <c r="U1346" s="1">
        <v>46075.049386574072</v>
      </c>
      <c r="V1346" t="s">
        <v>54</v>
      </c>
      <c r="W1346" t="s">
        <v>55</v>
      </c>
      <c r="X1346" t="s">
        <v>56</v>
      </c>
      <c r="Y1346" t="s">
        <v>65</v>
      </c>
      <c r="Z1346" t="s">
        <v>5594</v>
      </c>
      <c r="AA1346" t="s">
        <v>54</v>
      </c>
      <c r="AB1346" t="s">
        <v>59</v>
      </c>
      <c r="AC1346" t="s">
        <v>60</v>
      </c>
      <c r="AD1346" t="s">
        <v>51</v>
      </c>
      <c r="AE1346" t="s">
        <v>52</v>
      </c>
      <c r="AF1346" t="s">
        <v>53</v>
      </c>
      <c r="AG1346" t="s">
        <v>5594</v>
      </c>
      <c r="AK1346">
        <v>0</v>
      </c>
      <c r="AL1346" t="s">
        <v>61</v>
      </c>
      <c r="AM1346" t="s">
        <v>59</v>
      </c>
      <c r="AN1346" t="s">
        <v>62</v>
      </c>
    </row>
    <row r="1347" spans="1:40" x14ac:dyDescent="0.35">
      <c r="A1347" t="s">
        <v>37</v>
      </c>
      <c r="B1347" t="s">
        <v>6007</v>
      </c>
      <c r="C1347" t="s">
        <v>102</v>
      </c>
      <c r="D1347" t="s">
        <v>568</v>
      </c>
      <c r="E1347" t="s">
        <v>569</v>
      </c>
      <c r="F1347" s="1">
        <v>46075.040185185186</v>
      </c>
      <c r="G1347" t="s">
        <v>105</v>
      </c>
      <c r="H1347" t="s">
        <v>106</v>
      </c>
      <c r="I1347" t="s">
        <v>6008</v>
      </c>
      <c r="J1347" t="s">
        <v>5597</v>
      </c>
      <c r="K1347" t="s">
        <v>2345</v>
      </c>
      <c r="M1347" t="s">
        <v>47</v>
      </c>
      <c r="O1347" t="s">
        <v>237</v>
      </c>
      <c r="P1347" t="s">
        <v>238</v>
      </c>
      <c r="Q1347" t="s">
        <v>448</v>
      </c>
      <c r="R1347" t="s">
        <v>111</v>
      </c>
      <c r="S1347" t="s">
        <v>51</v>
      </c>
      <c r="T1347" t="s">
        <v>5598</v>
      </c>
      <c r="U1347" s="1">
        <v>46075.040995370371</v>
      </c>
      <c r="V1347" t="s">
        <v>54</v>
      </c>
      <c r="W1347" t="s">
        <v>55</v>
      </c>
      <c r="X1347" t="s">
        <v>56</v>
      </c>
      <c r="Y1347" t="s">
        <v>5599</v>
      </c>
      <c r="Z1347" t="s">
        <v>5594</v>
      </c>
      <c r="AA1347" t="s">
        <v>54</v>
      </c>
      <c r="AB1347" t="s">
        <v>1212</v>
      </c>
      <c r="AC1347" t="s">
        <v>242</v>
      </c>
      <c r="AD1347" t="s">
        <v>51</v>
      </c>
      <c r="AE1347" t="s">
        <v>52</v>
      </c>
      <c r="AF1347" t="s">
        <v>240</v>
      </c>
      <c r="AG1347" t="s">
        <v>5594</v>
      </c>
      <c r="AK1347">
        <v>0</v>
      </c>
      <c r="AL1347" t="s">
        <v>61</v>
      </c>
      <c r="AM1347" t="s">
        <v>576</v>
      </c>
      <c r="AN1347" t="s">
        <v>577</v>
      </c>
    </row>
    <row r="1348" spans="1:40" x14ac:dyDescent="0.35">
      <c r="A1348" t="s">
        <v>37</v>
      </c>
      <c r="B1348" t="s">
        <v>6009</v>
      </c>
      <c r="C1348" t="s">
        <v>39</v>
      </c>
      <c r="D1348" t="s">
        <v>40</v>
      </c>
      <c r="E1348" t="s">
        <v>41</v>
      </c>
      <c r="F1348" s="1">
        <v>46075.036643518521</v>
      </c>
      <c r="G1348" t="s">
        <v>42</v>
      </c>
      <c r="H1348" t="s">
        <v>43</v>
      </c>
      <c r="I1348" t="s">
        <v>6010</v>
      </c>
      <c r="J1348" t="s">
        <v>45</v>
      </c>
      <c r="K1348" t="s">
        <v>46</v>
      </c>
      <c r="M1348" t="s">
        <v>47</v>
      </c>
      <c r="O1348" t="s">
        <v>48</v>
      </c>
      <c r="P1348" t="s">
        <v>49</v>
      </c>
      <c r="Q1348" t="s">
        <v>50</v>
      </c>
      <c r="R1348" t="s">
        <v>51</v>
      </c>
      <c r="S1348" t="s">
        <v>52</v>
      </c>
      <c r="T1348" t="s">
        <v>53</v>
      </c>
      <c r="U1348" s="1">
        <v>46075.03769675926</v>
      </c>
      <c r="V1348" t="s">
        <v>54</v>
      </c>
      <c r="W1348" t="s">
        <v>55</v>
      </c>
      <c r="X1348" t="s">
        <v>56</v>
      </c>
      <c r="Y1348" t="s">
        <v>57</v>
      </c>
      <c r="Z1348" t="s">
        <v>5594</v>
      </c>
      <c r="AA1348" t="s">
        <v>54</v>
      </c>
      <c r="AB1348" t="s">
        <v>59</v>
      </c>
      <c r="AC1348" t="s">
        <v>60</v>
      </c>
      <c r="AD1348" t="s">
        <v>51</v>
      </c>
      <c r="AE1348" t="s">
        <v>52</v>
      </c>
      <c r="AF1348" t="s">
        <v>53</v>
      </c>
      <c r="AG1348" t="s">
        <v>5594</v>
      </c>
      <c r="AK1348">
        <v>0</v>
      </c>
      <c r="AL1348" t="s">
        <v>61</v>
      </c>
      <c r="AM1348" t="s">
        <v>59</v>
      </c>
      <c r="AN1348" t="s">
        <v>62</v>
      </c>
    </row>
    <row r="1349" spans="1:40" x14ac:dyDescent="0.35">
      <c r="A1349" t="s">
        <v>37</v>
      </c>
      <c r="B1349" t="s">
        <v>6011</v>
      </c>
      <c r="C1349" t="s">
        <v>39</v>
      </c>
      <c r="D1349" t="s">
        <v>40</v>
      </c>
      <c r="E1349" t="s">
        <v>41</v>
      </c>
      <c r="F1349" s="1">
        <v>46075.036435185182</v>
      </c>
      <c r="G1349" t="s">
        <v>42</v>
      </c>
      <c r="H1349" t="s">
        <v>43</v>
      </c>
      <c r="I1349" t="s">
        <v>6012</v>
      </c>
      <c r="J1349" t="s">
        <v>45</v>
      </c>
      <c r="K1349" t="s">
        <v>46</v>
      </c>
      <c r="M1349" t="s">
        <v>47</v>
      </c>
      <c r="O1349" t="s">
        <v>48</v>
      </c>
      <c r="P1349" t="s">
        <v>49</v>
      </c>
      <c r="Q1349" t="s">
        <v>50</v>
      </c>
      <c r="R1349" t="s">
        <v>51</v>
      </c>
      <c r="S1349" t="s">
        <v>52</v>
      </c>
      <c r="T1349" t="s">
        <v>53</v>
      </c>
      <c r="U1349" s="1">
        <v>46075.037268518521</v>
      </c>
      <c r="V1349" t="s">
        <v>54</v>
      </c>
      <c r="W1349" t="s">
        <v>55</v>
      </c>
      <c r="X1349" t="s">
        <v>56</v>
      </c>
      <c r="Y1349" t="s">
        <v>57</v>
      </c>
      <c r="Z1349" t="s">
        <v>5594</v>
      </c>
      <c r="AA1349" t="s">
        <v>54</v>
      </c>
      <c r="AB1349" t="s">
        <v>59</v>
      </c>
      <c r="AC1349" t="s">
        <v>60</v>
      </c>
      <c r="AD1349" t="s">
        <v>51</v>
      </c>
      <c r="AE1349" t="s">
        <v>52</v>
      </c>
      <c r="AF1349" t="s">
        <v>53</v>
      </c>
      <c r="AG1349" t="s">
        <v>5594</v>
      </c>
      <c r="AK1349">
        <v>0</v>
      </c>
      <c r="AL1349" t="s">
        <v>61</v>
      </c>
      <c r="AM1349" t="s">
        <v>59</v>
      </c>
      <c r="AN1349" t="s">
        <v>62</v>
      </c>
    </row>
    <row r="1350" spans="1:40" x14ac:dyDescent="0.35">
      <c r="A1350" t="s">
        <v>37</v>
      </c>
      <c r="B1350" t="s">
        <v>6013</v>
      </c>
      <c r="C1350" t="s">
        <v>39</v>
      </c>
      <c r="D1350" t="s">
        <v>40</v>
      </c>
      <c r="E1350" t="s">
        <v>41</v>
      </c>
      <c r="F1350" s="1">
        <v>46075.025740740741</v>
      </c>
      <c r="G1350" t="s">
        <v>42</v>
      </c>
      <c r="H1350" t="s">
        <v>43</v>
      </c>
      <c r="I1350" t="s">
        <v>6014</v>
      </c>
      <c r="J1350" t="s">
        <v>45</v>
      </c>
      <c r="K1350" t="s">
        <v>46</v>
      </c>
      <c r="M1350" t="s">
        <v>47</v>
      </c>
      <c r="O1350" t="s">
        <v>48</v>
      </c>
      <c r="P1350" t="s">
        <v>49</v>
      </c>
      <c r="Q1350" t="s">
        <v>50</v>
      </c>
      <c r="R1350" t="s">
        <v>214</v>
      </c>
      <c r="S1350" t="s">
        <v>589</v>
      </c>
      <c r="T1350" t="s">
        <v>3593</v>
      </c>
      <c r="U1350" s="1">
        <v>46075.536377314813</v>
      </c>
      <c r="V1350" t="s">
        <v>54</v>
      </c>
      <c r="W1350" t="s">
        <v>55</v>
      </c>
      <c r="X1350" t="s">
        <v>56</v>
      </c>
      <c r="Y1350" t="s">
        <v>6015</v>
      </c>
      <c r="Z1350" t="s">
        <v>5594</v>
      </c>
      <c r="AA1350" t="s">
        <v>54</v>
      </c>
      <c r="AB1350" t="s">
        <v>59</v>
      </c>
      <c r="AC1350" t="s">
        <v>60</v>
      </c>
      <c r="AD1350" t="s">
        <v>51</v>
      </c>
      <c r="AE1350" t="s">
        <v>52</v>
      </c>
      <c r="AF1350" t="s">
        <v>53</v>
      </c>
      <c r="AG1350" t="s">
        <v>5594</v>
      </c>
      <c r="AK1350">
        <v>0</v>
      </c>
      <c r="AL1350" t="s">
        <v>61</v>
      </c>
      <c r="AM1350" t="s">
        <v>59</v>
      </c>
      <c r="AN1350" t="s">
        <v>62</v>
      </c>
    </row>
    <row r="1351" spans="1:40" x14ac:dyDescent="0.35">
      <c r="A1351" t="s">
        <v>37</v>
      </c>
      <c r="B1351" t="s">
        <v>6016</v>
      </c>
      <c r="C1351" t="s">
        <v>102</v>
      </c>
      <c r="D1351" t="s">
        <v>1698</v>
      </c>
      <c r="E1351" t="s">
        <v>584</v>
      </c>
      <c r="F1351" s="1">
        <v>46075.017476851855</v>
      </c>
      <c r="G1351" t="s">
        <v>105</v>
      </c>
      <c r="H1351" t="s">
        <v>106</v>
      </c>
      <c r="I1351" t="s">
        <v>5624</v>
      </c>
      <c r="J1351" t="s">
        <v>108</v>
      </c>
      <c r="K1351" t="s">
        <v>571</v>
      </c>
      <c r="M1351" t="s">
        <v>47</v>
      </c>
      <c r="O1351" t="s">
        <v>77</v>
      </c>
      <c r="P1351" t="s">
        <v>78</v>
      </c>
      <c r="Q1351" t="s">
        <v>50</v>
      </c>
      <c r="R1351" t="s">
        <v>111</v>
      </c>
      <c r="S1351" t="s">
        <v>51</v>
      </c>
      <c r="T1351" t="s">
        <v>112</v>
      </c>
      <c r="U1351" s="1">
        <v>46075.271655092591</v>
      </c>
      <c r="V1351" t="s">
        <v>54</v>
      </c>
      <c r="W1351" t="s">
        <v>55</v>
      </c>
      <c r="X1351" t="s">
        <v>134</v>
      </c>
      <c r="Y1351" t="s">
        <v>1680</v>
      </c>
      <c r="Z1351" t="s">
        <v>5594</v>
      </c>
      <c r="AA1351" t="s">
        <v>54</v>
      </c>
      <c r="AB1351" t="s">
        <v>1701</v>
      </c>
      <c r="AC1351" t="s">
        <v>85</v>
      </c>
      <c r="AD1351" t="s">
        <v>116</v>
      </c>
      <c r="AE1351" t="s">
        <v>574</v>
      </c>
      <c r="AF1351" t="s">
        <v>144</v>
      </c>
      <c r="AG1351" t="s">
        <v>5594</v>
      </c>
      <c r="AK1351">
        <v>1</v>
      </c>
      <c r="AL1351" t="s">
        <v>61</v>
      </c>
      <c r="AM1351" t="s">
        <v>1701</v>
      </c>
      <c r="AN1351" t="s">
        <v>1702</v>
      </c>
    </row>
    <row r="1352" spans="1:40" x14ac:dyDescent="0.35">
      <c r="A1352" t="s">
        <v>37</v>
      </c>
      <c r="B1352" t="s">
        <v>6017</v>
      </c>
      <c r="C1352" t="s">
        <v>39</v>
      </c>
      <c r="D1352" t="s">
        <v>40</v>
      </c>
      <c r="E1352" t="s">
        <v>41</v>
      </c>
      <c r="F1352" s="1">
        <v>46075.015567129631</v>
      </c>
      <c r="G1352" t="s">
        <v>42</v>
      </c>
      <c r="H1352" t="s">
        <v>43</v>
      </c>
      <c r="I1352" t="s">
        <v>6018</v>
      </c>
      <c r="J1352" t="s">
        <v>45</v>
      </c>
      <c r="K1352" t="s">
        <v>46</v>
      </c>
      <c r="M1352" t="s">
        <v>47</v>
      </c>
      <c r="O1352" t="s">
        <v>48</v>
      </c>
      <c r="P1352" t="s">
        <v>49</v>
      </c>
      <c r="Q1352" t="s">
        <v>50</v>
      </c>
      <c r="R1352" t="s">
        <v>51</v>
      </c>
      <c r="S1352" t="s">
        <v>52</v>
      </c>
      <c r="T1352" t="s">
        <v>53</v>
      </c>
      <c r="U1352" s="1">
        <v>46075.016296296293</v>
      </c>
      <c r="V1352" t="s">
        <v>54</v>
      </c>
      <c r="W1352" t="s">
        <v>55</v>
      </c>
      <c r="X1352" t="s">
        <v>56</v>
      </c>
      <c r="Y1352" t="s">
        <v>57</v>
      </c>
      <c r="Z1352" t="s">
        <v>5594</v>
      </c>
      <c r="AA1352" t="s">
        <v>54</v>
      </c>
      <c r="AB1352" t="s">
        <v>59</v>
      </c>
      <c r="AC1352" t="s">
        <v>60</v>
      </c>
      <c r="AD1352" t="s">
        <v>51</v>
      </c>
      <c r="AE1352" t="s">
        <v>52</v>
      </c>
      <c r="AF1352" t="s">
        <v>53</v>
      </c>
      <c r="AG1352" t="s">
        <v>5594</v>
      </c>
      <c r="AK1352">
        <v>0</v>
      </c>
      <c r="AL1352" t="s">
        <v>61</v>
      </c>
      <c r="AM1352" t="s">
        <v>59</v>
      </c>
      <c r="AN1352" t="s">
        <v>62</v>
      </c>
    </row>
    <row r="1353" spans="1:40" x14ac:dyDescent="0.35">
      <c r="A1353" t="s">
        <v>37</v>
      </c>
      <c r="B1353" t="s">
        <v>6019</v>
      </c>
      <c r="C1353" t="s">
        <v>39</v>
      </c>
      <c r="D1353" t="s">
        <v>40</v>
      </c>
      <c r="E1353" t="s">
        <v>41</v>
      </c>
      <c r="F1353" s="1">
        <v>46075.015486111108</v>
      </c>
      <c r="G1353" t="s">
        <v>42</v>
      </c>
      <c r="H1353" t="s">
        <v>43</v>
      </c>
      <c r="I1353" t="s">
        <v>6020</v>
      </c>
      <c r="J1353" t="s">
        <v>45</v>
      </c>
      <c r="K1353" t="s">
        <v>46</v>
      </c>
      <c r="M1353" t="s">
        <v>47</v>
      </c>
      <c r="O1353" t="s">
        <v>48</v>
      </c>
      <c r="P1353" t="s">
        <v>49</v>
      </c>
      <c r="Q1353" t="s">
        <v>50</v>
      </c>
      <c r="R1353" t="s">
        <v>51</v>
      </c>
      <c r="S1353" t="s">
        <v>52</v>
      </c>
      <c r="T1353" t="s">
        <v>53</v>
      </c>
      <c r="U1353" s="1">
        <v>46075.016319444447</v>
      </c>
      <c r="V1353" t="s">
        <v>54</v>
      </c>
      <c r="W1353" t="s">
        <v>55</v>
      </c>
      <c r="X1353" t="s">
        <v>56</v>
      </c>
      <c r="Y1353" t="s">
        <v>57</v>
      </c>
      <c r="Z1353" t="s">
        <v>5594</v>
      </c>
      <c r="AA1353" t="s">
        <v>54</v>
      </c>
      <c r="AB1353" t="s">
        <v>59</v>
      </c>
      <c r="AC1353" t="s">
        <v>60</v>
      </c>
      <c r="AD1353" t="s">
        <v>51</v>
      </c>
      <c r="AE1353" t="s">
        <v>52</v>
      </c>
      <c r="AF1353" t="s">
        <v>53</v>
      </c>
      <c r="AG1353" t="s">
        <v>5594</v>
      </c>
      <c r="AK1353">
        <v>0</v>
      </c>
      <c r="AL1353" t="s">
        <v>61</v>
      </c>
      <c r="AM1353" t="s">
        <v>59</v>
      </c>
      <c r="AN1353" t="s">
        <v>62</v>
      </c>
    </row>
    <row r="1354" spans="1:40" x14ac:dyDescent="0.35">
      <c r="A1354" t="s">
        <v>37</v>
      </c>
      <c r="B1354" t="s">
        <v>6021</v>
      </c>
      <c r="C1354" t="s">
        <v>102</v>
      </c>
      <c r="D1354" t="s">
        <v>3486</v>
      </c>
      <c r="E1354" t="s">
        <v>3487</v>
      </c>
      <c r="F1354" s="1">
        <v>46075.014722222222</v>
      </c>
      <c r="G1354" t="s">
        <v>105</v>
      </c>
      <c r="H1354" t="s">
        <v>106</v>
      </c>
      <c r="I1354" t="s">
        <v>6022</v>
      </c>
      <c r="J1354" t="s">
        <v>108</v>
      </c>
      <c r="K1354" t="s">
        <v>6023</v>
      </c>
      <c r="M1354" t="s">
        <v>76</v>
      </c>
      <c r="O1354" t="s">
        <v>77</v>
      </c>
      <c r="P1354" t="s">
        <v>78</v>
      </c>
      <c r="Q1354" t="s">
        <v>50</v>
      </c>
      <c r="R1354" t="s">
        <v>111</v>
      </c>
      <c r="S1354" t="s">
        <v>51</v>
      </c>
      <c r="T1354" t="s">
        <v>1583</v>
      </c>
      <c r="U1354" s="1">
        <v>46076.584398148145</v>
      </c>
      <c r="V1354" t="s">
        <v>54</v>
      </c>
      <c r="X1354" t="s">
        <v>113</v>
      </c>
      <c r="Y1354" t="s">
        <v>6024</v>
      </c>
      <c r="Z1354" t="s">
        <v>58</v>
      </c>
      <c r="AA1354" t="s">
        <v>54</v>
      </c>
      <c r="AB1354" t="s">
        <v>115</v>
      </c>
      <c r="AC1354" t="s">
        <v>85</v>
      </c>
      <c r="AD1354" t="s">
        <v>116</v>
      </c>
      <c r="AE1354" t="s">
        <v>1586</v>
      </c>
      <c r="AF1354" t="s">
        <v>144</v>
      </c>
      <c r="AG1354" t="s">
        <v>58</v>
      </c>
      <c r="AH1354" t="s">
        <v>3491</v>
      </c>
      <c r="AK1354">
        <v>1</v>
      </c>
      <c r="AL1354" t="s">
        <v>61</v>
      </c>
      <c r="AM1354" t="s">
        <v>3492</v>
      </c>
      <c r="AN1354" t="s">
        <v>3493</v>
      </c>
    </row>
    <row r="1355" spans="1:40" x14ac:dyDescent="0.35">
      <c r="A1355" t="s">
        <v>37</v>
      </c>
      <c r="B1355" t="s">
        <v>6025</v>
      </c>
      <c r="C1355" t="s">
        <v>39</v>
      </c>
      <c r="D1355" t="s">
        <v>40</v>
      </c>
      <c r="E1355" t="s">
        <v>41</v>
      </c>
      <c r="F1355" s="1">
        <v>46074.99459490741</v>
      </c>
      <c r="G1355" t="s">
        <v>42</v>
      </c>
      <c r="H1355" t="s">
        <v>43</v>
      </c>
      <c r="I1355" t="s">
        <v>6026</v>
      </c>
      <c r="J1355" t="s">
        <v>45</v>
      </c>
      <c r="K1355" t="s">
        <v>46</v>
      </c>
      <c r="M1355" t="s">
        <v>47</v>
      </c>
      <c r="O1355" t="s">
        <v>48</v>
      </c>
      <c r="P1355" t="s">
        <v>49</v>
      </c>
      <c r="Q1355" t="s">
        <v>50</v>
      </c>
      <c r="R1355" t="s">
        <v>51</v>
      </c>
      <c r="S1355" t="s">
        <v>52</v>
      </c>
      <c r="T1355" t="s">
        <v>53</v>
      </c>
      <c r="U1355" s="1">
        <v>46074.995266203703</v>
      </c>
      <c r="V1355" t="s">
        <v>54</v>
      </c>
      <c r="W1355" t="s">
        <v>55</v>
      </c>
      <c r="X1355" t="s">
        <v>56</v>
      </c>
      <c r="Y1355" t="s">
        <v>57</v>
      </c>
      <c r="Z1355" t="s">
        <v>5594</v>
      </c>
      <c r="AA1355" t="s">
        <v>54</v>
      </c>
      <c r="AB1355" t="s">
        <v>59</v>
      </c>
      <c r="AC1355" t="s">
        <v>60</v>
      </c>
      <c r="AD1355" t="s">
        <v>51</v>
      </c>
      <c r="AE1355" t="s">
        <v>52</v>
      </c>
      <c r="AF1355" t="s">
        <v>53</v>
      </c>
      <c r="AG1355" t="s">
        <v>5594</v>
      </c>
      <c r="AK1355">
        <v>0</v>
      </c>
      <c r="AL1355" t="s">
        <v>61</v>
      </c>
      <c r="AM1355" t="s">
        <v>59</v>
      </c>
      <c r="AN1355" t="s">
        <v>62</v>
      </c>
    </row>
    <row r="1356" spans="1:40" x14ac:dyDescent="0.35">
      <c r="A1356" t="s">
        <v>37</v>
      </c>
      <c r="B1356" t="s">
        <v>6027</v>
      </c>
      <c r="C1356" t="s">
        <v>102</v>
      </c>
      <c r="D1356" t="s">
        <v>1698</v>
      </c>
      <c r="E1356" t="s">
        <v>584</v>
      </c>
      <c r="F1356" s="1">
        <v>46074.974363425928</v>
      </c>
      <c r="G1356" t="s">
        <v>105</v>
      </c>
      <c r="H1356" t="s">
        <v>106</v>
      </c>
      <c r="I1356" t="s">
        <v>6028</v>
      </c>
      <c r="J1356" t="s">
        <v>108</v>
      </c>
      <c r="K1356" t="s">
        <v>109</v>
      </c>
      <c r="M1356" t="s">
        <v>47</v>
      </c>
      <c r="O1356" t="s">
        <v>77</v>
      </c>
      <c r="P1356" t="s">
        <v>78</v>
      </c>
      <c r="Q1356" t="s">
        <v>50</v>
      </c>
      <c r="R1356" t="s">
        <v>111</v>
      </c>
      <c r="S1356" t="s">
        <v>51</v>
      </c>
      <c r="T1356" t="s">
        <v>112</v>
      </c>
      <c r="U1356" s="1">
        <v>46075.012314814812</v>
      </c>
      <c r="V1356" t="s">
        <v>54</v>
      </c>
      <c r="W1356" t="s">
        <v>55</v>
      </c>
      <c r="X1356" t="s">
        <v>134</v>
      </c>
      <c r="Y1356" t="s">
        <v>6029</v>
      </c>
      <c r="Z1356" t="s">
        <v>5594</v>
      </c>
      <c r="AA1356" t="s">
        <v>54</v>
      </c>
      <c r="AB1356" t="s">
        <v>1701</v>
      </c>
      <c r="AC1356" t="s">
        <v>85</v>
      </c>
      <c r="AD1356" t="s">
        <v>116</v>
      </c>
      <c r="AE1356" t="s">
        <v>117</v>
      </c>
      <c r="AF1356" t="s">
        <v>335</v>
      </c>
      <c r="AG1356" t="s">
        <v>5594</v>
      </c>
      <c r="AK1356">
        <v>1</v>
      </c>
      <c r="AL1356" t="s">
        <v>61</v>
      </c>
      <c r="AM1356" t="s">
        <v>1701</v>
      </c>
      <c r="AN1356" t="s">
        <v>1702</v>
      </c>
    </row>
    <row r="1357" spans="1:40" x14ac:dyDescent="0.35">
      <c r="A1357" t="s">
        <v>37</v>
      </c>
      <c r="B1357" t="s">
        <v>6030</v>
      </c>
      <c r="C1357" t="s">
        <v>102</v>
      </c>
      <c r="D1357" t="s">
        <v>1698</v>
      </c>
      <c r="E1357" t="s">
        <v>584</v>
      </c>
      <c r="F1357" s="1">
        <v>46074.957662037035</v>
      </c>
      <c r="G1357" t="s">
        <v>105</v>
      </c>
      <c r="H1357" t="s">
        <v>106</v>
      </c>
      <c r="I1357" t="s">
        <v>6031</v>
      </c>
      <c r="J1357" t="s">
        <v>108</v>
      </c>
      <c r="K1357" t="s">
        <v>109</v>
      </c>
      <c r="M1357" t="s">
        <v>47</v>
      </c>
      <c r="O1357" t="s">
        <v>77</v>
      </c>
      <c r="P1357" t="s">
        <v>78</v>
      </c>
      <c r="Q1357" t="s">
        <v>50</v>
      </c>
      <c r="R1357" t="s">
        <v>111</v>
      </c>
      <c r="S1357" t="s">
        <v>51</v>
      </c>
      <c r="T1357" t="s">
        <v>112</v>
      </c>
      <c r="U1357" s="1">
        <v>46075.011921296296</v>
      </c>
      <c r="V1357" t="s">
        <v>54</v>
      </c>
      <c r="W1357" t="s">
        <v>55</v>
      </c>
      <c r="X1357" t="s">
        <v>134</v>
      </c>
      <c r="Y1357" t="s">
        <v>6032</v>
      </c>
      <c r="Z1357" t="s">
        <v>5594</v>
      </c>
      <c r="AA1357" t="s">
        <v>54</v>
      </c>
      <c r="AB1357" t="s">
        <v>1701</v>
      </c>
      <c r="AC1357" t="s">
        <v>85</v>
      </c>
      <c r="AD1357" t="s">
        <v>116</v>
      </c>
      <c r="AE1357" t="s">
        <v>117</v>
      </c>
      <c r="AF1357" t="s">
        <v>1874</v>
      </c>
      <c r="AG1357" t="s">
        <v>5594</v>
      </c>
      <c r="AK1357">
        <v>1</v>
      </c>
      <c r="AL1357" t="s">
        <v>61</v>
      </c>
      <c r="AM1357" t="s">
        <v>1701</v>
      </c>
      <c r="AN1357" t="s">
        <v>1702</v>
      </c>
    </row>
    <row r="1358" spans="1:40" x14ac:dyDescent="0.35">
      <c r="A1358" t="s">
        <v>37</v>
      </c>
      <c r="B1358" t="s">
        <v>6033</v>
      </c>
      <c r="C1358" t="s">
        <v>102</v>
      </c>
      <c r="D1358" t="s">
        <v>1698</v>
      </c>
      <c r="E1358" t="s">
        <v>584</v>
      </c>
      <c r="F1358" s="1">
        <v>46074.953460648147</v>
      </c>
      <c r="G1358" t="s">
        <v>105</v>
      </c>
      <c r="H1358" t="s">
        <v>106</v>
      </c>
      <c r="I1358" t="s">
        <v>5840</v>
      </c>
      <c r="J1358" t="s">
        <v>108</v>
      </c>
      <c r="K1358" t="s">
        <v>109</v>
      </c>
      <c r="M1358" t="s">
        <v>47</v>
      </c>
      <c r="O1358" t="s">
        <v>77</v>
      </c>
      <c r="P1358" t="s">
        <v>78</v>
      </c>
      <c r="Q1358" t="s">
        <v>50</v>
      </c>
      <c r="R1358" t="s">
        <v>111</v>
      </c>
      <c r="S1358" t="s">
        <v>51</v>
      </c>
      <c r="T1358" t="s">
        <v>112</v>
      </c>
      <c r="U1358" s="1">
        <v>46075.269652777781</v>
      </c>
      <c r="V1358" t="s">
        <v>54</v>
      </c>
      <c r="W1358" t="s">
        <v>55</v>
      </c>
      <c r="X1358" t="s">
        <v>134</v>
      </c>
      <c r="Y1358" t="s">
        <v>6034</v>
      </c>
      <c r="Z1358" t="s">
        <v>5594</v>
      </c>
      <c r="AA1358" t="s">
        <v>54</v>
      </c>
      <c r="AB1358" t="s">
        <v>1701</v>
      </c>
      <c r="AC1358" t="s">
        <v>85</v>
      </c>
      <c r="AD1358" t="s">
        <v>116</v>
      </c>
      <c r="AE1358" t="s">
        <v>117</v>
      </c>
      <c r="AF1358" t="s">
        <v>118</v>
      </c>
      <c r="AG1358" t="s">
        <v>5594</v>
      </c>
      <c r="AK1358">
        <v>1</v>
      </c>
      <c r="AL1358" t="s">
        <v>61</v>
      </c>
      <c r="AM1358" t="s">
        <v>1701</v>
      </c>
      <c r="AN1358" t="s">
        <v>1702</v>
      </c>
    </row>
    <row r="1359" spans="1:40" x14ac:dyDescent="0.35">
      <c r="A1359" t="s">
        <v>37</v>
      </c>
      <c r="B1359" t="s">
        <v>6035</v>
      </c>
      <c r="C1359" t="s">
        <v>102</v>
      </c>
      <c r="D1359" t="s">
        <v>181</v>
      </c>
      <c r="E1359" t="s">
        <v>182</v>
      </c>
      <c r="F1359" s="1">
        <v>46074.94940972222</v>
      </c>
      <c r="G1359" t="s">
        <v>105</v>
      </c>
      <c r="H1359" t="s">
        <v>106</v>
      </c>
      <c r="I1359" t="s">
        <v>183</v>
      </c>
      <c r="J1359" t="s">
        <v>108</v>
      </c>
      <c r="K1359" t="s">
        <v>109</v>
      </c>
      <c r="M1359" t="s">
        <v>47</v>
      </c>
      <c r="O1359" t="s">
        <v>77</v>
      </c>
      <c r="P1359" t="s">
        <v>78</v>
      </c>
      <c r="Q1359" t="s">
        <v>50</v>
      </c>
      <c r="R1359" t="s">
        <v>111</v>
      </c>
      <c r="S1359" t="s">
        <v>51</v>
      </c>
      <c r="T1359" t="s">
        <v>112</v>
      </c>
      <c r="U1359" s="1">
        <v>46075.013020833336</v>
      </c>
      <c r="V1359" t="s">
        <v>54</v>
      </c>
      <c r="W1359" t="s">
        <v>55</v>
      </c>
      <c r="X1359" t="s">
        <v>82</v>
      </c>
      <c r="Y1359" t="s">
        <v>6036</v>
      </c>
      <c r="Z1359" t="s">
        <v>5594</v>
      </c>
      <c r="AA1359" t="s">
        <v>54</v>
      </c>
      <c r="AB1359" t="s">
        <v>115</v>
      </c>
      <c r="AC1359" t="s">
        <v>85</v>
      </c>
      <c r="AD1359" t="s">
        <v>116</v>
      </c>
      <c r="AE1359" t="s">
        <v>117</v>
      </c>
      <c r="AF1359" t="s">
        <v>144</v>
      </c>
      <c r="AG1359" t="s">
        <v>5594</v>
      </c>
      <c r="AH1359" t="s">
        <v>185</v>
      </c>
      <c r="AK1359">
        <v>1</v>
      </c>
      <c r="AL1359" t="s">
        <v>61</v>
      </c>
      <c r="AM1359" t="s">
        <v>186</v>
      </c>
      <c r="AN1359" t="s">
        <v>187</v>
      </c>
    </row>
    <row r="1360" spans="1:40" x14ac:dyDescent="0.35">
      <c r="A1360" t="s">
        <v>37</v>
      </c>
      <c r="B1360" t="s">
        <v>6037</v>
      </c>
      <c r="C1360" t="s">
        <v>102</v>
      </c>
      <c r="D1360" t="s">
        <v>1698</v>
      </c>
      <c r="E1360" t="s">
        <v>584</v>
      </c>
      <c r="F1360" s="1">
        <v>46074.943645833337</v>
      </c>
      <c r="G1360" t="s">
        <v>105</v>
      </c>
      <c r="H1360" t="s">
        <v>106</v>
      </c>
      <c r="I1360" t="s">
        <v>1726</v>
      </c>
      <c r="J1360" t="s">
        <v>108</v>
      </c>
      <c r="K1360" t="s">
        <v>109</v>
      </c>
      <c r="M1360" t="s">
        <v>47</v>
      </c>
      <c r="O1360" t="s">
        <v>77</v>
      </c>
      <c r="P1360" t="s">
        <v>78</v>
      </c>
      <c r="Q1360" t="s">
        <v>50</v>
      </c>
      <c r="R1360" t="s">
        <v>111</v>
      </c>
      <c r="S1360" t="s">
        <v>51</v>
      </c>
      <c r="T1360" t="s">
        <v>112</v>
      </c>
      <c r="U1360" s="1">
        <v>46075.011574074073</v>
      </c>
      <c r="V1360" t="s">
        <v>54</v>
      </c>
      <c r="W1360" t="s">
        <v>55</v>
      </c>
      <c r="X1360" t="s">
        <v>134</v>
      </c>
      <c r="Y1360" t="s">
        <v>6038</v>
      </c>
      <c r="Z1360" t="s">
        <v>5594</v>
      </c>
      <c r="AA1360" t="s">
        <v>54</v>
      </c>
      <c r="AB1360" t="s">
        <v>1701</v>
      </c>
      <c r="AC1360" t="s">
        <v>85</v>
      </c>
      <c r="AD1360" t="s">
        <v>116</v>
      </c>
      <c r="AE1360" t="s">
        <v>117</v>
      </c>
      <c r="AF1360" t="s">
        <v>118</v>
      </c>
      <c r="AG1360" t="s">
        <v>5594</v>
      </c>
      <c r="AK1360">
        <v>1</v>
      </c>
      <c r="AL1360" t="s">
        <v>61</v>
      </c>
      <c r="AM1360" t="s">
        <v>1701</v>
      </c>
      <c r="AN1360" t="s">
        <v>1702</v>
      </c>
    </row>
    <row r="1361" spans="1:40" x14ac:dyDescent="0.35">
      <c r="A1361" t="s">
        <v>37</v>
      </c>
      <c r="B1361" t="s">
        <v>6039</v>
      </c>
      <c r="C1361" t="s">
        <v>102</v>
      </c>
      <c r="D1361" t="s">
        <v>1698</v>
      </c>
      <c r="E1361" t="s">
        <v>584</v>
      </c>
      <c r="F1361" s="1">
        <v>46074.917164351849</v>
      </c>
      <c r="G1361" t="s">
        <v>105</v>
      </c>
      <c r="H1361" t="s">
        <v>106</v>
      </c>
      <c r="I1361" t="s">
        <v>6040</v>
      </c>
      <c r="J1361" t="s">
        <v>108</v>
      </c>
      <c r="K1361" t="s">
        <v>571</v>
      </c>
      <c r="M1361" t="s">
        <v>47</v>
      </c>
      <c r="O1361" t="s">
        <v>77</v>
      </c>
      <c r="P1361" t="s">
        <v>78</v>
      </c>
      <c r="Q1361" t="s">
        <v>50</v>
      </c>
      <c r="R1361" t="s">
        <v>111</v>
      </c>
      <c r="S1361" t="s">
        <v>51</v>
      </c>
      <c r="T1361" t="s">
        <v>112</v>
      </c>
      <c r="U1361" s="1">
        <v>46075.010636574072</v>
      </c>
      <c r="V1361" t="s">
        <v>54</v>
      </c>
      <c r="W1361" t="s">
        <v>55</v>
      </c>
      <c r="X1361" t="s">
        <v>134</v>
      </c>
      <c r="Y1361" t="s">
        <v>6041</v>
      </c>
      <c r="Z1361" t="s">
        <v>5594</v>
      </c>
      <c r="AA1361" t="s">
        <v>54</v>
      </c>
      <c r="AB1361" t="s">
        <v>1701</v>
      </c>
      <c r="AC1361" t="s">
        <v>85</v>
      </c>
      <c r="AD1361" t="s">
        <v>116</v>
      </c>
      <c r="AE1361" t="s">
        <v>574</v>
      </c>
      <c r="AF1361" t="s">
        <v>144</v>
      </c>
      <c r="AG1361" t="s">
        <v>5594</v>
      </c>
      <c r="AK1361">
        <v>1</v>
      </c>
      <c r="AL1361" t="s">
        <v>61</v>
      </c>
      <c r="AM1361" t="s">
        <v>1701</v>
      </c>
      <c r="AN1361" t="s">
        <v>1702</v>
      </c>
    </row>
    <row r="1362" spans="1:40" x14ac:dyDescent="0.35">
      <c r="A1362" t="s">
        <v>37</v>
      </c>
      <c r="B1362" t="s">
        <v>6042</v>
      </c>
      <c r="C1362" t="s">
        <v>39</v>
      </c>
      <c r="D1362" t="s">
        <v>40</v>
      </c>
      <c r="E1362" t="s">
        <v>41</v>
      </c>
      <c r="F1362" s="1">
        <v>46074.898912037039</v>
      </c>
      <c r="G1362" t="s">
        <v>42</v>
      </c>
      <c r="H1362" t="s">
        <v>43</v>
      </c>
      <c r="I1362" t="s">
        <v>6043</v>
      </c>
      <c r="J1362" t="s">
        <v>45</v>
      </c>
      <c r="K1362" t="s">
        <v>46</v>
      </c>
      <c r="M1362" t="s">
        <v>47</v>
      </c>
      <c r="O1362" t="s">
        <v>48</v>
      </c>
      <c r="P1362" t="s">
        <v>49</v>
      </c>
      <c r="Q1362" t="s">
        <v>50</v>
      </c>
      <c r="R1362" t="s">
        <v>51</v>
      </c>
      <c r="S1362" t="s">
        <v>52</v>
      </c>
      <c r="T1362" t="s">
        <v>53</v>
      </c>
      <c r="U1362" s="1">
        <v>46074.899641203701</v>
      </c>
      <c r="V1362" t="s">
        <v>54</v>
      </c>
      <c r="W1362" t="s">
        <v>55</v>
      </c>
      <c r="X1362" t="s">
        <v>56</v>
      </c>
      <c r="Y1362" t="s">
        <v>57</v>
      </c>
      <c r="Z1362" t="s">
        <v>5594</v>
      </c>
      <c r="AA1362" t="s">
        <v>54</v>
      </c>
      <c r="AB1362" t="s">
        <v>59</v>
      </c>
      <c r="AC1362" t="s">
        <v>60</v>
      </c>
      <c r="AD1362" t="s">
        <v>51</v>
      </c>
      <c r="AE1362" t="s">
        <v>52</v>
      </c>
      <c r="AF1362" t="s">
        <v>53</v>
      </c>
      <c r="AG1362" t="s">
        <v>5594</v>
      </c>
      <c r="AK1362">
        <v>0</v>
      </c>
      <c r="AL1362" t="s">
        <v>61</v>
      </c>
      <c r="AM1362" t="s">
        <v>59</v>
      </c>
      <c r="AN1362" t="s">
        <v>62</v>
      </c>
    </row>
    <row r="1363" spans="1:40" x14ac:dyDescent="0.35">
      <c r="A1363" t="s">
        <v>37</v>
      </c>
      <c r="B1363" t="s">
        <v>6044</v>
      </c>
      <c r="C1363" t="s">
        <v>39</v>
      </c>
      <c r="D1363" t="s">
        <v>40</v>
      </c>
      <c r="E1363" t="s">
        <v>41</v>
      </c>
      <c r="F1363" s="1">
        <v>46074.890474537038</v>
      </c>
      <c r="G1363" t="s">
        <v>42</v>
      </c>
      <c r="H1363" t="s">
        <v>43</v>
      </c>
      <c r="I1363" t="s">
        <v>6045</v>
      </c>
      <c r="J1363" t="s">
        <v>45</v>
      </c>
      <c r="K1363" t="s">
        <v>46</v>
      </c>
      <c r="M1363" t="s">
        <v>47</v>
      </c>
      <c r="O1363" t="s">
        <v>48</v>
      </c>
      <c r="P1363" t="s">
        <v>49</v>
      </c>
      <c r="Q1363" t="s">
        <v>50</v>
      </c>
      <c r="R1363" t="s">
        <v>51</v>
      </c>
      <c r="S1363" t="s">
        <v>52</v>
      </c>
      <c r="T1363" t="s">
        <v>53</v>
      </c>
      <c r="U1363" s="1">
        <v>46074.891122685185</v>
      </c>
      <c r="V1363" t="s">
        <v>54</v>
      </c>
      <c r="W1363" t="s">
        <v>55</v>
      </c>
      <c r="X1363" t="s">
        <v>56</v>
      </c>
      <c r="Y1363" t="s">
        <v>57</v>
      </c>
      <c r="Z1363" t="s">
        <v>5594</v>
      </c>
      <c r="AA1363" t="s">
        <v>54</v>
      </c>
      <c r="AB1363" t="s">
        <v>59</v>
      </c>
      <c r="AC1363" t="s">
        <v>60</v>
      </c>
      <c r="AD1363" t="s">
        <v>51</v>
      </c>
      <c r="AE1363" t="s">
        <v>52</v>
      </c>
      <c r="AF1363" t="s">
        <v>53</v>
      </c>
      <c r="AG1363" t="s">
        <v>5594</v>
      </c>
      <c r="AK1363">
        <v>0</v>
      </c>
      <c r="AL1363" t="s">
        <v>61</v>
      </c>
      <c r="AM1363" t="s">
        <v>59</v>
      </c>
      <c r="AN1363" t="s">
        <v>62</v>
      </c>
    </row>
    <row r="1364" spans="1:40" x14ac:dyDescent="0.35">
      <c r="A1364" t="s">
        <v>37</v>
      </c>
      <c r="B1364" t="s">
        <v>6046</v>
      </c>
      <c r="C1364" t="s">
        <v>102</v>
      </c>
      <c r="D1364" t="s">
        <v>1698</v>
      </c>
      <c r="E1364" t="s">
        <v>584</v>
      </c>
      <c r="F1364" s="1">
        <v>46074.889305555553</v>
      </c>
      <c r="G1364" t="s">
        <v>105</v>
      </c>
      <c r="H1364" t="s">
        <v>106</v>
      </c>
      <c r="I1364" t="s">
        <v>5924</v>
      </c>
      <c r="J1364" t="s">
        <v>108</v>
      </c>
      <c r="K1364" t="s">
        <v>109</v>
      </c>
      <c r="M1364" t="s">
        <v>47</v>
      </c>
      <c r="O1364" t="s">
        <v>77</v>
      </c>
      <c r="P1364" t="s">
        <v>78</v>
      </c>
      <c r="Q1364" t="s">
        <v>50</v>
      </c>
      <c r="R1364" t="s">
        <v>111</v>
      </c>
      <c r="S1364" t="s">
        <v>51</v>
      </c>
      <c r="T1364" t="s">
        <v>112</v>
      </c>
      <c r="U1364" s="1">
        <v>46075.012604166666</v>
      </c>
      <c r="V1364" t="s">
        <v>54</v>
      </c>
      <c r="W1364" t="s">
        <v>55</v>
      </c>
      <c r="X1364" t="s">
        <v>134</v>
      </c>
      <c r="Y1364" t="s">
        <v>6047</v>
      </c>
      <c r="Z1364" t="s">
        <v>5594</v>
      </c>
      <c r="AA1364" t="s">
        <v>54</v>
      </c>
      <c r="AB1364" t="s">
        <v>1701</v>
      </c>
      <c r="AC1364" t="s">
        <v>85</v>
      </c>
      <c r="AD1364" t="s">
        <v>116</v>
      </c>
      <c r="AE1364" t="s">
        <v>117</v>
      </c>
      <c r="AF1364" t="s">
        <v>1874</v>
      </c>
      <c r="AG1364" t="s">
        <v>5594</v>
      </c>
      <c r="AK1364">
        <v>1</v>
      </c>
      <c r="AL1364" t="s">
        <v>61</v>
      </c>
      <c r="AM1364" t="s">
        <v>1701</v>
      </c>
      <c r="AN1364" t="s">
        <v>1702</v>
      </c>
    </row>
    <row r="1365" spans="1:40" x14ac:dyDescent="0.35">
      <c r="A1365" t="s">
        <v>37</v>
      </c>
      <c r="B1365" t="s">
        <v>6048</v>
      </c>
      <c r="C1365" t="s">
        <v>39</v>
      </c>
      <c r="D1365" t="s">
        <v>40</v>
      </c>
      <c r="E1365" t="s">
        <v>41</v>
      </c>
      <c r="F1365" s="1">
        <v>46074.883576388886</v>
      </c>
      <c r="G1365" t="s">
        <v>42</v>
      </c>
      <c r="H1365" t="s">
        <v>43</v>
      </c>
      <c r="I1365" t="s">
        <v>6049</v>
      </c>
      <c r="J1365" t="s">
        <v>45</v>
      </c>
      <c r="K1365" t="s">
        <v>46</v>
      </c>
      <c r="M1365" t="s">
        <v>47</v>
      </c>
      <c r="O1365" t="s">
        <v>48</v>
      </c>
      <c r="P1365" t="s">
        <v>49</v>
      </c>
      <c r="Q1365" t="s">
        <v>50</v>
      </c>
      <c r="R1365" t="s">
        <v>51</v>
      </c>
      <c r="S1365" t="s">
        <v>52</v>
      </c>
      <c r="T1365" t="s">
        <v>53</v>
      </c>
      <c r="U1365" s="1">
        <v>46074.884270833332</v>
      </c>
      <c r="V1365" t="s">
        <v>54</v>
      </c>
      <c r="W1365" t="s">
        <v>55</v>
      </c>
      <c r="X1365" t="s">
        <v>56</v>
      </c>
      <c r="Y1365" t="s">
        <v>65</v>
      </c>
      <c r="Z1365" t="s">
        <v>5594</v>
      </c>
      <c r="AA1365" t="s">
        <v>54</v>
      </c>
      <c r="AB1365" t="s">
        <v>59</v>
      </c>
      <c r="AC1365" t="s">
        <v>60</v>
      </c>
      <c r="AD1365" t="s">
        <v>51</v>
      </c>
      <c r="AE1365" t="s">
        <v>52</v>
      </c>
      <c r="AF1365" t="s">
        <v>53</v>
      </c>
      <c r="AG1365" t="s">
        <v>5594</v>
      </c>
      <c r="AK1365">
        <v>0</v>
      </c>
      <c r="AL1365" t="s">
        <v>61</v>
      </c>
      <c r="AM1365" t="s">
        <v>59</v>
      </c>
      <c r="AN1365" t="s">
        <v>62</v>
      </c>
    </row>
    <row r="1366" spans="1:40" x14ac:dyDescent="0.35">
      <c r="A1366" t="s">
        <v>37</v>
      </c>
      <c r="B1366" t="s">
        <v>6050</v>
      </c>
      <c r="C1366" t="s">
        <v>102</v>
      </c>
      <c r="D1366" t="s">
        <v>181</v>
      </c>
      <c r="E1366" t="s">
        <v>182</v>
      </c>
      <c r="F1366" s="1">
        <v>46074.870868055557</v>
      </c>
      <c r="G1366" t="s">
        <v>105</v>
      </c>
      <c r="H1366" t="s">
        <v>106</v>
      </c>
      <c r="I1366" t="s">
        <v>3414</v>
      </c>
      <c r="J1366" t="s">
        <v>108</v>
      </c>
      <c r="K1366" t="s">
        <v>109</v>
      </c>
      <c r="M1366" t="s">
        <v>47</v>
      </c>
      <c r="O1366" t="s">
        <v>77</v>
      </c>
      <c r="P1366" t="s">
        <v>78</v>
      </c>
      <c r="Q1366" t="s">
        <v>50</v>
      </c>
      <c r="R1366" t="s">
        <v>111</v>
      </c>
      <c r="S1366" t="s">
        <v>51</v>
      </c>
      <c r="T1366" t="s">
        <v>112</v>
      </c>
      <c r="U1366" s="1">
        <v>46075.01353009259</v>
      </c>
      <c r="V1366" t="s">
        <v>54</v>
      </c>
      <c r="W1366" t="s">
        <v>55</v>
      </c>
      <c r="X1366" t="s">
        <v>82</v>
      </c>
      <c r="Y1366" t="s">
        <v>6051</v>
      </c>
      <c r="Z1366" t="s">
        <v>5594</v>
      </c>
      <c r="AA1366" t="s">
        <v>54</v>
      </c>
      <c r="AB1366" t="s">
        <v>115</v>
      </c>
      <c r="AC1366" t="s">
        <v>85</v>
      </c>
      <c r="AD1366" t="s">
        <v>116</v>
      </c>
      <c r="AE1366" t="s">
        <v>117</v>
      </c>
      <c r="AF1366" t="s">
        <v>118</v>
      </c>
      <c r="AG1366" t="s">
        <v>5594</v>
      </c>
      <c r="AH1366" t="s">
        <v>185</v>
      </c>
      <c r="AK1366">
        <v>1</v>
      </c>
      <c r="AL1366" t="s">
        <v>61</v>
      </c>
      <c r="AM1366" t="s">
        <v>186</v>
      </c>
      <c r="AN1366" t="s">
        <v>187</v>
      </c>
    </row>
    <row r="1367" spans="1:40" x14ac:dyDescent="0.35">
      <c r="A1367" t="s">
        <v>37</v>
      </c>
      <c r="B1367" t="s">
        <v>6052</v>
      </c>
      <c r="C1367" t="s">
        <v>102</v>
      </c>
      <c r="D1367" t="s">
        <v>181</v>
      </c>
      <c r="E1367" t="s">
        <v>182</v>
      </c>
      <c r="F1367" s="1">
        <v>46074.869814814818</v>
      </c>
      <c r="G1367" t="s">
        <v>105</v>
      </c>
      <c r="H1367" t="s">
        <v>106</v>
      </c>
      <c r="I1367" t="s">
        <v>332</v>
      </c>
      <c r="J1367" t="s">
        <v>108</v>
      </c>
      <c r="K1367" t="s">
        <v>341</v>
      </c>
      <c r="M1367" t="s">
        <v>47</v>
      </c>
      <c r="O1367" t="s">
        <v>77</v>
      </c>
      <c r="P1367" t="s">
        <v>78</v>
      </c>
      <c r="Q1367" t="s">
        <v>50</v>
      </c>
      <c r="R1367" t="s">
        <v>111</v>
      </c>
      <c r="S1367" t="s">
        <v>51</v>
      </c>
      <c r="T1367" t="s">
        <v>112</v>
      </c>
      <c r="U1367" s="1">
        <v>46075.387141203704</v>
      </c>
      <c r="V1367" t="s">
        <v>54</v>
      </c>
      <c r="X1367" t="s">
        <v>82</v>
      </c>
      <c r="Y1367" t="s">
        <v>6053</v>
      </c>
      <c r="Z1367" t="s">
        <v>5594</v>
      </c>
      <c r="AA1367" t="s">
        <v>54</v>
      </c>
      <c r="AB1367" t="s">
        <v>115</v>
      </c>
      <c r="AC1367" t="s">
        <v>85</v>
      </c>
      <c r="AD1367" t="s">
        <v>116</v>
      </c>
      <c r="AE1367" t="s">
        <v>574</v>
      </c>
      <c r="AF1367" t="s">
        <v>343</v>
      </c>
      <c r="AG1367" t="s">
        <v>5594</v>
      </c>
      <c r="AH1367" t="s">
        <v>185</v>
      </c>
      <c r="AK1367">
        <v>1</v>
      </c>
      <c r="AL1367" t="s">
        <v>61</v>
      </c>
      <c r="AM1367" t="s">
        <v>186</v>
      </c>
      <c r="AN1367" t="s">
        <v>187</v>
      </c>
    </row>
    <row r="1368" spans="1:40" x14ac:dyDescent="0.35">
      <c r="A1368" t="s">
        <v>37</v>
      </c>
      <c r="B1368" t="s">
        <v>6054</v>
      </c>
      <c r="C1368" t="s">
        <v>39</v>
      </c>
      <c r="D1368" t="s">
        <v>40</v>
      </c>
      <c r="E1368" t="s">
        <v>41</v>
      </c>
      <c r="F1368" s="1">
        <v>46074.857129629629</v>
      </c>
      <c r="G1368" t="s">
        <v>42</v>
      </c>
      <c r="H1368" t="s">
        <v>43</v>
      </c>
      <c r="I1368" t="s">
        <v>6055</v>
      </c>
      <c r="J1368" t="s">
        <v>45</v>
      </c>
      <c r="K1368" t="s">
        <v>46</v>
      </c>
      <c r="M1368" t="s">
        <v>47</v>
      </c>
      <c r="O1368" t="s">
        <v>48</v>
      </c>
      <c r="P1368" t="s">
        <v>49</v>
      </c>
      <c r="Q1368" t="s">
        <v>50</v>
      </c>
      <c r="R1368" t="s">
        <v>51</v>
      </c>
      <c r="S1368" t="s">
        <v>52</v>
      </c>
      <c r="T1368" t="s">
        <v>53</v>
      </c>
      <c r="U1368" s="1">
        <v>46074.857789351852</v>
      </c>
      <c r="V1368" t="s">
        <v>54</v>
      </c>
      <c r="W1368" t="s">
        <v>55</v>
      </c>
      <c r="X1368" t="s">
        <v>56</v>
      </c>
      <c r="Y1368" t="s">
        <v>57</v>
      </c>
      <c r="Z1368" t="s">
        <v>5594</v>
      </c>
      <c r="AA1368" t="s">
        <v>54</v>
      </c>
      <c r="AB1368" t="s">
        <v>59</v>
      </c>
      <c r="AC1368" t="s">
        <v>60</v>
      </c>
      <c r="AD1368" t="s">
        <v>51</v>
      </c>
      <c r="AE1368" t="s">
        <v>52</v>
      </c>
      <c r="AF1368" t="s">
        <v>53</v>
      </c>
      <c r="AG1368" t="s">
        <v>5594</v>
      </c>
      <c r="AK1368">
        <v>0</v>
      </c>
      <c r="AL1368" t="s">
        <v>61</v>
      </c>
      <c r="AM1368" t="s">
        <v>59</v>
      </c>
      <c r="AN1368" t="s">
        <v>62</v>
      </c>
    </row>
    <row r="1369" spans="1:40" x14ac:dyDescent="0.35">
      <c r="A1369" t="s">
        <v>37</v>
      </c>
      <c r="B1369" t="s">
        <v>6056</v>
      </c>
      <c r="C1369" t="s">
        <v>39</v>
      </c>
      <c r="D1369" t="s">
        <v>40</v>
      </c>
      <c r="E1369" t="s">
        <v>41</v>
      </c>
      <c r="F1369" s="1">
        <v>46074.848796296297</v>
      </c>
      <c r="G1369" t="s">
        <v>42</v>
      </c>
      <c r="H1369" t="s">
        <v>43</v>
      </c>
      <c r="I1369" t="s">
        <v>6057</v>
      </c>
      <c r="J1369" t="s">
        <v>45</v>
      </c>
      <c r="K1369" t="s">
        <v>46</v>
      </c>
      <c r="M1369" t="s">
        <v>47</v>
      </c>
      <c r="O1369" t="s">
        <v>48</v>
      </c>
      <c r="P1369" t="s">
        <v>49</v>
      </c>
      <c r="Q1369" t="s">
        <v>50</v>
      </c>
      <c r="R1369" t="s">
        <v>51</v>
      </c>
      <c r="S1369" t="s">
        <v>52</v>
      </c>
      <c r="T1369" t="s">
        <v>53</v>
      </c>
      <c r="U1369" s="1">
        <v>46074.84946759259</v>
      </c>
      <c r="V1369" t="s">
        <v>54</v>
      </c>
      <c r="W1369" t="s">
        <v>55</v>
      </c>
      <c r="X1369" t="s">
        <v>56</v>
      </c>
      <c r="Y1369" t="s">
        <v>57</v>
      </c>
      <c r="Z1369" t="s">
        <v>5594</v>
      </c>
      <c r="AA1369" t="s">
        <v>54</v>
      </c>
      <c r="AB1369" t="s">
        <v>59</v>
      </c>
      <c r="AC1369" t="s">
        <v>60</v>
      </c>
      <c r="AD1369" t="s">
        <v>51</v>
      </c>
      <c r="AE1369" t="s">
        <v>52</v>
      </c>
      <c r="AF1369" t="s">
        <v>53</v>
      </c>
      <c r="AG1369" t="s">
        <v>5594</v>
      </c>
      <c r="AK1369">
        <v>0</v>
      </c>
      <c r="AL1369" t="s">
        <v>61</v>
      </c>
      <c r="AM1369" t="s">
        <v>59</v>
      </c>
      <c r="AN1369" t="s">
        <v>62</v>
      </c>
    </row>
    <row r="1370" spans="1:40" x14ac:dyDescent="0.35">
      <c r="A1370" t="s">
        <v>37</v>
      </c>
      <c r="B1370" t="s">
        <v>6058</v>
      </c>
      <c r="C1370" t="s">
        <v>39</v>
      </c>
      <c r="D1370" t="s">
        <v>40</v>
      </c>
      <c r="E1370" t="s">
        <v>41</v>
      </c>
      <c r="F1370" s="1">
        <v>46074.848738425928</v>
      </c>
      <c r="G1370" t="s">
        <v>42</v>
      </c>
      <c r="H1370" t="s">
        <v>43</v>
      </c>
      <c r="I1370" t="s">
        <v>6059</v>
      </c>
      <c r="J1370" t="s">
        <v>45</v>
      </c>
      <c r="K1370" t="s">
        <v>46</v>
      </c>
      <c r="M1370" t="s">
        <v>47</v>
      </c>
      <c r="O1370" t="s">
        <v>48</v>
      </c>
      <c r="P1370" t="s">
        <v>49</v>
      </c>
      <c r="Q1370" t="s">
        <v>50</v>
      </c>
      <c r="R1370" t="s">
        <v>51</v>
      </c>
      <c r="S1370" t="s">
        <v>52</v>
      </c>
      <c r="T1370" t="s">
        <v>53</v>
      </c>
      <c r="U1370" s="1">
        <v>46074.849363425928</v>
      </c>
      <c r="V1370" t="s">
        <v>54</v>
      </c>
      <c r="W1370" t="s">
        <v>55</v>
      </c>
      <c r="X1370" t="s">
        <v>56</v>
      </c>
      <c r="Y1370" t="s">
        <v>57</v>
      </c>
      <c r="Z1370" t="s">
        <v>5594</v>
      </c>
      <c r="AA1370" t="s">
        <v>54</v>
      </c>
      <c r="AB1370" t="s">
        <v>59</v>
      </c>
      <c r="AC1370" t="s">
        <v>60</v>
      </c>
      <c r="AD1370" t="s">
        <v>51</v>
      </c>
      <c r="AE1370" t="s">
        <v>52</v>
      </c>
      <c r="AF1370" t="s">
        <v>53</v>
      </c>
      <c r="AG1370" t="s">
        <v>5594</v>
      </c>
      <c r="AK1370">
        <v>0</v>
      </c>
      <c r="AL1370" t="s">
        <v>61</v>
      </c>
      <c r="AM1370" t="s">
        <v>59</v>
      </c>
      <c r="AN1370" t="s">
        <v>62</v>
      </c>
    </row>
    <row r="1371" spans="1:40" x14ac:dyDescent="0.35">
      <c r="A1371" t="s">
        <v>37</v>
      </c>
      <c r="B1371" t="s">
        <v>6060</v>
      </c>
      <c r="C1371" t="s">
        <v>102</v>
      </c>
      <c r="D1371" t="s">
        <v>1698</v>
      </c>
      <c r="E1371" t="s">
        <v>584</v>
      </c>
      <c r="F1371" s="1">
        <v>46074.830196759256</v>
      </c>
      <c r="G1371" t="s">
        <v>105</v>
      </c>
      <c r="H1371" t="s">
        <v>106</v>
      </c>
      <c r="I1371" t="s">
        <v>5994</v>
      </c>
      <c r="J1371" t="s">
        <v>108</v>
      </c>
      <c r="K1371" t="s">
        <v>571</v>
      </c>
      <c r="M1371" t="s">
        <v>47</v>
      </c>
      <c r="O1371" t="s">
        <v>77</v>
      </c>
      <c r="P1371" t="s">
        <v>78</v>
      </c>
      <c r="Q1371" t="s">
        <v>50</v>
      </c>
      <c r="R1371" t="s">
        <v>111</v>
      </c>
      <c r="S1371" t="s">
        <v>51</v>
      </c>
      <c r="T1371" t="s">
        <v>112</v>
      </c>
      <c r="U1371" s="1">
        <v>46075.011134259257</v>
      </c>
      <c r="V1371" t="s">
        <v>54</v>
      </c>
      <c r="W1371" t="s">
        <v>55</v>
      </c>
      <c r="X1371" t="s">
        <v>134</v>
      </c>
      <c r="Y1371" t="s">
        <v>6061</v>
      </c>
      <c r="Z1371" t="s">
        <v>5594</v>
      </c>
      <c r="AA1371" t="s">
        <v>54</v>
      </c>
      <c r="AB1371" t="s">
        <v>1701</v>
      </c>
      <c r="AC1371" t="s">
        <v>85</v>
      </c>
      <c r="AD1371" t="s">
        <v>116</v>
      </c>
      <c r="AE1371" t="s">
        <v>574</v>
      </c>
      <c r="AF1371" t="s">
        <v>1874</v>
      </c>
      <c r="AG1371" t="s">
        <v>5594</v>
      </c>
      <c r="AK1371">
        <v>1</v>
      </c>
      <c r="AL1371" t="s">
        <v>61</v>
      </c>
      <c r="AM1371" t="s">
        <v>1701</v>
      </c>
      <c r="AN1371" t="s">
        <v>1702</v>
      </c>
    </row>
    <row r="1372" spans="1:40" x14ac:dyDescent="0.35">
      <c r="A1372" t="s">
        <v>37</v>
      </c>
      <c r="B1372" t="s">
        <v>6062</v>
      </c>
      <c r="C1372" t="s">
        <v>102</v>
      </c>
      <c r="D1372" t="s">
        <v>1698</v>
      </c>
      <c r="E1372" t="s">
        <v>584</v>
      </c>
      <c r="F1372" s="1">
        <v>46074.81627314815</v>
      </c>
      <c r="G1372" t="s">
        <v>105</v>
      </c>
      <c r="H1372" t="s">
        <v>106</v>
      </c>
      <c r="I1372" t="s">
        <v>6063</v>
      </c>
      <c r="J1372" t="s">
        <v>108</v>
      </c>
      <c r="K1372" t="s">
        <v>109</v>
      </c>
      <c r="M1372" t="s">
        <v>47</v>
      </c>
      <c r="O1372" t="s">
        <v>77</v>
      </c>
      <c r="P1372" t="s">
        <v>78</v>
      </c>
      <c r="Q1372" t="s">
        <v>50</v>
      </c>
      <c r="R1372" t="s">
        <v>111</v>
      </c>
      <c r="S1372" t="s">
        <v>51</v>
      </c>
      <c r="T1372" t="s">
        <v>112</v>
      </c>
      <c r="U1372" s="1">
        <v>46075.014166666668</v>
      </c>
      <c r="V1372" t="s">
        <v>54</v>
      </c>
      <c r="W1372" t="s">
        <v>55</v>
      </c>
      <c r="X1372" t="s">
        <v>134</v>
      </c>
      <c r="Y1372" t="s">
        <v>6064</v>
      </c>
      <c r="Z1372" t="s">
        <v>5594</v>
      </c>
      <c r="AA1372" t="s">
        <v>54</v>
      </c>
      <c r="AB1372" t="s">
        <v>1701</v>
      </c>
      <c r="AC1372" t="s">
        <v>85</v>
      </c>
      <c r="AD1372" t="s">
        <v>116</v>
      </c>
      <c r="AE1372" t="s">
        <v>117</v>
      </c>
      <c r="AF1372" t="s">
        <v>5119</v>
      </c>
      <c r="AG1372" t="s">
        <v>5594</v>
      </c>
      <c r="AK1372">
        <v>1</v>
      </c>
      <c r="AL1372" t="s">
        <v>61</v>
      </c>
      <c r="AM1372" t="s">
        <v>1701</v>
      </c>
      <c r="AN1372" t="s">
        <v>1702</v>
      </c>
    </row>
    <row r="1373" spans="1:40" x14ac:dyDescent="0.35">
      <c r="A1373" t="s">
        <v>37</v>
      </c>
      <c r="B1373" t="s">
        <v>6065</v>
      </c>
      <c r="C1373" t="s">
        <v>102</v>
      </c>
      <c r="D1373" t="s">
        <v>1698</v>
      </c>
      <c r="E1373" t="s">
        <v>584</v>
      </c>
      <c r="F1373" s="1">
        <v>46074.814837962964</v>
      </c>
      <c r="G1373" t="s">
        <v>105</v>
      </c>
      <c r="H1373" t="s">
        <v>106</v>
      </c>
      <c r="I1373" t="s">
        <v>5138</v>
      </c>
      <c r="J1373" t="s">
        <v>108</v>
      </c>
      <c r="K1373" t="s">
        <v>109</v>
      </c>
      <c r="M1373" t="s">
        <v>47</v>
      </c>
      <c r="O1373" t="s">
        <v>77</v>
      </c>
      <c r="P1373" t="s">
        <v>78</v>
      </c>
      <c r="Q1373" t="s">
        <v>50</v>
      </c>
      <c r="R1373" t="s">
        <v>111</v>
      </c>
      <c r="S1373" t="s">
        <v>51</v>
      </c>
      <c r="T1373" t="s">
        <v>112</v>
      </c>
      <c r="U1373" s="1">
        <v>46074.871481481481</v>
      </c>
      <c r="V1373" t="s">
        <v>54</v>
      </c>
      <c r="W1373" t="s">
        <v>55</v>
      </c>
      <c r="X1373" t="s">
        <v>134</v>
      </c>
      <c r="Y1373" t="s">
        <v>6066</v>
      </c>
      <c r="Z1373" t="s">
        <v>5594</v>
      </c>
      <c r="AA1373" t="s">
        <v>54</v>
      </c>
      <c r="AB1373" t="s">
        <v>1701</v>
      </c>
      <c r="AC1373" t="s">
        <v>85</v>
      </c>
      <c r="AD1373" t="s">
        <v>116</v>
      </c>
      <c r="AE1373" t="s">
        <v>334</v>
      </c>
      <c r="AF1373" t="s">
        <v>1706</v>
      </c>
      <c r="AG1373" t="s">
        <v>5594</v>
      </c>
      <c r="AK1373">
        <v>1</v>
      </c>
      <c r="AL1373" t="s">
        <v>61</v>
      </c>
      <c r="AM1373" t="s">
        <v>1701</v>
      </c>
      <c r="AN1373" t="s">
        <v>1702</v>
      </c>
    </row>
    <row r="1374" spans="1:40" x14ac:dyDescent="0.35">
      <c r="A1374" t="s">
        <v>37</v>
      </c>
      <c r="B1374" t="s">
        <v>6067</v>
      </c>
      <c r="C1374" t="s">
        <v>102</v>
      </c>
      <c r="D1374" t="s">
        <v>181</v>
      </c>
      <c r="E1374" t="s">
        <v>182</v>
      </c>
      <c r="F1374" s="1">
        <v>46074.813576388886</v>
      </c>
      <c r="G1374" t="s">
        <v>105</v>
      </c>
      <c r="H1374" t="s">
        <v>106</v>
      </c>
      <c r="I1374" t="s">
        <v>6068</v>
      </c>
      <c r="J1374" t="s">
        <v>108</v>
      </c>
      <c r="K1374" t="s">
        <v>109</v>
      </c>
      <c r="M1374" t="s">
        <v>47</v>
      </c>
      <c r="O1374" t="s">
        <v>77</v>
      </c>
      <c r="P1374" t="s">
        <v>78</v>
      </c>
      <c r="Q1374" t="s">
        <v>50</v>
      </c>
      <c r="R1374" t="s">
        <v>111</v>
      </c>
      <c r="S1374" t="s">
        <v>51</v>
      </c>
      <c r="T1374" t="s">
        <v>112</v>
      </c>
      <c r="U1374" s="1">
        <v>46075.015057870369</v>
      </c>
      <c r="V1374" t="s">
        <v>54</v>
      </c>
      <c r="W1374" t="s">
        <v>55</v>
      </c>
      <c r="X1374" t="s">
        <v>82</v>
      </c>
      <c r="Y1374" t="s">
        <v>6069</v>
      </c>
      <c r="Z1374" t="s">
        <v>5594</v>
      </c>
      <c r="AA1374" t="s">
        <v>54</v>
      </c>
      <c r="AB1374" t="s">
        <v>115</v>
      </c>
      <c r="AC1374" t="s">
        <v>85</v>
      </c>
      <c r="AD1374" t="s">
        <v>116</v>
      </c>
      <c r="AE1374" t="s">
        <v>117</v>
      </c>
      <c r="AF1374" t="s">
        <v>118</v>
      </c>
      <c r="AG1374" t="s">
        <v>5594</v>
      </c>
      <c r="AH1374" t="s">
        <v>185</v>
      </c>
      <c r="AK1374">
        <v>1</v>
      </c>
      <c r="AL1374" t="s">
        <v>61</v>
      </c>
      <c r="AM1374" t="s">
        <v>186</v>
      </c>
      <c r="AN1374" t="s">
        <v>187</v>
      </c>
    </row>
    <row r="1375" spans="1:40" x14ac:dyDescent="0.35">
      <c r="A1375" t="s">
        <v>37</v>
      </c>
      <c r="B1375" t="s">
        <v>6070</v>
      </c>
      <c r="C1375" t="s">
        <v>39</v>
      </c>
      <c r="D1375" t="s">
        <v>40</v>
      </c>
      <c r="E1375" t="s">
        <v>41</v>
      </c>
      <c r="F1375" s="1">
        <v>46074.807129629633</v>
      </c>
      <c r="G1375" t="s">
        <v>42</v>
      </c>
      <c r="H1375" t="s">
        <v>43</v>
      </c>
      <c r="I1375" t="s">
        <v>6071</v>
      </c>
      <c r="J1375" t="s">
        <v>45</v>
      </c>
      <c r="K1375" t="s">
        <v>46</v>
      </c>
      <c r="M1375" t="s">
        <v>47</v>
      </c>
      <c r="O1375" t="s">
        <v>48</v>
      </c>
      <c r="P1375" t="s">
        <v>49</v>
      </c>
      <c r="Q1375" t="s">
        <v>50</v>
      </c>
      <c r="R1375" t="s">
        <v>51</v>
      </c>
      <c r="S1375" t="s">
        <v>52</v>
      </c>
      <c r="T1375" t="s">
        <v>53</v>
      </c>
      <c r="U1375" s="1">
        <v>46074.807847222219</v>
      </c>
      <c r="V1375" t="s">
        <v>54</v>
      </c>
      <c r="W1375" t="s">
        <v>55</v>
      </c>
      <c r="X1375" t="s">
        <v>56</v>
      </c>
      <c r="Y1375" t="s">
        <v>57</v>
      </c>
      <c r="Z1375" t="s">
        <v>5594</v>
      </c>
      <c r="AA1375" t="s">
        <v>54</v>
      </c>
      <c r="AB1375" t="s">
        <v>59</v>
      </c>
      <c r="AC1375" t="s">
        <v>60</v>
      </c>
      <c r="AD1375" t="s">
        <v>51</v>
      </c>
      <c r="AE1375" t="s">
        <v>52</v>
      </c>
      <c r="AF1375" t="s">
        <v>53</v>
      </c>
      <c r="AG1375" t="s">
        <v>5594</v>
      </c>
      <c r="AK1375">
        <v>0</v>
      </c>
      <c r="AL1375" t="s">
        <v>61</v>
      </c>
      <c r="AM1375" t="s">
        <v>59</v>
      </c>
      <c r="AN1375" t="s">
        <v>62</v>
      </c>
    </row>
    <row r="1376" spans="1:40" x14ac:dyDescent="0.35">
      <c r="A1376" t="s">
        <v>37</v>
      </c>
      <c r="B1376" t="s">
        <v>6072</v>
      </c>
      <c r="C1376" t="s">
        <v>102</v>
      </c>
      <c r="D1376" t="s">
        <v>1698</v>
      </c>
      <c r="E1376" t="s">
        <v>584</v>
      </c>
      <c r="F1376" s="1">
        <v>46074.807118055556</v>
      </c>
      <c r="G1376" t="s">
        <v>105</v>
      </c>
      <c r="H1376" t="s">
        <v>106</v>
      </c>
      <c r="I1376" t="s">
        <v>6073</v>
      </c>
      <c r="J1376" t="s">
        <v>108</v>
      </c>
      <c r="K1376" t="s">
        <v>109</v>
      </c>
      <c r="M1376" t="s">
        <v>47</v>
      </c>
      <c r="O1376" t="s">
        <v>77</v>
      </c>
      <c r="P1376" t="s">
        <v>78</v>
      </c>
      <c r="Q1376" t="s">
        <v>50</v>
      </c>
      <c r="R1376" t="s">
        <v>111</v>
      </c>
      <c r="S1376" t="s">
        <v>51</v>
      </c>
      <c r="T1376" t="s">
        <v>1583</v>
      </c>
      <c r="U1376" s="1">
        <v>46074.87232638889</v>
      </c>
      <c r="V1376" t="s">
        <v>54</v>
      </c>
      <c r="W1376" t="s">
        <v>55</v>
      </c>
      <c r="X1376" t="s">
        <v>134</v>
      </c>
      <c r="Y1376" t="s">
        <v>6074</v>
      </c>
      <c r="Z1376" t="s">
        <v>5594</v>
      </c>
      <c r="AA1376" t="s">
        <v>54</v>
      </c>
      <c r="AB1376" t="s">
        <v>1701</v>
      </c>
      <c r="AC1376" t="s">
        <v>85</v>
      </c>
      <c r="AD1376" t="s">
        <v>116</v>
      </c>
      <c r="AE1376" t="s">
        <v>3814</v>
      </c>
      <c r="AF1376" t="s">
        <v>5119</v>
      </c>
      <c r="AG1376" t="s">
        <v>5594</v>
      </c>
      <c r="AK1376">
        <v>1</v>
      </c>
      <c r="AL1376" t="s">
        <v>61</v>
      </c>
      <c r="AM1376" t="s">
        <v>1701</v>
      </c>
      <c r="AN1376" t="s">
        <v>1702</v>
      </c>
    </row>
    <row r="1377" spans="1:40" x14ac:dyDescent="0.35">
      <c r="A1377" t="s">
        <v>37</v>
      </c>
      <c r="B1377" t="s">
        <v>6075</v>
      </c>
      <c r="C1377" t="s">
        <v>102</v>
      </c>
      <c r="D1377" t="s">
        <v>1698</v>
      </c>
      <c r="E1377" t="s">
        <v>584</v>
      </c>
      <c r="F1377" s="1">
        <v>46074.800127314818</v>
      </c>
      <c r="G1377" t="s">
        <v>105</v>
      </c>
      <c r="H1377" t="s">
        <v>106</v>
      </c>
      <c r="I1377" t="s">
        <v>1848</v>
      </c>
      <c r="J1377" t="s">
        <v>108</v>
      </c>
      <c r="K1377" t="s">
        <v>109</v>
      </c>
      <c r="M1377" t="s">
        <v>47</v>
      </c>
      <c r="O1377" t="s">
        <v>77</v>
      </c>
      <c r="P1377" t="s">
        <v>78</v>
      </c>
      <c r="Q1377" t="s">
        <v>50</v>
      </c>
      <c r="R1377" t="s">
        <v>111</v>
      </c>
      <c r="S1377" t="s">
        <v>51</v>
      </c>
      <c r="T1377" t="s">
        <v>112</v>
      </c>
      <c r="U1377" s="1">
        <v>46074.876377314817</v>
      </c>
      <c r="V1377" t="s">
        <v>54</v>
      </c>
      <c r="W1377" t="s">
        <v>55</v>
      </c>
      <c r="X1377" t="s">
        <v>134</v>
      </c>
      <c r="Y1377" t="s">
        <v>6076</v>
      </c>
      <c r="Z1377" t="s">
        <v>5594</v>
      </c>
      <c r="AA1377" t="s">
        <v>54</v>
      </c>
      <c r="AB1377" t="s">
        <v>1701</v>
      </c>
      <c r="AC1377" t="s">
        <v>85</v>
      </c>
      <c r="AD1377" t="s">
        <v>116</v>
      </c>
      <c r="AE1377" t="s">
        <v>117</v>
      </c>
      <c r="AF1377" t="s">
        <v>1706</v>
      </c>
      <c r="AG1377" t="s">
        <v>5594</v>
      </c>
      <c r="AK1377">
        <v>1</v>
      </c>
      <c r="AL1377" t="s">
        <v>61</v>
      </c>
      <c r="AM1377" t="s">
        <v>1701</v>
      </c>
      <c r="AN1377" t="s">
        <v>1702</v>
      </c>
    </row>
    <row r="1378" spans="1:40" x14ac:dyDescent="0.35">
      <c r="A1378" t="s">
        <v>37</v>
      </c>
      <c r="B1378" t="s">
        <v>6077</v>
      </c>
      <c r="C1378" t="s">
        <v>102</v>
      </c>
      <c r="D1378" t="s">
        <v>181</v>
      </c>
      <c r="E1378" t="s">
        <v>182</v>
      </c>
      <c r="F1378" s="1">
        <v>46074.799363425926</v>
      </c>
      <c r="G1378" t="s">
        <v>105</v>
      </c>
      <c r="H1378" t="s">
        <v>106</v>
      </c>
      <c r="I1378" t="s">
        <v>332</v>
      </c>
      <c r="J1378" t="s">
        <v>108</v>
      </c>
      <c r="K1378" t="s">
        <v>109</v>
      </c>
      <c r="M1378" t="s">
        <v>150</v>
      </c>
      <c r="O1378" t="s">
        <v>77</v>
      </c>
      <c r="P1378" t="s">
        <v>78</v>
      </c>
      <c r="Q1378" t="s">
        <v>50</v>
      </c>
      <c r="R1378" t="s">
        <v>111</v>
      </c>
      <c r="S1378" t="s">
        <v>51</v>
      </c>
      <c r="T1378" t="s">
        <v>112</v>
      </c>
      <c r="U1378" s="1">
        <v>46077.933842592596</v>
      </c>
      <c r="V1378" t="s">
        <v>54</v>
      </c>
      <c r="W1378" t="s">
        <v>1584</v>
      </c>
      <c r="X1378" t="s">
        <v>82</v>
      </c>
      <c r="Y1378" t="s">
        <v>6078</v>
      </c>
      <c r="Z1378" t="s">
        <v>58</v>
      </c>
      <c r="AA1378" t="s">
        <v>54</v>
      </c>
      <c r="AB1378" t="s">
        <v>115</v>
      </c>
      <c r="AC1378" t="s">
        <v>85</v>
      </c>
      <c r="AD1378" t="s">
        <v>116</v>
      </c>
      <c r="AE1378" t="s">
        <v>117</v>
      </c>
      <c r="AF1378" t="s">
        <v>161</v>
      </c>
      <c r="AG1378" t="s">
        <v>58</v>
      </c>
      <c r="AH1378" t="s">
        <v>185</v>
      </c>
      <c r="AK1378">
        <v>1</v>
      </c>
      <c r="AL1378" t="s">
        <v>61</v>
      </c>
      <c r="AM1378" t="s">
        <v>186</v>
      </c>
      <c r="AN1378" t="s">
        <v>187</v>
      </c>
    </row>
    <row r="1379" spans="1:40" x14ac:dyDescent="0.35">
      <c r="A1379" t="s">
        <v>37</v>
      </c>
      <c r="B1379" t="s">
        <v>6079</v>
      </c>
      <c r="C1379" t="s">
        <v>102</v>
      </c>
      <c r="D1379" t="s">
        <v>181</v>
      </c>
      <c r="E1379" t="s">
        <v>182</v>
      </c>
      <c r="F1379" s="1">
        <v>46074.798750000002</v>
      </c>
      <c r="G1379" t="s">
        <v>105</v>
      </c>
      <c r="H1379" t="s">
        <v>106</v>
      </c>
      <c r="I1379" t="s">
        <v>107</v>
      </c>
      <c r="J1379" t="s">
        <v>108</v>
      </c>
      <c r="K1379" t="s">
        <v>341</v>
      </c>
      <c r="M1379" t="s">
        <v>47</v>
      </c>
      <c r="O1379" t="s">
        <v>77</v>
      </c>
      <c r="P1379" t="s">
        <v>78</v>
      </c>
      <c r="Q1379" t="s">
        <v>50</v>
      </c>
      <c r="R1379" t="s">
        <v>111</v>
      </c>
      <c r="S1379" t="s">
        <v>51</v>
      </c>
      <c r="T1379" t="s">
        <v>112</v>
      </c>
      <c r="U1379" s="1">
        <v>46075.009259259263</v>
      </c>
      <c r="V1379" t="s">
        <v>54</v>
      </c>
      <c r="X1379" t="s">
        <v>82</v>
      </c>
      <c r="Y1379" t="s">
        <v>6080</v>
      </c>
      <c r="Z1379" t="s">
        <v>5594</v>
      </c>
      <c r="AA1379" t="s">
        <v>54</v>
      </c>
      <c r="AB1379" t="s">
        <v>115</v>
      </c>
      <c r="AC1379" t="s">
        <v>85</v>
      </c>
      <c r="AD1379" t="s">
        <v>116</v>
      </c>
      <c r="AE1379" t="s">
        <v>117</v>
      </c>
      <c r="AF1379" t="s">
        <v>1740</v>
      </c>
      <c r="AG1379" t="s">
        <v>5594</v>
      </c>
      <c r="AH1379" t="s">
        <v>185</v>
      </c>
      <c r="AK1379">
        <v>1</v>
      </c>
      <c r="AL1379" t="s">
        <v>61</v>
      </c>
      <c r="AM1379" t="s">
        <v>186</v>
      </c>
      <c r="AN1379" t="s">
        <v>187</v>
      </c>
    </row>
    <row r="1380" spans="1:40" x14ac:dyDescent="0.35">
      <c r="A1380" t="s">
        <v>37</v>
      </c>
      <c r="B1380" t="s">
        <v>6081</v>
      </c>
      <c r="C1380" t="s">
        <v>102</v>
      </c>
      <c r="D1380" t="s">
        <v>181</v>
      </c>
      <c r="E1380" t="s">
        <v>182</v>
      </c>
      <c r="F1380" s="1">
        <v>46074.798090277778</v>
      </c>
      <c r="G1380" t="s">
        <v>105</v>
      </c>
      <c r="H1380" t="s">
        <v>106</v>
      </c>
      <c r="I1380" t="s">
        <v>5125</v>
      </c>
      <c r="J1380" t="s">
        <v>108</v>
      </c>
      <c r="K1380" t="s">
        <v>109</v>
      </c>
      <c r="M1380" t="s">
        <v>47</v>
      </c>
      <c r="O1380" t="s">
        <v>77</v>
      </c>
      <c r="P1380" t="s">
        <v>78</v>
      </c>
      <c r="Q1380" t="s">
        <v>50</v>
      </c>
      <c r="R1380" t="s">
        <v>111</v>
      </c>
      <c r="S1380" t="s">
        <v>51</v>
      </c>
      <c r="T1380" t="s">
        <v>112</v>
      </c>
      <c r="U1380" s="1">
        <v>46074.816006944442</v>
      </c>
      <c r="V1380" t="s">
        <v>54</v>
      </c>
      <c r="W1380" t="s">
        <v>55</v>
      </c>
      <c r="X1380" t="s">
        <v>82</v>
      </c>
      <c r="Y1380" t="s">
        <v>6082</v>
      </c>
      <c r="Z1380" t="s">
        <v>5594</v>
      </c>
      <c r="AA1380" t="s">
        <v>54</v>
      </c>
      <c r="AB1380" t="s">
        <v>115</v>
      </c>
      <c r="AC1380" t="s">
        <v>85</v>
      </c>
      <c r="AD1380" t="s">
        <v>116</v>
      </c>
      <c r="AE1380" t="s">
        <v>117</v>
      </c>
      <c r="AF1380" t="s">
        <v>1706</v>
      </c>
      <c r="AG1380" t="s">
        <v>5594</v>
      </c>
      <c r="AH1380" t="s">
        <v>185</v>
      </c>
      <c r="AK1380">
        <v>1</v>
      </c>
      <c r="AL1380" t="s">
        <v>61</v>
      </c>
      <c r="AM1380" t="s">
        <v>186</v>
      </c>
      <c r="AN1380" t="s">
        <v>187</v>
      </c>
    </row>
    <row r="1381" spans="1:40" x14ac:dyDescent="0.35">
      <c r="A1381" t="s">
        <v>37</v>
      </c>
      <c r="B1381" t="s">
        <v>6083</v>
      </c>
      <c r="C1381" t="s">
        <v>39</v>
      </c>
      <c r="D1381" t="s">
        <v>40</v>
      </c>
      <c r="E1381" t="s">
        <v>41</v>
      </c>
      <c r="F1381" s="1">
        <v>46074.786249999997</v>
      </c>
      <c r="G1381" t="s">
        <v>42</v>
      </c>
      <c r="H1381" t="s">
        <v>43</v>
      </c>
      <c r="I1381" t="s">
        <v>6084</v>
      </c>
      <c r="J1381" t="s">
        <v>45</v>
      </c>
      <c r="K1381" t="s">
        <v>46</v>
      </c>
      <c r="M1381" t="s">
        <v>47</v>
      </c>
      <c r="O1381" t="s">
        <v>48</v>
      </c>
      <c r="P1381" t="s">
        <v>49</v>
      </c>
      <c r="Q1381" t="s">
        <v>50</v>
      </c>
      <c r="R1381" t="s">
        <v>51</v>
      </c>
      <c r="S1381" t="s">
        <v>52</v>
      </c>
      <c r="T1381" t="s">
        <v>53</v>
      </c>
      <c r="U1381" s="1">
        <v>46074.786886574075</v>
      </c>
      <c r="V1381" t="s">
        <v>54</v>
      </c>
      <c r="W1381" t="s">
        <v>55</v>
      </c>
      <c r="X1381" t="s">
        <v>56</v>
      </c>
      <c r="Y1381" t="s">
        <v>57</v>
      </c>
      <c r="Z1381" t="s">
        <v>5594</v>
      </c>
      <c r="AA1381" t="s">
        <v>54</v>
      </c>
      <c r="AB1381" t="s">
        <v>59</v>
      </c>
      <c r="AC1381" t="s">
        <v>60</v>
      </c>
      <c r="AD1381" t="s">
        <v>51</v>
      </c>
      <c r="AE1381" t="s">
        <v>52</v>
      </c>
      <c r="AF1381" t="s">
        <v>53</v>
      </c>
      <c r="AG1381" t="s">
        <v>5594</v>
      </c>
      <c r="AK1381">
        <v>0</v>
      </c>
      <c r="AL1381" t="s">
        <v>61</v>
      </c>
      <c r="AM1381" t="s">
        <v>59</v>
      </c>
      <c r="AN1381" t="s">
        <v>62</v>
      </c>
    </row>
    <row r="1382" spans="1:40" x14ac:dyDescent="0.35">
      <c r="A1382" t="s">
        <v>37</v>
      </c>
      <c r="B1382" t="s">
        <v>6085</v>
      </c>
      <c r="C1382" t="s">
        <v>102</v>
      </c>
      <c r="D1382" t="s">
        <v>1698</v>
      </c>
      <c r="E1382" t="s">
        <v>584</v>
      </c>
      <c r="F1382" s="1">
        <v>46074.768113425926</v>
      </c>
      <c r="G1382" t="s">
        <v>105</v>
      </c>
      <c r="H1382" t="s">
        <v>106</v>
      </c>
      <c r="I1382" t="s">
        <v>6068</v>
      </c>
      <c r="J1382" t="s">
        <v>108</v>
      </c>
      <c r="K1382" t="s">
        <v>109</v>
      </c>
      <c r="M1382" t="s">
        <v>76</v>
      </c>
      <c r="O1382" t="s">
        <v>77</v>
      </c>
      <c r="P1382" t="s">
        <v>78</v>
      </c>
      <c r="Q1382" t="s">
        <v>50</v>
      </c>
      <c r="R1382" t="s">
        <v>111</v>
      </c>
      <c r="S1382" t="s">
        <v>51</v>
      </c>
      <c r="T1382" t="s">
        <v>112</v>
      </c>
      <c r="U1382" s="1">
        <v>46078.873969907407</v>
      </c>
      <c r="V1382" t="s">
        <v>54</v>
      </c>
      <c r="W1382" t="s">
        <v>1584</v>
      </c>
      <c r="X1382" t="s">
        <v>134</v>
      </c>
      <c r="Y1382" t="s">
        <v>6086</v>
      </c>
      <c r="Z1382" t="s">
        <v>58</v>
      </c>
      <c r="AA1382" t="s">
        <v>54</v>
      </c>
      <c r="AB1382" t="s">
        <v>1701</v>
      </c>
      <c r="AC1382" t="s">
        <v>85</v>
      </c>
      <c r="AD1382" t="s">
        <v>116</v>
      </c>
      <c r="AE1382" t="s">
        <v>117</v>
      </c>
      <c r="AF1382" t="s">
        <v>118</v>
      </c>
      <c r="AG1382" t="s">
        <v>58</v>
      </c>
      <c r="AK1382">
        <v>1</v>
      </c>
      <c r="AL1382" t="s">
        <v>61</v>
      </c>
      <c r="AM1382" t="s">
        <v>1701</v>
      </c>
      <c r="AN1382" t="s">
        <v>1702</v>
      </c>
    </row>
    <row r="1383" spans="1:40" x14ac:dyDescent="0.35">
      <c r="A1383" t="s">
        <v>37</v>
      </c>
      <c r="B1383" t="s">
        <v>6087</v>
      </c>
      <c r="C1383" t="s">
        <v>39</v>
      </c>
      <c r="D1383" t="s">
        <v>40</v>
      </c>
      <c r="E1383" t="s">
        <v>41</v>
      </c>
      <c r="F1383" s="1">
        <v>46074.765416666669</v>
      </c>
      <c r="G1383" t="s">
        <v>42</v>
      </c>
      <c r="H1383" t="s">
        <v>43</v>
      </c>
      <c r="I1383" t="s">
        <v>6088</v>
      </c>
      <c r="J1383" t="s">
        <v>45</v>
      </c>
      <c r="K1383" t="s">
        <v>46</v>
      </c>
      <c r="M1383" t="s">
        <v>47</v>
      </c>
      <c r="O1383" t="s">
        <v>48</v>
      </c>
      <c r="P1383" t="s">
        <v>49</v>
      </c>
      <c r="Q1383" t="s">
        <v>50</v>
      </c>
      <c r="R1383" t="s">
        <v>51</v>
      </c>
      <c r="S1383" t="s">
        <v>52</v>
      </c>
      <c r="T1383" t="s">
        <v>53</v>
      </c>
      <c r="U1383" s="1">
        <v>46074.766087962962</v>
      </c>
      <c r="V1383" t="s">
        <v>54</v>
      </c>
      <c r="W1383" t="s">
        <v>55</v>
      </c>
      <c r="X1383" t="s">
        <v>56</v>
      </c>
      <c r="Y1383" t="s">
        <v>57</v>
      </c>
      <c r="Z1383" t="s">
        <v>5594</v>
      </c>
      <c r="AA1383" t="s">
        <v>54</v>
      </c>
      <c r="AB1383" t="s">
        <v>59</v>
      </c>
      <c r="AC1383" t="s">
        <v>60</v>
      </c>
      <c r="AD1383" t="s">
        <v>51</v>
      </c>
      <c r="AE1383" t="s">
        <v>52</v>
      </c>
      <c r="AF1383" t="s">
        <v>53</v>
      </c>
      <c r="AG1383" t="s">
        <v>5594</v>
      </c>
      <c r="AK1383">
        <v>0</v>
      </c>
      <c r="AL1383" t="s">
        <v>61</v>
      </c>
      <c r="AM1383" t="s">
        <v>59</v>
      </c>
      <c r="AN1383" t="s">
        <v>62</v>
      </c>
    </row>
    <row r="1384" spans="1:40" x14ac:dyDescent="0.35">
      <c r="A1384" t="s">
        <v>37</v>
      </c>
      <c r="B1384" t="s">
        <v>6089</v>
      </c>
      <c r="C1384" t="s">
        <v>102</v>
      </c>
      <c r="D1384" t="s">
        <v>1698</v>
      </c>
      <c r="E1384" t="s">
        <v>584</v>
      </c>
      <c r="F1384" s="1">
        <v>46074.764548611114</v>
      </c>
      <c r="G1384" t="s">
        <v>105</v>
      </c>
      <c r="H1384" t="s">
        <v>106</v>
      </c>
      <c r="I1384" t="s">
        <v>107</v>
      </c>
      <c r="J1384" t="s">
        <v>108</v>
      </c>
      <c r="K1384" t="s">
        <v>109</v>
      </c>
      <c r="M1384" t="s">
        <v>47</v>
      </c>
      <c r="O1384" t="s">
        <v>77</v>
      </c>
      <c r="P1384" t="s">
        <v>78</v>
      </c>
      <c r="Q1384" t="s">
        <v>50</v>
      </c>
      <c r="R1384" t="s">
        <v>111</v>
      </c>
      <c r="S1384" t="s">
        <v>51</v>
      </c>
      <c r="T1384" t="s">
        <v>112</v>
      </c>
      <c r="U1384" s="1">
        <v>46074.815509259257</v>
      </c>
      <c r="V1384" t="s">
        <v>54</v>
      </c>
      <c r="W1384" t="s">
        <v>55</v>
      </c>
      <c r="X1384" t="s">
        <v>134</v>
      </c>
      <c r="Y1384" t="s">
        <v>6090</v>
      </c>
      <c r="Z1384" t="s">
        <v>5594</v>
      </c>
      <c r="AA1384" t="s">
        <v>54</v>
      </c>
      <c r="AB1384" t="s">
        <v>1701</v>
      </c>
      <c r="AC1384" t="s">
        <v>85</v>
      </c>
      <c r="AD1384" t="s">
        <v>116</v>
      </c>
      <c r="AE1384" t="s">
        <v>117</v>
      </c>
      <c r="AF1384" t="s">
        <v>1706</v>
      </c>
      <c r="AG1384" t="s">
        <v>5594</v>
      </c>
      <c r="AK1384">
        <v>1</v>
      </c>
      <c r="AL1384" t="s">
        <v>61</v>
      </c>
      <c r="AM1384" t="s">
        <v>1701</v>
      </c>
      <c r="AN1384" t="s">
        <v>1702</v>
      </c>
    </row>
    <row r="1385" spans="1:40" x14ac:dyDescent="0.35">
      <c r="A1385" t="s">
        <v>37</v>
      </c>
      <c r="B1385" t="s">
        <v>6091</v>
      </c>
      <c r="C1385" t="s">
        <v>39</v>
      </c>
      <c r="D1385" t="s">
        <v>40</v>
      </c>
      <c r="E1385" t="s">
        <v>41</v>
      </c>
      <c r="F1385" s="1">
        <v>46074.732141203705</v>
      </c>
      <c r="G1385" t="s">
        <v>42</v>
      </c>
      <c r="H1385" t="s">
        <v>43</v>
      </c>
      <c r="I1385" t="s">
        <v>6092</v>
      </c>
      <c r="J1385" t="s">
        <v>45</v>
      </c>
      <c r="K1385" t="s">
        <v>46</v>
      </c>
      <c r="M1385" t="s">
        <v>47</v>
      </c>
      <c r="O1385" t="s">
        <v>48</v>
      </c>
      <c r="P1385" t="s">
        <v>49</v>
      </c>
      <c r="Q1385" t="s">
        <v>50</v>
      </c>
      <c r="R1385" t="s">
        <v>51</v>
      </c>
      <c r="S1385" t="s">
        <v>52</v>
      </c>
      <c r="T1385" t="s">
        <v>53</v>
      </c>
      <c r="U1385" s="1">
        <v>46074.732766203706</v>
      </c>
      <c r="V1385" t="s">
        <v>54</v>
      </c>
      <c r="W1385" t="s">
        <v>55</v>
      </c>
      <c r="X1385" t="s">
        <v>56</v>
      </c>
      <c r="Y1385" t="s">
        <v>57</v>
      </c>
      <c r="Z1385" t="s">
        <v>5594</v>
      </c>
      <c r="AA1385" t="s">
        <v>54</v>
      </c>
      <c r="AB1385" t="s">
        <v>59</v>
      </c>
      <c r="AC1385" t="s">
        <v>60</v>
      </c>
      <c r="AD1385" t="s">
        <v>51</v>
      </c>
      <c r="AE1385" t="s">
        <v>52</v>
      </c>
      <c r="AF1385" t="s">
        <v>53</v>
      </c>
      <c r="AG1385" t="s">
        <v>5594</v>
      </c>
      <c r="AK1385">
        <v>0</v>
      </c>
      <c r="AL1385" t="s">
        <v>61</v>
      </c>
      <c r="AM1385" t="s">
        <v>59</v>
      </c>
      <c r="AN1385" t="s">
        <v>62</v>
      </c>
    </row>
    <row r="1386" spans="1:40" x14ac:dyDescent="0.35">
      <c r="A1386" t="s">
        <v>37</v>
      </c>
      <c r="B1386" t="s">
        <v>6093</v>
      </c>
      <c r="C1386" t="s">
        <v>39</v>
      </c>
      <c r="D1386" t="s">
        <v>40</v>
      </c>
      <c r="E1386" t="s">
        <v>41</v>
      </c>
      <c r="F1386" s="1">
        <v>46074.732083333336</v>
      </c>
      <c r="G1386" t="s">
        <v>42</v>
      </c>
      <c r="H1386" t="s">
        <v>43</v>
      </c>
      <c r="I1386" t="s">
        <v>6094</v>
      </c>
      <c r="J1386" t="s">
        <v>45</v>
      </c>
      <c r="K1386" t="s">
        <v>46</v>
      </c>
      <c r="M1386" t="s">
        <v>47</v>
      </c>
      <c r="O1386" t="s">
        <v>48</v>
      </c>
      <c r="P1386" t="s">
        <v>49</v>
      </c>
      <c r="Q1386" t="s">
        <v>50</v>
      </c>
      <c r="R1386" t="s">
        <v>51</v>
      </c>
      <c r="S1386" t="s">
        <v>52</v>
      </c>
      <c r="T1386" t="s">
        <v>53</v>
      </c>
      <c r="U1386" s="1">
        <v>46074.732685185183</v>
      </c>
      <c r="V1386" t="s">
        <v>54</v>
      </c>
      <c r="W1386" t="s">
        <v>55</v>
      </c>
      <c r="X1386" t="s">
        <v>56</v>
      </c>
      <c r="Y1386" t="s">
        <v>57</v>
      </c>
      <c r="Z1386" t="s">
        <v>5594</v>
      </c>
      <c r="AA1386" t="s">
        <v>54</v>
      </c>
      <c r="AB1386" t="s">
        <v>59</v>
      </c>
      <c r="AC1386" t="s">
        <v>60</v>
      </c>
      <c r="AD1386" t="s">
        <v>51</v>
      </c>
      <c r="AE1386" t="s">
        <v>52</v>
      </c>
      <c r="AF1386" t="s">
        <v>53</v>
      </c>
      <c r="AG1386" t="s">
        <v>5594</v>
      </c>
      <c r="AK1386">
        <v>0</v>
      </c>
      <c r="AL1386" t="s">
        <v>61</v>
      </c>
      <c r="AM1386" t="s">
        <v>59</v>
      </c>
      <c r="AN1386" t="s">
        <v>62</v>
      </c>
    </row>
    <row r="1387" spans="1:40" x14ac:dyDescent="0.35">
      <c r="A1387" t="s">
        <v>37</v>
      </c>
      <c r="B1387" t="s">
        <v>6095</v>
      </c>
      <c r="C1387" t="s">
        <v>102</v>
      </c>
      <c r="D1387" t="s">
        <v>1121</v>
      </c>
      <c r="E1387" t="s">
        <v>6096</v>
      </c>
      <c r="F1387" s="1">
        <v>46074.722824074073</v>
      </c>
      <c r="G1387" t="s">
        <v>71</v>
      </c>
      <c r="H1387" t="s">
        <v>72</v>
      </c>
      <c r="I1387" t="s">
        <v>6097</v>
      </c>
      <c r="J1387" t="s">
        <v>2421</v>
      </c>
      <c r="K1387" t="s">
        <v>2422</v>
      </c>
      <c r="M1387" t="s">
        <v>47</v>
      </c>
      <c r="O1387" t="s">
        <v>1501</v>
      </c>
      <c r="P1387" t="s">
        <v>1502</v>
      </c>
      <c r="Q1387" t="s">
        <v>6098</v>
      </c>
      <c r="R1387" t="s">
        <v>51</v>
      </c>
      <c r="S1387" t="s">
        <v>52</v>
      </c>
      <c r="T1387" t="s">
        <v>240</v>
      </c>
      <c r="U1387" s="1">
        <v>46074.753981481481</v>
      </c>
      <c r="V1387" t="s">
        <v>54</v>
      </c>
      <c r="W1387" t="s">
        <v>55</v>
      </c>
      <c r="X1387" t="s">
        <v>134</v>
      </c>
      <c r="Y1387" t="s">
        <v>6099</v>
      </c>
      <c r="Z1387" t="s">
        <v>5594</v>
      </c>
      <c r="AA1387" t="s">
        <v>54</v>
      </c>
      <c r="AB1387" t="s">
        <v>84</v>
      </c>
      <c r="AC1387" t="s">
        <v>1504</v>
      </c>
      <c r="AD1387" t="s">
        <v>52</v>
      </c>
      <c r="AE1387" t="s">
        <v>243</v>
      </c>
      <c r="AF1387" t="s">
        <v>2425</v>
      </c>
      <c r="AG1387" t="s">
        <v>5594</v>
      </c>
      <c r="AH1387">
        <v>10781</v>
      </c>
      <c r="AK1387">
        <v>1</v>
      </c>
      <c r="AL1387" t="s">
        <v>61</v>
      </c>
      <c r="AM1387" t="s">
        <v>6100</v>
      </c>
      <c r="AN1387" t="s">
        <v>6101</v>
      </c>
    </row>
    <row r="1388" spans="1:40" x14ac:dyDescent="0.35">
      <c r="A1388" t="s">
        <v>37</v>
      </c>
      <c r="B1388" t="s">
        <v>6102</v>
      </c>
      <c r="C1388" t="s">
        <v>102</v>
      </c>
      <c r="D1388" t="s">
        <v>3786</v>
      </c>
      <c r="E1388" t="s">
        <v>469</v>
      </c>
      <c r="F1388" s="1">
        <v>46074.720960648148</v>
      </c>
      <c r="G1388" t="s">
        <v>105</v>
      </c>
      <c r="H1388" t="s">
        <v>106</v>
      </c>
      <c r="I1388" t="s">
        <v>1579</v>
      </c>
      <c r="J1388" t="s">
        <v>108</v>
      </c>
      <c r="K1388" t="s">
        <v>571</v>
      </c>
      <c r="M1388" t="s">
        <v>47</v>
      </c>
      <c r="O1388" t="s">
        <v>77</v>
      </c>
      <c r="P1388" t="s">
        <v>78</v>
      </c>
      <c r="Q1388" t="s">
        <v>541</v>
      </c>
      <c r="R1388" t="s">
        <v>111</v>
      </c>
      <c r="S1388" t="s">
        <v>51</v>
      </c>
      <c r="T1388" t="s">
        <v>112</v>
      </c>
      <c r="U1388" s="1">
        <v>46074.81658564815</v>
      </c>
      <c r="V1388" t="s">
        <v>54</v>
      </c>
      <c r="W1388" t="s">
        <v>55</v>
      </c>
      <c r="X1388" t="s">
        <v>113</v>
      </c>
      <c r="Y1388" t="s">
        <v>6103</v>
      </c>
      <c r="Z1388" t="s">
        <v>5594</v>
      </c>
      <c r="AA1388" t="s">
        <v>54</v>
      </c>
      <c r="AB1388" t="s">
        <v>115</v>
      </c>
      <c r="AC1388" t="s">
        <v>85</v>
      </c>
      <c r="AD1388" t="s">
        <v>116</v>
      </c>
      <c r="AE1388" t="s">
        <v>574</v>
      </c>
      <c r="AF1388" t="s">
        <v>1874</v>
      </c>
      <c r="AG1388" t="s">
        <v>5594</v>
      </c>
      <c r="AH1388">
        <v>5935</v>
      </c>
      <c r="AK1388">
        <v>1</v>
      </c>
      <c r="AL1388" t="s">
        <v>61</v>
      </c>
      <c r="AM1388" t="s">
        <v>3789</v>
      </c>
      <c r="AN1388" t="s">
        <v>3790</v>
      </c>
    </row>
    <row r="1389" spans="1:40" x14ac:dyDescent="0.35">
      <c r="A1389" t="s">
        <v>37</v>
      </c>
      <c r="B1389" t="s">
        <v>6104</v>
      </c>
      <c r="C1389" t="s">
        <v>102</v>
      </c>
      <c r="D1389" t="s">
        <v>6105</v>
      </c>
      <c r="E1389" t="s">
        <v>6106</v>
      </c>
      <c r="F1389" s="1">
        <v>46074.716967592591</v>
      </c>
      <c r="G1389" t="s">
        <v>250</v>
      </c>
      <c r="H1389" t="s">
        <v>106</v>
      </c>
      <c r="I1389" t="s">
        <v>6107</v>
      </c>
      <c r="J1389" t="s">
        <v>3763</v>
      </c>
      <c r="K1389" t="s">
        <v>4359</v>
      </c>
      <c r="M1389" t="s">
        <v>131</v>
      </c>
      <c r="O1389" t="s">
        <v>237</v>
      </c>
      <c r="P1389" t="s">
        <v>238</v>
      </c>
      <c r="Q1389" t="s">
        <v>6108</v>
      </c>
      <c r="R1389" t="s">
        <v>305</v>
      </c>
      <c r="S1389" t="s">
        <v>306</v>
      </c>
      <c r="T1389" t="s">
        <v>307</v>
      </c>
      <c r="U1389" s="1">
        <v>46076.440555555557</v>
      </c>
      <c r="V1389" t="s">
        <v>54</v>
      </c>
      <c r="W1389" t="s">
        <v>55</v>
      </c>
      <c r="X1389" t="s">
        <v>211</v>
      </c>
      <c r="Y1389" t="s">
        <v>6109</v>
      </c>
      <c r="Z1389" t="s">
        <v>58</v>
      </c>
      <c r="AA1389" t="s">
        <v>54</v>
      </c>
      <c r="AB1389" t="s">
        <v>213</v>
      </c>
      <c r="AC1389" t="s">
        <v>242</v>
      </c>
      <c r="AD1389" t="s">
        <v>51</v>
      </c>
      <c r="AE1389" t="s">
        <v>819</v>
      </c>
      <c r="AF1389" t="s">
        <v>4362</v>
      </c>
      <c r="AG1389" t="s">
        <v>58</v>
      </c>
      <c r="AH1389">
        <v>4868</v>
      </c>
      <c r="AK1389">
        <v>1</v>
      </c>
      <c r="AL1389" t="s">
        <v>61</v>
      </c>
      <c r="AM1389" t="s">
        <v>6110</v>
      </c>
      <c r="AN1389" t="s">
        <v>6111</v>
      </c>
    </row>
    <row r="1390" spans="1:40" x14ac:dyDescent="0.35">
      <c r="A1390" t="s">
        <v>37</v>
      </c>
      <c r="B1390" t="s">
        <v>6112</v>
      </c>
      <c r="C1390" t="s">
        <v>39</v>
      </c>
      <c r="D1390" t="s">
        <v>40</v>
      </c>
      <c r="E1390" t="s">
        <v>41</v>
      </c>
      <c r="F1390" s="1">
        <v>46074.715370370373</v>
      </c>
      <c r="G1390" t="s">
        <v>42</v>
      </c>
      <c r="H1390" t="s">
        <v>43</v>
      </c>
      <c r="I1390" t="s">
        <v>6113</v>
      </c>
      <c r="J1390" t="s">
        <v>45</v>
      </c>
      <c r="K1390" t="s">
        <v>46</v>
      </c>
      <c r="M1390" t="s">
        <v>47</v>
      </c>
      <c r="O1390" t="s">
        <v>48</v>
      </c>
      <c r="P1390" t="s">
        <v>49</v>
      </c>
      <c r="Q1390" t="s">
        <v>50</v>
      </c>
      <c r="R1390" t="s">
        <v>51</v>
      </c>
      <c r="S1390" t="s">
        <v>52</v>
      </c>
      <c r="T1390" t="s">
        <v>53</v>
      </c>
      <c r="U1390" s="1">
        <v>46074.716238425928</v>
      </c>
      <c r="V1390" t="s">
        <v>54</v>
      </c>
      <c r="W1390" t="s">
        <v>55</v>
      </c>
      <c r="X1390" t="s">
        <v>56</v>
      </c>
      <c r="Y1390" t="s">
        <v>65</v>
      </c>
      <c r="Z1390" t="s">
        <v>5594</v>
      </c>
      <c r="AA1390" t="s">
        <v>54</v>
      </c>
      <c r="AB1390" t="s">
        <v>59</v>
      </c>
      <c r="AC1390" t="s">
        <v>60</v>
      </c>
      <c r="AD1390" t="s">
        <v>51</v>
      </c>
      <c r="AE1390" t="s">
        <v>52</v>
      </c>
      <c r="AF1390" t="s">
        <v>53</v>
      </c>
      <c r="AG1390" t="s">
        <v>5594</v>
      </c>
      <c r="AK1390">
        <v>0</v>
      </c>
      <c r="AL1390" t="s">
        <v>61</v>
      </c>
      <c r="AM1390" t="s">
        <v>59</v>
      </c>
      <c r="AN1390" t="s">
        <v>62</v>
      </c>
    </row>
    <row r="1391" spans="1:40" x14ac:dyDescent="0.35">
      <c r="A1391" t="s">
        <v>37</v>
      </c>
      <c r="B1391" t="s">
        <v>6114</v>
      </c>
      <c r="C1391" t="s">
        <v>39</v>
      </c>
      <c r="D1391" t="s">
        <v>40</v>
      </c>
      <c r="E1391" t="s">
        <v>41</v>
      </c>
      <c r="F1391" s="1">
        <v>46074.708182870374</v>
      </c>
      <c r="G1391" t="s">
        <v>42</v>
      </c>
      <c r="H1391" t="s">
        <v>43</v>
      </c>
      <c r="I1391" t="s">
        <v>6115</v>
      </c>
      <c r="J1391" t="s">
        <v>45</v>
      </c>
      <c r="K1391" t="s">
        <v>46</v>
      </c>
      <c r="M1391" t="s">
        <v>47</v>
      </c>
      <c r="O1391" t="s">
        <v>48</v>
      </c>
      <c r="P1391" t="s">
        <v>49</v>
      </c>
      <c r="Q1391" t="s">
        <v>50</v>
      </c>
      <c r="R1391" t="s">
        <v>214</v>
      </c>
      <c r="S1391" t="s">
        <v>589</v>
      </c>
      <c r="T1391" t="s">
        <v>3593</v>
      </c>
      <c r="U1391" s="1">
        <v>46075.536145833335</v>
      </c>
      <c r="V1391" t="s">
        <v>54</v>
      </c>
      <c r="W1391" t="s">
        <v>55</v>
      </c>
      <c r="X1391" t="s">
        <v>56</v>
      </c>
      <c r="Y1391" t="s">
        <v>3594</v>
      </c>
      <c r="Z1391" t="s">
        <v>5594</v>
      </c>
      <c r="AA1391" t="s">
        <v>54</v>
      </c>
      <c r="AB1391" t="s">
        <v>59</v>
      </c>
      <c r="AC1391" t="s">
        <v>60</v>
      </c>
      <c r="AD1391" t="s">
        <v>51</v>
      </c>
      <c r="AE1391" t="s">
        <v>52</v>
      </c>
      <c r="AF1391" t="s">
        <v>53</v>
      </c>
      <c r="AG1391" t="s">
        <v>5594</v>
      </c>
      <c r="AK1391">
        <v>0</v>
      </c>
      <c r="AL1391" t="s">
        <v>61</v>
      </c>
      <c r="AM1391" t="s">
        <v>59</v>
      </c>
      <c r="AN1391" t="s">
        <v>62</v>
      </c>
    </row>
    <row r="1392" spans="1:40" x14ac:dyDescent="0.35">
      <c r="A1392" t="s">
        <v>37</v>
      </c>
      <c r="B1392" t="s">
        <v>6116</v>
      </c>
      <c r="C1392" t="s">
        <v>102</v>
      </c>
      <c r="D1392" t="s">
        <v>1698</v>
      </c>
      <c r="E1392" t="s">
        <v>584</v>
      </c>
      <c r="F1392" s="1">
        <v>46074.699201388888</v>
      </c>
      <c r="G1392" t="s">
        <v>105</v>
      </c>
      <c r="H1392" t="s">
        <v>106</v>
      </c>
      <c r="I1392" t="s">
        <v>107</v>
      </c>
      <c r="J1392" t="s">
        <v>108</v>
      </c>
      <c r="K1392" t="s">
        <v>109</v>
      </c>
      <c r="M1392" t="s">
        <v>47</v>
      </c>
      <c r="O1392" t="s">
        <v>77</v>
      </c>
      <c r="P1392" t="s">
        <v>78</v>
      </c>
      <c r="Q1392" t="s">
        <v>50</v>
      </c>
      <c r="R1392" t="s">
        <v>111</v>
      </c>
      <c r="S1392" t="s">
        <v>51</v>
      </c>
      <c r="T1392" t="s">
        <v>112</v>
      </c>
      <c r="U1392" s="1">
        <v>46074.814722222225</v>
      </c>
      <c r="V1392" t="s">
        <v>54</v>
      </c>
      <c r="W1392" t="s">
        <v>55</v>
      </c>
      <c r="X1392" t="s">
        <v>134</v>
      </c>
      <c r="Y1392" t="s">
        <v>6117</v>
      </c>
      <c r="Z1392" t="s">
        <v>5594</v>
      </c>
      <c r="AA1392" t="s">
        <v>54</v>
      </c>
      <c r="AB1392" t="s">
        <v>1701</v>
      </c>
      <c r="AC1392" t="s">
        <v>85</v>
      </c>
      <c r="AD1392" t="s">
        <v>116</v>
      </c>
      <c r="AE1392" t="s">
        <v>117</v>
      </c>
      <c r="AF1392" t="s">
        <v>1706</v>
      </c>
      <c r="AG1392" t="s">
        <v>5594</v>
      </c>
      <c r="AK1392">
        <v>1</v>
      </c>
      <c r="AL1392" t="s">
        <v>61</v>
      </c>
      <c r="AM1392" t="s">
        <v>1701</v>
      </c>
      <c r="AN1392" t="s">
        <v>1702</v>
      </c>
    </row>
    <row r="1393" spans="1:40" x14ac:dyDescent="0.35">
      <c r="A1393" t="s">
        <v>37</v>
      </c>
      <c r="B1393" t="s">
        <v>6118</v>
      </c>
      <c r="C1393" t="s">
        <v>102</v>
      </c>
      <c r="D1393" t="s">
        <v>1698</v>
      </c>
      <c r="E1393" t="s">
        <v>584</v>
      </c>
      <c r="F1393" s="1">
        <v>46074.695</v>
      </c>
      <c r="G1393" t="s">
        <v>105</v>
      </c>
      <c r="H1393" t="s">
        <v>106</v>
      </c>
      <c r="I1393" t="s">
        <v>5310</v>
      </c>
      <c r="J1393" t="s">
        <v>108</v>
      </c>
      <c r="K1393" t="s">
        <v>341</v>
      </c>
      <c r="M1393" t="s">
        <v>47</v>
      </c>
      <c r="O1393" t="s">
        <v>77</v>
      </c>
      <c r="P1393" t="s">
        <v>78</v>
      </c>
      <c r="Q1393" t="s">
        <v>50</v>
      </c>
      <c r="R1393" t="s">
        <v>111</v>
      </c>
      <c r="S1393" t="s">
        <v>51</v>
      </c>
      <c r="T1393" t="s">
        <v>112</v>
      </c>
      <c r="U1393" s="1">
        <v>46075.009641203702</v>
      </c>
      <c r="V1393" t="s">
        <v>54</v>
      </c>
      <c r="X1393" t="s">
        <v>134</v>
      </c>
      <c r="Y1393" t="s">
        <v>6119</v>
      </c>
      <c r="Z1393" t="s">
        <v>5594</v>
      </c>
      <c r="AA1393" t="s">
        <v>54</v>
      </c>
      <c r="AB1393" t="s">
        <v>1701</v>
      </c>
      <c r="AC1393" t="s">
        <v>85</v>
      </c>
      <c r="AD1393" t="s">
        <v>116</v>
      </c>
      <c r="AE1393" t="s">
        <v>117</v>
      </c>
      <c r="AF1393" t="s">
        <v>1740</v>
      </c>
      <c r="AG1393" t="s">
        <v>5594</v>
      </c>
      <c r="AK1393">
        <v>1</v>
      </c>
      <c r="AL1393" t="s">
        <v>61</v>
      </c>
      <c r="AM1393" t="s">
        <v>1701</v>
      </c>
      <c r="AN1393" t="s">
        <v>1702</v>
      </c>
    </row>
    <row r="1394" spans="1:40" x14ac:dyDescent="0.35">
      <c r="A1394" t="s">
        <v>37</v>
      </c>
      <c r="B1394" t="s">
        <v>6120</v>
      </c>
      <c r="C1394" t="s">
        <v>102</v>
      </c>
      <c r="D1394" t="s">
        <v>146</v>
      </c>
      <c r="E1394" t="s">
        <v>147</v>
      </c>
      <c r="F1394" s="1">
        <v>46074.686620370368</v>
      </c>
      <c r="G1394" t="s">
        <v>71</v>
      </c>
      <c r="H1394" t="s">
        <v>72</v>
      </c>
      <c r="I1394" t="s">
        <v>6121</v>
      </c>
      <c r="J1394" t="s">
        <v>149</v>
      </c>
      <c r="K1394" t="s">
        <v>130</v>
      </c>
      <c r="M1394" t="s">
        <v>131</v>
      </c>
      <c r="O1394" t="s">
        <v>77</v>
      </c>
      <c r="P1394" t="s">
        <v>78</v>
      </c>
      <c r="Q1394" t="s">
        <v>50</v>
      </c>
      <c r="R1394" t="s">
        <v>132</v>
      </c>
      <c r="S1394" t="s">
        <v>133</v>
      </c>
      <c r="T1394" t="s">
        <v>133</v>
      </c>
      <c r="U1394" s="1">
        <v>46076.362719907411</v>
      </c>
      <c r="V1394" t="s">
        <v>54</v>
      </c>
      <c r="W1394" t="s">
        <v>55</v>
      </c>
      <c r="X1394" t="s">
        <v>82</v>
      </c>
      <c r="Y1394" t="s">
        <v>6122</v>
      </c>
      <c r="Z1394" t="s">
        <v>58</v>
      </c>
      <c r="AA1394" t="s">
        <v>54</v>
      </c>
      <c r="AB1394" t="s">
        <v>152</v>
      </c>
      <c r="AC1394" t="s">
        <v>85</v>
      </c>
      <c r="AD1394" t="s">
        <v>132</v>
      </c>
      <c r="AE1394" t="s">
        <v>133</v>
      </c>
      <c r="AF1394" t="s">
        <v>133</v>
      </c>
      <c r="AG1394" t="s">
        <v>58</v>
      </c>
      <c r="AH1394" t="s">
        <v>153</v>
      </c>
      <c r="AK1394">
        <v>1</v>
      </c>
      <c r="AL1394" t="s">
        <v>61</v>
      </c>
      <c r="AM1394" t="s">
        <v>152</v>
      </c>
      <c r="AN1394" t="s">
        <v>154</v>
      </c>
    </row>
    <row r="1395" spans="1:40" x14ac:dyDescent="0.35">
      <c r="A1395" t="s">
        <v>37</v>
      </c>
      <c r="B1395" t="s">
        <v>6123</v>
      </c>
      <c r="C1395" t="s">
        <v>39</v>
      </c>
      <c r="D1395" t="s">
        <v>6124</v>
      </c>
      <c r="E1395" t="s">
        <v>6125</v>
      </c>
      <c r="F1395" s="1">
        <v>46074.684467592589</v>
      </c>
      <c r="G1395" t="s">
        <v>3396</v>
      </c>
      <c r="H1395" t="s">
        <v>106</v>
      </c>
      <c r="I1395" t="s">
        <v>6126</v>
      </c>
      <c r="J1395" t="s">
        <v>3257</v>
      </c>
      <c r="K1395" t="s">
        <v>1834</v>
      </c>
      <c r="M1395" t="s">
        <v>2682</v>
      </c>
      <c r="O1395" t="s">
        <v>237</v>
      </c>
      <c r="P1395" t="s">
        <v>238</v>
      </c>
      <c r="Q1395" t="s">
        <v>50</v>
      </c>
      <c r="R1395" t="s">
        <v>51</v>
      </c>
      <c r="S1395" t="s">
        <v>52</v>
      </c>
      <c r="T1395" t="s">
        <v>240</v>
      </c>
      <c r="U1395" s="1">
        <v>46076.315578703703</v>
      </c>
      <c r="V1395" t="s">
        <v>54</v>
      </c>
      <c r="W1395" t="s">
        <v>55</v>
      </c>
      <c r="X1395" t="s">
        <v>211</v>
      </c>
      <c r="Y1395" t="s">
        <v>3258</v>
      </c>
      <c r="Z1395" t="s">
        <v>58</v>
      </c>
      <c r="AA1395" t="s">
        <v>54</v>
      </c>
      <c r="AB1395" t="s">
        <v>213</v>
      </c>
      <c r="AC1395" t="s">
        <v>242</v>
      </c>
      <c r="AD1395" t="s">
        <v>52</v>
      </c>
      <c r="AE1395" t="s">
        <v>243</v>
      </c>
      <c r="AF1395" t="s">
        <v>1470</v>
      </c>
      <c r="AG1395" t="s">
        <v>58</v>
      </c>
      <c r="AH1395">
        <v>4472</v>
      </c>
      <c r="AK1395">
        <v>1</v>
      </c>
      <c r="AL1395" t="s">
        <v>61</v>
      </c>
      <c r="AM1395" t="s">
        <v>6127</v>
      </c>
      <c r="AN1395" t="s">
        <v>6128</v>
      </c>
    </row>
    <row r="1396" spans="1:40" x14ac:dyDescent="0.35">
      <c r="A1396" t="s">
        <v>37</v>
      </c>
      <c r="B1396" t="s">
        <v>6129</v>
      </c>
      <c r="C1396" t="s">
        <v>39</v>
      </c>
      <c r="D1396" t="s">
        <v>40</v>
      </c>
      <c r="E1396" t="s">
        <v>41</v>
      </c>
      <c r="F1396" s="1">
        <v>46074.682256944441</v>
      </c>
      <c r="G1396" t="s">
        <v>42</v>
      </c>
      <c r="H1396" t="s">
        <v>43</v>
      </c>
      <c r="I1396" t="s">
        <v>6130</v>
      </c>
      <c r="J1396" t="s">
        <v>45</v>
      </c>
      <c r="K1396" t="s">
        <v>46</v>
      </c>
      <c r="M1396" t="s">
        <v>47</v>
      </c>
      <c r="O1396" t="s">
        <v>48</v>
      </c>
      <c r="P1396" t="s">
        <v>49</v>
      </c>
      <c r="Q1396" t="s">
        <v>50</v>
      </c>
      <c r="R1396" t="s">
        <v>51</v>
      </c>
      <c r="S1396" t="s">
        <v>52</v>
      </c>
      <c r="T1396" t="s">
        <v>53</v>
      </c>
      <c r="U1396" s="1">
        <v>46074.68309027778</v>
      </c>
      <c r="V1396" t="s">
        <v>54</v>
      </c>
      <c r="W1396" t="s">
        <v>55</v>
      </c>
      <c r="X1396" t="s">
        <v>56</v>
      </c>
      <c r="Y1396" t="s">
        <v>57</v>
      </c>
      <c r="Z1396" t="s">
        <v>5594</v>
      </c>
      <c r="AA1396" t="s">
        <v>54</v>
      </c>
      <c r="AB1396" t="s">
        <v>59</v>
      </c>
      <c r="AC1396" t="s">
        <v>60</v>
      </c>
      <c r="AD1396" t="s">
        <v>51</v>
      </c>
      <c r="AE1396" t="s">
        <v>52</v>
      </c>
      <c r="AF1396" t="s">
        <v>53</v>
      </c>
      <c r="AG1396" t="s">
        <v>5594</v>
      </c>
      <c r="AK1396">
        <v>0</v>
      </c>
      <c r="AL1396" t="s">
        <v>61</v>
      </c>
      <c r="AM1396" t="s">
        <v>59</v>
      </c>
      <c r="AN1396" t="s">
        <v>62</v>
      </c>
    </row>
    <row r="1397" spans="1:40" x14ac:dyDescent="0.35">
      <c r="A1397" t="s">
        <v>37</v>
      </c>
      <c r="B1397" t="s">
        <v>6131</v>
      </c>
      <c r="C1397" t="s">
        <v>39</v>
      </c>
      <c r="D1397" t="s">
        <v>6132</v>
      </c>
      <c r="E1397" t="s">
        <v>6133</v>
      </c>
      <c r="F1397" s="1">
        <v>46074.677025462966</v>
      </c>
      <c r="G1397" t="s">
        <v>855</v>
      </c>
      <c r="H1397" t="s">
        <v>447</v>
      </c>
      <c r="I1397" t="s">
        <v>2152</v>
      </c>
      <c r="J1397" t="s">
        <v>724</v>
      </c>
      <c r="K1397" t="s">
        <v>75</v>
      </c>
      <c r="M1397" t="s">
        <v>76</v>
      </c>
      <c r="O1397" t="s">
        <v>77</v>
      </c>
      <c r="P1397" t="s">
        <v>78</v>
      </c>
      <c r="Q1397" t="s">
        <v>456</v>
      </c>
      <c r="R1397" t="s">
        <v>79</v>
      </c>
      <c r="S1397" t="s">
        <v>967</v>
      </c>
      <c r="T1397" t="s">
        <v>1072</v>
      </c>
      <c r="U1397" s="1">
        <v>46076.430011574077</v>
      </c>
      <c r="V1397" t="s">
        <v>54</v>
      </c>
      <c r="W1397" t="s">
        <v>55</v>
      </c>
      <c r="X1397" t="s">
        <v>134</v>
      </c>
      <c r="Y1397" t="s">
        <v>6134</v>
      </c>
      <c r="Z1397" t="s">
        <v>58</v>
      </c>
      <c r="AA1397" t="s">
        <v>54</v>
      </c>
      <c r="AB1397" t="s">
        <v>84</v>
      </c>
      <c r="AC1397" t="s">
        <v>85</v>
      </c>
      <c r="AD1397" t="s">
        <v>79</v>
      </c>
      <c r="AE1397" t="s">
        <v>967</v>
      </c>
      <c r="AF1397" t="s">
        <v>1072</v>
      </c>
      <c r="AG1397" t="s">
        <v>58</v>
      </c>
      <c r="AH1397">
        <v>5033</v>
      </c>
      <c r="AK1397">
        <v>1</v>
      </c>
      <c r="AL1397" t="s">
        <v>61</v>
      </c>
      <c r="AM1397" t="s">
        <v>6135</v>
      </c>
      <c r="AN1397" t="s">
        <v>6136</v>
      </c>
    </row>
    <row r="1398" spans="1:40" x14ac:dyDescent="0.35">
      <c r="A1398" t="s">
        <v>37</v>
      </c>
      <c r="B1398" t="s">
        <v>6137</v>
      </c>
      <c r="C1398" t="s">
        <v>102</v>
      </c>
      <c r="D1398" t="s">
        <v>3786</v>
      </c>
      <c r="E1398" t="s">
        <v>469</v>
      </c>
      <c r="F1398" s="1">
        <v>46074.663113425922</v>
      </c>
      <c r="G1398" t="s">
        <v>105</v>
      </c>
      <c r="H1398" t="s">
        <v>106</v>
      </c>
      <c r="I1398" t="s">
        <v>1918</v>
      </c>
      <c r="J1398" t="s">
        <v>108</v>
      </c>
      <c r="K1398" t="s">
        <v>109</v>
      </c>
      <c r="M1398" t="s">
        <v>47</v>
      </c>
      <c r="O1398" t="s">
        <v>77</v>
      </c>
      <c r="P1398" t="s">
        <v>78</v>
      </c>
      <c r="Q1398" t="s">
        <v>541</v>
      </c>
      <c r="R1398" t="s">
        <v>111</v>
      </c>
      <c r="S1398" t="s">
        <v>51</v>
      </c>
      <c r="T1398" t="s">
        <v>112</v>
      </c>
      <c r="U1398" s="1">
        <v>46074.743715277778</v>
      </c>
      <c r="V1398" t="s">
        <v>54</v>
      </c>
      <c r="W1398" t="s">
        <v>55</v>
      </c>
      <c r="X1398" t="s">
        <v>113</v>
      </c>
      <c r="Y1398" t="s">
        <v>6138</v>
      </c>
      <c r="Z1398" t="s">
        <v>5594</v>
      </c>
      <c r="AA1398" t="s">
        <v>54</v>
      </c>
      <c r="AB1398" t="s">
        <v>115</v>
      </c>
      <c r="AC1398" t="s">
        <v>85</v>
      </c>
      <c r="AD1398" t="s">
        <v>116</v>
      </c>
      <c r="AE1398" t="s">
        <v>117</v>
      </c>
      <c r="AF1398" t="s">
        <v>118</v>
      </c>
      <c r="AG1398" t="s">
        <v>5594</v>
      </c>
      <c r="AH1398">
        <v>5935</v>
      </c>
      <c r="AK1398">
        <v>1</v>
      </c>
      <c r="AL1398" t="s">
        <v>61</v>
      </c>
      <c r="AM1398" t="s">
        <v>3789</v>
      </c>
      <c r="AN1398" t="s">
        <v>3790</v>
      </c>
    </row>
    <row r="1399" spans="1:40" x14ac:dyDescent="0.35">
      <c r="A1399" t="s">
        <v>37</v>
      </c>
      <c r="B1399" t="s">
        <v>6139</v>
      </c>
      <c r="C1399" t="s">
        <v>39</v>
      </c>
      <c r="D1399" t="s">
        <v>40</v>
      </c>
      <c r="E1399" t="s">
        <v>41</v>
      </c>
      <c r="F1399" s="1">
        <v>46074.649560185186</v>
      </c>
      <c r="G1399" t="s">
        <v>42</v>
      </c>
      <c r="H1399" t="s">
        <v>43</v>
      </c>
      <c r="I1399" t="s">
        <v>6140</v>
      </c>
      <c r="J1399" t="s">
        <v>45</v>
      </c>
      <c r="K1399" t="s">
        <v>46</v>
      </c>
      <c r="M1399" t="s">
        <v>47</v>
      </c>
      <c r="O1399" t="s">
        <v>48</v>
      </c>
      <c r="P1399" t="s">
        <v>49</v>
      </c>
      <c r="Q1399" t="s">
        <v>50</v>
      </c>
      <c r="R1399" t="s">
        <v>51</v>
      </c>
      <c r="S1399" t="s">
        <v>52</v>
      </c>
      <c r="T1399" t="s">
        <v>53</v>
      </c>
      <c r="U1399" s="1">
        <v>46074.650405092594</v>
      </c>
      <c r="V1399" t="s">
        <v>54</v>
      </c>
      <c r="W1399" t="s">
        <v>55</v>
      </c>
      <c r="X1399" t="s">
        <v>56</v>
      </c>
      <c r="Y1399" t="s">
        <v>57</v>
      </c>
      <c r="Z1399" t="s">
        <v>5594</v>
      </c>
      <c r="AA1399" t="s">
        <v>54</v>
      </c>
      <c r="AB1399" t="s">
        <v>59</v>
      </c>
      <c r="AC1399" t="s">
        <v>60</v>
      </c>
      <c r="AD1399" t="s">
        <v>51</v>
      </c>
      <c r="AE1399" t="s">
        <v>52</v>
      </c>
      <c r="AF1399" t="s">
        <v>53</v>
      </c>
      <c r="AG1399" t="s">
        <v>5594</v>
      </c>
      <c r="AK1399">
        <v>0</v>
      </c>
      <c r="AL1399" t="s">
        <v>61</v>
      </c>
      <c r="AM1399" t="s">
        <v>59</v>
      </c>
      <c r="AN1399" t="s">
        <v>62</v>
      </c>
    </row>
    <row r="1400" spans="1:40" x14ac:dyDescent="0.35">
      <c r="A1400" t="s">
        <v>37</v>
      </c>
      <c r="B1400" t="s">
        <v>6141</v>
      </c>
      <c r="C1400" t="s">
        <v>102</v>
      </c>
      <c r="D1400" t="s">
        <v>1698</v>
      </c>
      <c r="E1400" t="s">
        <v>584</v>
      </c>
      <c r="F1400" s="1">
        <v>46074.647650462961</v>
      </c>
      <c r="G1400" t="s">
        <v>105</v>
      </c>
      <c r="H1400" t="s">
        <v>106</v>
      </c>
      <c r="I1400" t="s">
        <v>1851</v>
      </c>
      <c r="J1400" t="s">
        <v>108</v>
      </c>
      <c r="K1400" t="s">
        <v>109</v>
      </c>
      <c r="M1400" t="s">
        <v>47</v>
      </c>
      <c r="O1400" t="s">
        <v>77</v>
      </c>
      <c r="P1400" t="s">
        <v>78</v>
      </c>
      <c r="Q1400" t="s">
        <v>50</v>
      </c>
      <c r="R1400" t="s">
        <v>111</v>
      </c>
      <c r="S1400" t="s">
        <v>51</v>
      </c>
      <c r="T1400" t="s">
        <v>112</v>
      </c>
      <c r="U1400" s="1">
        <v>46074.736620370371</v>
      </c>
      <c r="V1400" t="s">
        <v>54</v>
      </c>
      <c r="W1400" t="s">
        <v>55</v>
      </c>
      <c r="X1400" t="s">
        <v>134</v>
      </c>
      <c r="Y1400" t="s">
        <v>6142</v>
      </c>
      <c r="Z1400" t="s">
        <v>5594</v>
      </c>
      <c r="AA1400" t="s">
        <v>54</v>
      </c>
      <c r="AB1400" t="s">
        <v>1701</v>
      </c>
      <c r="AC1400" t="s">
        <v>85</v>
      </c>
      <c r="AD1400" t="s">
        <v>116</v>
      </c>
      <c r="AE1400" t="s">
        <v>117</v>
      </c>
      <c r="AF1400" t="s">
        <v>1706</v>
      </c>
      <c r="AG1400" t="s">
        <v>5594</v>
      </c>
      <c r="AK1400">
        <v>1</v>
      </c>
      <c r="AL1400" t="s">
        <v>61</v>
      </c>
      <c r="AM1400" t="s">
        <v>1701</v>
      </c>
      <c r="AN1400" t="s">
        <v>1702</v>
      </c>
    </row>
    <row r="1401" spans="1:40" x14ac:dyDescent="0.35">
      <c r="A1401" t="s">
        <v>37</v>
      </c>
      <c r="B1401" t="s">
        <v>6143</v>
      </c>
      <c r="C1401" t="s">
        <v>102</v>
      </c>
      <c r="D1401" t="s">
        <v>3786</v>
      </c>
      <c r="E1401" t="s">
        <v>469</v>
      </c>
      <c r="F1401" s="1">
        <v>46074.642164351855</v>
      </c>
      <c r="G1401" t="s">
        <v>105</v>
      </c>
      <c r="H1401" t="s">
        <v>106</v>
      </c>
      <c r="I1401" t="s">
        <v>6144</v>
      </c>
      <c r="J1401" t="s">
        <v>108</v>
      </c>
      <c r="K1401" t="s">
        <v>571</v>
      </c>
      <c r="M1401" t="s">
        <v>47</v>
      </c>
      <c r="O1401" t="s">
        <v>77</v>
      </c>
      <c r="P1401" t="s">
        <v>78</v>
      </c>
      <c r="Q1401" t="s">
        <v>541</v>
      </c>
      <c r="R1401" t="s">
        <v>111</v>
      </c>
      <c r="S1401" t="s">
        <v>51</v>
      </c>
      <c r="T1401" t="s">
        <v>112</v>
      </c>
      <c r="U1401" s="1">
        <v>46075.272511574076</v>
      </c>
      <c r="V1401" t="s">
        <v>54</v>
      </c>
      <c r="W1401" t="s">
        <v>55</v>
      </c>
      <c r="X1401" t="s">
        <v>113</v>
      </c>
      <c r="Y1401" t="s">
        <v>6145</v>
      </c>
      <c r="Z1401" t="s">
        <v>5594</v>
      </c>
      <c r="AA1401" t="s">
        <v>54</v>
      </c>
      <c r="AB1401" t="s">
        <v>115</v>
      </c>
      <c r="AC1401" t="s">
        <v>85</v>
      </c>
      <c r="AD1401" t="s">
        <v>116</v>
      </c>
      <c r="AE1401" t="s">
        <v>1541</v>
      </c>
      <c r="AF1401" t="s">
        <v>144</v>
      </c>
      <c r="AG1401" t="s">
        <v>5594</v>
      </c>
      <c r="AH1401">
        <v>5935</v>
      </c>
      <c r="AK1401">
        <v>1</v>
      </c>
      <c r="AL1401" t="s">
        <v>61</v>
      </c>
      <c r="AM1401" t="s">
        <v>3789</v>
      </c>
      <c r="AN1401" t="s">
        <v>3790</v>
      </c>
    </row>
    <row r="1402" spans="1:40" x14ac:dyDescent="0.35">
      <c r="A1402" t="s">
        <v>37</v>
      </c>
      <c r="B1402" t="s">
        <v>6146</v>
      </c>
      <c r="C1402" t="s">
        <v>102</v>
      </c>
      <c r="D1402" t="s">
        <v>284</v>
      </c>
      <c r="E1402" t="s">
        <v>285</v>
      </c>
      <c r="F1402" s="1">
        <v>46074.643333333333</v>
      </c>
      <c r="G1402" t="s">
        <v>286</v>
      </c>
      <c r="H1402" t="s">
        <v>287</v>
      </c>
      <c r="I1402" t="s">
        <v>6147</v>
      </c>
      <c r="J1402" t="s">
        <v>289</v>
      </c>
      <c r="K1402" t="s">
        <v>130</v>
      </c>
      <c r="M1402" t="s">
        <v>131</v>
      </c>
      <c r="O1402" t="s">
        <v>77</v>
      </c>
      <c r="P1402" t="s">
        <v>78</v>
      </c>
      <c r="Q1402" t="s">
        <v>50</v>
      </c>
      <c r="R1402" t="s">
        <v>132</v>
      </c>
      <c r="S1402" t="s">
        <v>133</v>
      </c>
      <c r="T1402" t="s">
        <v>133</v>
      </c>
      <c r="U1402" s="1">
        <v>46076.368622685186</v>
      </c>
      <c r="V1402" t="s">
        <v>54</v>
      </c>
      <c r="W1402" t="s">
        <v>55</v>
      </c>
      <c r="X1402" t="s">
        <v>134</v>
      </c>
      <c r="Y1402" t="s">
        <v>6148</v>
      </c>
      <c r="Z1402" t="s">
        <v>58</v>
      </c>
      <c r="AA1402" t="s">
        <v>54</v>
      </c>
      <c r="AB1402" t="s">
        <v>291</v>
      </c>
      <c r="AC1402" t="s">
        <v>85</v>
      </c>
      <c r="AD1402" t="s">
        <v>132</v>
      </c>
      <c r="AE1402" t="s">
        <v>133</v>
      </c>
      <c r="AF1402" t="s">
        <v>133</v>
      </c>
      <c r="AG1402" t="s">
        <v>58</v>
      </c>
      <c r="AH1402" t="s">
        <v>292</v>
      </c>
      <c r="AK1402">
        <v>1</v>
      </c>
      <c r="AL1402" t="s">
        <v>61</v>
      </c>
      <c r="AM1402" t="s">
        <v>291</v>
      </c>
      <c r="AN1402" t="s">
        <v>293</v>
      </c>
    </row>
    <row r="1403" spans="1:40" x14ac:dyDescent="0.35">
      <c r="A1403" t="s">
        <v>37</v>
      </c>
      <c r="B1403" t="s">
        <v>6149</v>
      </c>
      <c r="C1403" t="s">
        <v>39</v>
      </c>
      <c r="D1403" t="s">
        <v>5482</v>
      </c>
      <c r="E1403" t="s">
        <v>2095</v>
      </c>
      <c r="F1403" s="1">
        <v>46074.631898148145</v>
      </c>
      <c r="G1403" t="s">
        <v>355</v>
      </c>
      <c r="H1403" t="s">
        <v>356</v>
      </c>
      <c r="I1403" t="s">
        <v>1052</v>
      </c>
      <c r="J1403" t="s">
        <v>394</v>
      </c>
      <c r="K1403" t="s">
        <v>75</v>
      </c>
      <c r="M1403" t="s">
        <v>47</v>
      </c>
      <c r="O1403" t="s">
        <v>77</v>
      </c>
      <c r="P1403" t="s">
        <v>78</v>
      </c>
      <c r="Q1403" t="s">
        <v>50</v>
      </c>
      <c r="R1403" t="s">
        <v>79</v>
      </c>
      <c r="S1403" t="s">
        <v>975</v>
      </c>
      <c r="T1403" t="s">
        <v>976</v>
      </c>
      <c r="U1403" s="1">
        <v>46074.63212962963</v>
      </c>
      <c r="V1403" t="s">
        <v>54</v>
      </c>
      <c r="W1403" t="s">
        <v>55</v>
      </c>
      <c r="X1403" t="s">
        <v>82</v>
      </c>
      <c r="Y1403" t="s">
        <v>4148</v>
      </c>
      <c r="Z1403" t="s">
        <v>5594</v>
      </c>
      <c r="AA1403" t="s">
        <v>54</v>
      </c>
      <c r="AB1403" t="s">
        <v>396</v>
      </c>
      <c r="AC1403" t="s">
        <v>85</v>
      </c>
      <c r="AD1403" t="s">
        <v>79</v>
      </c>
      <c r="AE1403" t="s">
        <v>975</v>
      </c>
      <c r="AF1403" t="s">
        <v>976</v>
      </c>
      <c r="AG1403" t="s">
        <v>5594</v>
      </c>
      <c r="AH1403" t="s">
        <v>5484</v>
      </c>
      <c r="AK1403">
        <v>0</v>
      </c>
      <c r="AL1403" t="s">
        <v>61</v>
      </c>
      <c r="AM1403" t="s">
        <v>5485</v>
      </c>
      <c r="AN1403" t="s">
        <v>5486</v>
      </c>
    </row>
    <row r="1404" spans="1:40" x14ac:dyDescent="0.35">
      <c r="A1404" t="s">
        <v>37</v>
      </c>
      <c r="B1404" t="s">
        <v>6150</v>
      </c>
      <c r="C1404" t="s">
        <v>102</v>
      </c>
      <c r="D1404" t="s">
        <v>3786</v>
      </c>
      <c r="E1404" t="s">
        <v>469</v>
      </c>
      <c r="F1404" s="1">
        <v>46074.614247685182</v>
      </c>
      <c r="G1404" t="s">
        <v>105</v>
      </c>
      <c r="H1404" t="s">
        <v>106</v>
      </c>
      <c r="I1404" t="s">
        <v>6151</v>
      </c>
      <c r="J1404" t="s">
        <v>108</v>
      </c>
      <c r="K1404" t="s">
        <v>571</v>
      </c>
      <c r="M1404" t="s">
        <v>47</v>
      </c>
      <c r="O1404" t="s">
        <v>77</v>
      </c>
      <c r="P1404" t="s">
        <v>78</v>
      </c>
      <c r="Q1404" t="s">
        <v>541</v>
      </c>
      <c r="R1404" t="s">
        <v>111</v>
      </c>
      <c r="S1404" t="s">
        <v>51</v>
      </c>
      <c r="T1404" t="s">
        <v>112</v>
      </c>
      <c r="U1404" s="1">
        <v>46075.272175925929</v>
      </c>
      <c r="V1404" t="s">
        <v>54</v>
      </c>
      <c r="W1404" t="s">
        <v>55</v>
      </c>
      <c r="X1404" t="s">
        <v>113</v>
      </c>
      <c r="Y1404" t="s">
        <v>1540</v>
      </c>
      <c r="Z1404" t="s">
        <v>5594</v>
      </c>
      <c r="AA1404" t="s">
        <v>54</v>
      </c>
      <c r="AB1404" t="s">
        <v>115</v>
      </c>
      <c r="AC1404" t="s">
        <v>85</v>
      </c>
      <c r="AD1404" t="s">
        <v>116</v>
      </c>
      <c r="AE1404" t="s">
        <v>1541</v>
      </c>
      <c r="AF1404" t="s">
        <v>144</v>
      </c>
      <c r="AG1404" t="s">
        <v>5594</v>
      </c>
      <c r="AH1404">
        <v>5935</v>
      </c>
      <c r="AK1404">
        <v>1</v>
      </c>
      <c r="AL1404" t="s">
        <v>61</v>
      </c>
      <c r="AM1404" t="s">
        <v>3789</v>
      </c>
      <c r="AN1404" t="s">
        <v>3790</v>
      </c>
    </row>
    <row r="1405" spans="1:40" x14ac:dyDescent="0.35">
      <c r="A1405" t="s">
        <v>37</v>
      </c>
      <c r="B1405" t="s">
        <v>6152</v>
      </c>
      <c r="C1405" t="s">
        <v>39</v>
      </c>
      <c r="D1405" t="s">
        <v>3907</v>
      </c>
      <c r="E1405" t="s">
        <v>6153</v>
      </c>
      <c r="F1405" s="1">
        <v>46074.611932870372</v>
      </c>
      <c r="G1405" t="s">
        <v>793</v>
      </c>
      <c r="H1405" t="s">
        <v>356</v>
      </c>
      <c r="I1405" t="s">
        <v>6154</v>
      </c>
      <c r="J1405" t="s">
        <v>6155</v>
      </c>
      <c r="K1405" t="s">
        <v>6156</v>
      </c>
      <c r="M1405" t="s">
        <v>131</v>
      </c>
      <c r="O1405" t="s">
        <v>48</v>
      </c>
      <c r="P1405" t="s">
        <v>49</v>
      </c>
      <c r="Q1405" t="s">
        <v>6157</v>
      </c>
      <c r="R1405" t="s">
        <v>51</v>
      </c>
      <c r="S1405" t="s">
        <v>52</v>
      </c>
      <c r="T1405" t="s">
        <v>240</v>
      </c>
      <c r="U1405" s="1">
        <v>46076.431273148148</v>
      </c>
      <c r="V1405" t="s">
        <v>54</v>
      </c>
      <c r="W1405" t="s">
        <v>55</v>
      </c>
      <c r="X1405" t="s">
        <v>82</v>
      </c>
      <c r="Y1405" t="s">
        <v>6158</v>
      </c>
      <c r="Z1405" t="s">
        <v>58</v>
      </c>
      <c r="AA1405" t="s">
        <v>54</v>
      </c>
      <c r="AB1405" t="s">
        <v>396</v>
      </c>
      <c r="AC1405" t="s">
        <v>60</v>
      </c>
      <c r="AD1405" t="s">
        <v>52</v>
      </c>
      <c r="AE1405" t="s">
        <v>243</v>
      </c>
      <c r="AF1405" t="s">
        <v>1470</v>
      </c>
      <c r="AG1405" t="s">
        <v>58</v>
      </c>
      <c r="AH1405">
        <v>12177</v>
      </c>
      <c r="AK1405">
        <v>1</v>
      </c>
      <c r="AL1405" t="s">
        <v>410</v>
      </c>
      <c r="AM1405" t="s">
        <v>6159</v>
      </c>
      <c r="AN1405" t="s">
        <v>6160</v>
      </c>
    </row>
    <row r="1406" spans="1:40" x14ac:dyDescent="0.35">
      <c r="A1406" t="s">
        <v>37</v>
      </c>
      <c r="B1406" t="s">
        <v>6161</v>
      </c>
      <c r="C1406" t="s">
        <v>102</v>
      </c>
      <c r="D1406" t="s">
        <v>1698</v>
      </c>
      <c r="E1406" t="s">
        <v>584</v>
      </c>
      <c r="F1406" s="1">
        <v>46074.603067129632</v>
      </c>
      <c r="G1406" t="s">
        <v>105</v>
      </c>
      <c r="H1406" t="s">
        <v>106</v>
      </c>
      <c r="I1406" t="s">
        <v>6162</v>
      </c>
      <c r="J1406" t="s">
        <v>108</v>
      </c>
      <c r="K1406" t="s">
        <v>109</v>
      </c>
      <c r="M1406" t="s">
        <v>47</v>
      </c>
      <c r="O1406" t="s">
        <v>77</v>
      </c>
      <c r="P1406" t="s">
        <v>78</v>
      </c>
      <c r="Q1406" t="s">
        <v>50</v>
      </c>
      <c r="R1406" t="s">
        <v>111</v>
      </c>
      <c r="S1406" t="s">
        <v>51</v>
      </c>
      <c r="T1406" t="s">
        <v>112</v>
      </c>
      <c r="U1406" s="1">
        <v>46074.735335648147</v>
      </c>
      <c r="V1406" t="s">
        <v>54</v>
      </c>
      <c r="W1406" t="s">
        <v>55</v>
      </c>
      <c r="X1406" t="s">
        <v>134</v>
      </c>
      <c r="Y1406" t="s">
        <v>6163</v>
      </c>
      <c r="Z1406" t="s">
        <v>5594</v>
      </c>
      <c r="AA1406" t="s">
        <v>54</v>
      </c>
      <c r="AB1406" t="s">
        <v>1701</v>
      </c>
      <c r="AC1406" t="s">
        <v>85</v>
      </c>
      <c r="AD1406" t="s">
        <v>116</v>
      </c>
      <c r="AE1406" t="s">
        <v>117</v>
      </c>
      <c r="AF1406" t="s">
        <v>1706</v>
      </c>
      <c r="AG1406" t="s">
        <v>5594</v>
      </c>
      <c r="AK1406">
        <v>1</v>
      </c>
      <c r="AL1406" t="s">
        <v>61</v>
      </c>
      <c r="AM1406" t="s">
        <v>1701</v>
      </c>
      <c r="AN1406" t="s">
        <v>1702</v>
      </c>
    </row>
    <row r="1407" spans="1:40" x14ac:dyDescent="0.35">
      <c r="A1407" t="s">
        <v>37</v>
      </c>
      <c r="B1407" t="s">
        <v>6164</v>
      </c>
      <c r="C1407" t="s">
        <v>102</v>
      </c>
      <c r="D1407" t="s">
        <v>1698</v>
      </c>
      <c r="E1407" t="s">
        <v>584</v>
      </c>
      <c r="F1407" s="1">
        <v>46074.59951388889</v>
      </c>
      <c r="G1407" t="s">
        <v>105</v>
      </c>
      <c r="H1407" t="s">
        <v>106</v>
      </c>
      <c r="I1407" t="s">
        <v>183</v>
      </c>
      <c r="J1407" t="s">
        <v>108</v>
      </c>
      <c r="K1407" t="s">
        <v>109</v>
      </c>
      <c r="M1407" t="s">
        <v>47</v>
      </c>
      <c r="O1407" t="s">
        <v>77</v>
      </c>
      <c r="P1407" t="s">
        <v>78</v>
      </c>
      <c r="Q1407" t="s">
        <v>50</v>
      </c>
      <c r="R1407" t="s">
        <v>111</v>
      </c>
      <c r="S1407" t="s">
        <v>51</v>
      </c>
      <c r="T1407" t="s">
        <v>112</v>
      </c>
      <c r="U1407" s="1">
        <v>46074.735914351855</v>
      </c>
      <c r="V1407" t="s">
        <v>54</v>
      </c>
      <c r="W1407" t="s">
        <v>55</v>
      </c>
      <c r="X1407" t="s">
        <v>134</v>
      </c>
      <c r="Y1407" t="s">
        <v>6165</v>
      </c>
      <c r="Z1407" t="s">
        <v>5594</v>
      </c>
      <c r="AA1407" t="s">
        <v>54</v>
      </c>
      <c r="AB1407" t="s">
        <v>1701</v>
      </c>
      <c r="AC1407" t="s">
        <v>85</v>
      </c>
      <c r="AD1407" t="s">
        <v>116</v>
      </c>
      <c r="AE1407" t="s">
        <v>334</v>
      </c>
      <c r="AF1407" t="s">
        <v>1706</v>
      </c>
      <c r="AG1407" t="s">
        <v>5594</v>
      </c>
      <c r="AK1407">
        <v>1</v>
      </c>
      <c r="AL1407" t="s">
        <v>61</v>
      </c>
      <c r="AM1407" t="s">
        <v>1701</v>
      </c>
      <c r="AN1407" t="s">
        <v>1702</v>
      </c>
    </row>
    <row r="1408" spans="1:40" x14ac:dyDescent="0.35">
      <c r="A1408" t="s">
        <v>37</v>
      </c>
      <c r="B1408" t="s">
        <v>6166</v>
      </c>
      <c r="C1408" t="s">
        <v>39</v>
      </c>
      <c r="D1408" t="s">
        <v>747</v>
      </c>
      <c r="E1408" t="s">
        <v>1216</v>
      </c>
      <c r="F1408" s="1">
        <v>46074.59547453704</v>
      </c>
      <c r="G1408" t="s">
        <v>204</v>
      </c>
      <c r="H1408" t="s">
        <v>92</v>
      </c>
      <c r="I1408" t="s">
        <v>205</v>
      </c>
      <c r="J1408" t="s">
        <v>1692</v>
      </c>
      <c r="K1408" t="s">
        <v>207</v>
      </c>
      <c r="M1408" t="s">
        <v>47</v>
      </c>
      <c r="O1408" t="s">
        <v>77</v>
      </c>
      <c r="P1408" t="s">
        <v>78</v>
      </c>
      <c r="Q1408" t="s">
        <v>1370</v>
      </c>
      <c r="R1408" t="s">
        <v>208</v>
      </c>
      <c r="S1408" t="s">
        <v>209</v>
      </c>
      <c r="T1408" t="s">
        <v>210</v>
      </c>
      <c r="U1408" s="1">
        <v>46074.630150462966</v>
      </c>
      <c r="V1408" t="s">
        <v>54</v>
      </c>
      <c r="W1408" t="s">
        <v>55</v>
      </c>
      <c r="X1408" t="s">
        <v>211</v>
      </c>
      <c r="Y1408" t="s">
        <v>1693</v>
      </c>
      <c r="Z1408" t="s">
        <v>5594</v>
      </c>
      <c r="AA1408" t="s">
        <v>54</v>
      </c>
      <c r="AB1408" t="s">
        <v>213</v>
      </c>
      <c r="AC1408" t="s">
        <v>85</v>
      </c>
      <c r="AD1408" t="s">
        <v>214</v>
      </c>
      <c r="AE1408" t="s">
        <v>215</v>
      </c>
      <c r="AF1408" t="s">
        <v>216</v>
      </c>
      <c r="AG1408" t="s">
        <v>5594</v>
      </c>
      <c r="AH1408">
        <v>2729</v>
      </c>
      <c r="AK1408">
        <v>1</v>
      </c>
      <c r="AL1408" t="s">
        <v>61</v>
      </c>
      <c r="AM1408" t="s">
        <v>6167</v>
      </c>
      <c r="AN1408" t="s">
        <v>6168</v>
      </c>
    </row>
    <row r="1409" spans="1:40" x14ac:dyDescent="0.35">
      <c r="A1409" t="s">
        <v>37</v>
      </c>
      <c r="B1409" t="s">
        <v>6169</v>
      </c>
      <c r="C1409" t="s">
        <v>39</v>
      </c>
      <c r="D1409" t="s">
        <v>799</v>
      </c>
      <c r="E1409" t="s">
        <v>6170</v>
      </c>
      <c r="F1409" s="1">
        <v>46074.594872685186</v>
      </c>
      <c r="G1409" t="s">
        <v>370</v>
      </c>
      <c r="H1409" t="s">
        <v>371</v>
      </c>
      <c r="I1409" t="s">
        <v>205</v>
      </c>
      <c r="J1409" t="s">
        <v>1692</v>
      </c>
      <c r="K1409" t="s">
        <v>207</v>
      </c>
      <c r="M1409" t="s">
        <v>47</v>
      </c>
      <c r="O1409" t="s">
        <v>77</v>
      </c>
      <c r="P1409" t="s">
        <v>78</v>
      </c>
      <c r="Q1409" t="s">
        <v>50</v>
      </c>
      <c r="R1409" t="s">
        <v>208</v>
      </c>
      <c r="S1409" t="s">
        <v>209</v>
      </c>
      <c r="T1409" t="s">
        <v>210</v>
      </c>
      <c r="U1409" s="1">
        <v>46074.629293981481</v>
      </c>
      <c r="V1409" t="s">
        <v>54</v>
      </c>
      <c r="W1409" t="s">
        <v>55</v>
      </c>
      <c r="X1409" t="s">
        <v>211</v>
      </c>
      <c r="Y1409" t="s">
        <v>1693</v>
      </c>
      <c r="Z1409" t="s">
        <v>5594</v>
      </c>
      <c r="AA1409" t="s">
        <v>54</v>
      </c>
      <c r="AB1409" t="s">
        <v>213</v>
      </c>
      <c r="AC1409" t="s">
        <v>85</v>
      </c>
      <c r="AD1409" t="s">
        <v>214</v>
      </c>
      <c r="AE1409" t="s">
        <v>215</v>
      </c>
      <c r="AF1409" t="s">
        <v>216</v>
      </c>
      <c r="AG1409" t="s">
        <v>5594</v>
      </c>
      <c r="AH1409">
        <v>15603</v>
      </c>
      <c r="AK1409">
        <v>1</v>
      </c>
      <c r="AL1409" t="s">
        <v>61</v>
      </c>
      <c r="AM1409" t="s">
        <v>6171</v>
      </c>
      <c r="AN1409" t="s">
        <v>6172</v>
      </c>
    </row>
    <row r="1410" spans="1:40" x14ac:dyDescent="0.35">
      <c r="A1410" t="s">
        <v>37</v>
      </c>
      <c r="B1410" t="s">
        <v>6173</v>
      </c>
      <c r="C1410" t="s">
        <v>39</v>
      </c>
      <c r="D1410" t="s">
        <v>799</v>
      </c>
      <c r="E1410" t="s">
        <v>6174</v>
      </c>
      <c r="F1410" s="1">
        <v>46074.592939814815</v>
      </c>
      <c r="G1410" t="s">
        <v>204</v>
      </c>
      <c r="H1410" t="s">
        <v>92</v>
      </c>
      <c r="I1410" t="s">
        <v>205</v>
      </c>
      <c r="J1410" t="s">
        <v>1692</v>
      </c>
      <c r="K1410" t="s">
        <v>207</v>
      </c>
      <c r="M1410" t="s">
        <v>47</v>
      </c>
      <c r="O1410" t="s">
        <v>77</v>
      </c>
      <c r="P1410" t="s">
        <v>78</v>
      </c>
      <c r="Q1410" t="s">
        <v>50</v>
      </c>
      <c r="R1410" t="s">
        <v>208</v>
      </c>
      <c r="S1410" t="s">
        <v>209</v>
      </c>
      <c r="T1410" t="s">
        <v>210</v>
      </c>
      <c r="U1410" s="1">
        <v>46074.629004629627</v>
      </c>
      <c r="V1410" t="s">
        <v>54</v>
      </c>
      <c r="W1410" t="s">
        <v>55</v>
      </c>
      <c r="X1410" t="s">
        <v>211</v>
      </c>
      <c r="Y1410" t="s">
        <v>1693</v>
      </c>
      <c r="Z1410" t="s">
        <v>5594</v>
      </c>
      <c r="AA1410" t="s">
        <v>54</v>
      </c>
      <c r="AB1410" t="s">
        <v>213</v>
      </c>
      <c r="AC1410" t="s">
        <v>85</v>
      </c>
      <c r="AD1410" t="s">
        <v>214</v>
      </c>
      <c r="AE1410" t="s">
        <v>215</v>
      </c>
      <c r="AF1410" t="s">
        <v>216</v>
      </c>
      <c r="AG1410" t="s">
        <v>5594</v>
      </c>
      <c r="AH1410">
        <v>12916</v>
      </c>
      <c r="AK1410">
        <v>1</v>
      </c>
      <c r="AL1410" t="s">
        <v>61</v>
      </c>
      <c r="AM1410" t="s">
        <v>6175</v>
      </c>
      <c r="AN1410" t="s">
        <v>6176</v>
      </c>
    </row>
    <row r="1411" spans="1:40" x14ac:dyDescent="0.35">
      <c r="A1411" t="s">
        <v>37</v>
      </c>
      <c r="B1411" t="s">
        <v>6177</v>
      </c>
      <c r="C1411" t="s">
        <v>102</v>
      </c>
      <c r="D1411" t="s">
        <v>146</v>
      </c>
      <c r="E1411" t="s">
        <v>147</v>
      </c>
      <c r="F1411" s="1">
        <v>46074.593217592592</v>
      </c>
      <c r="G1411" t="s">
        <v>71</v>
      </c>
      <c r="H1411" t="s">
        <v>72</v>
      </c>
      <c r="I1411" t="s">
        <v>163</v>
      </c>
      <c r="J1411" t="s">
        <v>149</v>
      </c>
      <c r="K1411" t="s">
        <v>130</v>
      </c>
      <c r="M1411" t="s">
        <v>131</v>
      </c>
      <c r="O1411" t="s">
        <v>77</v>
      </c>
      <c r="P1411" t="s">
        <v>78</v>
      </c>
      <c r="Q1411" t="s">
        <v>50</v>
      </c>
      <c r="R1411" t="s">
        <v>132</v>
      </c>
      <c r="S1411" t="s">
        <v>133</v>
      </c>
      <c r="T1411" t="s">
        <v>133</v>
      </c>
      <c r="U1411" s="1">
        <v>46076.518935185188</v>
      </c>
      <c r="V1411" t="s">
        <v>54</v>
      </c>
      <c r="W1411" t="s">
        <v>55</v>
      </c>
      <c r="X1411" t="s">
        <v>82</v>
      </c>
      <c r="Y1411" t="s">
        <v>6178</v>
      </c>
      <c r="Z1411" t="s">
        <v>58</v>
      </c>
      <c r="AA1411" t="s">
        <v>54</v>
      </c>
      <c r="AB1411" t="s">
        <v>152</v>
      </c>
      <c r="AC1411" t="s">
        <v>85</v>
      </c>
      <c r="AD1411" t="s">
        <v>132</v>
      </c>
      <c r="AE1411" t="s">
        <v>133</v>
      </c>
      <c r="AF1411" t="s">
        <v>133</v>
      </c>
      <c r="AG1411" t="s">
        <v>58</v>
      </c>
      <c r="AH1411" t="s">
        <v>153</v>
      </c>
      <c r="AK1411">
        <v>1</v>
      </c>
      <c r="AL1411" t="s">
        <v>61</v>
      </c>
      <c r="AM1411" t="s">
        <v>152</v>
      </c>
      <c r="AN1411" t="s">
        <v>154</v>
      </c>
    </row>
    <row r="1412" spans="1:40" x14ac:dyDescent="0.35">
      <c r="A1412" t="s">
        <v>37</v>
      </c>
      <c r="B1412" t="s">
        <v>6179</v>
      </c>
      <c r="C1412" t="s">
        <v>39</v>
      </c>
      <c r="D1412" t="s">
        <v>391</v>
      </c>
      <c r="E1412" t="s">
        <v>6180</v>
      </c>
      <c r="F1412" s="1">
        <v>46074.591921296298</v>
      </c>
      <c r="G1412" t="s">
        <v>204</v>
      </c>
      <c r="H1412" t="s">
        <v>92</v>
      </c>
      <c r="I1412" t="s">
        <v>205</v>
      </c>
      <c r="J1412" t="s">
        <v>1692</v>
      </c>
      <c r="K1412" t="s">
        <v>207</v>
      </c>
      <c r="M1412" t="s">
        <v>47</v>
      </c>
      <c r="O1412" t="s">
        <v>77</v>
      </c>
      <c r="P1412" t="s">
        <v>78</v>
      </c>
      <c r="Q1412" t="s">
        <v>50</v>
      </c>
      <c r="R1412" t="s">
        <v>208</v>
      </c>
      <c r="S1412" t="s">
        <v>209</v>
      </c>
      <c r="T1412" t="s">
        <v>210</v>
      </c>
      <c r="U1412" s="1">
        <v>46074.62872685185</v>
      </c>
      <c r="V1412" t="s">
        <v>54</v>
      </c>
      <c r="W1412" t="s">
        <v>55</v>
      </c>
      <c r="X1412" t="s">
        <v>211</v>
      </c>
      <c r="Y1412" t="s">
        <v>1693</v>
      </c>
      <c r="Z1412" t="s">
        <v>5594</v>
      </c>
      <c r="AA1412" t="s">
        <v>54</v>
      </c>
      <c r="AB1412" t="s">
        <v>213</v>
      </c>
      <c r="AC1412" t="s">
        <v>85</v>
      </c>
      <c r="AD1412" t="s">
        <v>214</v>
      </c>
      <c r="AE1412" t="s">
        <v>215</v>
      </c>
      <c r="AF1412" t="s">
        <v>216</v>
      </c>
      <c r="AG1412" t="s">
        <v>5594</v>
      </c>
      <c r="AH1412">
        <v>12182</v>
      </c>
      <c r="AK1412">
        <v>1</v>
      </c>
      <c r="AL1412" t="s">
        <v>61</v>
      </c>
      <c r="AM1412" t="s">
        <v>6181</v>
      </c>
      <c r="AN1412" t="s">
        <v>6182</v>
      </c>
    </row>
    <row r="1413" spans="1:40" x14ac:dyDescent="0.35">
      <c r="A1413" t="s">
        <v>37</v>
      </c>
      <c r="B1413" t="s">
        <v>6183</v>
      </c>
      <c r="C1413" t="s">
        <v>39</v>
      </c>
      <c r="D1413" t="s">
        <v>40</v>
      </c>
      <c r="E1413" t="s">
        <v>41</v>
      </c>
      <c r="F1413" s="1">
        <v>46074.590567129628</v>
      </c>
      <c r="G1413" t="s">
        <v>42</v>
      </c>
      <c r="H1413" t="s">
        <v>43</v>
      </c>
      <c r="I1413" t="s">
        <v>6184</v>
      </c>
      <c r="J1413" t="s">
        <v>45</v>
      </c>
      <c r="K1413" t="s">
        <v>46</v>
      </c>
      <c r="M1413" t="s">
        <v>47</v>
      </c>
      <c r="O1413" t="s">
        <v>48</v>
      </c>
      <c r="P1413" t="s">
        <v>49</v>
      </c>
      <c r="Q1413" t="s">
        <v>50</v>
      </c>
      <c r="R1413" t="s">
        <v>51</v>
      </c>
      <c r="S1413" t="s">
        <v>52</v>
      </c>
      <c r="T1413" t="s">
        <v>53</v>
      </c>
      <c r="U1413" s="1">
        <v>46074.591400462959</v>
      </c>
      <c r="V1413" t="s">
        <v>54</v>
      </c>
      <c r="W1413" t="s">
        <v>55</v>
      </c>
      <c r="X1413" t="s">
        <v>56</v>
      </c>
      <c r="Y1413" t="s">
        <v>65</v>
      </c>
      <c r="Z1413" t="s">
        <v>5594</v>
      </c>
      <c r="AA1413" t="s">
        <v>54</v>
      </c>
      <c r="AB1413" t="s">
        <v>59</v>
      </c>
      <c r="AC1413" t="s">
        <v>60</v>
      </c>
      <c r="AD1413" t="s">
        <v>51</v>
      </c>
      <c r="AE1413" t="s">
        <v>52</v>
      </c>
      <c r="AF1413" t="s">
        <v>53</v>
      </c>
      <c r="AG1413" t="s">
        <v>5594</v>
      </c>
      <c r="AK1413">
        <v>0</v>
      </c>
      <c r="AL1413" t="s">
        <v>61</v>
      </c>
      <c r="AM1413" t="s">
        <v>59</v>
      </c>
      <c r="AN1413" t="s">
        <v>62</v>
      </c>
    </row>
    <row r="1414" spans="1:40" x14ac:dyDescent="0.35">
      <c r="A1414" t="s">
        <v>37</v>
      </c>
      <c r="B1414" t="s">
        <v>6185</v>
      </c>
      <c r="C1414" t="s">
        <v>102</v>
      </c>
      <c r="D1414" t="s">
        <v>3786</v>
      </c>
      <c r="E1414" t="s">
        <v>469</v>
      </c>
      <c r="F1414" s="1">
        <v>46074.591493055559</v>
      </c>
      <c r="G1414" t="s">
        <v>105</v>
      </c>
      <c r="H1414" t="s">
        <v>106</v>
      </c>
      <c r="I1414" t="s">
        <v>3589</v>
      </c>
      <c r="J1414" t="s">
        <v>108</v>
      </c>
      <c r="K1414" t="s">
        <v>109</v>
      </c>
      <c r="M1414" t="s">
        <v>47</v>
      </c>
      <c r="O1414" t="s">
        <v>77</v>
      </c>
      <c r="P1414" t="s">
        <v>78</v>
      </c>
      <c r="Q1414" t="s">
        <v>541</v>
      </c>
      <c r="R1414" t="s">
        <v>111</v>
      </c>
      <c r="S1414" t="s">
        <v>51</v>
      </c>
      <c r="T1414" t="s">
        <v>112</v>
      </c>
      <c r="U1414" s="1">
        <v>46074.612488425926</v>
      </c>
      <c r="V1414" t="s">
        <v>54</v>
      </c>
      <c r="W1414" t="s">
        <v>55</v>
      </c>
      <c r="X1414" t="s">
        <v>82</v>
      </c>
      <c r="Y1414" t="s">
        <v>6186</v>
      </c>
      <c r="Z1414" t="s">
        <v>5594</v>
      </c>
      <c r="AA1414" t="s">
        <v>54</v>
      </c>
      <c r="AB1414" t="s">
        <v>115</v>
      </c>
      <c r="AC1414" t="s">
        <v>85</v>
      </c>
      <c r="AD1414" t="s">
        <v>116</v>
      </c>
      <c r="AE1414" t="s">
        <v>117</v>
      </c>
      <c r="AF1414" t="s">
        <v>118</v>
      </c>
      <c r="AG1414" t="s">
        <v>5594</v>
      </c>
      <c r="AH1414">
        <v>5935</v>
      </c>
      <c r="AK1414">
        <v>1</v>
      </c>
      <c r="AL1414" t="s">
        <v>61</v>
      </c>
      <c r="AM1414" t="s">
        <v>3789</v>
      </c>
      <c r="AN1414" t="s">
        <v>3790</v>
      </c>
    </row>
    <row r="1415" spans="1:40" x14ac:dyDescent="0.35">
      <c r="A1415" t="s">
        <v>37</v>
      </c>
      <c r="B1415" t="s">
        <v>6187</v>
      </c>
      <c r="C1415" t="s">
        <v>39</v>
      </c>
      <c r="D1415" t="s">
        <v>6188</v>
      </c>
      <c r="E1415" t="s">
        <v>469</v>
      </c>
      <c r="F1415" s="1">
        <v>46074.589768518519</v>
      </c>
      <c r="I1415" t="s">
        <v>205</v>
      </c>
      <c r="J1415" t="s">
        <v>1692</v>
      </c>
      <c r="K1415" t="s">
        <v>207</v>
      </c>
      <c r="M1415" t="s">
        <v>131</v>
      </c>
      <c r="O1415" t="s">
        <v>77</v>
      </c>
      <c r="P1415" t="s">
        <v>78</v>
      </c>
      <c r="Q1415" t="s">
        <v>50</v>
      </c>
      <c r="R1415" t="s">
        <v>305</v>
      </c>
      <c r="S1415" t="s">
        <v>306</v>
      </c>
      <c r="T1415" t="s">
        <v>307</v>
      </c>
      <c r="U1415" s="1">
        <v>46077.997499999998</v>
      </c>
      <c r="V1415" t="s">
        <v>54</v>
      </c>
      <c r="W1415" t="s">
        <v>55</v>
      </c>
      <c r="X1415" t="s">
        <v>211</v>
      </c>
      <c r="Y1415" t="s">
        <v>4115</v>
      </c>
      <c r="Z1415" t="s">
        <v>58</v>
      </c>
      <c r="AA1415" t="s">
        <v>54</v>
      </c>
      <c r="AB1415" t="s">
        <v>213</v>
      </c>
      <c r="AC1415" t="s">
        <v>85</v>
      </c>
      <c r="AD1415" t="s">
        <v>214</v>
      </c>
      <c r="AE1415" t="s">
        <v>215</v>
      </c>
      <c r="AF1415" t="s">
        <v>161</v>
      </c>
      <c r="AG1415" t="s">
        <v>58</v>
      </c>
      <c r="AH1415" t="s">
        <v>6189</v>
      </c>
      <c r="AK1415">
        <v>2</v>
      </c>
      <c r="AL1415" t="s">
        <v>61</v>
      </c>
      <c r="AM1415" t="s">
        <v>6190</v>
      </c>
      <c r="AN1415" t="s">
        <v>6191</v>
      </c>
    </row>
    <row r="1416" spans="1:40" x14ac:dyDescent="0.35">
      <c r="A1416" t="s">
        <v>37</v>
      </c>
      <c r="B1416" t="s">
        <v>6192</v>
      </c>
      <c r="C1416" t="s">
        <v>102</v>
      </c>
      <c r="D1416" t="s">
        <v>3786</v>
      </c>
      <c r="E1416" t="s">
        <v>469</v>
      </c>
      <c r="F1416" s="1">
        <v>46074.590405092589</v>
      </c>
      <c r="G1416" t="s">
        <v>105</v>
      </c>
      <c r="H1416" t="s">
        <v>106</v>
      </c>
      <c r="I1416" t="s">
        <v>2905</v>
      </c>
      <c r="J1416" t="s">
        <v>108</v>
      </c>
      <c r="K1416" t="s">
        <v>571</v>
      </c>
      <c r="M1416" t="s">
        <v>47</v>
      </c>
      <c r="O1416" t="s">
        <v>77</v>
      </c>
      <c r="P1416" t="s">
        <v>78</v>
      </c>
      <c r="Q1416" t="s">
        <v>541</v>
      </c>
      <c r="R1416" t="s">
        <v>111</v>
      </c>
      <c r="S1416" t="s">
        <v>51</v>
      </c>
      <c r="T1416" t="s">
        <v>112</v>
      </c>
      <c r="U1416" s="1">
        <v>46074.733599537038</v>
      </c>
      <c r="V1416" t="s">
        <v>54</v>
      </c>
      <c r="W1416" t="s">
        <v>55</v>
      </c>
      <c r="X1416" t="s">
        <v>82</v>
      </c>
      <c r="Y1416" t="s">
        <v>6193</v>
      </c>
      <c r="Z1416" t="s">
        <v>5594</v>
      </c>
      <c r="AA1416" t="s">
        <v>54</v>
      </c>
      <c r="AB1416" t="s">
        <v>115</v>
      </c>
      <c r="AC1416" t="s">
        <v>85</v>
      </c>
      <c r="AD1416" t="s">
        <v>116</v>
      </c>
      <c r="AE1416" t="s">
        <v>574</v>
      </c>
      <c r="AF1416" t="s">
        <v>3475</v>
      </c>
      <c r="AG1416" t="s">
        <v>5594</v>
      </c>
      <c r="AH1416">
        <v>5935</v>
      </c>
      <c r="AK1416">
        <v>1</v>
      </c>
      <c r="AL1416" t="s">
        <v>61</v>
      </c>
      <c r="AM1416" t="s">
        <v>3789</v>
      </c>
      <c r="AN1416" t="s">
        <v>3790</v>
      </c>
    </row>
    <row r="1417" spans="1:40" x14ac:dyDescent="0.35">
      <c r="A1417" t="s">
        <v>37</v>
      </c>
      <c r="B1417" t="s">
        <v>6194</v>
      </c>
      <c r="C1417" t="s">
        <v>102</v>
      </c>
      <c r="D1417" t="s">
        <v>284</v>
      </c>
      <c r="E1417" t="s">
        <v>285</v>
      </c>
      <c r="F1417" s="1">
        <v>46074.578009259261</v>
      </c>
      <c r="G1417" t="s">
        <v>286</v>
      </c>
      <c r="H1417" t="s">
        <v>287</v>
      </c>
      <c r="I1417" t="s">
        <v>6195</v>
      </c>
      <c r="J1417" t="s">
        <v>289</v>
      </c>
      <c r="K1417" t="s">
        <v>130</v>
      </c>
      <c r="M1417" t="s">
        <v>131</v>
      </c>
      <c r="O1417" t="s">
        <v>77</v>
      </c>
      <c r="P1417" t="s">
        <v>78</v>
      </c>
      <c r="Q1417" t="s">
        <v>50</v>
      </c>
      <c r="R1417" t="s">
        <v>132</v>
      </c>
      <c r="S1417" t="s">
        <v>133</v>
      </c>
      <c r="T1417" t="s">
        <v>133</v>
      </c>
      <c r="U1417" s="1">
        <v>46076.404224537036</v>
      </c>
      <c r="V1417" t="s">
        <v>54</v>
      </c>
      <c r="W1417" t="s">
        <v>55</v>
      </c>
      <c r="X1417" t="s">
        <v>134</v>
      </c>
      <c r="Y1417" t="s">
        <v>6196</v>
      </c>
      <c r="Z1417" t="s">
        <v>58</v>
      </c>
      <c r="AA1417" t="s">
        <v>54</v>
      </c>
      <c r="AB1417" t="s">
        <v>291</v>
      </c>
      <c r="AC1417" t="s">
        <v>85</v>
      </c>
      <c r="AD1417" t="s">
        <v>132</v>
      </c>
      <c r="AE1417" t="s">
        <v>133</v>
      </c>
      <c r="AF1417" t="s">
        <v>133</v>
      </c>
      <c r="AG1417" t="s">
        <v>58</v>
      </c>
      <c r="AH1417" t="s">
        <v>292</v>
      </c>
      <c r="AK1417">
        <v>1</v>
      </c>
      <c r="AL1417" t="s">
        <v>61</v>
      </c>
      <c r="AM1417" t="s">
        <v>291</v>
      </c>
      <c r="AN1417" t="s">
        <v>293</v>
      </c>
    </row>
    <row r="1418" spans="1:40" x14ac:dyDescent="0.35">
      <c r="A1418" t="s">
        <v>37</v>
      </c>
      <c r="B1418" t="s">
        <v>6197</v>
      </c>
      <c r="C1418" t="s">
        <v>39</v>
      </c>
      <c r="D1418" t="s">
        <v>40</v>
      </c>
      <c r="E1418" t="s">
        <v>41</v>
      </c>
      <c r="F1418" s="1">
        <v>46074.573888888888</v>
      </c>
      <c r="G1418" t="s">
        <v>42</v>
      </c>
      <c r="H1418" t="s">
        <v>43</v>
      </c>
      <c r="I1418" t="s">
        <v>6198</v>
      </c>
      <c r="J1418" t="s">
        <v>45</v>
      </c>
      <c r="K1418" t="s">
        <v>46</v>
      </c>
      <c r="M1418" t="s">
        <v>47</v>
      </c>
      <c r="O1418" t="s">
        <v>48</v>
      </c>
      <c r="P1418" t="s">
        <v>49</v>
      </c>
      <c r="Q1418" t="s">
        <v>50</v>
      </c>
      <c r="R1418" t="s">
        <v>51</v>
      </c>
      <c r="S1418" t="s">
        <v>52</v>
      </c>
      <c r="T1418" t="s">
        <v>53</v>
      </c>
      <c r="U1418" s="1">
        <v>46075.914421296293</v>
      </c>
      <c r="V1418" t="s">
        <v>54</v>
      </c>
      <c r="W1418" t="s">
        <v>55</v>
      </c>
      <c r="X1418" t="s">
        <v>56</v>
      </c>
      <c r="Y1418" t="s">
        <v>5694</v>
      </c>
      <c r="Z1418" t="s">
        <v>5594</v>
      </c>
      <c r="AA1418" t="s">
        <v>54</v>
      </c>
      <c r="AB1418" t="s">
        <v>59</v>
      </c>
      <c r="AC1418" t="s">
        <v>60</v>
      </c>
      <c r="AD1418" t="s">
        <v>51</v>
      </c>
      <c r="AE1418" t="s">
        <v>52</v>
      </c>
      <c r="AF1418" t="s">
        <v>53</v>
      </c>
      <c r="AG1418" t="s">
        <v>5594</v>
      </c>
      <c r="AK1418">
        <v>0</v>
      </c>
      <c r="AL1418" t="s">
        <v>61</v>
      </c>
      <c r="AM1418" t="s">
        <v>59</v>
      </c>
      <c r="AN1418" t="s">
        <v>62</v>
      </c>
    </row>
    <row r="1419" spans="1:40" x14ac:dyDescent="0.35">
      <c r="A1419" t="s">
        <v>37</v>
      </c>
      <c r="B1419" t="s">
        <v>6199</v>
      </c>
      <c r="C1419" t="s">
        <v>39</v>
      </c>
      <c r="D1419" t="s">
        <v>40</v>
      </c>
      <c r="E1419" t="s">
        <v>41</v>
      </c>
      <c r="F1419" s="1">
        <v>46074.549525462964</v>
      </c>
      <c r="G1419" t="s">
        <v>42</v>
      </c>
      <c r="H1419" t="s">
        <v>43</v>
      </c>
      <c r="I1419" t="s">
        <v>6200</v>
      </c>
      <c r="J1419" t="s">
        <v>45</v>
      </c>
      <c r="K1419" t="s">
        <v>46</v>
      </c>
      <c r="M1419" t="s">
        <v>47</v>
      </c>
      <c r="O1419" t="s">
        <v>48</v>
      </c>
      <c r="P1419" t="s">
        <v>49</v>
      </c>
      <c r="Q1419" t="s">
        <v>50</v>
      </c>
      <c r="R1419" t="s">
        <v>51</v>
      </c>
      <c r="S1419" t="s">
        <v>52</v>
      </c>
      <c r="T1419" t="s">
        <v>53</v>
      </c>
      <c r="U1419" s="1">
        <v>46074.550509259258</v>
      </c>
      <c r="V1419" t="s">
        <v>54</v>
      </c>
      <c r="W1419" t="s">
        <v>55</v>
      </c>
      <c r="X1419" t="s">
        <v>56</v>
      </c>
      <c r="Y1419" t="s">
        <v>65</v>
      </c>
      <c r="Z1419" t="s">
        <v>5594</v>
      </c>
      <c r="AA1419" t="s">
        <v>54</v>
      </c>
      <c r="AB1419" t="s">
        <v>59</v>
      </c>
      <c r="AC1419" t="s">
        <v>60</v>
      </c>
      <c r="AD1419" t="s">
        <v>51</v>
      </c>
      <c r="AE1419" t="s">
        <v>52</v>
      </c>
      <c r="AF1419" t="s">
        <v>53</v>
      </c>
      <c r="AG1419" t="s">
        <v>5594</v>
      </c>
      <c r="AK1419">
        <v>0</v>
      </c>
      <c r="AL1419" t="s">
        <v>61</v>
      </c>
      <c r="AM1419" t="s">
        <v>59</v>
      </c>
      <c r="AN1419" t="s">
        <v>62</v>
      </c>
    </row>
    <row r="1420" spans="1:40" x14ac:dyDescent="0.35">
      <c r="A1420" t="s">
        <v>37</v>
      </c>
      <c r="B1420" t="s">
        <v>6201</v>
      </c>
      <c r="C1420" t="s">
        <v>39</v>
      </c>
      <c r="D1420" t="s">
        <v>303</v>
      </c>
      <c r="E1420" t="s">
        <v>6202</v>
      </c>
      <c r="F1420" s="1">
        <v>46074.536944444444</v>
      </c>
      <c r="G1420" t="s">
        <v>464</v>
      </c>
      <c r="H1420" t="s">
        <v>287</v>
      </c>
      <c r="I1420" t="s">
        <v>6203</v>
      </c>
      <c r="J1420" t="s">
        <v>394</v>
      </c>
      <c r="K1420" t="s">
        <v>75</v>
      </c>
      <c r="M1420" t="s">
        <v>47</v>
      </c>
      <c r="O1420" t="s">
        <v>77</v>
      </c>
      <c r="P1420" t="s">
        <v>78</v>
      </c>
      <c r="Q1420" t="s">
        <v>50</v>
      </c>
      <c r="R1420" t="s">
        <v>79</v>
      </c>
      <c r="S1420" t="s">
        <v>967</v>
      </c>
      <c r="T1420" t="s">
        <v>1028</v>
      </c>
      <c r="U1420" s="1">
        <v>46074.53765046296</v>
      </c>
      <c r="V1420" t="s">
        <v>54</v>
      </c>
      <c r="W1420" t="s">
        <v>55</v>
      </c>
      <c r="X1420" t="s">
        <v>82</v>
      </c>
      <c r="Y1420" t="s">
        <v>6204</v>
      </c>
      <c r="Z1420" t="s">
        <v>5594</v>
      </c>
      <c r="AA1420" t="s">
        <v>54</v>
      </c>
      <c r="AB1420" t="s">
        <v>396</v>
      </c>
      <c r="AC1420" t="s">
        <v>85</v>
      </c>
      <c r="AD1420" t="s">
        <v>79</v>
      </c>
      <c r="AE1420" t="s">
        <v>967</v>
      </c>
      <c r="AF1420" t="s">
        <v>1028</v>
      </c>
      <c r="AG1420" t="s">
        <v>5594</v>
      </c>
      <c r="AH1420">
        <v>11214</v>
      </c>
      <c r="AK1420">
        <v>0</v>
      </c>
      <c r="AL1420" t="s">
        <v>61</v>
      </c>
      <c r="AM1420" t="s">
        <v>6205</v>
      </c>
      <c r="AN1420" t="s">
        <v>6206</v>
      </c>
    </row>
    <row r="1421" spans="1:40" x14ac:dyDescent="0.35">
      <c r="A1421" t="s">
        <v>37</v>
      </c>
      <c r="B1421" t="s">
        <v>6207</v>
      </c>
      <c r="C1421" t="s">
        <v>102</v>
      </c>
      <c r="D1421" t="s">
        <v>146</v>
      </c>
      <c r="E1421" t="s">
        <v>147</v>
      </c>
      <c r="F1421" s="1">
        <v>46074.529629629629</v>
      </c>
      <c r="G1421" t="s">
        <v>71</v>
      </c>
      <c r="H1421" t="s">
        <v>72</v>
      </c>
      <c r="I1421" t="s">
        <v>163</v>
      </c>
      <c r="J1421" t="s">
        <v>149</v>
      </c>
      <c r="K1421" t="s">
        <v>130</v>
      </c>
      <c r="M1421" t="s">
        <v>150</v>
      </c>
      <c r="O1421" t="s">
        <v>77</v>
      </c>
      <c r="P1421" t="s">
        <v>78</v>
      </c>
      <c r="Q1421" t="s">
        <v>50</v>
      </c>
      <c r="R1421" t="s">
        <v>132</v>
      </c>
      <c r="S1421" t="s">
        <v>133</v>
      </c>
      <c r="T1421" t="s">
        <v>133</v>
      </c>
      <c r="U1421" s="1">
        <v>46076.363425925927</v>
      </c>
      <c r="V1421" t="s">
        <v>54</v>
      </c>
      <c r="W1421" t="s">
        <v>55</v>
      </c>
      <c r="X1421" t="s">
        <v>82</v>
      </c>
      <c r="Y1421" t="s">
        <v>6208</v>
      </c>
      <c r="Z1421" t="s">
        <v>58</v>
      </c>
      <c r="AA1421" t="s">
        <v>54</v>
      </c>
      <c r="AB1421" t="s">
        <v>152</v>
      </c>
      <c r="AC1421" t="s">
        <v>85</v>
      </c>
      <c r="AD1421" t="s">
        <v>132</v>
      </c>
      <c r="AE1421" t="s">
        <v>133</v>
      </c>
      <c r="AF1421" t="s">
        <v>133</v>
      </c>
      <c r="AG1421" t="s">
        <v>58</v>
      </c>
      <c r="AH1421" t="s">
        <v>153</v>
      </c>
      <c r="AK1421">
        <v>1</v>
      </c>
      <c r="AL1421" t="s">
        <v>61</v>
      </c>
      <c r="AM1421" t="s">
        <v>152</v>
      </c>
      <c r="AN1421" t="s">
        <v>154</v>
      </c>
    </row>
    <row r="1422" spans="1:40" x14ac:dyDescent="0.35">
      <c r="A1422" t="s">
        <v>37</v>
      </c>
      <c r="B1422" t="s">
        <v>6209</v>
      </c>
      <c r="C1422" t="s">
        <v>102</v>
      </c>
      <c r="D1422" t="s">
        <v>1698</v>
      </c>
      <c r="E1422" t="s">
        <v>584</v>
      </c>
      <c r="F1422" s="1">
        <v>46074.520960648151</v>
      </c>
      <c r="G1422" t="s">
        <v>105</v>
      </c>
      <c r="H1422" t="s">
        <v>106</v>
      </c>
      <c r="I1422" t="s">
        <v>1729</v>
      </c>
      <c r="J1422" t="s">
        <v>108</v>
      </c>
      <c r="K1422" t="s">
        <v>109</v>
      </c>
      <c r="M1422" t="s">
        <v>47</v>
      </c>
      <c r="O1422" t="s">
        <v>77</v>
      </c>
      <c r="P1422" t="s">
        <v>78</v>
      </c>
      <c r="Q1422" t="s">
        <v>50</v>
      </c>
      <c r="R1422" t="s">
        <v>111</v>
      </c>
      <c r="S1422" t="s">
        <v>51</v>
      </c>
      <c r="T1422" t="s">
        <v>112</v>
      </c>
      <c r="U1422" s="1">
        <v>46074.61109953704</v>
      </c>
      <c r="V1422" t="s">
        <v>54</v>
      </c>
      <c r="W1422" t="s">
        <v>55</v>
      </c>
      <c r="X1422" t="s">
        <v>134</v>
      </c>
      <c r="Y1422" t="s">
        <v>6210</v>
      </c>
      <c r="Z1422" t="s">
        <v>5594</v>
      </c>
      <c r="AA1422" t="s">
        <v>54</v>
      </c>
      <c r="AB1422" t="s">
        <v>1701</v>
      </c>
      <c r="AC1422" t="s">
        <v>85</v>
      </c>
      <c r="AD1422" t="s">
        <v>116</v>
      </c>
      <c r="AE1422" t="s">
        <v>117</v>
      </c>
      <c r="AF1422" t="s">
        <v>1706</v>
      </c>
      <c r="AG1422" t="s">
        <v>5594</v>
      </c>
      <c r="AK1422">
        <v>1</v>
      </c>
      <c r="AL1422" t="s">
        <v>61</v>
      </c>
      <c r="AM1422" t="s">
        <v>1701</v>
      </c>
      <c r="AN1422" t="s">
        <v>1702</v>
      </c>
    </row>
    <row r="1423" spans="1:40" x14ac:dyDescent="0.35">
      <c r="A1423" t="s">
        <v>37</v>
      </c>
      <c r="B1423" t="s">
        <v>6211</v>
      </c>
      <c r="C1423" t="s">
        <v>39</v>
      </c>
      <c r="D1423" t="s">
        <v>6212</v>
      </c>
      <c r="E1423" t="s">
        <v>6213</v>
      </c>
      <c r="F1423" s="1">
        <v>46074.525023148148</v>
      </c>
      <c r="G1423" t="s">
        <v>355</v>
      </c>
      <c r="H1423" t="s">
        <v>356</v>
      </c>
      <c r="I1423" t="s">
        <v>6214</v>
      </c>
      <c r="J1423" t="s">
        <v>2357</v>
      </c>
      <c r="K1423" t="s">
        <v>2358</v>
      </c>
      <c r="M1423" t="s">
        <v>76</v>
      </c>
      <c r="O1423" t="s">
        <v>77</v>
      </c>
      <c r="P1423" t="s">
        <v>78</v>
      </c>
      <c r="Q1423" t="s">
        <v>50</v>
      </c>
      <c r="R1423" t="s">
        <v>51</v>
      </c>
      <c r="S1423" t="s">
        <v>52</v>
      </c>
      <c r="T1423" t="s">
        <v>240</v>
      </c>
      <c r="U1423" s="1">
        <v>46076.311064814814</v>
      </c>
      <c r="V1423" t="s">
        <v>54</v>
      </c>
      <c r="W1423" t="s">
        <v>55</v>
      </c>
      <c r="X1423" t="s">
        <v>82</v>
      </c>
      <c r="Y1423" t="s">
        <v>6215</v>
      </c>
      <c r="Z1423" t="s">
        <v>58</v>
      </c>
      <c r="AA1423" t="s">
        <v>54</v>
      </c>
      <c r="AB1423" t="s">
        <v>396</v>
      </c>
      <c r="AC1423" t="s">
        <v>85</v>
      </c>
      <c r="AD1423" t="s">
        <v>3056</v>
      </c>
      <c r="AE1423" t="s">
        <v>3057</v>
      </c>
      <c r="AF1423" t="s">
        <v>6216</v>
      </c>
      <c r="AG1423" t="s">
        <v>58</v>
      </c>
      <c r="AH1423" t="s">
        <v>6217</v>
      </c>
      <c r="AK1423">
        <v>1</v>
      </c>
      <c r="AL1423" t="s">
        <v>61</v>
      </c>
      <c r="AM1423" t="s">
        <v>6218</v>
      </c>
      <c r="AN1423" t="s">
        <v>6219</v>
      </c>
    </row>
    <row r="1424" spans="1:40" x14ac:dyDescent="0.35">
      <c r="A1424" t="s">
        <v>37</v>
      </c>
      <c r="B1424" t="s">
        <v>6220</v>
      </c>
      <c r="C1424" t="s">
        <v>102</v>
      </c>
      <c r="D1424" t="s">
        <v>146</v>
      </c>
      <c r="E1424" t="s">
        <v>147</v>
      </c>
      <c r="F1424" s="1">
        <v>46074.514537037037</v>
      </c>
      <c r="G1424" t="s">
        <v>71</v>
      </c>
      <c r="H1424" t="s">
        <v>72</v>
      </c>
      <c r="I1424" t="s">
        <v>6221</v>
      </c>
      <c r="J1424" t="s">
        <v>149</v>
      </c>
      <c r="K1424" t="s">
        <v>130</v>
      </c>
      <c r="M1424" t="s">
        <v>150</v>
      </c>
      <c r="O1424" t="s">
        <v>77</v>
      </c>
      <c r="P1424" t="s">
        <v>78</v>
      </c>
      <c r="Q1424" t="s">
        <v>50</v>
      </c>
      <c r="R1424" t="s">
        <v>132</v>
      </c>
      <c r="S1424" t="s">
        <v>133</v>
      </c>
      <c r="T1424" t="s">
        <v>133</v>
      </c>
      <c r="U1424" s="1">
        <v>46076.369571759256</v>
      </c>
      <c r="V1424" t="s">
        <v>54</v>
      </c>
      <c r="W1424" t="s">
        <v>55</v>
      </c>
      <c r="X1424" t="s">
        <v>82</v>
      </c>
      <c r="Y1424" t="s">
        <v>6222</v>
      </c>
      <c r="Z1424" t="s">
        <v>58</v>
      </c>
      <c r="AA1424" t="s">
        <v>54</v>
      </c>
      <c r="AB1424" t="s">
        <v>152</v>
      </c>
      <c r="AC1424" t="s">
        <v>85</v>
      </c>
      <c r="AD1424" t="s">
        <v>132</v>
      </c>
      <c r="AE1424" t="s">
        <v>133</v>
      </c>
      <c r="AF1424" t="s">
        <v>133</v>
      </c>
      <c r="AG1424" t="s">
        <v>58</v>
      </c>
      <c r="AH1424" t="s">
        <v>153</v>
      </c>
      <c r="AK1424">
        <v>1</v>
      </c>
      <c r="AL1424" t="s">
        <v>61</v>
      </c>
      <c r="AM1424" t="s">
        <v>152</v>
      </c>
      <c r="AN1424" t="s">
        <v>154</v>
      </c>
    </row>
    <row r="1425" spans="1:40" x14ac:dyDescent="0.35">
      <c r="A1425" t="s">
        <v>37</v>
      </c>
      <c r="B1425" t="s">
        <v>6223</v>
      </c>
      <c r="C1425" t="s">
        <v>39</v>
      </c>
      <c r="D1425" t="s">
        <v>40</v>
      </c>
      <c r="E1425" t="s">
        <v>41</v>
      </c>
      <c r="F1425" s="1">
        <v>46074.5077662037</v>
      </c>
      <c r="G1425" t="s">
        <v>42</v>
      </c>
      <c r="H1425" t="s">
        <v>43</v>
      </c>
      <c r="I1425" t="s">
        <v>6224</v>
      </c>
      <c r="J1425" t="s">
        <v>45</v>
      </c>
      <c r="K1425" t="s">
        <v>46</v>
      </c>
      <c r="M1425" t="s">
        <v>47</v>
      </c>
      <c r="O1425" t="s">
        <v>48</v>
      </c>
      <c r="P1425" t="s">
        <v>49</v>
      </c>
      <c r="Q1425" t="s">
        <v>50</v>
      </c>
      <c r="R1425" t="s">
        <v>51</v>
      </c>
      <c r="S1425" t="s">
        <v>52</v>
      </c>
      <c r="T1425" t="s">
        <v>53</v>
      </c>
      <c r="U1425" s="1">
        <v>46074.50886574074</v>
      </c>
      <c r="V1425" t="s">
        <v>54</v>
      </c>
      <c r="W1425" t="s">
        <v>55</v>
      </c>
      <c r="X1425" t="s">
        <v>56</v>
      </c>
      <c r="Y1425" t="s">
        <v>65</v>
      </c>
      <c r="Z1425" t="s">
        <v>5594</v>
      </c>
      <c r="AA1425" t="s">
        <v>54</v>
      </c>
      <c r="AB1425" t="s">
        <v>59</v>
      </c>
      <c r="AC1425" t="s">
        <v>60</v>
      </c>
      <c r="AD1425" t="s">
        <v>51</v>
      </c>
      <c r="AE1425" t="s">
        <v>52</v>
      </c>
      <c r="AF1425" t="s">
        <v>53</v>
      </c>
      <c r="AG1425" t="s">
        <v>5594</v>
      </c>
      <c r="AK1425">
        <v>0</v>
      </c>
      <c r="AL1425" t="s">
        <v>61</v>
      </c>
      <c r="AM1425" t="s">
        <v>59</v>
      </c>
      <c r="AN1425" t="s">
        <v>62</v>
      </c>
    </row>
    <row r="1426" spans="1:40" x14ac:dyDescent="0.35">
      <c r="A1426" t="s">
        <v>37</v>
      </c>
      <c r="B1426" t="s">
        <v>6225</v>
      </c>
      <c r="C1426" t="s">
        <v>102</v>
      </c>
      <c r="D1426" t="s">
        <v>1698</v>
      </c>
      <c r="E1426" t="s">
        <v>584</v>
      </c>
      <c r="F1426" s="1">
        <v>46074.502129629633</v>
      </c>
      <c r="G1426" t="s">
        <v>105</v>
      </c>
      <c r="H1426" t="s">
        <v>106</v>
      </c>
      <c r="I1426" t="s">
        <v>1745</v>
      </c>
      <c r="J1426" t="s">
        <v>108</v>
      </c>
      <c r="K1426" t="s">
        <v>341</v>
      </c>
      <c r="M1426" t="s">
        <v>47</v>
      </c>
      <c r="O1426" t="s">
        <v>77</v>
      </c>
      <c r="P1426" t="s">
        <v>78</v>
      </c>
      <c r="Q1426" t="s">
        <v>50</v>
      </c>
      <c r="R1426" t="s">
        <v>111</v>
      </c>
      <c r="S1426" t="s">
        <v>51</v>
      </c>
      <c r="T1426" t="s">
        <v>112</v>
      </c>
      <c r="U1426" s="1">
        <v>46074.604537037034</v>
      </c>
      <c r="V1426" t="s">
        <v>54</v>
      </c>
      <c r="X1426" t="s">
        <v>134</v>
      </c>
      <c r="Y1426" t="s">
        <v>6226</v>
      </c>
      <c r="Z1426" t="s">
        <v>5594</v>
      </c>
      <c r="AA1426" t="s">
        <v>54</v>
      </c>
      <c r="AB1426" t="s">
        <v>1701</v>
      </c>
      <c r="AC1426" t="s">
        <v>85</v>
      </c>
      <c r="AD1426" t="s">
        <v>116</v>
      </c>
      <c r="AE1426" t="s">
        <v>117</v>
      </c>
      <c r="AF1426" t="s">
        <v>5255</v>
      </c>
      <c r="AG1426" t="s">
        <v>5594</v>
      </c>
      <c r="AK1426">
        <v>1</v>
      </c>
      <c r="AL1426" t="s">
        <v>61</v>
      </c>
      <c r="AM1426" t="s">
        <v>1701</v>
      </c>
      <c r="AN1426" t="s">
        <v>1702</v>
      </c>
    </row>
    <row r="1427" spans="1:40" x14ac:dyDescent="0.35">
      <c r="A1427" t="s">
        <v>37</v>
      </c>
      <c r="B1427" t="s">
        <v>6227</v>
      </c>
      <c r="C1427" t="s">
        <v>102</v>
      </c>
      <c r="D1427" t="s">
        <v>284</v>
      </c>
      <c r="E1427" t="s">
        <v>285</v>
      </c>
      <c r="F1427" s="1">
        <v>46074.493877314817</v>
      </c>
      <c r="G1427" t="s">
        <v>286</v>
      </c>
      <c r="H1427" t="s">
        <v>287</v>
      </c>
      <c r="I1427" t="s">
        <v>6228</v>
      </c>
      <c r="J1427" t="s">
        <v>289</v>
      </c>
      <c r="K1427" t="s">
        <v>565</v>
      </c>
      <c r="M1427" t="s">
        <v>76</v>
      </c>
      <c r="O1427" t="s">
        <v>77</v>
      </c>
      <c r="P1427" t="s">
        <v>78</v>
      </c>
      <c r="Q1427" t="s">
        <v>50</v>
      </c>
      <c r="R1427" t="s">
        <v>132</v>
      </c>
      <c r="S1427" t="s">
        <v>133</v>
      </c>
      <c r="T1427" t="s">
        <v>133</v>
      </c>
      <c r="U1427" s="1">
        <v>46076.443981481483</v>
      </c>
      <c r="V1427" t="s">
        <v>54</v>
      </c>
      <c r="W1427" t="s">
        <v>55</v>
      </c>
      <c r="X1427" t="s">
        <v>134</v>
      </c>
      <c r="Y1427" t="s">
        <v>6229</v>
      </c>
      <c r="Z1427" t="s">
        <v>58</v>
      </c>
      <c r="AA1427" t="s">
        <v>54</v>
      </c>
      <c r="AB1427" t="s">
        <v>291</v>
      </c>
      <c r="AC1427" t="s">
        <v>85</v>
      </c>
      <c r="AD1427" t="s">
        <v>132</v>
      </c>
      <c r="AE1427" t="s">
        <v>133</v>
      </c>
      <c r="AF1427" t="s">
        <v>133</v>
      </c>
      <c r="AG1427" t="s">
        <v>58</v>
      </c>
      <c r="AH1427" t="s">
        <v>292</v>
      </c>
      <c r="AK1427">
        <v>1</v>
      </c>
      <c r="AL1427" t="s">
        <v>61</v>
      </c>
      <c r="AM1427" t="s">
        <v>291</v>
      </c>
      <c r="AN1427" t="s">
        <v>293</v>
      </c>
    </row>
    <row r="1428" spans="1:40" x14ac:dyDescent="0.35">
      <c r="A1428" t="s">
        <v>37</v>
      </c>
      <c r="B1428" t="s">
        <v>6230</v>
      </c>
      <c r="C1428" t="s">
        <v>102</v>
      </c>
      <c r="D1428" t="s">
        <v>1537</v>
      </c>
      <c r="E1428" t="s">
        <v>1538</v>
      </c>
      <c r="F1428" s="1">
        <v>46074.489791666667</v>
      </c>
      <c r="G1428" t="s">
        <v>105</v>
      </c>
      <c r="H1428" t="s">
        <v>106</v>
      </c>
      <c r="I1428" t="s">
        <v>5100</v>
      </c>
      <c r="J1428" t="s">
        <v>108</v>
      </c>
      <c r="K1428" t="s">
        <v>109</v>
      </c>
      <c r="M1428" t="s">
        <v>47</v>
      </c>
      <c r="O1428" t="s">
        <v>77</v>
      </c>
      <c r="P1428" t="s">
        <v>78</v>
      </c>
      <c r="Q1428" t="s">
        <v>50</v>
      </c>
      <c r="R1428" t="s">
        <v>111</v>
      </c>
      <c r="S1428" t="s">
        <v>51</v>
      </c>
      <c r="T1428" t="s">
        <v>112</v>
      </c>
      <c r="U1428" s="1">
        <v>46074.607499999998</v>
      </c>
      <c r="V1428" t="s">
        <v>54</v>
      </c>
      <c r="W1428" t="s">
        <v>55</v>
      </c>
      <c r="X1428" t="s">
        <v>82</v>
      </c>
      <c r="Y1428" t="s">
        <v>6231</v>
      </c>
      <c r="Z1428" t="s">
        <v>5594</v>
      </c>
      <c r="AA1428" t="s">
        <v>54</v>
      </c>
      <c r="AB1428" t="s">
        <v>115</v>
      </c>
      <c r="AC1428" t="s">
        <v>85</v>
      </c>
      <c r="AD1428" t="s">
        <v>116</v>
      </c>
      <c r="AE1428" t="s">
        <v>117</v>
      </c>
      <c r="AF1428" t="s">
        <v>118</v>
      </c>
      <c r="AG1428" t="s">
        <v>5594</v>
      </c>
      <c r="AH1428">
        <v>14840</v>
      </c>
      <c r="AK1428">
        <v>1</v>
      </c>
      <c r="AL1428" t="s">
        <v>61</v>
      </c>
      <c r="AM1428" t="s">
        <v>1542</v>
      </c>
      <c r="AN1428" t="s">
        <v>1543</v>
      </c>
    </row>
    <row r="1429" spans="1:40" x14ac:dyDescent="0.35">
      <c r="A1429" t="s">
        <v>37</v>
      </c>
      <c r="B1429" t="s">
        <v>6232</v>
      </c>
      <c r="C1429" t="s">
        <v>39</v>
      </c>
      <c r="D1429" t="s">
        <v>303</v>
      </c>
      <c r="E1429" t="s">
        <v>6233</v>
      </c>
      <c r="F1429" s="1">
        <v>46074.484386574077</v>
      </c>
      <c r="G1429" t="s">
        <v>2015</v>
      </c>
      <c r="H1429" t="s">
        <v>447</v>
      </c>
      <c r="I1429" t="s">
        <v>1196</v>
      </c>
      <c r="J1429" t="s">
        <v>394</v>
      </c>
      <c r="K1429" t="s">
        <v>75</v>
      </c>
      <c r="M1429" t="s">
        <v>47</v>
      </c>
      <c r="O1429" t="s">
        <v>77</v>
      </c>
      <c r="P1429" t="s">
        <v>78</v>
      </c>
      <c r="Q1429" t="s">
        <v>456</v>
      </c>
      <c r="R1429" t="s">
        <v>79</v>
      </c>
      <c r="S1429" t="s">
        <v>1078</v>
      </c>
      <c r="T1429" t="s">
        <v>1078</v>
      </c>
      <c r="U1429" s="1">
        <v>46074.484664351854</v>
      </c>
      <c r="V1429" t="s">
        <v>54</v>
      </c>
      <c r="W1429" t="s">
        <v>55</v>
      </c>
      <c r="X1429" t="s">
        <v>82</v>
      </c>
      <c r="Y1429" t="s">
        <v>1197</v>
      </c>
      <c r="Z1429" t="s">
        <v>5594</v>
      </c>
      <c r="AA1429" t="s">
        <v>54</v>
      </c>
      <c r="AB1429" t="s">
        <v>396</v>
      </c>
      <c r="AC1429" t="s">
        <v>85</v>
      </c>
      <c r="AD1429" t="s">
        <v>79</v>
      </c>
      <c r="AE1429" t="s">
        <v>1078</v>
      </c>
      <c r="AF1429" t="s">
        <v>1078</v>
      </c>
      <c r="AG1429" t="s">
        <v>5594</v>
      </c>
      <c r="AH1429">
        <v>1722</v>
      </c>
      <c r="AK1429">
        <v>0</v>
      </c>
      <c r="AL1429" t="s">
        <v>61</v>
      </c>
      <c r="AM1429" t="s">
        <v>6234</v>
      </c>
      <c r="AN1429" t="s">
        <v>6235</v>
      </c>
    </row>
    <row r="1430" spans="1:40" x14ac:dyDescent="0.35">
      <c r="A1430" t="s">
        <v>37</v>
      </c>
      <c r="B1430" t="s">
        <v>6236</v>
      </c>
      <c r="C1430" t="s">
        <v>102</v>
      </c>
      <c r="D1430" t="s">
        <v>1698</v>
      </c>
      <c r="E1430" t="s">
        <v>584</v>
      </c>
      <c r="F1430" s="1">
        <v>46074.477094907408</v>
      </c>
      <c r="G1430" t="s">
        <v>105</v>
      </c>
      <c r="H1430" t="s">
        <v>106</v>
      </c>
      <c r="I1430" t="s">
        <v>6237</v>
      </c>
      <c r="J1430" t="s">
        <v>108</v>
      </c>
      <c r="K1430" t="s">
        <v>109</v>
      </c>
      <c r="M1430" t="s">
        <v>47</v>
      </c>
      <c r="O1430" t="s">
        <v>77</v>
      </c>
      <c r="P1430" t="s">
        <v>78</v>
      </c>
      <c r="Q1430" t="s">
        <v>50</v>
      </c>
      <c r="R1430" t="s">
        <v>111</v>
      </c>
      <c r="S1430" t="s">
        <v>51</v>
      </c>
      <c r="T1430" t="s">
        <v>112</v>
      </c>
      <c r="U1430" s="1">
        <v>46074.606469907405</v>
      </c>
      <c r="V1430" t="s">
        <v>54</v>
      </c>
      <c r="W1430" t="s">
        <v>55</v>
      </c>
      <c r="X1430" t="s">
        <v>134</v>
      </c>
      <c r="Y1430" t="s">
        <v>6238</v>
      </c>
      <c r="Z1430" t="s">
        <v>5594</v>
      </c>
      <c r="AA1430" t="s">
        <v>54</v>
      </c>
      <c r="AB1430" t="s">
        <v>1701</v>
      </c>
      <c r="AC1430" t="s">
        <v>85</v>
      </c>
      <c r="AD1430" t="s">
        <v>116</v>
      </c>
      <c r="AE1430" t="s">
        <v>117</v>
      </c>
      <c r="AF1430" t="s">
        <v>144</v>
      </c>
      <c r="AG1430" t="s">
        <v>5594</v>
      </c>
      <c r="AK1430">
        <v>1</v>
      </c>
      <c r="AL1430" t="s">
        <v>61</v>
      </c>
      <c r="AM1430" t="s">
        <v>1701</v>
      </c>
      <c r="AN1430" t="s">
        <v>1702</v>
      </c>
    </row>
    <row r="1431" spans="1:40" x14ac:dyDescent="0.35">
      <c r="A1431" t="s">
        <v>37</v>
      </c>
      <c r="B1431" t="s">
        <v>6239</v>
      </c>
      <c r="C1431" t="s">
        <v>102</v>
      </c>
      <c r="D1431" t="s">
        <v>284</v>
      </c>
      <c r="E1431" t="s">
        <v>285</v>
      </c>
      <c r="F1431" s="1">
        <v>46074.480844907404</v>
      </c>
      <c r="G1431" t="s">
        <v>286</v>
      </c>
      <c r="H1431" t="s">
        <v>287</v>
      </c>
      <c r="I1431" t="s">
        <v>6240</v>
      </c>
      <c r="J1431" t="s">
        <v>289</v>
      </c>
      <c r="K1431" t="s">
        <v>130</v>
      </c>
      <c r="M1431" t="s">
        <v>131</v>
      </c>
      <c r="O1431" t="s">
        <v>77</v>
      </c>
      <c r="P1431" t="s">
        <v>78</v>
      </c>
      <c r="Q1431" t="s">
        <v>50</v>
      </c>
      <c r="R1431" t="s">
        <v>132</v>
      </c>
      <c r="S1431" t="s">
        <v>133</v>
      </c>
      <c r="T1431" t="s">
        <v>133</v>
      </c>
      <c r="U1431" s="1">
        <v>46076.358043981483</v>
      </c>
      <c r="V1431" t="s">
        <v>54</v>
      </c>
      <c r="W1431" t="s">
        <v>55</v>
      </c>
      <c r="X1431" t="s">
        <v>134</v>
      </c>
      <c r="Y1431" t="s">
        <v>6241</v>
      </c>
      <c r="Z1431" t="s">
        <v>58</v>
      </c>
      <c r="AA1431" t="s">
        <v>54</v>
      </c>
      <c r="AB1431" t="s">
        <v>291</v>
      </c>
      <c r="AC1431" t="s">
        <v>85</v>
      </c>
      <c r="AD1431" t="s">
        <v>132</v>
      </c>
      <c r="AE1431" t="s">
        <v>133</v>
      </c>
      <c r="AF1431" t="s">
        <v>133</v>
      </c>
      <c r="AG1431" t="s">
        <v>58</v>
      </c>
      <c r="AH1431" t="s">
        <v>292</v>
      </c>
      <c r="AK1431">
        <v>1</v>
      </c>
      <c r="AL1431" t="s">
        <v>61</v>
      </c>
      <c r="AM1431" t="s">
        <v>291</v>
      </c>
      <c r="AN1431" t="s">
        <v>293</v>
      </c>
    </row>
    <row r="1432" spans="1:40" x14ac:dyDescent="0.35">
      <c r="A1432" t="s">
        <v>37</v>
      </c>
      <c r="B1432" t="s">
        <v>6242</v>
      </c>
      <c r="C1432" t="s">
        <v>102</v>
      </c>
      <c r="D1432" t="s">
        <v>1698</v>
      </c>
      <c r="E1432" t="s">
        <v>584</v>
      </c>
      <c r="F1432" s="1">
        <v>46074.474953703706</v>
      </c>
      <c r="G1432" t="s">
        <v>105</v>
      </c>
      <c r="H1432" t="s">
        <v>106</v>
      </c>
      <c r="I1432" t="s">
        <v>1579</v>
      </c>
      <c r="J1432" t="s">
        <v>108</v>
      </c>
      <c r="K1432" t="s">
        <v>571</v>
      </c>
      <c r="M1432" t="s">
        <v>47</v>
      </c>
      <c r="O1432" t="s">
        <v>77</v>
      </c>
      <c r="P1432" t="s">
        <v>78</v>
      </c>
      <c r="Q1432" t="s">
        <v>50</v>
      </c>
      <c r="R1432" t="s">
        <v>111</v>
      </c>
      <c r="S1432" t="s">
        <v>51</v>
      </c>
      <c r="T1432" t="s">
        <v>112</v>
      </c>
      <c r="U1432" s="1">
        <v>46074.499571759261</v>
      </c>
      <c r="V1432" t="s">
        <v>54</v>
      </c>
      <c r="W1432" t="s">
        <v>55</v>
      </c>
      <c r="X1432" t="s">
        <v>134</v>
      </c>
      <c r="Y1432" t="s">
        <v>6243</v>
      </c>
      <c r="Z1432" t="s">
        <v>5594</v>
      </c>
      <c r="AA1432" t="s">
        <v>54</v>
      </c>
      <c r="AB1432" t="s">
        <v>1701</v>
      </c>
      <c r="AC1432" t="s">
        <v>85</v>
      </c>
      <c r="AD1432" t="s">
        <v>116</v>
      </c>
      <c r="AE1432" t="s">
        <v>574</v>
      </c>
      <c r="AF1432" t="s">
        <v>161</v>
      </c>
      <c r="AG1432" t="s">
        <v>5594</v>
      </c>
      <c r="AK1432">
        <v>1</v>
      </c>
      <c r="AL1432" t="s">
        <v>61</v>
      </c>
      <c r="AM1432" t="s">
        <v>1701</v>
      </c>
      <c r="AN1432" t="s">
        <v>1702</v>
      </c>
    </row>
    <row r="1433" spans="1:40" x14ac:dyDescent="0.35">
      <c r="A1433" t="s">
        <v>37</v>
      </c>
      <c r="B1433" t="s">
        <v>6244</v>
      </c>
      <c r="C1433" t="s">
        <v>39</v>
      </c>
      <c r="D1433" t="s">
        <v>5429</v>
      </c>
      <c r="E1433" t="s">
        <v>5430</v>
      </c>
      <c r="F1433" s="1">
        <v>46074.477951388886</v>
      </c>
      <c r="G1433" t="s">
        <v>250</v>
      </c>
      <c r="H1433" t="s">
        <v>106</v>
      </c>
      <c r="I1433" t="s">
        <v>1196</v>
      </c>
      <c r="J1433" t="s">
        <v>394</v>
      </c>
      <c r="K1433" t="s">
        <v>75</v>
      </c>
      <c r="M1433" t="s">
        <v>47</v>
      </c>
      <c r="O1433" t="s">
        <v>77</v>
      </c>
      <c r="P1433" t="s">
        <v>78</v>
      </c>
      <c r="Q1433" t="s">
        <v>50</v>
      </c>
      <c r="R1433" t="s">
        <v>79</v>
      </c>
      <c r="S1433" t="s">
        <v>1078</v>
      </c>
      <c r="T1433" t="s">
        <v>1078</v>
      </c>
      <c r="U1433" s="1">
        <v>46074.483796296299</v>
      </c>
      <c r="V1433" t="s">
        <v>54</v>
      </c>
      <c r="W1433" t="s">
        <v>55</v>
      </c>
      <c r="X1433" t="s">
        <v>82</v>
      </c>
      <c r="Y1433" t="s">
        <v>1197</v>
      </c>
      <c r="Z1433" t="s">
        <v>5594</v>
      </c>
      <c r="AA1433" t="s">
        <v>54</v>
      </c>
      <c r="AB1433" t="s">
        <v>396</v>
      </c>
      <c r="AC1433" t="s">
        <v>85</v>
      </c>
      <c r="AD1433" t="s">
        <v>79</v>
      </c>
      <c r="AE1433" t="s">
        <v>1078</v>
      </c>
      <c r="AF1433" t="s">
        <v>1078</v>
      </c>
      <c r="AG1433" t="s">
        <v>5594</v>
      </c>
      <c r="AH1433" t="s">
        <v>5431</v>
      </c>
      <c r="AK1433">
        <v>0</v>
      </c>
      <c r="AL1433" t="s">
        <v>61</v>
      </c>
      <c r="AM1433" t="s">
        <v>5432</v>
      </c>
      <c r="AN1433" t="s">
        <v>5433</v>
      </c>
    </row>
    <row r="1434" spans="1:40" x14ac:dyDescent="0.35">
      <c r="A1434" t="s">
        <v>37</v>
      </c>
      <c r="B1434" t="s">
        <v>6245</v>
      </c>
      <c r="C1434" t="s">
        <v>102</v>
      </c>
      <c r="D1434" t="s">
        <v>146</v>
      </c>
      <c r="E1434" t="s">
        <v>147</v>
      </c>
      <c r="F1434" s="1">
        <v>46074.475023148145</v>
      </c>
      <c r="G1434" t="s">
        <v>71</v>
      </c>
      <c r="H1434" t="s">
        <v>72</v>
      </c>
      <c r="I1434" t="s">
        <v>6246</v>
      </c>
      <c r="J1434" t="s">
        <v>149</v>
      </c>
      <c r="K1434" t="s">
        <v>130</v>
      </c>
      <c r="M1434" t="s">
        <v>131</v>
      </c>
      <c r="O1434" t="s">
        <v>77</v>
      </c>
      <c r="P1434" t="s">
        <v>78</v>
      </c>
      <c r="Q1434" t="s">
        <v>50</v>
      </c>
      <c r="R1434" t="s">
        <v>132</v>
      </c>
      <c r="S1434" t="s">
        <v>133</v>
      </c>
      <c r="T1434" t="s">
        <v>133</v>
      </c>
      <c r="U1434" s="1">
        <v>46076.364710648151</v>
      </c>
      <c r="V1434" t="s">
        <v>54</v>
      </c>
      <c r="W1434" t="s">
        <v>55</v>
      </c>
      <c r="X1434" t="s">
        <v>82</v>
      </c>
      <c r="Y1434" t="s">
        <v>6247</v>
      </c>
      <c r="Z1434" t="s">
        <v>58</v>
      </c>
      <c r="AA1434" t="s">
        <v>54</v>
      </c>
      <c r="AB1434" t="s">
        <v>152</v>
      </c>
      <c r="AC1434" t="s">
        <v>85</v>
      </c>
      <c r="AD1434" t="s">
        <v>132</v>
      </c>
      <c r="AE1434" t="s">
        <v>133</v>
      </c>
      <c r="AF1434" t="s">
        <v>133</v>
      </c>
      <c r="AG1434" t="s">
        <v>58</v>
      </c>
      <c r="AH1434" t="s">
        <v>153</v>
      </c>
      <c r="AK1434">
        <v>1</v>
      </c>
      <c r="AL1434" t="s">
        <v>61</v>
      </c>
      <c r="AM1434" t="s">
        <v>152</v>
      </c>
      <c r="AN1434" t="s">
        <v>154</v>
      </c>
    </row>
    <row r="1435" spans="1:40" x14ac:dyDescent="0.35">
      <c r="A1435" t="s">
        <v>37</v>
      </c>
      <c r="B1435" t="s">
        <v>6248</v>
      </c>
      <c r="C1435" t="s">
        <v>39</v>
      </c>
      <c r="D1435" t="s">
        <v>40</v>
      </c>
      <c r="E1435" t="s">
        <v>41</v>
      </c>
      <c r="F1435" s="1">
        <v>46074.465983796297</v>
      </c>
      <c r="G1435" t="s">
        <v>42</v>
      </c>
      <c r="H1435" t="s">
        <v>43</v>
      </c>
      <c r="I1435" t="s">
        <v>6249</v>
      </c>
      <c r="J1435" t="s">
        <v>45</v>
      </c>
      <c r="K1435" t="s">
        <v>46</v>
      </c>
      <c r="M1435" t="s">
        <v>47</v>
      </c>
      <c r="O1435" t="s">
        <v>48</v>
      </c>
      <c r="P1435" t="s">
        <v>49</v>
      </c>
      <c r="Q1435" t="s">
        <v>50</v>
      </c>
      <c r="R1435" t="s">
        <v>51</v>
      </c>
      <c r="S1435" t="s">
        <v>52</v>
      </c>
      <c r="T1435" t="s">
        <v>53</v>
      </c>
      <c r="U1435" s="1">
        <v>46074.466932870368</v>
      </c>
      <c r="V1435" t="s">
        <v>54</v>
      </c>
      <c r="W1435" t="s">
        <v>55</v>
      </c>
      <c r="X1435" t="s">
        <v>56</v>
      </c>
      <c r="Y1435" t="s">
        <v>65</v>
      </c>
      <c r="Z1435" t="s">
        <v>5594</v>
      </c>
      <c r="AA1435" t="s">
        <v>54</v>
      </c>
      <c r="AB1435" t="s">
        <v>59</v>
      </c>
      <c r="AC1435" t="s">
        <v>60</v>
      </c>
      <c r="AD1435" t="s">
        <v>51</v>
      </c>
      <c r="AE1435" t="s">
        <v>52</v>
      </c>
      <c r="AF1435" t="s">
        <v>53</v>
      </c>
      <c r="AG1435" t="s">
        <v>5594</v>
      </c>
      <c r="AK1435">
        <v>0</v>
      </c>
      <c r="AL1435" t="s">
        <v>61</v>
      </c>
      <c r="AM1435" t="s">
        <v>59</v>
      </c>
      <c r="AN1435" t="s">
        <v>62</v>
      </c>
    </row>
    <row r="1436" spans="1:40" x14ac:dyDescent="0.35">
      <c r="A1436" t="s">
        <v>37</v>
      </c>
      <c r="B1436" t="s">
        <v>6250</v>
      </c>
      <c r="C1436" t="s">
        <v>39</v>
      </c>
      <c r="D1436" t="s">
        <v>6251</v>
      </c>
      <c r="E1436" t="s">
        <v>6252</v>
      </c>
      <c r="F1436" s="1">
        <v>46074.463368055556</v>
      </c>
      <c r="G1436" t="s">
        <v>2053</v>
      </c>
      <c r="H1436" t="s">
        <v>106</v>
      </c>
      <c r="I1436" t="s">
        <v>6253</v>
      </c>
      <c r="J1436" t="s">
        <v>455</v>
      </c>
      <c r="K1436" t="s">
        <v>436</v>
      </c>
      <c r="M1436" t="s">
        <v>76</v>
      </c>
      <c r="O1436" t="s">
        <v>237</v>
      </c>
      <c r="P1436" t="s">
        <v>238</v>
      </c>
      <c r="Q1436" t="s">
        <v>50</v>
      </c>
      <c r="R1436" t="s">
        <v>51</v>
      </c>
      <c r="S1436" t="s">
        <v>52</v>
      </c>
      <c r="T1436" t="s">
        <v>240</v>
      </c>
      <c r="U1436" s="1">
        <v>46076.34269675926</v>
      </c>
      <c r="V1436" t="s">
        <v>54</v>
      </c>
      <c r="W1436" t="s">
        <v>55</v>
      </c>
      <c r="X1436" t="s">
        <v>211</v>
      </c>
      <c r="Y1436" t="s">
        <v>6254</v>
      </c>
      <c r="Z1436" t="s">
        <v>58</v>
      </c>
      <c r="AA1436" t="s">
        <v>54</v>
      </c>
      <c r="AB1436" t="s">
        <v>213</v>
      </c>
      <c r="AC1436" t="s">
        <v>242</v>
      </c>
      <c r="AD1436" t="s">
        <v>52</v>
      </c>
      <c r="AE1436" t="s">
        <v>438</v>
      </c>
      <c r="AF1436" t="s">
        <v>439</v>
      </c>
      <c r="AG1436" t="s">
        <v>58</v>
      </c>
      <c r="AH1436" t="s">
        <v>6255</v>
      </c>
      <c r="AK1436">
        <v>1</v>
      </c>
      <c r="AL1436" t="s">
        <v>61</v>
      </c>
      <c r="AM1436" t="s">
        <v>6256</v>
      </c>
      <c r="AN1436" t="s">
        <v>6257</v>
      </c>
    </row>
    <row r="1437" spans="1:40" x14ac:dyDescent="0.35">
      <c r="A1437" t="s">
        <v>37</v>
      </c>
      <c r="B1437" t="s">
        <v>6258</v>
      </c>
      <c r="C1437" t="s">
        <v>102</v>
      </c>
      <c r="D1437" t="s">
        <v>1537</v>
      </c>
      <c r="E1437" t="s">
        <v>1538</v>
      </c>
      <c r="F1437" s="1">
        <v>46074.462210648147</v>
      </c>
      <c r="G1437" t="s">
        <v>105</v>
      </c>
      <c r="H1437" t="s">
        <v>106</v>
      </c>
      <c r="I1437" t="s">
        <v>1579</v>
      </c>
      <c r="J1437" t="s">
        <v>108</v>
      </c>
      <c r="K1437" t="s">
        <v>341</v>
      </c>
      <c r="M1437" t="s">
        <v>47</v>
      </c>
      <c r="O1437" t="s">
        <v>77</v>
      </c>
      <c r="P1437" t="s">
        <v>78</v>
      </c>
      <c r="Q1437" t="s">
        <v>50</v>
      </c>
      <c r="R1437" t="s">
        <v>111</v>
      </c>
      <c r="S1437" t="s">
        <v>51</v>
      </c>
      <c r="T1437" t="s">
        <v>112</v>
      </c>
      <c r="U1437" s="1">
        <v>46074.664398148147</v>
      </c>
      <c r="V1437" t="s">
        <v>54</v>
      </c>
      <c r="X1437" t="s">
        <v>113</v>
      </c>
      <c r="Y1437" t="s">
        <v>6259</v>
      </c>
      <c r="Z1437" t="s">
        <v>5594</v>
      </c>
      <c r="AA1437" t="s">
        <v>54</v>
      </c>
      <c r="AB1437" t="s">
        <v>115</v>
      </c>
      <c r="AC1437" t="s">
        <v>85</v>
      </c>
      <c r="AD1437" t="s">
        <v>116</v>
      </c>
      <c r="AE1437" t="s">
        <v>574</v>
      </c>
      <c r="AF1437" t="s">
        <v>6260</v>
      </c>
      <c r="AG1437" t="s">
        <v>5594</v>
      </c>
      <c r="AH1437">
        <v>14840</v>
      </c>
      <c r="AK1437">
        <v>1</v>
      </c>
      <c r="AL1437" t="s">
        <v>61</v>
      </c>
      <c r="AM1437" t="s">
        <v>1542</v>
      </c>
      <c r="AN1437" t="s">
        <v>1543</v>
      </c>
    </row>
    <row r="1438" spans="1:40" x14ac:dyDescent="0.35">
      <c r="A1438" t="s">
        <v>37</v>
      </c>
      <c r="B1438" t="s">
        <v>6261</v>
      </c>
      <c r="C1438" t="s">
        <v>102</v>
      </c>
      <c r="D1438" t="s">
        <v>1698</v>
      </c>
      <c r="E1438" t="s">
        <v>584</v>
      </c>
      <c r="F1438" s="1">
        <v>46074.460995370369</v>
      </c>
      <c r="G1438" t="s">
        <v>105</v>
      </c>
      <c r="H1438" t="s">
        <v>106</v>
      </c>
      <c r="I1438" t="s">
        <v>1812</v>
      </c>
      <c r="J1438" t="s">
        <v>108</v>
      </c>
      <c r="K1438" t="s">
        <v>571</v>
      </c>
      <c r="M1438" t="s">
        <v>47</v>
      </c>
      <c r="O1438" t="s">
        <v>77</v>
      </c>
      <c r="P1438" t="s">
        <v>78</v>
      </c>
      <c r="Q1438" t="s">
        <v>50</v>
      </c>
      <c r="R1438" t="s">
        <v>111</v>
      </c>
      <c r="S1438" t="s">
        <v>51</v>
      </c>
      <c r="T1438" t="s">
        <v>112</v>
      </c>
      <c r="U1438" s="1">
        <v>46074.486331018517</v>
      </c>
      <c r="V1438" t="s">
        <v>54</v>
      </c>
      <c r="W1438" t="s">
        <v>55</v>
      </c>
      <c r="X1438" t="s">
        <v>134</v>
      </c>
      <c r="Y1438" t="s">
        <v>1680</v>
      </c>
      <c r="Z1438" t="s">
        <v>5594</v>
      </c>
      <c r="AA1438" t="s">
        <v>54</v>
      </c>
      <c r="AB1438" t="s">
        <v>1701</v>
      </c>
      <c r="AC1438" t="s">
        <v>85</v>
      </c>
      <c r="AD1438" t="s">
        <v>116</v>
      </c>
      <c r="AE1438" t="s">
        <v>574</v>
      </c>
      <c r="AF1438" t="s">
        <v>144</v>
      </c>
      <c r="AG1438" t="s">
        <v>5594</v>
      </c>
      <c r="AK1438">
        <v>1</v>
      </c>
      <c r="AL1438" t="s">
        <v>61</v>
      </c>
      <c r="AM1438" t="s">
        <v>1701</v>
      </c>
      <c r="AN1438" t="s">
        <v>1702</v>
      </c>
    </row>
    <row r="1439" spans="1:40" x14ac:dyDescent="0.35">
      <c r="A1439" t="s">
        <v>37</v>
      </c>
      <c r="B1439" t="s">
        <v>6262</v>
      </c>
      <c r="C1439" t="s">
        <v>102</v>
      </c>
      <c r="D1439" t="s">
        <v>1537</v>
      </c>
      <c r="E1439" t="s">
        <v>1538</v>
      </c>
      <c r="F1439" s="1">
        <v>46074.451249999998</v>
      </c>
      <c r="G1439" t="s">
        <v>105</v>
      </c>
      <c r="H1439" t="s">
        <v>106</v>
      </c>
      <c r="I1439" t="s">
        <v>1848</v>
      </c>
      <c r="J1439" t="s">
        <v>108</v>
      </c>
      <c r="K1439" t="s">
        <v>341</v>
      </c>
      <c r="M1439" t="s">
        <v>47</v>
      </c>
      <c r="O1439" t="s">
        <v>77</v>
      </c>
      <c r="P1439" t="s">
        <v>78</v>
      </c>
      <c r="Q1439" t="s">
        <v>50</v>
      </c>
      <c r="R1439" t="s">
        <v>111</v>
      </c>
      <c r="S1439" t="s">
        <v>51</v>
      </c>
      <c r="T1439" t="s">
        <v>112</v>
      </c>
      <c r="U1439" s="1">
        <v>46074.603668981479</v>
      </c>
      <c r="V1439" t="s">
        <v>54</v>
      </c>
      <c r="X1439" t="s">
        <v>113</v>
      </c>
      <c r="Y1439" t="s">
        <v>6263</v>
      </c>
      <c r="Z1439" t="s">
        <v>5594</v>
      </c>
      <c r="AA1439" t="s">
        <v>54</v>
      </c>
      <c r="AB1439" t="s">
        <v>115</v>
      </c>
      <c r="AC1439" t="s">
        <v>85</v>
      </c>
      <c r="AD1439" t="s">
        <v>116</v>
      </c>
      <c r="AE1439" t="s">
        <v>117</v>
      </c>
      <c r="AF1439" t="s">
        <v>343</v>
      </c>
      <c r="AG1439" t="s">
        <v>5594</v>
      </c>
      <c r="AH1439">
        <v>14840</v>
      </c>
      <c r="AK1439">
        <v>1</v>
      </c>
      <c r="AL1439" t="s">
        <v>61</v>
      </c>
      <c r="AM1439" t="s">
        <v>1542</v>
      </c>
      <c r="AN1439" t="s">
        <v>1543</v>
      </c>
    </row>
    <row r="1440" spans="1:40" x14ac:dyDescent="0.35">
      <c r="A1440" t="s">
        <v>37</v>
      </c>
      <c r="B1440" t="s">
        <v>6264</v>
      </c>
      <c r="C1440" t="s">
        <v>102</v>
      </c>
      <c r="D1440" t="s">
        <v>1698</v>
      </c>
      <c r="E1440" t="s">
        <v>584</v>
      </c>
      <c r="F1440" s="1">
        <v>46074.442881944444</v>
      </c>
      <c r="G1440" t="s">
        <v>105</v>
      </c>
      <c r="H1440" t="s">
        <v>106</v>
      </c>
      <c r="I1440" t="s">
        <v>6265</v>
      </c>
      <c r="J1440" t="s">
        <v>108</v>
      </c>
      <c r="K1440" t="s">
        <v>341</v>
      </c>
      <c r="M1440" t="s">
        <v>47</v>
      </c>
      <c r="O1440" t="s">
        <v>77</v>
      </c>
      <c r="P1440" t="s">
        <v>78</v>
      </c>
      <c r="Q1440" t="s">
        <v>50</v>
      </c>
      <c r="R1440" t="s">
        <v>111</v>
      </c>
      <c r="S1440" t="s">
        <v>51</v>
      </c>
      <c r="T1440" t="s">
        <v>112</v>
      </c>
      <c r="U1440" s="1">
        <v>46074.603217592594</v>
      </c>
      <c r="V1440" t="s">
        <v>54</v>
      </c>
      <c r="X1440" t="s">
        <v>134</v>
      </c>
      <c r="Y1440" t="s">
        <v>6266</v>
      </c>
      <c r="Z1440" t="s">
        <v>5594</v>
      </c>
      <c r="AA1440" t="s">
        <v>54</v>
      </c>
      <c r="AB1440" t="s">
        <v>1701</v>
      </c>
      <c r="AC1440" t="s">
        <v>85</v>
      </c>
      <c r="AD1440" t="s">
        <v>116</v>
      </c>
      <c r="AE1440" t="s">
        <v>117</v>
      </c>
      <c r="AF1440" t="s">
        <v>5255</v>
      </c>
      <c r="AG1440" t="s">
        <v>5594</v>
      </c>
      <c r="AK1440">
        <v>1</v>
      </c>
      <c r="AL1440" t="s">
        <v>61</v>
      </c>
      <c r="AM1440" t="s">
        <v>1701</v>
      </c>
      <c r="AN1440" t="s">
        <v>1702</v>
      </c>
    </row>
    <row r="1441" spans="1:40" x14ac:dyDescent="0.35">
      <c r="A1441" t="s">
        <v>37</v>
      </c>
      <c r="B1441" t="s">
        <v>6267</v>
      </c>
      <c r="C1441" t="s">
        <v>102</v>
      </c>
      <c r="D1441" t="s">
        <v>568</v>
      </c>
      <c r="E1441" t="s">
        <v>569</v>
      </c>
      <c r="F1441" s="1">
        <v>46074.443298611113</v>
      </c>
      <c r="G1441" t="s">
        <v>105</v>
      </c>
      <c r="H1441" t="s">
        <v>106</v>
      </c>
      <c r="I1441" t="s">
        <v>6268</v>
      </c>
      <c r="J1441" t="s">
        <v>108</v>
      </c>
      <c r="K1441" t="s">
        <v>571</v>
      </c>
      <c r="M1441" t="s">
        <v>47</v>
      </c>
      <c r="O1441" t="s">
        <v>77</v>
      </c>
      <c r="P1441" t="s">
        <v>78</v>
      </c>
      <c r="Q1441" t="s">
        <v>448</v>
      </c>
      <c r="R1441" t="s">
        <v>111</v>
      </c>
      <c r="S1441" t="s">
        <v>51</v>
      </c>
      <c r="T1441" t="s">
        <v>112</v>
      </c>
      <c r="U1441" s="1">
        <v>46074.7346412037</v>
      </c>
      <c r="V1441" t="s">
        <v>54</v>
      </c>
      <c r="W1441" t="s">
        <v>55</v>
      </c>
      <c r="X1441" t="s">
        <v>113</v>
      </c>
      <c r="Y1441" t="s">
        <v>6269</v>
      </c>
      <c r="Z1441" t="s">
        <v>5594</v>
      </c>
      <c r="AA1441" t="s">
        <v>54</v>
      </c>
      <c r="AB1441" t="s">
        <v>1212</v>
      </c>
      <c r="AC1441" t="s">
        <v>85</v>
      </c>
      <c r="AD1441" t="s">
        <v>116</v>
      </c>
      <c r="AE1441" t="s">
        <v>6270</v>
      </c>
      <c r="AF1441" t="s">
        <v>6271</v>
      </c>
      <c r="AG1441" t="s">
        <v>5594</v>
      </c>
      <c r="AK1441">
        <v>1</v>
      </c>
      <c r="AL1441" t="s">
        <v>61</v>
      </c>
      <c r="AM1441" t="s">
        <v>576</v>
      </c>
      <c r="AN1441" t="s">
        <v>577</v>
      </c>
    </row>
    <row r="1442" spans="1:40" x14ac:dyDescent="0.35">
      <c r="A1442" t="s">
        <v>37</v>
      </c>
      <c r="B1442" t="s">
        <v>6272</v>
      </c>
      <c r="C1442" t="s">
        <v>102</v>
      </c>
      <c r="D1442" t="s">
        <v>284</v>
      </c>
      <c r="E1442" t="s">
        <v>285</v>
      </c>
      <c r="F1442" s="1">
        <v>46074.438425925924</v>
      </c>
      <c r="G1442" t="s">
        <v>286</v>
      </c>
      <c r="H1442" t="s">
        <v>287</v>
      </c>
      <c r="I1442" t="s">
        <v>6273</v>
      </c>
      <c r="J1442" t="s">
        <v>289</v>
      </c>
      <c r="K1442" t="s">
        <v>130</v>
      </c>
      <c r="M1442" t="s">
        <v>131</v>
      </c>
      <c r="O1442" t="s">
        <v>77</v>
      </c>
      <c r="P1442" t="s">
        <v>78</v>
      </c>
      <c r="Q1442" t="s">
        <v>50</v>
      </c>
      <c r="R1442" t="s">
        <v>132</v>
      </c>
      <c r="S1442" t="s">
        <v>133</v>
      </c>
      <c r="T1442" t="s">
        <v>133</v>
      </c>
      <c r="U1442" s="1">
        <v>46076.367210648146</v>
      </c>
      <c r="V1442" t="s">
        <v>54</v>
      </c>
      <c r="W1442" t="s">
        <v>55</v>
      </c>
      <c r="X1442" t="s">
        <v>134</v>
      </c>
      <c r="Y1442" t="s">
        <v>6274</v>
      </c>
      <c r="Z1442" t="s">
        <v>58</v>
      </c>
      <c r="AA1442" t="s">
        <v>54</v>
      </c>
      <c r="AB1442" t="s">
        <v>291</v>
      </c>
      <c r="AC1442" t="s">
        <v>85</v>
      </c>
      <c r="AD1442" t="s">
        <v>132</v>
      </c>
      <c r="AE1442" t="s">
        <v>133</v>
      </c>
      <c r="AF1442" t="s">
        <v>133</v>
      </c>
      <c r="AG1442" t="s">
        <v>58</v>
      </c>
      <c r="AH1442" t="s">
        <v>292</v>
      </c>
      <c r="AK1442">
        <v>1</v>
      </c>
      <c r="AL1442" t="s">
        <v>61</v>
      </c>
      <c r="AM1442" t="s">
        <v>291</v>
      </c>
      <c r="AN1442" t="s">
        <v>293</v>
      </c>
    </row>
    <row r="1443" spans="1:40" x14ac:dyDescent="0.35">
      <c r="A1443" t="s">
        <v>37</v>
      </c>
      <c r="B1443" t="s">
        <v>6275</v>
      </c>
      <c r="C1443" t="s">
        <v>39</v>
      </c>
      <c r="D1443" t="s">
        <v>40</v>
      </c>
      <c r="E1443" t="s">
        <v>41</v>
      </c>
      <c r="F1443" s="1">
        <v>46074.428969907407</v>
      </c>
      <c r="G1443" t="s">
        <v>42</v>
      </c>
      <c r="H1443" t="s">
        <v>43</v>
      </c>
      <c r="I1443" t="s">
        <v>6276</v>
      </c>
      <c r="J1443" t="s">
        <v>45</v>
      </c>
      <c r="K1443" t="s">
        <v>46</v>
      </c>
      <c r="M1443" t="s">
        <v>47</v>
      </c>
      <c r="O1443" t="s">
        <v>48</v>
      </c>
      <c r="P1443" t="s">
        <v>49</v>
      </c>
      <c r="Q1443" t="s">
        <v>50</v>
      </c>
      <c r="R1443" t="s">
        <v>214</v>
      </c>
      <c r="S1443" t="s">
        <v>589</v>
      </c>
      <c r="T1443" t="s">
        <v>3593</v>
      </c>
      <c r="U1443" s="1">
        <v>46075.536828703705</v>
      </c>
      <c r="V1443" t="s">
        <v>54</v>
      </c>
      <c r="W1443" t="s">
        <v>55</v>
      </c>
      <c r="X1443" t="s">
        <v>56</v>
      </c>
      <c r="Y1443" t="s">
        <v>3594</v>
      </c>
      <c r="Z1443" t="s">
        <v>5594</v>
      </c>
      <c r="AA1443" t="s">
        <v>54</v>
      </c>
      <c r="AB1443" t="s">
        <v>59</v>
      </c>
      <c r="AC1443" t="s">
        <v>60</v>
      </c>
      <c r="AD1443" t="s">
        <v>51</v>
      </c>
      <c r="AE1443" t="s">
        <v>52</v>
      </c>
      <c r="AF1443" t="s">
        <v>53</v>
      </c>
      <c r="AG1443" t="s">
        <v>5594</v>
      </c>
      <c r="AK1443">
        <v>0</v>
      </c>
      <c r="AL1443" t="s">
        <v>61</v>
      </c>
      <c r="AM1443" t="s">
        <v>59</v>
      </c>
      <c r="AN1443" t="s">
        <v>62</v>
      </c>
    </row>
    <row r="1444" spans="1:40" x14ac:dyDescent="0.35">
      <c r="A1444" t="s">
        <v>37</v>
      </c>
      <c r="B1444" t="s">
        <v>6277</v>
      </c>
      <c r="C1444" t="s">
        <v>39</v>
      </c>
      <c r="D1444" t="s">
        <v>40</v>
      </c>
      <c r="E1444" t="s">
        <v>41</v>
      </c>
      <c r="F1444" s="1">
        <v>46074.423530092594</v>
      </c>
      <c r="G1444" t="s">
        <v>42</v>
      </c>
      <c r="H1444" t="s">
        <v>43</v>
      </c>
      <c r="I1444" t="s">
        <v>6278</v>
      </c>
      <c r="J1444" t="s">
        <v>45</v>
      </c>
      <c r="K1444" t="s">
        <v>46</v>
      </c>
      <c r="M1444" t="s">
        <v>47</v>
      </c>
      <c r="O1444" t="s">
        <v>48</v>
      </c>
      <c r="P1444" t="s">
        <v>49</v>
      </c>
      <c r="Q1444" t="s">
        <v>50</v>
      </c>
      <c r="R1444" t="s">
        <v>51</v>
      </c>
      <c r="S1444" t="s">
        <v>52</v>
      </c>
      <c r="T1444" t="s">
        <v>53</v>
      </c>
      <c r="U1444" s="1">
        <v>46074.42465277778</v>
      </c>
      <c r="V1444" t="s">
        <v>54</v>
      </c>
      <c r="W1444" t="s">
        <v>55</v>
      </c>
      <c r="X1444" t="s">
        <v>56</v>
      </c>
      <c r="Y1444" t="s">
        <v>65</v>
      </c>
      <c r="Z1444" t="s">
        <v>5594</v>
      </c>
      <c r="AA1444" t="s">
        <v>54</v>
      </c>
      <c r="AB1444" t="s">
        <v>59</v>
      </c>
      <c r="AC1444" t="s">
        <v>60</v>
      </c>
      <c r="AD1444" t="s">
        <v>51</v>
      </c>
      <c r="AE1444" t="s">
        <v>52</v>
      </c>
      <c r="AF1444" t="s">
        <v>53</v>
      </c>
      <c r="AG1444" t="s">
        <v>5594</v>
      </c>
      <c r="AK1444">
        <v>0</v>
      </c>
      <c r="AL1444" t="s">
        <v>61</v>
      </c>
      <c r="AM1444" t="s">
        <v>59</v>
      </c>
      <c r="AN1444" t="s">
        <v>62</v>
      </c>
    </row>
    <row r="1445" spans="1:40" x14ac:dyDescent="0.35">
      <c r="A1445" t="s">
        <v>37</v>
      </c>
      <c r="B1445" t="s">
        <v>6279</v>
      </c>
      <c r="C1445" t="s">
        <v>102</v>
      </c>
      <c r="D1445" t="s">
        <v>1698</v>
      </c>
      <c r="E1445" t="s">
        <v>584</v>
      </c>
      <c r="F1445" s="1">
        <v>46074.422013888892</v>
      </c>
      <c r="G1445" t="s">
        <v>105</v>
      </c>
      <c r="H1445" t="s">
        <v>106</v>
      </c>
      <c r="I1445" t="s">
        <v>3414</v>
      </c>
      <c r="J1445" t="s">
        <v>108</v>
      </c>
      <c r="K1445" t="s">
        <v>109</v>
      </c>
      <c r="M1445" t="s">
        <v>47</v>
      </c>
      <c r="O1445" t="s">
        <v>77</v>
      </c>
      <c r="P1445" t="s">
        <v>78</v>
      </c>
      <c r="Q1445" t="s">
        <v>50</v>
      </c>
      <c r="R1445" t="s">
        <v>111</v>
      </c>
      <c r="S1445" t="s">
        <v>51</v>
      </c>
      <c r="T1445" t="s">
        <v>112</v>
      </c>
      <c r="U1445" s="1">
        <v>46074.483842592592</v>
      </c>
      <c r="V1445" t="s">
        <v>54</v>
      </c>
      <c r="W1445" t="s">
        <v>55</v>
      </c>
      <c r="X1445" t="s">
        <v>134</v>
      </c>
      <c r="Y1445" t="s">
        <v>6280</v>
      </c>
      <c r="Z1445" t="s">
        <v>5594</v>
      </c>
      <c r="AA1445" t="s">
        <v>54</v>
      </c>
      <c r="AB1445" t="s">
        <v>1701</v>
      </c>
      <c r="AC1445" t="s">
        <v>85</v>
      </c>
      <c r="AD1445" t="s">
        <v>116</v>
      </c>
      <c r="AE1445" t="s">
        <v>117</v>
      </c>
      <c r="AF1445" t="s">
        <v>1706</v>
      </c>
      <c r="AG1445" t="s">
        <v>5594</v>
      </c>
      <c r="AK1445">
        <v>1</v>
      </c>
      <c r="AL1445" t="s">
        <v>61</v>
      </c>
      <c r="AM1445" t="s">
        <v>1701</v>
      </c>
      <c r="AN1445" t="s">
        <v>1702</v>
      </c>
    </row>
    <row r="1446" spans="1:40" x14ac:dyDescent="0.35">
      <c r="A1446" t="s">
        <v>37</v>
      </c>
      <c r="B1446" t="s">
        <v>6281</v>
      </c>
      <c r="C1446" t="s">
        <v>102</v>
      </c>
      <c r="D1446" t="s">
        <v>1698</v>
      </c>
      <c r="E1446" t="s">
        <v>584</v>
      </c>
      <c r="F1446" s="1">
        <v>46074.421284722222</v>
      </c>
      <c r="G1446" t="s">
        <v>105</v>
      </c>
      <c r="H1446" t="s">
        <v>106</v>
      </c>
      <c r="I1446" t="s">
        <v>6282</v>
      </c>
      <c r="J1446" t="s">
        <v>108</v>
      </c>
      <c r="K1446" t="s">
        <v>109</v>
      </c>
      <c r="M1446" t="s">
        <v>47</v>
      </c>
      <c r="O1446" t="s">
        <v>77</v>
      </c>
      <c r="P1446" t="s">
        <v>78</v>
      </c>
      <c r="Q1446" t="s">
        <v>50</v>
      </c>
      <c r="R1446" t="s">
        <v>111</v>
      </c>
      <c r="S1446" t="s">
        <v>51</v>
      </c>
      <c r="T1446" t="s">
        <v>112</v>
      </c>
      <c r="U1446" s="1">
        <v>46074.451631944445</v>
      </c>
      <c r="V1446" t="s">
        <v>54</v>
      </c>
      <c r="W1446" t="s">
        <v>55</v>
      </c>
      <c r="X1446" t="s">
        <v>134</v>
      </c>
      <c r="Y1446" t="s">
        <v>6283</v>
      </c>
      <c r="Z1446" t="s">
        <v>5594</v>
      </c>
      <c r="AA1446" t="s">
        <v>54</v>
      </c>
      <c r="AB1446" t="s">
        <v>1701</v>
      </c>
      <c r="AC1446" t="s">
        <v>85</v>
      </c>
      <c r="AD1446" t="s">
        <v>116</v>
      </c>
      <c r="AE1446" t="s">
        <v>117</v>
      </c>
      <c r="AF1446" t="s">
        <v>1874</v>
      </c>
      <c r="AG1446" t="s">
        <v>5594</v>
      </c>
      <c r="AK1446">
        <v>1</v>
      </c>
      <c r="AL1446" t="s">
        <v>61</v>
      </c>
      <c r="AM1446" t="s">
        <v>1701</v>
      </c>
      <c r="AN1446" t="s">
        <v>1702</v>
      </c>
    </row>
    <row r="1447" spans="1:40" x14ac:dyDescent="0.35">
      <c r="A1447" t="s">
        <v>37</v>
      </c>
      <c r="B1447" t="s">
        <v>6284</v>
      </c>
      <c r="C1447" t="s">
        <v>102</v>
      </c>
      <c r="D1447" t="s">
        <v>6285</v>
      </c>
      <c r="E1447" t="s">
        <v>6286</v>
      </c>
      <c r="F1447" s="1">
        <v>46074.418761574074</v>
      </c>
      <c r="G1447" t="s">
        <v>105</v>
      </c>
      <c r="H1447" t="s">
        <v>106</v>
      </c>
      <c r="I1447" t="s">
        <v>2905</v>
      </c>
      <c r="J1447" t="s">
        <v>108</v>
      </c>
      <c r="K1447" t="s">
        <v>571</v>
      </c>
      <c r="M1447" t="s">
        <v>47</v>
      </c>
      <c r="O1447" t="s">
        <v>77</v>
      </c>
      <c r="P1447" t="s">
        <v>78</v>
      </c>
      <c r="Q1447" t="s">
        <v>50</v>
      </c>
      <c r="R1447" t="s">
        <v>111</v>
      </c>
      <c r="S1447" t="s">
        <v>51</v>
      </c>
      <c r="T1447" t="s">
        <v>112</v>
      </c>
      <c r="U1447" s="1">
        <v>46074.482974537037</v>
      </c>
      <c r="V1447" t="s">
        <v>54</v>
      </c>
      <c r="W1447" t="s">
        <v>55</v>
      </c>
      <c r="X1447" t="s">
        <v>113</v>
      </c>
      <c r="Y1447" t="s">
        <v>6287</v>
      </c>
      <c r="Z1447" t="s">
        <v>5594</v>
      </c>
      <c r="AA1447" t="s">
        <v>54</v>
      </c>
      <c r="AB1447" t="s">
        <v>115</v>
      </c>
      <c r="AC1447" t="s">
        <v>85</v>
      </c>
      <c r="AD1447" t="s">
        <v>116</v>
      </c>
      <c r="AE1447" t="s">
        <v>574</v>
      </c>
      <c r="AF1447" t="s">
        <v>4577</v>
      </c>
      <c r="AG1447" t="s">
        <v>5594</v>
      </c>
      <c r="AH1447" t="s">
        <v>6288</v>
      </c>
      <c r="AK1447">
        <v>1</v>
      </c>
      <c r="AL1447" t="s">
        <v>61</v>
      </c>
      <c r="AM1447" t="s">
        <v>6289</v>
      </c>
      <c r="AN1447" t="s">
        <v>6290</v>
      </c>
    </row>
    <row r="1448" spans="1:40" x14ac:dyDescent="0.35">
      <c r="A1448" t="s">
        <v>37</v>
      </c>
      <c r="B1448" t="s">
        <v>6291</v>
      </c>
      <c r="C1448" t="s">
        <v>102</v>
      </c>
      <c r="D1448" t="s">
        <v>284</v>
      </c>
      <c r="E1448" t="s">
        <v>285</v>
      </c>
      <c r="F1448" s="1">
        <v>46074.419386574074</v>
      </c>
      <c r="G1448" t="s">
        <v>286</v>
      </c>
      <c r="H1448" t="s">
        <v>287</v>
      </c>
      <c r="I1448" t="s">
        <v>6292</v>
      </c>
      <c r="J1448" t="s">
        <v>289</v>
      </c>
      <c r="K1448" t="s">
        <v>565</v>
      </c>
      <c r="M1448" t="s">
        <v>76</v>
      </c>
      <c r="O1448" t="s">
        <v>77</v>
      </c>
      <c r="P1448" t="s">
        <v>78</v>
      </c>
      <c r="Q1448" t="s">
        <v>50</v>
      </c>
      <c r="R1448" t="s">
        <v>132</v>
      </c>
      <c r="S1448" t="s">
        <v>133</v>
      </c>
      <c r="T1448" t="s">
        <v>133</v>
      </c>
      <c r="U1448" s="1">
        <v>46076.396747685183</v>
      </c>
      <c r="V1448" t="s">
        <v>54</v>
      </c>
      <c r="W1448" t="s">
        <v>55</v>
      </c>
      <c r="X1448" t="s">
        <v>134</v>
      </c>
      <c r="Y1448" t="s">
        <v>6293</v>
      </c>
      <c r="Z1448" t="s">
        <v>58</v>
      </c>
      <c r="AA1448" t="s">
        <v>54</v>
      </c>
      <c r="AB1448" t="s">
        <v>291</v>
      </c>
      <c r="AC1448" t="s">
        <v>85</v>
      </c>
      <c r="AD1448" t="s">
        <v>132</v>
      </c>
      <c r="AE1448" t="s">
        <v>133</v>
      </c>
      <c r="AF1448" t="s">
        <v>133</v>
      </c>
      <c r="AG1448" t="s">
        <v>58</v>
      </c>
      <c r="AH1448" t="s">
        <v>292</v>
      </c>
      <c r="AK1448">
        <v>1</v>
      </c>
      <c r="AL1448" t="s">
        <v>61</v>
      </c>
      <c r="AM1448" t="s">
        <v>291</v>
      </c>
      <c r="AN1448" t="s">
        <v>293</v>
      </c>
    </row>
    <row r="1449" spans="1:40" x14ac:dyDescent="0.35">
      <c r="A1449" t="s">
        <v>37</v>
      </c>
      <c r="B1449" t="s">
        <v>6294</v>
      </c>
      <c r="C1449" t="s">
        <v>102</v>
      </c>
      <c r="D1449" t="s">
        <v>1698</v>
      </c>
      <c r="E1449" t="s">
        <v>584</v>
      </c>
      <c r="F1449" s="1">
        <v>46074.412928240738</v>
      </c>
      <c r="G1449" t="s">
        <v>105</v>
      </c>
      <c r="H1449" t="s">
        <v>106</v>
      </c>
      <c r="I1449" t="s">
        <v>1851</v>
      </c>
      <c r="J1449" t="s">
        <v>108</v>
      </c>
      <c r="K1449" t="s">
        <v>109</v>
      </c>
      <c r="M1449" t="s">
        <v>47</v>
      </c>
      <c r="O1449" t="s">
        <v>77</v>
      </c>
      <c r="P1449" t="s">
        <v>78</v>
      </c>
      <c r="Q1449" t="s">
        <v>50</v>
      </c>
      <c r="R1449" t="s">
        <v>111</v>
      </c>
      <c r="S1449" t="s">
        <v>51</v>
      </c>
      <c r="T1449" t="s">
        <v>112</v>
      </c>
      <c r="U1449" s="1">
        <v>46074.607060185182</v>
      </c>
      <c r="V1449" t="s">
        <v>54</v>
      </c>
      <c r="W1449" t="s">
        <v>55</v>
      </c>
      <c r="X1449" t="s">
        <v>134</v>
      </c>
      <c r="Y1449" t="s">
        <v>6295</v>
      </c>
      <c r="Z1449" t="s">
        <v>5594</v>
      </c>
      <c r="AA1449" t="s">
        <v>54</v>
      </c>
      <c r="AB1449" t="s">
        <v>1701</v>
      </c>
      <c r="AC1449" t="s">
        <v>85</v>
      </c>
      <c r="AD1449" t="s">
        <v>116</v>
      </c>
      <c r="AE1449" t="s">
        <v>117</v>
      </c>
      <c r="AF1449" t="s">
        <v>1706</v>
      </c>
      <c r="AG1449" t="s">
        <v>5594</v>
      </c>
      <c r="AK1449">
        <v>1</v>
      </c>
      <c r="AL1449" t="s">
        <v>61</v>
      </c>
      <c r="AM1449" t="s">
        <v>1701</v>
      </c>
      <c r="AN1449" t="s">
        <v>1702</v>
      </c>
    </row>
    <row r="1450" spans="1:40" x14ac:dyDescent="0.35">
      <c r="A1450" t="s">
        <v>37</v>
      </c>
      <c r="B1450" t="s">
        <v>6296</v>
      </c>
      <c r="C1450" t="s">
        <v>102</v>
      </c>
      <c r="D1450" t="s">
        <v>1698</v>
      </c>
      <c r="E1450" t="s">
        <v>584</v>
      </c>
      <c r="F1450" s="1">
        <v>46074.411504629628</v>
      </c>
      <c r="G1450" t="s">
        <v>105</v>
      </c>
      <c r="H1450" t="s">
        <v>106</v>
      </c>
      <c r="I1450" t="s">
        <v>6297</v>
      </c>
      <c r="J1450" t="s">
        <v>108</v>
      </c>
      <c r="K1450" t="s">
        <v>109</v>
      </c>
      <c r="M1450" t="s">
        <v>47</v>
      </c>
      <c r="O1450" t="s">
        <v>77</v>
      </c>
      <c r="P1450" t="s">
        <v>78</v>
      </c>
      <c r="Q1450" t="s">
        <v>50</v>
      </c>
      <c r="R1450" t="s">
        <v>111</v>
      </c>
      <c r="S1450" t="s">
        <v>51</v>
      </c>
      <c r="T1450" t="s">
        <v>112</v>
      </c>
      <c r="U1450" s="1">
        <v>46074.452418981484</v>
      </c>
      <c r="V1450" t="s">
        <v>54</v>
      </c>
      <c r="W1450" t="s">
        <v>55</v>
      </c>
      <c r="X1450" t="s">
        <v>134</v>
      </c>
      <c r="Y1450" t="s">
        <v>6298</v>
      </c>
      <c r="Z1450" t="s">
        <v>5594</v>
      </c>
      <c r="AA1450" t="s">
        <v>54</v>
      </c>
      <c r="AB1450" t="s">
        <v>1701</v>
      </c>
      <c r="AC1450" t="s">
        <v>85</v>
      </c>
      <c r="AD1450" t="s">
        <v>116</v>
      </c>
      <c r="AE1450" t="s">
        <v>117</v>
      </c>
      <c r="AF1450" t="s">
        <v>161</v>
      </c>
      <c r="AG1450" t="s">
        <v>5594</v>
      </c>
      <c r="AK1450">
        <v>1</v>
      </c>
      <c r="AL1450" t="s">
        <v>61</v>
      </c>
      <c r="AM1450" t="s">
        <v>1701</v>
      </c>
      <c r="AN1450" t="s">
        <v>1702</v>
      </c>
    </row>
    <row r="1451" spans="1:40" x14ac:dyDescent="0.35">
      <c r="A1451" t="s">
        <v>37</v>
      </c>
      <c r="B1451" t="s">
        <v>6299</v>
      </c>
      <c r="C1451" t="s">
        <v>102</v>
      </c>
      <c r="D1451" t="s">
        <v>6285</v>
      </c>
      <c r="E1451" t="s">
        <v>6286</v>
      </c>
      <c r="F1451" s="1">
        <v>46074.410983796297</v>
      </c>
      <c r="G1451" t="s">
        <v>105</v>
      </c>
      <c r="H1451" t="s">
        <v>106</v>
      </c>
      <c r="I1451" t="s">
        <v>6300</v>
      </c>
      <c r="J1451" t="s">
        <v>108</v>
      </c>
      <c r="K1451" t="s">
        <v>341</v>
      </c>
      <c r="M1451" t="s">
        <v>47</v>
      </c>
      <c r="O1451" t="s">
        <v>77</v>
      </c>
      <c r="P1451" t="s">
        <v>78</v>
      </c>
      <c r="Q1451" t="s">
        <v>50</v>
      </c>
      <c r="R1451" t="s">
        <v>111</v>
      </c>
      <c r="S1451" t="s">
        <v>51</v>
      </c>
      <c r="T1451" t="s">
        <v>112</v>
      </c>
      <c r="U1451" s="1">
        <v>46074.602650462963</v>
      </c>
      <c r="V1451" t="s">
        <v>54</v>
      </c>
      <c r="X1451" t="s">
        <v>113</v>
      </c>
      <c r="Y1451" t="s">
        <v>6301</v>
      </c>
      <c r="Z1451" t="s">
        <v>5594</v>
      </c>
      <c r="AA1451" t="s">
        <v>54</v>
      </c>
      <c r="AB1451" t="s">
        <v>115</v>
      </c>
      <c r="AC1451" t="s">
        <v>85</v>
      </c>
      <c r="AD1451" t="s">
        <v>116</v>
      </c>
      <c r="AE1451" t="s">
        <v>117</v>
      </c>
      <c r="AF1451" t="s">
        <v>5255</v>
      </c>
      <c r="AG1451" t="s">
        <v>5594</v>
      </c>
      <c r="AH1451" t="s">
        <v>6288</v>
      </c>
      <c r="AK1451">
        <v>1</v>
      </c>
      <c r="AL1451" t="s">
        <v>61</v>
      </c>
      <c r="AM1451" t="s">
        <v>6289</v>
      </c>
      <c r="AN1451" t="s">
        <v>6290</v>
      </c>
    </row>
    <row r="1452" spans="1:40" x14ac:dyDescent="0.35">
      <c r="A1452" t="s">
        <v>37</v>
      </c>
      <c r="B1452" t="s">
        <v>6302</v>
      </c>
      <c r="C1452" t="s">
        <v>39</v>
      </c>
      <c r="D1452" t="s">
        <v>40</v>
      </c>
      <c r="E1452" t="s">
        <v>41</v>
      </c>
      <c r="F1452" s="1">
        <v>46074.398726851854</v>
      </c>
      <c r="G1452" t="s">
        <v>42</v>
      </c>
      <c r="H1452" t="s">
        <v>43</v>
      </c>
      <c r="I1452" t="s">
        <v>6303</v>
      </c>
      <c r="J1452" t="s">
        <v>45</v>
      </c>
      <c r="K1452" t="s">
        <v>46</v>
      </c>
      <c r="M1452" t="s">
        <v>47</v>
      </c>
      <c r="O1452" t="s">
        <v>48</v>
      </c>
      <c r="P1452" t="s">
        <v>49</v>
      </c>
      <c r="Q1452" t="s">
        <v>50</v>
      </c>
      <c r="R1452" t="s">
        <v>51</v>
      </c>
      <c r="S1452" t="s">
        <v>52</v>
      </c>
      <c r="T1452" t="s">
        <v>53</v>
      </c>
      <c r="U1452" s="1">
        <v>46074.399456018517</v>
      </c>
      <c r="V1452" t="s">
        <v>54</v>
      </c>
      <c r="W1452" t="s">
        <v>55</v>
      </c>
      <c r="X1452" t="s">
        <v>56</v>
      </c>
      <c r="Y1452" t="s">
        <v>57</v>
      </c>
      <c r="Z1452" t="s">
        <v>5594</v>
      </c>
      <c r="AA1452" t="s">
        <v>54</v>
      </c>
      <c r="AB1452" t="s">
        <v>59</v>
      </c>
      <c r="AC1452" t="s">
        <v>60</v>
      </c>
      <c r="AD1452" t="s">
        <v>51</v>
      </c>
      <c r="AE1452" t="s">
        <v>52</v>
      </c>
      <c r="AF1452" t="s">
        <v>53</v>
      </c>
      <c r="AG1452" t="s">
        <v>5594</v>
      </c>
      <c r="AK1452">
        <v>0</v>
      </c>
      <c r="AL1452" t="s">
        <v>61</v>
      </c>
      <c r="AM1452" t="s">
        <v>59</v>
      </c>
      <c r="AN1452" t="s">
        <v>62</v>
      </c>
    </row>
    <row r="1453" spans="1:40" x14ac:dyDescent="0.35">
      <c r="A1453" t="s">
        <v>37</v>
      </c>
      <c r="B1453" t="s">
        <v>6304</v>
      </c>
      <c r="C1453" t="s">
        <v>102</v>
      </c>
      <c r="D1453" t="s">
        <v>1698</v>
      </c>
      <c r="E1453" t="s">
        <v>584</v>
      </c>
      <c r="F1453" s="1">
        <v>46074.398240740738</v>
      </c>
      <c r="G1453" t="s">
        <v>105</v>
      </c>
      <c r="H1453" t="s">
        <v>106</v>
      </c>
      <c r="I1453" t="s">
        <v>1699</v>
      </c>
      <c r="J1453" t="s">
        <v>108</v>
      </c>
      <c r="K1453" t="s">
        <v>109</v>
      </c>
      <c r="M1453" t="s">
        <v>47</v>
      </c>
      <c r="O1453" t="s">
        <v>77</v>
      </c>
      <c r="P1453" t="s">
        <v>78</v>
      </c>
      <c r="Q1453" t="s">
        <v>50</v>
      </c>
      <c r="R1453" t="s">
        <v>111</v>
      </c>
      <c r="S1453" t="s">
        <v>51</v>
      </c>
      <c r="T1453" t="s">
        <v>112</v>
      </c>
      <c r="U1453" s="1">
        <v>46074.463020833333</v>
      </c>
      <c r="V1453" t="s">
        <v>54</v>
      </c>
      <c r="W1453" t="s">
        <v>55</v>
      </c>
      <c r="X1453" t="s">
        <v>134</v>
      </c>
      <c r="Y1453" t="s">
        <v>6305</v>
      </c>
      <c r="Z1453" t="s">
        <v>5594</v>
      </c>
      <c r="AA1453" t="s">
        <v>54</v>
      </c>
      <c r="AB1453" t="s">
        <v>1701</v>
      </c>
      <c r="AC1453" t="s">
        <v>85</v>
      </c>
      <c r="AD1453" t="s">
        <v>116</v>
      </c>
      <c r="AE1453" t="s">
        <v>117</v>
      </c>
      <c r="AF1453" t="s">
        <v>1706</v>
      </c>
      <c r="AG1453" t="s">
        <v>5594</v>
      </c>
      <c r="AK1453">
        <v>1</v>
      </c>
      <c r="AL1453" t="s">
        <v>61</v>
      </c>
      <c r="AM1453" t="s">
        <v>1701</v>
      </c>
      <c r="AN1453" t="s">
        <v>1702</v>
      </c>
    </row>
    <row r="1454" spans="1:40" x14ac:dyDescent="0.35">
      <c r="A1454" t="s">
        <v>37</v>
      </c>
      <c r="B1454" t="s">
        <v>6306</v>
      </c>
      <c r="C1454" t="s">
        <v>39</v>
      </c>
      <c r="D1454" t="s">
        <v>6307</v>
      </c>
      <c r="E1454" t="s">
        <v>469</v>
      </c>
      <c r="F1454" s="1">
        <v>46074.389953703707</v>
      </c>
      <c r="G1454" t="s">
        <v>355</v>
      </c>
      <c r="H1454" t="s">
        <v>356</v>
      </c>
      <c r="I1454" t="s">
        <v>1071</v>
      </c>
      <c r="J1454" t="s">
        <v>394</v>
      </c>
      <c r="K1454" t="s">
        <v>75</v>
      </c>
      <c r="M1454" t="s">
        <v>47</v>
      </c>
      <c r="O1454" t="s">
        <v>77</v>
      </c>
      <c r="P1454" t="s">
        <v>78</v>
      </c>
      <c r="Q1454" t="s">
        <v>50</v>
      </c>
      <c r="R1454" t="s">
        <v>79</v>
      </c>
      <c r="S1454" t="s">
        <v>967</v>
      </c>
      <c r="T1454" t="s">
        <v>1072</v>
      </c>
      <c r="U1454" s="1">
        <v>46074.391250000001</v>
      </c>
      <c r="V1454" t="s">
        <v>54</v>
      </c>
      <c r="W1454" t="s">
        <v>55</v>
      </c>
      <c r="X1454" t="s">
        <v>82</v>
      </c>
      <c r="Y1454" t="s">
        <v>6308</v>
      </c>
      <c r="Z1454" t="s">
        <v>5594</v>
      </c>
      <c r="AA1454" t="s">
        <v>54</v>
      </c>
      <c r="AB1454" t="s">
        <v>396</v>
      </c>
      <c r="AC1454" t="s">
        <v>85</v>
      </c>
      <c r="AD1454" t="s">
        <v>79</v>
      </c>
      <c r="AE1454" t="s">
        <v>967</v>
      </c>
      <c r="AF1454" t="s">
        <v>1072</v>
      </c>
      <c r="AG1454" t="s">
        <v>5594</v>
      </c>
      <c r="AH1454" t="s">
        <v>6309</v>
      </c>
      <c r="AK1454">
        <v>0</v>
      </c>
      <c r="AL1454" t="s">
        <v>61</v>
      </c>
      <c r="AM1454" t="s">
        <v>6310</v>
      </c>
      <c r="AN1454" t="s">
        <v>6311</v>
      </c>
    </row>
    <row r="1455" spans="1:40" x14ac:dyDescent="0.35">
      <c r="A1455" t="s">
        <v>37</v>
      </c>
      <c r="B1455" t="s">
        <v>6312</v>
      </c>
      <c r="C1455" t="s">
        <v>102</v>
      </c>
      <c r="D1455" t="s">
        <v>1537</v>
      </c>
      <c r="E1455" t="s">
        <v>1538</v>
      </c>
      <c r="F1455" s="1">
        <v>46074.384212962963</v>
      </c>
      <c r="G1455" t="s">
        <v>105</v>
      </c>
      <c r="H1455" t="s">
        <v>106</v>
      </c>
      <c r="I1455" t="s">
        <v>1579</v>
      </c>
      <c r="J1455" t="s">
        <v>108</v>
      </c>
      <c r="K1455" t="s">
        <v>571</v>
      </c>
      <c r="M1455" t="s">
        <v>47</v>
      </c>
      <c r="O1455" t="s">
        <v>77</v>
      </c>
      <c r="P1455" t="s">
        <v>78</v>
      </c>
      <c r="Q1455" t="s">
        <v>50</v>
      </c>
      <c r="R1455" t="s">
        <v>111</v>
      </c>
      <c r="S1455" t="s">
        <v>51</v>
      </c>
      <c r="T1455" t="s">
        <v>112</v>
      </c>
      <c r="U1455" s="1">
        <v>46074.453344907408</v>
      </c>
      <c r="V1455" t="s">
        <v>54</v>
      </c>
      <c r="W1455" t="s">
        <v>55</v>
      </c>
      <c r="X1455" t="s">
        <v>82</v>
      </c>
      <c r="Y1455" t="s">
        <v>6313</v>
      </c>
      <c r="Z1455" t="s">
        <v>5594</v>
      </c>
      <c r="AA1455" t="s">
        <v>54</v>
      </c>
      <c r="AB1455" t="s">
        <v>115</v>
      </c>
      <c r="AC1455" t="s">
        <v>85</v>
      </c>
      <c r="AD1455" t="s">
        <v>116</v>
      </c>
      <c r="AE1455" t="s">
        <v>574</v>
      </c>
      <c r="AF1455" t="s">
        <v>1706</v>
      </c>
      <c r="AG1455" t="s">
        <v>5594</v>
      </c>
      <c r="AH1455">
        <v>14840</v>
      </c>
      <c r="AK1455">
        <v>1</v>
      </c>
      <c r="AL1455" t="s">
        <v>61</v>
      </c>
      <c r="AM1455" t="s">
        <v>1542</v>
      </c>
      <c r="AN1455" t="s">
        <v>1543</v>
      </c>
    </row>
    <row r="1456" spans="1:40" x14ac:dyDescent="0.35">
      <c r="A1456" t="s">
        <v>37</v>
      </c>
      <c r="B1456" t="s">
        <v>6314</v>
      </c>
      <c r="C1456" t="s">
        <v>102</v>
      </c>
      <c r="D1456" t="s">
        <v>1698</v>
      </c>
      <c r="E1456" t="s">
        <v>584</v>
      </c>
      <c r="F1456" s="1">
        <v>46074.378761574073</v>
      </c>
      <c r="G1456" t="s">
        <v>105</v>
      </c>
      <c r="H1456" t="s">
        <v>106</v>
      </c>
      <c r="I1456" t="s">
        <v>1908</v>
      </c>
      <c r="J1456" t="s">
        <v>108</v>
      </c>
      <c r="K1456" t="s">
        <v>109</v>
      </c>
      <c r="M1456" t="s">
        <v>47</v>
      </c>
      <c r="O1456" t="s">
        <v>77</v>
      </c>
      <c r="P1456" t="s">
        <v>78</v>
      </c>
      <c r="Q1456" t="s">
        <v>50</v>
      </c>
      <c r="R1456" t="s">
        <v>111</v>
      </c>
      <c r="S1456" t="s">
        <v>51</v>
      </c>
      <c r="T1456" t="s">
        <v>112</v>
      </c>
      <c r="U1456" s="1">
        <v>46074.60597222222</v>
      </c>
      <c r="V1456" t="s">
        <v>54</v>
      </c>
      <c r="W1456" t="s">
        <v>55</v>
      </c>
      <c r="X1456" t="s">
        <v>134</v>
      </c>
      <c r="Y1456" t="s">
        <v>6315</v>
      </c>
      <c r="Z1456" t="s">
        <v>5594</v>
      </c>
      <c r="AA1456" t="s">
        <v>54</v>
      </c>
      <c r="AB1456" t="s">
        <v>1701</v>
      </c>
      <c r="AC1456" t="s">
        <v>85</v>
      </c>
      <c r="AD1456" t="s">
        <v>116</v>
      </c>
      <c r="AE1456" t="s">
        <v>117</v>
      </c>
      <c r="AF1456" t="s">
        <v>6316</v>
      </c>
      <c r="AG1456" t="s">
        <v>5594</v>
      </c>
      <c r="AK1456">
        <v>1</v>
      </c>
      <c r="AL1456" t="s">
        <v>61</v>
      </c>
      <c r="AM1456" t="s">
        <v>1701</v>
      </c>
      <c r="AN1456" t="s">
        <v>1702</v>
      </c>
    </row>
    <row r="1457" spans="1:40" x14ac:dyDescent="0.35">
      <c r="A1457" t="s">
        <v>37</v>
      </c>
      <c r="B1457" t="s">
        <v>6317</v>
      </c>
      <c r="C1457" t="s">
        <v>39</v>
      </c>
      <c r="D1457" t="s">
        <v>40</v>
      </c>
      <c r="E1457" t="s">
        <v>41</v>
      </c>
      <c r="F1457" s="1">
        <v>46074.36954861111</v>
      </c>
      <c r="G1457" t="s">
        <v>42</v>
      </c>
      <c r="H1457" t="s">
        <v>43</v>
      </c>
      <c r="I1457" t="s">
        <v>6318</v>
      </c>
      <c r="J1457" t="s">
        <v>45</v>
      </c>
      <c r="K1457" t="s">
        <v>46</v>
      </c>
      <c r="M1457" t="s">
        <v>47</v>
      </c>
      <c r="O1457" t="s">
        <v>48</v>
      </c>
      <c r="P1457" t="s">
        <v>49</v>
      </c>
      <c r="Q1457" t="s">
        <v>50</v>
      </c>
      <c r="R1457" t="s">
        <v>51</v>
      </c>
      <c r="S1457" t="s">
        <v>52</v>
      </c>
      <c r="T1457" t="s">
        <v>53</v>
      </c>
      <c r="U1457" s="1">
        <v>46074.370185185187</v>
      </c>
      <c r="V1457" t="s">
        <v>54</v>
      </c>
      <c r="W1457" t="s">
        <v>55</v>
      </c>
      <c r="X1457" t="s">
        <v>56</v>
      </c>
      <c r="Y1457" t="s">
        <v>57</v>
      </c>
      <c r="Z1457" t="s">
        <v>5594</v>
      </c>
      <c r="AA1457" t="s">
        <v>54</v>
      </c>
      <c r="AB1457" t="s">
        <v>59</v>
      </c>
      <c r="AC1457" t="s">
        <v>60</v>
      </c>
      <c r="AD1457" t="s">
        <v>51</v>
      </c>
      <c r="AE1457" t="s">
        <v>52</v>
      </c>
      <c r="AF1457" t="s">
        <v>53</v>
      </c>
      <c r="AG1457" t="s">
        <v>5594</v>
      </c>
      <c r="AK1457">
        <v>0</v>
      </c>
      <c r="AL1457" t="s">
        <v>61</v>
      </c>
      <c r="AM1457" t="s">
        <v>59</v>
      </c>
      <c r="AN1457" t="s">
        <v>62</v>
      </c>
    </row>
    <row r="1458" spans="1:40" x14ac:dyDescent="0.35">
      <c r="A1458" t="s">
        <v>37</v>
      </c>
      <c r="B1458" t="s">
        <v>6319</v>
      </c>
      <c r="C1458" t="s">
        <v>39</v>
      </c>
      <c r="D1458" t="s">
        <v>40</v>
      </c>
      <c r="E1458" t="s">
        <v>41</v>
      </c>
      <c r="F1458" s="1">
        <v>46074.357083333336</v>
      </c>
      <c r="G1458" t="s">
        <v>42</v>
      </c>
      <c r="H1458" t="s">
        <v>43</v>
      </c>
      <c r="I1458" t="s">
        <v>6320</v>
      </c>
      <c r="J1458" t="s">
        <v>45</v>
      </c>
      <c r="K1458" t="s">
        <v>46</v>
      </c>
      <c r="M1458" t="s">
        <v>47</v>
      </c>
      <c r="O1458" t="s">
        <v>48</v>
      </c>
      <c r="P1458" t="s">
        <v>49</v>
      </c>
      <c r="Q1458" t="s">
        <v>50</v>
      </c>
      <c r="R1458" t="s">
        <v>51</v>
      </c>
      <c r="S1458" t="s">
        <v>52</v>
      </c>
      <c r="T1458" t="s">
        <v>53</v>
      </c>
      <c r="U1458" s="1">
        <v>46074.357754629629</v>
      </c>
      <c r="V1458" t="s">
        <v>54</v>
      </c>
      <c r="W1458" t="s">
        <v>55</v>
      </c>
      <c r="X1458" t="s">
        <v>56</v>
      </c>
      <c r="Y1458" t="s">
        <v>57</v>
      </c>
      <c r="Z1458" t="s">
        <v>5594</v>
      </c>
      <c r="AA1458" t="s">
        <v>54</v>
      </c>
      <c r="AB1458" t="s">
        <v>59</v>
      </c>
      <c r="AC1458" t="s">
        <v>60</v>
      </c>
      <c r="AD1458" t="s">
        <v>51</v>
      </c>
      <c r="AE1458" t="s">
        <v>52</v>
      </c>
      <c r="AF1458" t="s">
        <v>53</v>
      </c>
      <c r="AG1458" t="s">
        <v>5594</v>
      </c>
      <c r="AK1458">
        <v>0</v>
      </c>
      <c r="AL1458" t="s">
        <v>61</v>
      </c>
      <c r="AM1458" t="s">
        <v>59</v>
      </c>
      <c r="AN1458" t="s">
        <v>62</v>
      </c>
    </row>
    <row r="1459" spans="1:40" x14ac:dyDescent="0.35">
      <c r="A1459" t="s">
        <v>37</v>
      </c>
      <c r="B1459" t="s">
        <v>6321</v>
      </c>
      <c r="C1459" t="s">
        <v>102</v>
      </c>
      <c r="D1459" t="s">
        <v>1537</v>
      </c>
      <c r="E1459" t="s">
        <v>1538</v>
      </c>
      <c r="F1459" s="1">
        <v>46074.348622685182</v>
      </c>
      <c r="G1459" t="s">
        <v>105</v>
      </c>
      <c r="H1459" t="s">
        <v>106</v>
      </c>
      <c r="I1459" t="s">
        <v>2480</v>
      </c>
      <c r="J1459" t="s">
        <v>108</v>
      </c>
      <c r="K1459" t="s">
        <v>571</v>
      </c>
      <c r="M1459" t="s">
        <v>47</v>
      </c>
      <c r="O1459" t="s">
        <v>77</v>
      </c>
      <c r="P1459" t="s">
        <v>78</v>
      </c>
      <c r="Q1459" t="s">
        <v>50</v>
      </c>
      <c r="R1459" t="s">
        <v>111</v>
      </c>
      <c r="S1459" t="s">
        <v>51</v>
      </c>
      <c r="T1459" t="s">
        <v>112</v>
      </c>
      <c r="U1459" s="1">
        <v>46074.448877314811</v>
      </c>
      <c r="V1459" t="s">
        <v>54</v>
      </c>
      <c r="W1459" t="s">
        <v>55</v>
      </c>
      <c r="X1459" t="s">
        <v>82</v>
      </c>
      <c r="Y1459" t="s">
        <v>6322</v>
      </c>
      <c r="Z1459" t="s">
        <v>5594</v>
      </c>
      <c r="AA1459" t="s">
        <v>54</v>
      </c>
      <c r="AB1459" t="s">
        <v>115</v>
      </c>
      <c r="AC1459" t="s">
        <v>85</v>
      </c>
      <c r="AD1459" t="s">
        <v>116</v>
      </c>
      <c r="AE1459" t="s">
        <v>574</v>
      </c>
      <c r="AF1459" t="s">
        <v>1740</v>
      </c>
      <c r="AG1459" t="s">
        <v>5594</v>
      </c>
      <c r="AH1459">
        <v>14840</v>
      </c>
      <c r="AK1459">
        <v>1</v>
      </c>
      <c r="AL1459" t="s">
        <v>61</v>
      </c>
      <c r="AM1459" t="s">
        <v>1542</v>
      </c>
      <c r="AN1459" t="s">
        <v>1543</v>
      </c>
    </row>
    <row r="1460" spans="1:40" x14ac:dyDescent="0.35">
      <c r="A1460" t="s">
        <v>37</v>
      </c>
      <c r="B1460" t="s">
        <v>6323</v>
      </c>
      <c r="C1460" t="s">
        <v>102</v>
      </c>
      <c r="D1460" t="s">
        <v>1537</v>
      </c>
      <c r="E1460" t="s">
        <v>1538</v>
      </c>
      <c r="F1460" s="1">
        <v>46074.347905092596</v>
      </c>
      <c r="G1460" t="s">
        <v>105</v>
      </c>
      <c r="H1460" t="s">
        <v>106</v>
      </c>
      <c r="I1460" t="s">
        <v>1704</v>
      </c>
      <c r="J1460" t="s">
        <v>108</v>
      </c>
      <c r="K1460" t="s">
        <v>571</v>
      </c>
      <c r="M1460" t="s">
        <v>47</v>
      </c>
      <c r="O1460" t="s">
        <v>77</v>
      </c>
      <c r="P1460" t="s">
        <v>78</v>
      </c>
      <c r="Q1460" t="s">
        <v>50</v>
      </c>
      <c r="R1460" t="s">
        <v>111</v>
      </c>
      <c r="S1460" t="s">
        <v>51</v>
      </c>
      <c r="T1460" t="s">
        <v>112</v>
      </c>
      <c r="U1460" s="1">
        <v>46074.462592592594</v>
      </c>
      <c r="V1460" t="s">
        <v>54</v>
      </c>
      <c r="W1460" t="s">
        <v>55</v>
      </c>
      <c r="X1460" t="s">
        <v>82</v>
      </c>
      <c r="Y1460" t="s">
        <v>6324</v>
      </c>
      <c r="Z1460" t="s">
        <v>5594</v>
      </c>
      <c r="AA1460" t="s">
        <v>54</v>
      </c>
      <c r="AB1460" t="s">
        <v>115</v>
      </c>
      <c r="AC1460" t="s">
        <v>85</v>
      </c>
      <c r="AD1460" t="s">
        <v>116</v>
      </c>
      <c r="AE1460" t="s">
        <v>574</v>
      </c>
      <c r="AF1460" t="s">
        <v>1874</v>
      </c>
      <c r="AG1460" t="s">
        <v>5594</v>
      </c>
      <c r="AH1460">
        <v>14840</v>
      </c>
      <c r="AK1460">
        <v>1</v>
      </c>
      <c r="AL1460" t="s">
        <v>61</v>
      </c>
      <c r="AM1460" t="s">
        <v>1542</v>
      </c>
      <c r="AN1460" t="s">
        <v>1543</v>
      </c>
    </row>
    <row r="1461" spans="1:40" x14ac:dyDescent="0.35">
      <c r="A1461" t="s">
        <v>37</v>
      </c>
      <c r="B1461" t="s">
        <v>6325</v>
      </c>
      <c r="C1461" t="s">
        <v>102</v>
      </c>
      <c r="D1461" t="s">
        <v>1698</v>
      </c>
      <c r="E1461" t="s">
        <v>584</v>
      </c>
      <c r="F1461" s="1">
        <v>46074.343981481485</v>
      </c>
      <c r="G1461" t="s">
        <v>105</v>
      </c>
      <c r="H1461" t="s">
        <v>106</v>
      </c>
      <c r="I1461" t="s">
        <v>5892</v>
      </c>
      <c r="J1461" t="s">
        <v>108</v>
      </c>
      <c r="K1461" t="s">
        <v>109</v>
      </c>
      <c r="M1461" t="s">
        <v>47</v>
      </c>
      <c r="O1461" t="s">
        <v>77</v>
      </c>
      <c r="P1461" t="s">
        <v>78</v>
      </c>
      <c r="Q1461" t="s">
        <v>50</v>
      </c>
      <c r="R1461" t="s">
        <v>111</v>
      </c>
      <c r="S1461" t="s">
        <v>51</v>
      </c>
      <c r="T1461" t="s">
        <v>112</v>
      </c>
      <c r="U1461" s="1">
        <v>46074.374351851853</v>
      </c>
      <c r="V1461" t="s">
        <v>54</v>
      </c>
      <c r="W1461" t="s">
        <v>55</v>
      </c>
      <c r="X1461" t="s">
        <v>134</v>
      </c>
      <c r="Y1461" t="s">
        <v>6326</v>
      </c>
      <c r="Z1461" t="s">
        <v>5594</v>
      </c>
      <c r="AA1461" t="s">
        <v>54</v>
      </c>
      <c r="AB1461" t="s">
        <v>1701</v>
      </c>
      <c r="AC1461" t="s">
        <v>85</v>
      </c>
      <c r="AD1461" t="s">
        <v>116</v>
      </c>
      <c r="AE1461" t="s">
        <v>117</v>
      </c>
      <c r="AF1461" t="s">
        <v>1874</v>
      </c>
      <c r="AG1461" t="s">
        <v>5594</v>
      </c>
      <c r="AK1461">
        <v>1</v>
      </c>
      <c r="AL1461" t="s">
        <v>61</v>
      </c>
      <c r="AM1461" t="s">
        <v>1701</v>
      </c>
      <c r="AN1461" t="s">
        <v>1702</v>
      </c>
    </row>
    <row r="1462" spans="1:40" x14ac:dyDescent="0.35">
      <c r="A1462" t="s">
        <v>37</v>
      </c>
      <c r="B1462" t="s">
        <v>6327</v>
      </c>
      <c r="C1462" t="s">
        <v>102</v>
      </c>
      <c r="D1462" t="s">
        <v>1698</v>
      </c>
      <c r="E1462" t="s">
        <v>584</v>
      </c>
      <c r="F1462" s="1">
        <v>46074.341134259259</v>
      </c>
      <c r="G1462" t="s">
        <v>105</v>
      </c>
      <c r="H1462" t="s">
        <v>106</v>
      </c>
      <c r="I1462" t="s">
        <v>1848</v>
      </c>
      <c r="J1462" t="s">
        <v>108</v>
      </c>
      <c r="K1462" t="s">
        <v>109</v>
      </c>
      <c r="M1462" t="s">
        <v>47</v>
      </c>
      <c r="O1462" t="s">
        <v>77</v>
      </c>
      <c r="P1462" t="s">
        <v>78</v>
      </c>
      <c r="Q1462" t="s">
        <v>50</v>
      </c>
      <c r="R1462" t="s">
        <v>111</v>
      </c>
      <c r="S1462" t="s">
        <v>51</v>
      </c>
      <c r="T1462" t="s">
        <v>112</v>
      </c>
      <c r="U1462" s="1">
        <v>46074.608194444445</v>
      </c>
      <c r="V1462" t="s">
        <v>54</v>
      </c>
      <c r="W1462" t="s">
        <v>55</v>
      </c>
      <c r="X1462" t="s">
        <v>134</v>
      </c>
      <c r="Y1462" t="s">
        <v>6328</v>
      </c>
      <c r="Z1462" t="s">
        <v>5594</v>
      </c>
      <c r="AA1462" t="s">
        <v>54</v>
      </c>
      <c r="AB1462" t="s">
        <v>1701</v>
      </c>
      <c r="AC1462" t="s">
        <v>85</v>
      </c>
      <c r="AD1462" t="s">
        <v>116</v>
      </c>
      <c r="AE1462" t="s">
        <v>117</v>
      </c>
      <c r="AF1462" t="s">
        <v>343</v>
      </c>
      <c r="AG1462" t="s">
        <v>5594</v>
      </c>
      <c r="AK1462">
        <v>1</v>
      </c>
      <c r="AL1462" t="s">
        <v>61</v>
      </c>
      <c r="AM1462" t="s">
        <v>1701</v>
      </c>
      <c r="AN1462" t="s">
        <v>1702</v>
      </c>
    </row>
    <row r="1463" spans="1:40" x14ac:dyDescent="0.35">
      <c r="A1463" t="s">
        <v>37</v>
      </c>
      <c r="B1463" t="s">
        <v>6329</v>
      </c>
      <c r="C1463" t="s">
        <v>102</v>
      </c>
      <c r="D1463" t="s">
        <v>6285</v>
      </c>
      <c r="E1463" t="s">
        <v>6286</v>
      </c>
      <c r="F1463" s="1">
        <v>46074.32916666667</v>
      </c>
      <c r="G1463" t="s">
        <v>105</v>
      </c>
      <c r="H1463" t="s">
        <v>106</v>
      </c>
      <c r="I1463" t="s">
        <v>6330</v>
      </c>
      <c r="J1463" t="s">
        <v>108</v>
      </c>
      <c r="K1463" t="s">
        <v>109</v>
      </c>
      <c r="M1463" t="s">
        <v>47</v>
      </c>
      <c r="O1463" t="s">
        <v>77</v>
      </c>
      <c r="P1463" t="s">
        <v>78</v>
      </c>
      <c r="Q1463" t="s">
        <v>50</v>
      </c>
      <c r="R1463" t="s">
        <v>111</v>
      </c>
      <c r="S1463" t="s">
        <v>51</v>
      </c>
      <c r="T1463" t="s">
        <v>112</v>
      </c>
      <c r="U1463" s="1">
        <v>46074.377488425926</v>
      </c>
      <c r="V1463" t="s">
        <v>54</v>
      </c>
      <c r="W1463" t="s">
        <v>55</v>
      </c>
      <c r="X1463" t="s">
        <v>113</v>
      </c>
      <c r="Y1463" t="s">
        <v>6331</v>
      </c>
      <c r="Z1463" t="s">
        <v>5594</v>
      </c>
      <c r="AA1463" t="s">
        <v>54</v>
      </c>
      <c r="AB1463" t="s">
        <v>115</v>
      </c>
      <c r="AC1463" t="s">
        <v>85</v>
      </c>
      <c r="AD1463" t="s">
        <v>116</v>
      </c>
      <c r="AE1463" t="s">
        <v>117</v>
      </c>
      <c r="AF1463" t="s">
        <v>144</v>
      </c>
      <c r="AG1463" t="s">
        <v>5594</v>
      </c>
      <c r="AH1463" t="s">
        <v>6288</v>
      </c>
      <c r="AK1463">
        <v>1</v>
      </c>
      <c r="AL1463" t="s">
        <v>61</v>
      </c>
      <c r="AM1463" t="s">
        <v>6289</v>
      </c>
      <c r="AN1463" t="s">
        <v>6290</v>
      </c>
    </row>
    <row r="1464" spans="1:40" x14ac:dyDescent="0.35">
      <c r="A1464" t="s">
        <v>37</v>
      </c>
      <c r="B1464" t="s">
        <v>6332</v>
      </c>
      <c r="C1464" t="s">
        <v>39</v>
      </c>
      <c r="D1464" t="s">
        <v>1481</v>
      </c>
      <c r="E1464" t="s">
        <v>1316</v>
      </c>
      <c r="F1464" s="1">
        <v>46074.323148148149</v>
      </c>
      <c r="G1464" t="s">
        <v>286</v>
      </c>
      <c r="H1464" t="s">
        <v>287</v>
      </c>
      <c r="I1464" t="s">
        <v>6333</v>
      </c>
      <c r="J1464" t="s">
        <v>1483</v>
      </c>
      <c r="K1464" t="s">
        <v>1484</v>
      </c>
      <c r="M1464" t="s">
        <v>47</v>
      </c>
      <c r="O1464" t="s">
        <v>77</v>
      </c>
      <c r="P1464" t="s">
        <v>78</v>
      </c>
      <c r="Q1464" t="s">
        <v>50</v>
      </c>
      <c r="R1464" t="s">
        <v>51</v>
      </c>
      <c r="S1464" t="s">
        <v>52</v>
      </c>
      <c r="T1464" t="s">
        <v>240</v>
      </c>
      <c r="U1464" s="1">
        <v>46074.506956018522</v>
      </c>
      <c r="V1464" t="s">
        <v>54</v>
      </c>
      <c r="W1464" t="s">
        <v>55</v>
      </c>
      <c r="X1464" t="s">
        <v>134</v>
      </c>
      <c r="Y1464" t="s">
        <v>1485</v>
      </c>
      <c r="Z1464" t="s">
        <v>5594</v>
      </c>
      <c r="AA1464" t="s">
        <v>54</v>
      </c>
      <c r="AB1464" t="s">
        <v>1486</v>
      </c>
      <c r="AC1464" t="s">
        <v>85</v>
      </c>
      <c r="AD1464" t="s">
        <v>52</v>
      </c>
      <c r="AE1464" t="s">
        <v>243</v>
      </c>
      <c r="AF1464" t="s">
        <v>409</v>
      </c>
      <c r="AG1464" t="s">
        <v>5594</v>
      </c>
      <c r="AK1464">
        <v>1</v>
      </c>
      <c r="AL1464" t="s">
        <v>61</v>
      </c>
      <c r="AM1464" t="s">
        <v>1487</v>
      </c>
      <c r="AN1464" t="s">
        <v>1488</v>
      </c>
    </row>
    <row r="1465" spans="1:40" x14ac:dyDescent="0.35">
      <c r="A1465" t="s">
        <v>37</v>
      </c>
      <c r="B1465" t="s">
        <v>6334</v>
      </c>
      <c r="C1465" t="s">
        <v>39</v>
      </c>
      <c r="D1465" t="s">
        <v>1481</v>
      </c>
      <c r="E1465" t="s">
        <v>1316</v>
      </c>
      <c r="F1465" s="1">
        <v>46074.320219907408</v>
      </c>
      <c r="G1465" t="s">
        <v>286</v>
      </c>
      <c r="H1465" t="s">
        <v>287</v>
      </c>
      <c r="I1465" t="s">
        <v>6335</v>
      </c>
      <c r="J1465" t="s">
        <v>1483</v>
      </c>
      <c r="K1465" t="s">
        <v>1484</v>
      </c>
      <c r="M1465" t="s">
        <v>47</v>
      </c>
      <c r="O1465" t="s">
        <v>77</v>
      </c>
      <c r="P1465" t="s">
        <v>78</v>
      </c>
      <c r="Q1465" t="s">
        <v>50</v>
      </c>
      <c r="R1465" t="s">
        <v>51</v>
      </c>
      <c r="S1465" t="s">
        <v>52</v>
      </c>
      <c r="T1465" t="s">
        <v>240</v>
      </c>
      <c r="U1465" s="1">
        <v>46074.579976851855</v>
      </c>
      <c r="V1465" t="s">
        <v>54</v>
      </c>
      <c r="W1465" t="s">
        <v>55</v>
      </c>
      <c r="X1465" t="s">
        <v>134</v>
      </c>
      <c r="Y1465" t="s">
        <v>1485</v>
      </c>
      <c r="Z1465" t="s">
        <v>5594</v>
      </c>
      <c r="AA1465" t="s">
        <v>54</v>
      </c>
      <c r="AB1465" t="s">
        <v>1486</v>
      </c>
      <c r="AC1465" t="s">
        <v>85</v>
      </c>
      <c r="AD1465" t="s">
        <v>52</v>
      </c>
      <c r="AE1465" t="s">
        <v>243</v>
      </c>
      <c r="AF1465" t="s">
        <v>409</v>
      </c>
      <c r="AG1465" t="s">
        <v>5594</v>
      </c>
      <c r="AK1465">
        <v>1</v>
      </c>
      <c r="AL1465" t="s">
        <v>61</v>
      </c>
      <c r="AM1465" t="s">
        <v>1487</v>
      </c>
      <c r="AN1465" t="s">
        <v>1488</v>
      </c>
    </row>
    <row r="1466" spans="1:40" x14ac:dyDescent="0.35">
      <c r="A1466" t="s">
        <v>37</v>
      </c>
      <c r="B1466" t="s">
        <v>6336</v>
      </c>
      <c r="C1466" t="s">
        <v>102</v>
      </c>
      <c r="D1466" t="s">
        <v>1698</v>
      </c>
      <c r="E1466" t="s">
        <v>584</v>
      </c>
      <c r="F1466" s="1">
        <v>46074.313263888886</v>
      </c>
      <c r="G1466" t="s">
        <v>105</v>
      </c>
      <c r="H1466" t="s">
        <v>106</v>
      </c>
      <c r="I1466" t="s">
        <v>6337</v>
      </c>
      <c r="J1466" t="s">
        <v>108</v>
      </c>
      <c r="K1466" t="s">
        <v>109</v>
      </c>
      <c r="M1466" t="s">
        <v>47</v>
      </c>
      <c r="O1466" t="s">
        <v>77</v>
      </c>
      <c r="P1466" t="s">
        <v>78</v>
      </c>
      <c r="Q1466" t="s">
        <v>50</v>
      </c>
      <c r="R1466" t="s">
        <v>111</v>
      </c>
      <c r="S1466" t="s">
        <v>51</v>
      </c>
      <c r="T1466" t="s">
        <v>112</v>
      </c>
      <c r="U1466" s="1">
        <v>46074.320497685185</v>
      </c>
      <c r="V1466" t="s">
        <v>54</v>
      </c>
      <c r="W1466" t="s">
        <v>55</v>
      </c>
      <c r="X1466" t="s">
        <v>134</v>
      </c>
      <c r="Y1466" t="s">
        <v>6338</v>
      </c>
      <c r="Z1466" t="s">
        <v>5594</v>
      </c>
      <c r="AA1466" t="s">
        <v>54</v>
      </c>
      <c r="AB1466" t="s">
        <v>1701</v>
      </c>
      <c r="AC1466" t="s">
        <v>85</v>
      </c>
      <c r="AD1466" t="s">
        <v>116</v>
      </c>
      <c r="AE1466" t="s">
        <v>117</v>
      </c>
      <c r="AF1466" t="s">
        <v>161</v>
      </c>
      <c r="AG1466" t="s">
        <v>5594</v>
      </c>
      <c r="AK1466">
        <v>1</v>
      </c>
      <c r="AL1466" t="s">
        <v>61</v>
      </c>
      <c r="AM1466" t="s">
        <v>1701</v>
      </c>
      <c r="AN1466" t="s">
        <v>1702</v>
      </c>
    </row>
    <row r="1467" spans="1:40" x14ac:dyDescent="0.35">
      <c r="A1467" t="s">
        <v>37</v>
      </c>
      <c r="B1467" t="s">
        <v>6339</v>
      </c>
      <c r="C1467" t="s">
        <v>102</v>
      </c>
      <c r="D1467" t="s">
        <v>1698</v>
      </c>
      <c r="E1467" t="s">
        <v>584</v>
      </c>
      <c r="F1467" s="1">
        <v>46074.313263888886</v>
      </c>
      <c r="G1467" t="s">
        <v>105</v>
      </c>
      <c r="H1467" t="s">
        <v>106</v>
      </c>
      <c r="I1467" t="s">
        <v>6337</v>
      </c>
      <c r="J1467" t="s">
        <v>108</v>
      </c>
      <c r="K1467" t="s">
        <v>109</v>
      </c>
      <c r="M1467" t="s">
        <v>47</v>
      </c>
      <c r="O1467" t="s">
        <v>77</v>
      </c>
      <c r="P1467" t="s">
        <v>78</v>
      </c>
      <c r="Q1467" t="s">
        <v>50</v>
      </c>
      <c r="R1467" t="s">
        <v>111</v>
      </c>
      <c r="S1467" t="s">
        <v>51</v>
      </c>
      <c r="T1467" t="s">
        <v>112</v>
      </c>
      <c r="U1467" s="1">
        <v>46074.319988425923</v>
      </c>
      <c r="V1467" t="s">
        <v>54</v>
      </c>
      <c r="W1467" t="s">
        <v>55</v>
      </c>
      <c r="X1467" t="s">
        <v>134</v>
      </c>
      <c r="Y1467" t="s">
        <v>6340</v>
      </c>
      <c r="Z1467" t="s">
        <v>5594</v>
      </c>
      <c r="AA1467" t="s">
        <v>54</v>
      </c>
      <c r="AB1467" t="s">
        <v>1701</v>
      </c>
      <c r="AC1467" t="s">
        <v>85</v>
      </c>
      <c r="AD1467" t="s">
        <v>116</v>
      </c>
      <c r="AE1467" t="s">
        <v>117</v>
      </c>
      <c r="AF1467" t="s">
        <v>161</v>
      </c>
      <c r="AG1467" t="s">
        <v>5594</v>
      </c>
      <c r="AK1467">
        <v>1</v>
      </c>
      <c r="AL1467" t="s">
        <v>61</v>
      </c>
      <c r="AM1467" t="s">
        <v>1701</v>
      </c>
      <c r="AN1467" t="s">
        <v>1702</v>
      </c>
    </row>
    <row r="1468" spans="1:40" x14ac:dyDescent="0.35">
      <c r="A1468" t="s">
        <v>37</v>
      </c>
      <c r="B1468" t="s">
        <v>6341</v>
      </c>
      <c r="C1468" t="s">
        <v>102</v>
      </c>
      <c r="D1468" t="s">
        <v>1698</v>
      </c>
      <c r="E1468" t="s">
        <v>584</v>
      </c>
      <c r="F1468" s="1">
        <v>46074.30972222222</v>
      </c>
      <c r="G1468" t="s">
        <v>105</v>
      </c>
      <c r="H1468" t="s">
        <v>106</v>
      </c>
      <c r="I1468" t="s">
        <v>3517</v>
      </c>
      <c r="J1468" t="s">
        <v>108</v>
      </c>
      <c r="K1468" t="s">
        <v>571</v>
      </c>
      <c r="M1468" t="s">
        <v>47</v>
      </c>
      <c r="O1468" t="s">
        <v>77</v>
      </c>
      <c r="P1468" t="s">
        <v>78</v>
      </c>
      <c r="Q1468" t="s">
        <v>50</v>
      </c>
      <c r="R1468" t="s">
        <v>111</v>
      </c>
      <c r="S1468" t="s">
        <v>51</v>
      </c>
      <c r="T1468" t="s">
        <v>112</v>
      </c>
      <c r="U1468" s="1">
        <v>46074.317407407405</v>
      </c>
      <c r="V1468" t="s">
        <v>54</v>
      </c>
      <c r="W1468" t="s">
        <v>55</v>
      </c>
      <c r="X1468" t="s">
        <v>134</v>
      </c>
      <c r="Y1468" t="s">
        <v>1680</v>
      </c>
      <c r="Z1468" t="s">
        <v>5594</v>
      </c>
      <c r="AA1468" t="s">
        <v>54</v>
      </c>
      <c r="AB1468" t="s">
        <v>1701</v>
      </c>
      <c r="AC1468" t="s">
        <v>85</v>
      </c>
      <c r="AD1468" t="s">
        <v>116</v>
      </c>
      <c r="AE1468" t="s">
        <v>574</v>
      </c>
      <c r="AF1468" t="s">
        <v>144</v>
      </c>
      <c r="AG1468" t="s">
        <v>5594</v>
      </c>
      <c r="AK1468">
        <v>1</v>
      </c>
      <c r="AL1468" t="s">
        <v>61</v>
      </c>
      <c r="AM1468" t="s">
        <v>1701</v>
      </c>
      <c r="AN1468" t="s">
        <v>1702</v>
      </c>
    </row>
    <row r="1469" spans="1:40" x14ac:dyDescent="0.35">
      <c r="A1469" t="s">
        <v>37</v>
      </c>
      <c r="B1469" t="s">
        <v>6342</v>
      </c>
      <c r="C1469" t="s">
        <v>102</v>
      </c>
      <c r="D1469" t="s">
        <v>1698</v>
      </c>
      <c r="E1469" t="s">
        <v>584</v>
      </c>
      <c r="F1469" s="1">
        <v>46074.302025462966</v>
      </c>
      <c r="G1469" t="s">
        <v>105</v>
      </c>
      <c r="H1469" t="s">
        <v>106</v>
      </c>
      <c r="I1469" t="s">
        <v>5840</v>
      </c>
      <c r="J1469" t="s">
        <v>108</v>
      </c>
      <c r="K1469" t="s">
        <v>109</v>
      </c>
      <c r="M1469" t="s">
        <v>47</v>
      </c>
      <c r="O1469" t="s">
        <v>77</v>
      </c>
      <c r="P1469" t="s">
        <v>78</v>
      </c>
      <c r="Q1469" t="s">
        <v>50</v>
      </c>
      <c r="R1469" t="s">
        <v>111</v>
      </c>
      <c r="S1469" t="s">
        <v>51</v>
      </c>
      <c r="T1469" t="s">
        <v>112</v>
      </c>
      <c r="U1469" s="1">
        <v>46074.608634259261</v>
      </c>
      <c r="V1469" t="s">
        <v>54</v>
      </c>
      <c r="W1469" t="s">
        <v>55</v>
      </c>
      <c r="X1469" t="s">
        <v>134</v>
      </c>
      <c r="Y1469" t="s">
        <v>6343</v>
      </c>
      <c r="Z1469" t="s">
        <v>5594</v>
      </c>
      <c r="AA1469" t="s">
        <v>54</v>
      </c>
      <c r="AB1469" t="s">
        <v>1701</v>
      </c>
      <c r="AC1469" t="s">
        <v>85</v>
      </c>
      <c r="AD1469" t="s">
        <v>116</v>
      </c>
      <c r="AE1469" t="s">
        <v>117</v>
      </c>
      <c r="AF1469" t="s">
        <v>1706</v>
      </c>
      <c r="AG1469" t="s">
        <v>5594</v>
      </c>
      <c r="AK1469">
        <v>1</v>
      </c>
      <c r="AL1469" t="s">
        <v>61</v>
      </c>
      <c r="AM1469" t="s">
        <v>1701</v>
      </c>
      <c r="AN1469" t="s">
        <v>1702</v>
      </c>
    </row>
    <row r="1470" spans="1:40" x14ac:dyDescent="0.35">
      <c r="A1470" t="s">
        <v>37</v>
      </c>
      <c r="B1470" t="s">
        <v>6344</v>
      </c>
      <c r="C1470" t="s">
        <v>39</v>
      </c>
      <c r="D1470" t="s">
        <v>6345</v>
      </c>
      <c r="E1470" t="s">
        <v>6346</v>
      </c>
      <c r="F1470" s="1">
        <v>46074.285243055558</v>
      </c>
      <c r="G1470" t="s">
        <v>250</v>
      </c>
      <c r="H1470" t="s">
        <v>106</v>
      </c>
      <c r="I1470" t="s">
        <v>1408</v>
      </c>
      <c r="J1470" t="s">
        <v>707</v>
      </c>
      <c r="K1470" t="s">
        <v>75</v>
      </c>
      <c r="M1470" t="s">
        <v>47</v>
      </c>
      <c r="O1470" t="s">
        <v>77</v>
      </c>
      <c r="P1470" t="s">
        <v>78</v>
      </c>
      <c r="Q1470" t="s">
        <v>50</v>
      </c>
      <c r="R1470" t="s">
        <v>79</v>
      </c>
      <c r="S1470" t="s">
        <v>1078</v>
      </c>
      <c r="T1470" t="s">
        <v>1078</v>
      </c>
      <c r="U1470" s="1">
        <v>46074.285324074073</v>
      </c>
      <c r="V1470" t="s">
        <v>54</v>
      </c>
      <c r="W1470" t="s">
        <v>55</v>
      </c>
      <c r="X1470" t="s">
        <v>82</v>
      </c>
      <c r="Y1470" t="s">
        <v>1409</v>
      </c>
      <c r="Z1470" t="s">
        <v>5594</v>
      </c>
      <c r="AA1470" t="s">
        <v>54</v>
      </c>
      <c r="AB1470" t="s">
        <v>709</v>
      </c>
      <c r="AC1470" t="s">
        <v>85</v>
      </c>
      <c r="AD1470" t="s">
        <v>79</v>
      </c>
      <c r="AE1470" t="s">
        <v>1078</v>
      </c>
      <c r="AF1470" t="s">
        <v>1078</v>
      </c>
      <c r="AG1470" t="s">
        <v>5594</v>
      </c>
      <c r="AH1470">
        <v>3607</v>
      </c>
      <c r="AK1470">
        <v>0</v>
      </c>
      <c r="AL1470" t="s">
        <v>61</v>
      </c>
      <c r="AM1470" t="s">
        <v>6347</v>
      </c>
      <c r="AN1470" t="s">
        <v>6348</v>
      </c>
    </row>
    <row r="1471" spans="1:40" x14ac:dyDescent="0.35">
      <c r="A1471" t="s">
        <v>37</v>
      </c>
      <c r="B1471" t="s">
        <v>6349</v>
      </c>
      <c r="C1471" t="s">
        <v>39</v>
      </c>
      <c r="D1471" t="s">
        <v>6345</v>
      </c>
      <c r="E1471" t="s">
        <v>6346</v>
      </c>
      <c r="F1471" s="1">
        <v>46074.285011574073</v>
      </c>
      <c r="G1471" t="s">
        <v>250</v>
      </c>
      <c r="H1471" t="s">
        <v>106</v>
      </c>
      <c r="I1471" t="s">
        <v>1408</v>
      </c>
      <c r="J1471" t="s">
        <v>707</v>
      </c>
      <c r="K1471" t="s">
        <v>75</v>
      </c>
      <c r="M1471" t="s">
        <v>47</v>
      </c>
      <c r="O1471" t="s">
        <v>77</v>
      </c>
      <c r="P1471" t="s">
        <v>78</v>
      </c>
      <c r="Q1471" t="s">
        <v>50</v>
      </c>
      <c r="R1471" t="s">
        <v>79</v>
      </c>
      <c r="S1471" t="s">
        <v>1078</v>
      </c>
      <c r="T1471" t="s">
        <v>1078</v>
      </c>
      <c r="U1471" s="1">
        <v>46074.285115740742</v>
      </c>
      <c r="V1471" t="s">
        <v>54</v>
      </c>
      <c r="W1471" t="s">
        <v>55</v>
      </c>
      <c r="X1471" t="s">
        <v>82</v>
      </c>
      <c r="Y1471" t="s">
        <v>1409</v>
      </c>
      <c r="Z1471" t="s">
        <v>5594</v>
      </c>
      <c r="AA1471" t="s">
        <v>54</v>
      </c>
      <c r="AB1471" t="s">
        <v>709</v>
      </c>
      <c r="AC1471" t="s">
        <v>85</v>
      </c>
      <c r="AD1471" t="s">
        <v>79</v>
      </c>
      <c r="AE1471" t="s">
        <v>1078</v>
      </c>
      <c r="AF1471" t="s">
        <v>1078</v>
      </c>
      <c r="AG1471" t="s">
        <v>5594</v>
      </c>
      <c r="AH1471">
        <v>3607</v>
      </c>
      <c r="AK1471">
        <v>0</v>
      </c>
      <c r="AL1471" t="s">
        <v>61</v>
      </c>
      <c r="AM1471" t="s">
        <v>6347</v>
      </c>
      <c r="AN1471" t="s">
        <v>6348</v>
      </c>
    </row>
    <row r="1472" spans="1:40" x14ac:dyDescent="0.35">
      <c r="A1472" t="s">
        <v>37</v>
      </c>
      <c r="B1472" t="s">
        <v>6350</v>
      </c>
      <c r="C1472" t="s">
        <v>102</v>
      </c>
      <c r="D1472" t="s">
        <v>1537</v>
      </c>
      <c r="E1472" t="s">
        <v>1538</v>
      </c>
      <c r="F1472" s="1">
        <v>46074.282523148147</v>
      </c>
      <c r="G1472" t="s">
        <v>105</v>
      </c>
      <c r="H1472" t="s">
        <v>106</v>
      </c>
      <c r="I1472" t="s">
        <v>3405</v>
      </c>
      <c r="J1472" t="s">
        <v>108</v>
      </c>
      <c r="K1472" t="s">
        <v>109</v>
      </c>
      <c r="M1472" t="s">
        <v>47</v>
      </c>
      <c r="O1472" t="s">
        <v>77</v>
      </c>
      <c r="P1472" t="s">
        <v>78</v>
      </c>
      <c r="Q1472" t="s">
        <v>50</v>
      </c>
      <c r="R1472" t="s">
        <v>111</v>
      </c>
      <c r="S1472" t="s">
        <v>51</v>
      </c>
      <c r="T1472" t="s">
        <v>112</v>
      </c>
      <c r="U1472" s="1">
        <v>46074.324629629627</v>
      </c>
      <c r="V1472" t="s">
        <v>54</v>
      </c>
      <c r="W1472" t="s">
        <v>55</v>
      </c>
      <c r="X1472" t="s">
        <v>113</v>
      </c>
      <c r="Y1472" t="s">
        <v>6351</v>
      </c>
      <c r="Z1472" t="s">
        <v>5594</v>
      </c>
      <c r="AA1472" t="s">
        <v>54</v>
      </c>
      <c r="AB1472" t="s">
        <v>115</v>
      </c>
      <c r="AC1472" t="s">
        <v>85</v>
      </c>
      <c r="AD1472" t="s">
        <v>116</v>
      </c>
      <c r="AE1472" t="s">
        <v>117</v>
      </c>
      <c r="AF1472" t="s">
        <v>6352</v>
      </c>
      <c r="AG1472" t="s">
        <v>5594</v>
      </c>
      <c r="AH1472">
        <v>14840</v>
      </c>
      <c r="AK1472">
        <v>1</v>
      </c>
      <c r="AL1472" t="s">
        <v>61</v>
      </c>
      <c r="AM1472" t="s">
        <v>1542</v>
      </c>
      <c r="AN1472" t="s">
        <v>1543</v>
      </c>
    </row>
    <row r="1473" spans="1:40" x14ac:dyDescent="0.35">
      <c r="A1473" t="s">
        <v>37</v>
      </c>
      <c r="B1473" t="s">
        <v>6353</v>
      </c>
      <c r="C1473" t="s">
        <v>39</v>
      </c>
      <c r="D1473" t="s">
        <v>127</v>
      </c>
      <c r="E1473" t="s">
        <v>5422</v>
      </c>
      <c r="F1473" s="1">
        <v>46074.280439814815</v>
      </c>
      <c r="G1473" t="s">
        <v>250</v>
      </c>
      <c r="H1473" t="s">
        <v>106</v>
      </c>
      <c r="I1473" t="s">
        <v>1354</v>
      </c>
      <c r="J1473" t="s">
        <v>707</v>
      </c>
      <c r="K1473" t="s">
        <v>75</v>
      </c>
      <c r="M1473" t="s">
        <v>47</v>
      </c>
      <c r="O1473" t="s">
        <v>77</v>
      </c>
      <c r="P1473" t="s">
        <v>78</v>
      </c>
      <c r="Q1473" t="s">
        <v>50</v>
      </c>
      <c r="R1473" t="s">
        <v>79</v>
      </c>
      <c r="S1473" t="s">
        <v>80</v>
      </c>
      <c r="T1473" t="s">
        <v>1355</v>
      </c>
      <c r="U1473" s="1">
        <v>46074.280555555553</v>
      </c>
      <c r="V1473" t="s">
        <v>54</v>
      </c>
      <c r="W1473" t="s">
        <v>55</v>
      </c>
      <c r="X1473" t="s">
        <v>82</v>
      </c>
      <c r="Y1473" t="s">
        <v>6354</v>
      </c>
      <c r="Z1473" t="s">
        <v>5594</v>
      </c>
      <c r="AA1473" t="s">
        <v>54</v>
      </c>
      <c r="AB1473" t="s">
        <v>709</v>
      </c>
      <c r="AC1473" t="s">
        <v>85</v>
      </c>
      <c r="AD1473" t="s">
        <v>79</v>
      </c>
      <c r="AE1473" t="s">
        <v>80</v>
      </c>
      <c r="AF1473" t="s">
        <v>81</v>
      </c>
      <c r="AG1473" t="s">
        <v>5594</v>
      </c>
      <c r="AH1473" t="s">
        <v>6355</v>
      </c>
      <c r="AK1473">
        <v>0</v>
      </c>
      <c r="AL1473" t="s">
        <v>61</v>
      </c>
      <c r="AM1473" t="s">
        <v>6356</v>
      </c>
      <c r="AN1473" t="s">
        <v>6357</v>
      </c>
    </row>
    <row r="1474" spans="1:40" x14ac:dyDescent="0.35">
      <c r="A1474" t="s">
        <v>37</v>
      </c>
      <c r="B1474" t="s">
        <v>6358</v>
      </c>
      <c r="C1474" t="s">
        <v>39</v>
      </c>
      <c r="D1474" t="s">
        <v>40</v>
      </c>
      <c r="E1474" t="s">
        <v>41</v>
      </c>
      <c r="F1474" s="1">
        <v>46074.265393518515</v>
      </c>
      <c r="G1474" t="s">
        <v>42</v>
      </c>
      <c r="H1474" t="s">
        <v>43</v>
      </c>
      <c r="I1474" t="s">
        <v>6359</v>
      </c>
      <c r="J1474" t="s">
        <v>45</v>
      </c>
      <c r="K1474" t="s">
        <v>46</v>
      </c>
      <c r="M1474" t="s">
        <v>47</v>
      </c>
      <c r="O1474" t="s">
        <v>48</v>
      </c>
      <c r="P1474" t="s">
        <v>49</v>
      </c>
      <c r="Q1474" t="s">
        <v>50</v>
      </c>
      <c r="R1474" t="s">
        <v>51</v>
      </c>
      <c r="S1474" t="s">
        <v>52</v>
      </c>
      <c r="T1474" t="s">
        <v>53</v>
      </c>
      <c r="U1474" s="1">
        <v>46074.266087962962</v>
      </c>
      <c r="V1474" t="s">
        <v>54</v>
      </c>
      <c r="W1474" t="s">
        <v>55</v>
      </c>
      <c r="X1474" t="s">
        <v>56</v>
      </c>
      <c r="Y1474" t="s">
        <v>57</v>
      </c>
      <c r="Z1474" t="s">
        <v>5594</v>
      </c>
      <c r="AA1474" t="s">
        <v>54</v>
      </c>
      <c r="AB1474" t="s">
        <v>59</v>
      </c>
      <c r="AC1474" t="s">
        <v>60</v>
      </c>
      <c r="AD1474" t="s">
        <v>51</v>
      </c>
      <c r="AE1474" t="s">
        <v>52</v>
      </c>
      <c r="AF1474" t="s">
        <v>53</v>
      </c>
      <c r="AG1474" t="s">
        <v>5594</v>
      </c>
      <c r="AK1474">
        <v>0</v>
      </c>
      <c r="AL1474" t="s">
        <v>61</v>
      </c>
      <c r="AM1474" t="s">
        <v>59</v>
      </c>
      <c r="AN1474" t="s">
        <v>62</v>
      </c>
    </row>
    <row r="1475" spans="1:40" x14ac:dyDescent="0.35">
      <c r="A1475" t="s">
        <v>37</v>
      </c>
      <c r="B1475" t="s">
        <v>6360</v>
      </c>
      <c r="C1475" t="s">
        <v>102</v>
      </c>
      <c r="D1475" t="s">
        <v>1698</v>
      </c>
      <c r="E1475" t="s">
        <v>584</v>
      </c>
      <c r="F1475" s="1">
        <v>46074.261134259257</v>
      </c>
      <c r="G1475" t="s">
        <v>105</v>
      </c>
      <c r="H1475" t="s">
        <v>106</v>
      </c>
      <c r="I1475" t="s">
        <v>6361</v>
      </c>
      <c r="J1475" t="s">
        <v>108</v>
      </c>
      <c r="K1475" t="s">
        <v>109</v>
      </c>
      <c r="M1475" t="s">
        <v>47</v>
      </c>
      <c r="O1475" t="s">
        <v>77</v>
      </c>
      <c r="P1475" t="s">
        <v>78</v>
      </c>
      <c r="Q1475" t="s">
        <v>50</v>
      </c>
      <c r="R1475" t="s">
        <v>111</v>
      </c>
      <c r="S1475" t="s">
        <v>51</v>
      </c>
      <c r="T1475" t="s">
        <v>112</v>
      </c>
      <c r="U1475" s="1">
        <v>46074.609699074077</v>
      </c>
      <c r="V1475" t="s">
        <v>54</v>
      </c>
      <c r="W1475" t="s">
        <v>55</v>
      </c>
      <c r="X1475" t="s">
        <v>134</v>
      </c>
      <c r="Y1475" t="s">
        <v>6362</v>
      </c>
      <c r="Z1475" t="s">
        <v>5594</v>
      </c>
      <c r="AA1475" t="s">
        <v>54</v>
      </c>
      <c r="AB1475" t="s">
        <v>1701</v>
      </c>
      <c r="AC1475" t="s">
        <v>85</v>
      </c>
      <c r="AD1475" t="s">
        <v>116</v>
      </c>
      <c r="AE1475" t="s">
        <v>117</v>
      </c>
      <c r="AF1475" t="s">
        <v>1724</v>
      </c>
      <c r="AG1475" t="s">
        <v>5594</v>
      </c>
      <c r="AK1475">
        <v>1</v>
      </c>
      <c r="AL1475" t="s">
        <v>61</v>
      </c>
      <c r="AM1475" t="s">
        <v>1701</v>
      </c>
      <c r="AN1475" t="s">
        <v>1702</v>
      </c>
    </row>
    <row r="1476" spans="1:40" x14ac:dyDescent="0.35">
      <c r="A1476" t="s">
        <v>37</v>
      </c>
      <c r="B1476" t="s">
        <v>6363</v>
      </c>
      <c r="C1476" t="s">
        <v>39</v>
      </c>
      <c r="D1476" t="s">
        <v>1524</v>
      </c>
      <c r="E1476" t="s">
        <v>1525</v>
      </c>
      <c r="F1476" s="1">
        <v>46074.26116898148</v>
      </c>
      <c r="G1476" t="s">
        <v>250</v>
      </c>
      <c r="H1476" t="s">
        <v>106</v>
      </c>
      <c r="I1476" t="s">
        <v>171</v>
      </c>
      <c r="J1476" t="s">
        <v>707</v>
      </c>
      <c r="K1476" t="s">
        <v>75</v>
      </c>
      <c r="M1476" t="s">
        <v>47</v>
      </c>
      <c r="O1476" t="s">
        <v>77</v>
      </c>
      <c r="P1476" t="s">
        <v>78</v>
      </c>
      <c r="Q1476" t="s">
        <v>50</v>
      </c>
      <c r="R1476" t="s">
        <v>79</v>
      </c>
      <c r="S1476" t="s">
        <v>172</v>
      </c>
      <c r="T1476" t="s">
        <v>173</v>
      </c>
      <c r="U1476" s="1">
        <v>46074.261273148149</v>
      </c>
      <c r="V1476" t="s">
        <v>54</v>
      </c>
      <c r="W1476" t="s">
        <v>55</v>
      </c>
      <c r="X1476" t="s">
        <v>82</v>
      </c>
      <c r="Y1476" t="s">
        <v>6364</v>
      </c>
      <c r="Z1476" t="s">
        <v>5594</v>
      </c>
      <c r="AA1476" t="s">
        <v>54</v>
      </c>
      <c r="AB1476" t="s">
        <v>709</v>
      </c>
      <c r="AC1476" t="s">
        <v>85</v>
      </c>
      <c r="AD1476" t="s">
        <v>79</v>
      </c>
      <c r="AE1476" t="s">
        <v>172</v>
      </c>
      <c r="AF1476" t="s">
        <v>173</v>
      </c>
      <c r="AG1476" t="s">
        <v>5594</v>
      </c>
      <c r="AH1476" t="s">
        <v>1527</v>
      </c>
      <c r="AK1476">
        <v>0</v>
      </c>
      <c r="AL1476" t="s">
        <v>61</v>
      </c>
      <c r="AM1476" t="s">
        <v>1528</v>
      </c>
      <c r="AN1476" t="s">
        <v>1529</v>
      </c>
    </row>
    <row r="1477" spans="1:40" x14ac:dyDescent="0.35">
      <c r="A1477" t="s">
        <v>37</v>
      </c>
      <c r="B1477" t="s">
        <v>6365</v>
      </c>
      <c r="C1477" t="s">
        <v>102</v>
      </c>
      <c r="D1477" t="s">
        <v>1698</v>
      </c>
      <c r="E1477" t="s">
        <v>584</v>
      </c>
      <c r="F1477" s="1">
        <v>46074.230185185188</v>
      </c>
      <c r="G1477" t="s">
        <v>105</v>
      </c>
      <c r="H1477" t="s">
        <v>106</v>
      </c>
      <c r="I1477" t="s">
        <v>1841</v>
      </c>
      <c r="J1477" t="s">
        <v>108</v>
      </c>
      <c r="K1477" t="s">
        <v>109</v>
      </c>
      <c r="M1477" t="s">
        <v>47</v>
      </c>
      <c r="O1477" t="s">
        <v>77</v>
      </c>
      <c r="P1477" t="s">
        <v>78</v>
      </c>
      <c r="Q1477" t="s">
        <v>50</v>
      </c>
      <c r="R1477" t="s">
        <v>111</v>
      </c>
      <c r="S1477" t="s">
        <v>51</v>
      </c>
      <c r="T1477" t="s">
        <v>112</v>
      </c>
      <c r="U1477" s="1">
        <v>46074.610254629632</v>
      </c>
      <c r="V1477" t="s">
        <v>54</v>
      </c>
      <c r="W1477" t="s">
        <v>55</v>
      </c>
      <c r="X1477" t="s">
        <v>134</v>
      </c>
      <c r="Y1477" t="s">
        <v>6366</v>
      </c>
      <c r="Z1477" t="s">
        <v>5594</v>
      </c>
      <c r="AA1477" t="s">
        <v>54</v>
      </c>
      <c r="AB1477" t="s">
        <v>1701</v>
      </c>
      <c r="AC1477" t="s">
        <v>85</v>
      </c>
      <c r="AD1477" t="s">
        <v>116</v>
      </c>
      <c r="AE1477" t="s">
        <v>117</v>
      </c>
      <c r="AF1477" t="s">
        <v>1706</v>
      </c>
      <c r="AG1477" t="s">
        <v>5594</v>
      </c>
      <c r="AK1477">
        <v>1</v>
      </c>
      <c r="AL1477" t="s">
        <v>61</v>
      </c>
      <c r="AM1477" t="s">
        <v>1701</v>
      </c>
      <c r="AN1477" t="s">
        <v>1702</v>
      </c>
    </row>
    <row r="1478" spans="1:40" x14ac:dyDescent="0.35">
      <c r="A1478" t="s">
        <v>37</v>
      </c>
      <c r="B1478" t="s">
        <v>6367</v>
      </c>
      <c r="C1478" t="s">
        <v>102</v>
      </c>
      <c r="D1478" t="s">
        <v>1698</v>
      </c>
      <c r="E1478" t="s">
        <v>584</v>
      </c>
      <c r="F1478" s="1">
        <v>46074.230185185188</v>
      </c>
      <c r="G1478" t="s">
        <v>105</v>
      </c>
      <c r="H1478" t="s">
        <v>106</v>
      </c>
      <c r="I1478" t="s">
        <v>1708</v>
      </c>
      <c r="J1478" t="s">
        <v>108</v>
      </c>
      <c r="K1478" t="s">
        <v>109</v>
      </c>
      <c r="M1478" t="s">
        <v>47</v>
      </c>
      <c r="O1478" t="s">
        <v>77</v>
      </c>
      <c r="P1478" t="s">
        <v>78</v>
      </c>
      <c r="Q1478" t="s">
        <v>50</v>
      </c>
      <c r="R1478" t="s">
        <v>111</v>
      </c>
      <c r="S1478" t="s">
        <v>51</v>
      </c>
      <c r="T1478" t="s">
        <v>112</v>
      </c>
      <c r="U1478" s="1">
        <v>46074.319421296299</v>
      </c>
      <c r="V1478" t="s">
        <v>54</v>
      </c>
      <c r="W1478" t="s">
        <v>55</v>
      </c>
      <c r="X1478" t="s">
        <v>134</v>
      </c>
      <c r="Y1478" t="s">
        <v>6368</v>
      </c>
      <c r="Z1478" t="s">
        <v>5594</v>
      </c>
      <c r="AA1478" t="s">
        <v>54</v>
      </c>
      <c r="AB1478" t="s">
        <v>1701</v>
      </c>
      <c r="AC1478" t="s">
        <v>85</v>
      </c>
      <c r="AD1478" t="s">
        <v>116</v>
      </c>
      <c r="AE1478" t="s">
        <v>117</v>
      </c>
      <c r="AF1478" t="s">
        <v>118</v>
      </c>
      <c r="AG1478" t="s">
        <v>5594</v>
      </c>
      <c r="AK1478">
        <v>1</v>
      </c>
      <c r="AL1478" t="s">
        <v>61</v>
      </c>
      <c r="AM1478" t="s">
        <v>1701</v>
      </c>
      <c r="AN1478" t="s">
        <v>1702</v>
      </c>
    </row>
    <row r="1479" spans="1:40" x14ac:dyDescent="0.35">
      <c r="A1479" t="s">
        <v>37</v>
      </c>
      <c r="B1479" t="s">
        <v>6369</v>
      </c>
      <c r="C1479" t="s">
        <v>102</v>
      </c>
      <c r="D1479" t="s">
        <v>1698</v>
      </c>
      <c r="E1479" t="s">
        <v>584</v>
      </c>
      <c r="F1479" s="1">
        <v>46074.229444444441</v>
      </c>
      <c r="G1479" t="s">
        <v>105</v>
      </c>
      <c r="H1479" t="s">
        <v>106</v>
      </c>
      <c r="I1479" t="s">
        <v>6370</v>
      </c>
      <c r="J1479" t="s">
        <v>108</v>
      </c>
      <c r="K1479" t="s">
        <v>109</v>
      </c>
      <c r="M1479" t="s">
        <v>47</v>
      </c>
      <c r="O1479" t="s">
        <v>77</v>
      </c>
      <c r="P1479" t="s">
        <v>78</v>
      </c>
      <c r="Q1479" t="s">
        <v>50</v>
      </c>
      <c r="R1479" t="s">
        <v>111</v>
      </c>
      <c r="S1479" t="s">
        <v>51</v>
      </c>
      <c r="T1479" t="s">
        <v>112</v>
      </c>
      <c r="U1479" s="1">
        <v>46074.31832175926</v>
      </c>
      <c r="V1479" t="s">
        <v>54</v>
      </c>
      <c r="W1479" t="s">
        <v>55</v>
      </c>
      <c r="X1479" t="s">
        <v>134</v>
      </c>
      <c r="Y1479" t="s">
        <v>6371</v>
      </c>
      <c r="Z1479" t="s">
        <v>5594</v>
      </c>
      <c r="AA1479" t="s">
        <v>54</v>
      </c>
      <c r="AB1479" t="s">
        <v>1701</v>
      </c>
      <c r="AC1479" t="s">
        <v>85</v>
      </c>
      <c r="AD1479" t="s">
        <v>116</v>
      </c>
      <c r="AE1479" t="s">
        <v>117</v>
      </c>
      <c r="AF1479" t="s">
        <v>118</v>
      </c>
      <c r="AG1479" t="s">
        <v>5594</v>
      </c>
      <c r="AK1479">
        <v>1</v>
      </c>
      <c r="AL1479" t="s">
        <v>61</v>
      </c>
      <c r="AM1479" t="s">
        <v>1701</v>
      </c>
      <c r="AN1479" t="s">
        <v>1702</v>
      </c>
    </row>
    <row r="1480" spans="1:40" x14ac:dyDescent="0.35">
      <c r="A1480" t="s">
        <v>37</v>
      </c>
      <c r="B1480" t="s">
        <v>6372</v>
      </c>
      <c r="C1480" t="s">
        <v>39</v>
      </c>
      <c r="D1480" t="s">
        <v>3318</v>
      </c>
      <c r="E1480" t="s">
        <v>3319</v>
      </c>
      <c r="F1480" s="1">
        <v>46074.224548611113</v>
      </c>
      <c r="G1480" t="s">
        <v>515</v>
      </c>
      <c r="H1480" t="s">
        <v>92</v>
      </c>
      <c r="I1480" t="s">
        <v>6373</v>
      </c>
      <c r="J1480" t="s">
        <v>3257</v>
      </c>
      <c r="K1480" t="s">
        <v>1834</v>
      </c>
      <c r="M1480" t="s">
        <v>76</v>
      </c>
      <c r="O1480" t="s">
        <v>77</v>
      </c>
      <c r="P1480" t="s">
        <v>78</v>
      </c>
      <c r="Q1480" t="s">
        <v>1174</v>
      </c>
      <c r="R1480" t="s">
        <v>51</v>
      </c>
      <c r="S1480" t="s">
        <v>52</v>
      </c>
      <c r="T1480" t="s">
        <v>240</v>
      </c>
      <c r="U1480" s="1">
        <v>46076.316458333335</v>
      </c>
      <c r="V1480" t="s">
        <v>54</v>
      </c>
      <c r="W1480" t="s">
        <v>55</v>
      </c>
      <c r="X1480" t="s">
        <v>134</v>
      </c>
      <c r="Y1480" t="s">
        <v>3258</v>
      </c>
      <c r="Z1480" t="s">
        <v>58</v>
      </c>
      <c r="AA1480" t="s">
        <v>54</v>
      </c>
      <c r="AB1480" t="s">
        <v>3259</v>
      </c>
      <c r="AC1480" t="s">
        <v>85</v>
      </c>
      <c r="AD1480" t="s">
        <v>52</v>
      </c>
      <c r="AE1480" t="s">
        <v>243</v>
      </c>
      <c r="AF1480" t="s">
        <v>1470</v>
      </c>
      <c r="AG1480" t="s">
        <v>58</v>
      </c>
      <c r="AH1480" t="s">
        <v>3321</v>
      </c>
      <c r="AK1480">
        <v>0</v>
      </c>
      <c r="AL1480" t="s">
        <v>61</v>
      </c>
      <c r="AM1480" t="s">
        <v>3259</v>
      </c>
      <c r="AN1480" t="s">
        <v>3322</v>
      </c>
    </row>
    <row r="1481" spans="1:40" x14ac:dyDescent="0.35">
      <c r="A1481" t="s">
        <v>37</v>
      </c>
      <c r="B1481" t="s">
        <v>6374</v>
      </c>
      <c r="C1481" t="s">
        <v>39</v>
      </c>
      <c r="D1481" t="s">
        <v>3318</v>
      </c>
      <c r="E1481" t="s">
        <v>3319</v>
      </c>
      <c r="F1481" s="1">
        <v>46074.22378472222</v>
      </c>
      <c r="G1481" t="s">
        <v>515</v>
      </c>
      <c r="H1481" t="s">
        <v>92</v>
      </c>
      <c r="I1481" t="s">
        <v>6375</v>
      </c>
      <c r="J1481" t="s">
        <v>3257</v>
      </c>
      <c r="K1481" t="s">
        <v>1834</v>
      </c>
      <c r="M1481" t="s">
        <v>76</v>
      </c>
      <c r="O1481" t="s">
        <v>77</v>
      </c>
      <c r="P1481" t="s">
        <v>78</v>
      </c>
      <c r="Q1481" t="s">
        <v>1174</v>
      </c>
      <c r="R1481" t="s">
        <v>51</v>
      </c>
      <c r="S1481" t="s">
        <v>52</v>
      </c>
      <c r="T1481" t="s">
        <v>240</v>
      </c>
      <c r="U1481" s="1">
        <v>46076.316516203704</v>
      </c>
      <c r="V1481" t="s">
        <v>54</v>
      </c>
      <c r="W1481" t="s">
        <v>55</v>
      </c>
      <c r="X1481" t="s">
        <v>134</v>
      </c>
      <c r="Y1481" t="s">
        <v>3258</v>
      </c>
      <c r="Z1481" t="s">
        <v>58</v>
      </c>
      <c r="AA1481" t="s">
        <v>54</v>
      </c>
      <c r="AB1481" t="s">
        <v>3259</v>
      </c>
      <c r="AC1481" t="s">
        <v>85</v>
      </c>
      <c r="AD1481" t="s">
        <v>52</v>
      </c>
      <c r="AE1481" t="s">
        <v>243</v>
      </c>
      <c r="AF1481" t="s">
        <v>1470</v>
      </c>
      <c r="AG1481" t="s">
        <v>58</v>
      </c>
      <c r="AH1481" t="s">
        <v>3321</v>
      </c>
      <c r="AK1481">
        <v>0</v>
      </c>
      <c r="AL1481" t="s">
        <v>61</v>
      </c>
      <c r="AM1481" t="s">
        <v>3259</v>
      </c>
      <c r="AN1481" t="s">
        <v>3322</v>
      </c>
    </row>
    <row r="1482" spans="1:40" x14ac:dyDescent="0.35">
      <c r="A1482" t="s">
        <v>37</v>
      </c>
      <c r="B1482" t="s">
        <v>6376</v>
      </c>
      <c r="C1482" t="s">
        <v>39</v>
      </c>
      <c r="D1482" t="s">
        <v>40</v>
      </c>
      <c r="E1482" t="s">
        <v>41</v>
      </c>
      <c r="F1482" s="1">
        <v>46074.213414351849</v>
      </c>
      <c r="G1482" t="s">
        <v>42</v>
      </c>
      <c r="H1482" t="s">
        <v>43</v>
      </c>
      <c r="I1482" t="s">
        <v>6377</v>
      </c>
      <c r="J1482" t="s">
        <v>45</v>
      </c>
      <c r="K1482" t="s">
        <v>46</v>
      </c>
      <c r="M1482" t="s">
        <v>47</v>
      </c>
      <c r="O1482" t="s">
        <v>48</v>
      </c>
      <c r="P1482" t="s">
        <v>49</v>
      </c>
      <c r="Q1482" t="s">
        <v>50</v>
      </c>
      <c r="R1482" t="s">
        <v>51</v>
      </c>
      <c r="S1482" t="s">
        <v>52</v>
      </c>
      <c r="T1482" t="s">
        <v>53</v>
      </c>
      <c r="U1482" s="1">
        <v>46074.214687500003</v>
      </c>
      <c r="V1482" t="s">
        <v>54</v>
      </c>
      <c r="W1482" t="s">
        <v>55</v>
      </c>
      <c r="X1482" t="s">
        <v>56</v>
      </c>
      <c r="Y1482" t="s">
        <v>65</v>
      </c>
      <c r="Z1482" t="s">
        <v>5594</v>
      </c>
      <c r="AA1482" t="s">
        <v>54</v>
      </c>
      <c r="AB1482" t="s">
        <v>59</v>
      </c>
      <c r="AC1482" t="s">
        <v>60</v>
      </c>
      <c r="AD1482" t="s">
        <v>51</v>
      </c>
      <c r="AE1482" t="s">
        <v>52</v>
      </c>
      <c r="AF1482" t="s">
        <v>53</v>
      </c>
      <c r="AG1482" t="s">
        <v>5594</v>
      </c>
      <c r="AK1482">
        <v>0</v>
      </c>
      <c r="AL1482" t="s">
        <v>61</v>
      </c>
      <c r="AM1482" t="s">
        <v>59</v>
      </c>
      <c r="AN1482" t="s">
        <v>62</v>
      </c>
    </row>
    <row r="1483" spans="1:40" x14ac:dyDescent="0.35">
      <c r="A1483" t="s">
        <v>37</v>
      </c>
      <c r="B1483" t="s">
        <v>6378</v>
      </c>
      <c r="C1483" t="s">
        <v>656</v>
      </c>
      <c r="D1483" t="s">
        <v>1711</v>
      </c>
      <c r="E1483" t="s">
        <v>1712</v>
      </c>
      <c r="F1483" s="1">
        <v>46074.203576388885</v>
      </c>
      <c r="G1483" t="s">
        <v>1713</v>
      </c>
      <c r="H1483" t="s">
        <v>356</v>
      </c>
      <c r="I1483" t="s">
        <v>6379</v>
      </c>
      <c r="J1483" t="s">
        <v>6380</v>
      </c>
      <c r="K1483" t="s">
        <v>6381</v>
      </c>
      <c r="M1483" t="s">
        <v>47</v>
      </c>
      <c r="O1483" t="s">
        <v>237</v>
      </c>
      <c r="P1483" t="s">
        <v>238</v>
      </c>
      <c r="Q1483" t="s">
        <v>50</v>
      </c>
      <c r="R1483" t="s">
        <v>51</v>
      </c>
      <c r="S1483" t="s">
        <v>52</v>
      </c>
      <c r="T1483" t="s">
        <v>2683</v>
      </c>
      <c r="U1483" s="1">
        <v>46074.639374999999</v>
      </c>
      <c r="V1483" t="s">
        <v>54</v>
      </c>
      <c r="W1483" t="s">
        <v>55</v>
      </c>
      <c r="X1483" t="s">
        <v>134</v>
      </c>
      <c r="Y1483" t="s">
        <v>6382</v>
      </c>
      <c r="Z1483" t="s">
        <v>5594</v>
      </c>
      <c r="AA1483" t="s">
        <v>54</v>
      </c>
      <c r="AB1483" t="s">
        <v>1717</v>
      </c>
      <c r="AC1483" t="s">
        <v>242</v>
      </c>
      <c r="AD1483" t="s">
        <v>52</v>
      </c>
      <c r="AE1483" t="s">
        <v>559</v>
      </c>
      <c r="AF1483" t="s">
        <v>6383</v>
      </c>
      <c r="AG1483" t="s">
        <v>5594</v>
      </c>
      <c r="AK1483">
        <v>2</v>
      </c>
      <c r="AL1483" t="s">
        <v>61</v>
      </c>
      <c r="AM1483" t="s">
        <v>1717</v>
      </c>
      <c r="AN1483" t="s">
        <v>1720</v>
      </c>
    </row>
    <row r="1484" spans="1:40" x14ac:dyDescent="0.35">
      <c r="A1484" t="s">
        <v>37</v>
      </c>
      <c r="B1484" t="s">
        <v>6384</v>
      </c>
      <c r="C1484" t="s">
        <v>39</v>
      </c>
      <c r="D1484" t="s">
        <v>579</v>
      </c>
      <c r="E1484" t="s">
        <v>6385</v>
      </c>
      <c r="F1484" s="1">
        <v>46074.204004629632</v>
      </c>
      <c r="G1484" t="s">
        <v>826</v>
      </c>
      <c r="H1484" t="s">
        <v>356</v>
      </c>
      <c r="I1484" t="s">
        <v>6386</v>
      </c>
      <c r="J1484" t="s">
        <v>2117</v>
      </c>
      <c r="K1484" t="s">
        <v>2118</v>
      </c>
      <c r="M1484" t="s">
        <v>131</v>
      </c>
      <c r="O1484" t="s">
        <v>77</v>
      </c>
      <c r="P1484" t="s">
        <v>78</v>
      </c>
      <c r="Q1484" t="s">
        <v>3204</v>
      </c>
      <c r="R1484" t="s">
        <v>51</v>
      </c>
      <c r="S1484" t="s">
        <v>52</v>
      </c>
      <c r="T1484" t="s">
        <v>240</v>
      </c>
      <c r="U1484" s="1">
        <v>46077.350115740737</v>
      </c>
      <c r="V1484" t="s">
        <v>54</v>
      </c>
      <c r="W1484" t="s">
        <v>55</v>
      </c>
      <c r="X1484" t="s">
        <v>134</v>
      </c>
      <c r="Y1484" t="s">
        <v>4976</v>
      </c>
      <c r="Z1484" t="s">
        <v>58</v>
      </c>
      <c r="AA1484" t="s">
        <v>54</v>
      </c>
      <c r="AB1484" t="s">
        <v>709</v>
      </c>
      <c r="AC1484" t="s">
        <v>85</v>
      </c>
      <c r="AD1484" t="s">
        <v>52</v>
      </c>
      <c r="AE1484" t="s">
        <v>243</v>
      </c>
      <c r="AF1484" t="s">
        <v>1470</v>
      </c>
      <c r="AG1484" t="s">
        <v>58</v>
      </c>
      <c r="AH1484">
        <v>11457</v>
      </c>
      <c r="AK1484">
        <v>1</v>
      </c>
      <c r="AL1484" t="s">
        <v>61</v>
      </c>
      <c r="AM1484" t="s">
        <v>6387</v>
      </c>
      <c r="AN1484" t="s">
        <v>6388</v>
      </c>
    </row>
    <row r="1485" spans="1:40" x14ac:dyDescent="0.35">
      <c r="A1485" t="s">
        <v>37</v>
      </c>
      <c r="B1485" t="s">
        <v>6389</v>
      </c>
      <c r="C1485" t="s">
        <v>39</v>
      </c>
      <c r="D1485" t="s">
        <v>579</v>
      </c>
      <c r="E1485" t="s">
        <v>6385</v>
      </c>
      <c r="F1485" s="1">
        <v>46074.203518518516</v>
      </c>
      <c r="G1485" t="s">
        <v>826</v>
      </c>
      <c r="H1485" t="s">
        <v>356</v>
      </c>
      <c r="I1485" t="s">
        <v>6390</v>
      </c>
      <c r="J1485" t="s">
        <v>5248</v>
      </c>
      <c r="K1485" t="s">
        <v>1834</v>
      </c>
      <c r="M1485" t="s">
        <v>47</v>
      </c>
      <c r="O1485" t="s">
        <v>77</v>
      </c>
      <c r="P1485" t="s">
        <v>78</v>
      </c>
      <c r="Q1485" t="s">
        <v>3204</v>
      </c>
      <c r="R1485" t="s">
        <v>51</v>
      </c>
      <c r="S1485" t="s">
        <v>52</v>
      </c>
      <c r="T1485" t="s">
        <v>773</v>
      </c>
      <c r="U1485" s="1">
        <v>46076.403958333336</v>
      </c>
      <c r="V1485" t="s">
        <v>54</v>
      </c>
      <c r="W1485" t="s">
        <v>55</v>
      </c>
      <c r="X1485" t="s">
        <v>134</v>
      </c>
      <c r="Y1485" t="s">
        <v>6391</v>
      </c>
      <c r="Z1485" t="s">
        <v>58</v>
      </c>
      <c r="AA1485" t="s">
        <v>54</v>
      </c>
      <c r="AB1485" t="s">
        <v>709</v>
      </c>
      <c r="AC1485" t="s">
        <v>85</v>
      </c>
      <c r="AD1485" t="s">
        <v>52</v>
      </c>
      <c r="AE1485" t="s">
        <v>243</v>
      </c>
      <c r="AF1485" t="s">
        <v>2533</v>
      </c>
      <c r="AG1485" t="s">
        <v>58</v>
      </c>
      <c r="AH1485">
        <v>11457</v>
      </c>
      <c r="AK1485">
        <v>1</v>
      </c>
      <c r="AL1485" t="s">
        <v>61</v>
      </c>
      <c r="AM1485" t="s">
        <v>6387</v>
      </c>
      <c r="AN1485" t="s">
        <v>6388</v>
      </c>
    </row>
    <row r="1486" spans="1:40" x14ac:dyDescent="0.35">
      <c r="A1486" t="s">
        <v>37</v>
      </c>
      <c r="B1486" t="s">
        <v>6392</v>
      </c>
      <c r="C1486" t="s">
        <v>39</v>
      </c>
      <c r="D1486" t="s">
        <v>325</v>
      </c>
      <c r="E1486" t="s">
        <v>325</v>
      </c>
      <c r="F1486" s="1">
        <v>46074.194108796299</v>
      </c>
      <c r="G1486" t="s">
        <v>432</v>
      </c>
      <c r="H1486" t="s">
        <v>433</v>
      </c>
      <c r="I1486" t="s">
        <v>1408</v>
      </c>
      <c r="J1486" t="s">
        <v>707</v>
      </c>
      <c r="K1486" t="s">
        <v>75</v>
      </c>
      <c r="M1486" t="s">
        <v>47</v>
      </c>
      <c r="O1486" t="s">
        <v>77</v>
      </c>
      <c r="P1486" t="s">
        <v>78</v>
      </c>
      <c r="Q1486" t="s">
        <v>541</v>
      </c>
      <c r="R1486" t="s">
        <v>79</v>
      </c>
      <c r="S1486" t="s">
        <v>1078</v>
      </c>
      <c r="T1486" t="s">
        <v>1078</v>
      </c>
      <c r="U1486" s="1">
        <v>46074.194189814814</v>
      </c>
      <c r="V1486" t="s">
        <v>54</v>
      </c>
      <c r="W1486" t="s">
        <v>55</v>
      </c>
      <c r="X1486" t="s">
        <v>82</v>
      </c>
      <c r="Y1486" t="s">
        <v>1409</v>
      </c>
      <c r="Z1486" t="s">
        <v>5594</v>
      </c>
      <c r="AA1486" t="s">
        <v>54</v>
      </c>
      <c r="AB1486" t="s">
        <v>709</v>
      </c>
      <c r="AC1486" t="s">
        <v>85</v>
      </c>
      <c r="AD1486" t="s">
        <v>79</v>
      </c>
      <c r="AE1486" t="s">
        <v>1078</v>
      </c>
      <c r="AF1486" t="s">
        <v>1078</v>
      </c>
      <c r="AG1486" t="s">
        <v>5594</v>
      </c>
      <c r="AH1486">
        <v>871</v>
      </c>
      <c r="AK1486">
        <v>0</v>
      </c>
      <c r="AL1486" t="s">
        <v>61</v>
      </c>
      <c r="AM1486" t="s">
        <v>3601</v>
      </c>
      <c r="AN1486" t="s">
        <v>3602</v>
      </c>
    </row>
    <row r="1487" spans="1:40" x14ac:dyDescent="0.35">
      <c r="A1487" t="s">
        <v>37</v>
      </c>
      <c r="B1487" t="s">
        <v>6393</v>
      </c>
      <c r="C1487" t="s">
        <v>39</v>
      </c>
      <c r="D1487" t="s">
        <v>325</v>
      </c>
      <c r="E1487" t="s">
        <v>325</v>
      </c>
      <c r="F1487" s="1">
        <v>46074.193749999999</v>
      </c>
      <c r="G1487" t="s">
        <v>432</v>
      </c>
      <c r="H1487" t="s">
        <v>433</v>
      </c>
      <c r="I1487" t="s">
        <v>1196</v>
      </c>
      <c r="J1487" t="s">
        <v>707</v>
      </c>
      <c r="K1487" t="s">
        <v>75</v>
      </c>
      <c r="M1487" t="s">
        <v>47</v>
      </c>
      <c r="O1487" t="s">
        <v>77</v>
      </c>
      <c r="P1487" t="s">
        <v>78</v>
      </c>
      <c r="Q1487" t="s">
        <v>541</v>
      </c>
      <c r="R1487" t="s">
        <v>79</v>
      </c>
      <c r="S1487" t="s">
        <v>1078</v>
      </c>
      <c r="T1487" t="s">
        <v>1078</v>
      </c>
      <c r="U1487" s="1">
        <v>46074.193888888891</v>
      </c>
      <c r="V1487" t="s">
        <v>54</v>
      </c>
      <c r="W1487" t="s">
        <v>55</v>
      </c>
      <c r="X1487" t="s">
        <v>82</v>
      </c>
      <c r="Y1487" t="s">
        <v>1197</v>
      </c>
      <c r="Z1487" t="s">
        <v>5594</v>
      </c>
      <c r="AA1487" t="s">
        <v>54</v>
      </c>
      <c r="AB1487" t="s">
        <v>709</v>
      </c>
      <c r="AC1487" t="s">
        <v>85</v>
      </c>
      <c r="AD1487" t="s">
        <v>79</v>
      </c>
      <c r="AE1487" t="s">
        <v>1078</v>
      </c>
      <c r="AF1487" t="s">
        <v>1078</v>
      </c>
      <c r="AG1487" t="s">
        <v>5594</v>
      </c>
      <c r="AH1487">
        <v>871</v>
      </c>
      <c r="AK1487">
        <v>0</v>
      </c>
      <c r="AL1487" t="s">
        <v>61</v>
      </c>
      <c r="AM1487" t="s">
        <v>3601</v>
      </c>
      <c r="AN1487" t="s">
        <v>3602</v>
      </c>
    </row>
    <row r="1488" spans="1:40" x14ac:dyDescent="0.35">
      <c r="A1488" t="s">
        <v>37</v>
      </c>
      <c r="B1488" t="s">
        <v>6394</v>
      </c>
      <c r="C1488" t="s">
        <v>39</v>
      </c>
      <c r="D1488" t="s">
        <v>40</v>
      </c>
      <c r="E1488" t="s">
        <v>41</v>
      </c>
      <c r="F1488" s="1">
        <v>46074.14875</v>
      </c>
      <c r="G1488" t="s">
        <v>42</v>
      </c>
      <c r="H1488" t="s">
        <v>43</v>
      </c>
      <c r="I1488" t="s">
        <v>6395</v>
      </c>
      <c r="J1488" t="s">
        <v>45</v>
      </c>
      <c r="K1488" t="s">
        <v>46</v>
      </c>
      <c r="M1488" t="s">
        <v>47</v>
      </c>
      <c r="O1488" t="s">
        <v>48</v>
      </c>
      <c r="P1488" t="s">
        <v>49</v>
      </c>
      <c r="Q1488" t="s">
        <v>50</v>
      </c>
      <c r="R1488" t="s">
        <v>51</v>
      </c>
      <c r="S1488" t="s">
        <v>52</v>
      </c>
      <c r="T1488" t="s">
        <v>53</v>
      </c>
      <c r="U1488" s="1">
        <v>46074.149444444447</v>
      </c>
      <c r="V1488" t="s">
        <v>54</v>
      </c>
      <c r="W1488" t="s">
        <v>55</v>
      </c>
      <c r="X1488" t="s">
        <v>56</v>
      </c>
      <c r="Y1488" t="s">
        <v>57</v>
      </c>
      <c r="Z1488" t="s">
        <v>5594</v>
      </c>
      <c r="AA1488" t="s">
        <v>54</v>
      </c>
      <c r="AB1488" t="s">
        <v>59</v>
      </c>
      <c r="AC1488" t="s">
        <v>60</v>
      </c>
      <c r="AD1488" t="s">
        <v>51</v>
      </c>
      <c r="AE1488" t="s">
        <v>52</v>
      </c>
      <c r="AF1488" t="s">
        <v>53</v>
      </c>
      <c r="AG1488" t="s">
        <v>5594</v>
      </c>
      <c r="AK1488">
        <v>0</v>
      </c>
      <c r="AL1488" t="s">
        <v>61</v>
      </c>
      <c r="AM1488" t="s">
        <v>59</v>
      </c>
      <c r="AN1488" t="s">
        <v>62</v>
      </c>
    </row>
    <row r="1489" spans="1:40" x14ac:dyDescent="0.35">
      <c r="A1489" t="s">
        <v>37</v>
      </c>
      <c r="B1489" t="s">
        <v>6396</v>
      </c>
      <c r="C1489" t="s">
        <v>102</v>
      </c>
      <c r="D1489" t="s">
        <v>3486</v>
      </c>
      <c r="E1489" t="s">
        <v>3487</v>
      </c>
      <c r="F1489" s="1">
        <v>46074.142824074072</v>
      </c>
      <c r="G1489" t="s">
        <v>105</v>
      </c>
      <c r="H1489" t="s">
        <v>106</v>
      </c>
      <c r="I1489" t="s">
        <v>6397</v>
      </c>
      <c r="J1489" t="s">
        <v>108</v>
      </c>
      <c r="K1489" t="s">
        <v>109</v>
      </c>
      <c r="M1489" t="s">
        <v>76</v>
      </c>
      <c r="O1489" t="s">
        <v>77</v>
      </c>
      <c r="P1489" t="s">
        <v>78</v>
      </c>
      <c r="Q1489" t="s">
        <v>50</v>
      </c>
      <c r="R1489" t="s">
        <v>111</v>
      </c>
      <c r="S1489" t="s">
        <v>51</v>
      </c>
      <c r="T1489" t="s">
        <v>1583</v>
      </c>
      <c r="U1489" s="1">
        <v>46077.722534722219</v>
      </c>
      <c r="V1489" t="s">
        <v>54</v>
      </c>
      <c r="W1489" t="s">
        <v>1584</v>
      </c>
      <c r="X1489" t="s">
        <v>113</v>
      </c>
      <c r="Y1489" t="s">
        <v>6398</v>
      </c>
      <c r="Z1489" t="s">
        <v>58</v>
      </c>
      <c r="AA1489" t="s">
        <v>54</v>
      </c>
      <c r="AB1489" t="s">
        <v>115</v>
      </c>
      <c r="AC1489" t="s">
        <v>85</v>
      </c>
      <c r="AD1489" t="s">
        <v>116</v>
      </c>
      <c r="AE1489" t="s">
        <v>1586</v>
      </c>
      <c r="AF1489" t="s">
        <v>664</v>
      </c>
      <c r="AG1489" t="s">
        <v>58</v>
      </c>
      <c r="AH1489" t="s">
        <v>3491</v>
      </c>
      <c r="AK1489">
        <v>1</v>
      </c>
      <c r="AL1489" t="s">
        <v>61</v>
      </c>
      <c r="AM1489" t="s">
        <v>3492</v>
      </c>
      <c r="AN1489" t="s">
        <v>3493</v>
      </c>
    </row>
    <row r="1490" spans="1:40" x14ac:dyDescent="0.35">
      <c r="A1490" t="s">
        <v>37</v>
      </c>
      <c r="B1490" t="s">
        <v>6399</v>
      </c>
      <c r="C1490" t="s">
        <v>102</v>
      </c>
      <c r="D1490" t="s">
        <v>3486</v>
      </c>
      <c r="E1490" t="s">
        <v>3487</v>
      </c>
      <c r="F1490" s="1">
        <v>46074.142314814817</v>
      </c>
      <c r="G1490" t="s">
        <v>105</v>
      </c>
      <c r="H1490" t="s">
        <v>106</v>
      </c>
      <c r="I1490" t="s">
        <v>6400</v>
      </c>
      <c r="J1490" t="s">
        <v>108</v>
      </c>
      <c r="K1490" t="s">
        <v>109</v>
      </c>
      <c r="M1490" t="s">
        <v>76</v>
      </c>
      <c r="O1490" t="s">
        <v>77</v>
      </c>
      <c r="P1490" t="s">
        <v>78</v>
      </c>
      <c r="Q1490" t="s">
        <v>50</v>
      </c>
      <c r="R1490" t="s">
        <v>111</v>
      </c>
      <c r="S1490" t="s">
        <v>51</v>
      </c>
      <c r="T1490" t="s">
        <v>1583</v>
      </c>
      <c r="U1490" s="1">
        <v>46077.723495370374</v>
      </c>
      <c r="V1490" t="s">
        <v>54</v>
      </c>
      <c r="W1490" t="s">
        <v>1584</v>
      </c>
      <c r="X1490" t="s">
        <v>113</v>
      </c>
      <c r="Y1490" t="s">
        <v>6401</v>
      </c>
      <c r="Z1490" t="s">
        <v>58</v>
      </c>
      <c r="AA1490" t="s">
        <v>54</v>
      </c>
      <c r="AB1490" t="s">
        <v>115</v>
      </c>
      <c r="AC1490" t="s">
        <v>85</v>
      </c>
      <c r="AD1490" t="s">
        <v>116</v>
      </c>
      <c r="AE1490" t="s">
        <v>1586</v>
      </c>
      <c r="AF1490" t="s">
        <v>664</v>
      </c>
      <c r="AG1490" t="s">
        <v>58</v>
      </c>
      <c r="AH1490" t="s">
        <v>3491</v>
      </c>
      <c r="AK1490">
        <v>1</v>
      </c>
      <c r="AL1490" t="s">
        <v>61</v>
      </c>
      <c r="AM1490" t="s">
        <v>3492</v>
      </c>
      <c r="AN1490" t="s">
        <v>3493</v>
      </c>
    </row>
    <row r="1491" spans="1:40" x14ac:dyDescent="0.35">
      <c r="A1491" t="s">
        <v>37</v>
      </c>
      <c r="B1491" t="s">
        <v>6402</v>
      </c>
      <c r="C1491" t="s">
        <v>102</v>
      </c>
      <c r="D1491" t="s">
        <v>3486</v>
      </c>
      <c r="E1491" t="s">
        <v>3487</v>
      </c>
      <c r="F1491" s="1">
        <v>46074.141921296294</v>
      </c>
      <c r="G1491" t="s">
        <v>105</v>
      </c>
      <c r="H1491" t="s">
        <v>106</v>
      </c>
      <c r="I1491" t="s">
        <v>6403</v>
      </c>
      <c r="J1491" t="s">
        <v>108</v>
      </c>
      <c r="K1491" t="s">
        <v>109</v>
      </c>
      <c r="M1491" t="s">
        <v>76</v>
      </c>
      <c r="O1491" t="s">
        <v>77</v>
      </c>
      <c r="P1491" t="s">
        <v>78</v>
      </c>
      <c r="Q1491" t="s">
        <v>50</v>
      </c>
      <c r="R1491" t="s">
        <v>111</v>
      </c>
      <c r="S1491" t="s">
        <v>51</v>
      </c>
      <c r="T1491" t="s">
        <v>1583</v>
      </c>
      <c r="U1491" s="1">
        <v>46077.723009259258</v>
      </c>
      <c r="V1491" t="s">
        <v>54</v>
      </c>
      <c r="W1491" t="s">
        <v>1584</v>
      </c>
      <c r="X1491" t="s">
        <v>113</v>
      </c>
      <c r="Y1491" t="s">
        <v>6404</v>
      </c>
      <c r="Z1491" t="s">
        <v>58</v>
      </c>
      <c r="AA1491" t="s">
        <v>54</v>
      </c>
      <c r="AB1491" t="s">
        <v>115</v>
      </c>
      <c r="AC1491" t="s">
        <v>85</v>
      </c>
      <c r="AD1491" t="s">
        <v>116</v>
      </c>
      <c r="AE1491" t="s">
        <v>1586</v>
      </c>
      <c r="AF1491" t="s">
        <v>664</v>
      </c>
      <c r="AG1491" t="s">
        <v>58</v>
      </c>
      <c r="AH1491" t="s">
        <v>3491</v>
      </c>
      <c r="AK1491">
        <v>1</v>
      </c>
      <c r="AL1491" t="s">
        <v>61</v>
      </c>
      <c r="AM1491" t="s">
        <v>3492</v>
      </c>
      <c r="AN1491" t="s">
        <v>3493</v>
      </c>
    </row>
    <row r="1492" spans="1:40" x14ac:dyDescent="0.35">
      <c r="A1492" t="s">
        <v>37</v>
      </c>
      <c r="B1492" t="s">
        <v>6405</v>
      </c>
      <c r="C1492" t="s">
        <v>102</v>
      </c>
      <c r="D1492" t="s">
        <v>3486</v>
      </c>
      <c r="E1492" t="s">
        <v>3487</v>
      </c>
      <c r="F1492" s="1">
        <v>46074.141539351855</v>
      </c>
      <c r="G1492" t="s">
        <v>105</v>
      </c>
      <c r="H1492" t="s">
        <v>106</v>
      </c>
      <c r="I1492" t="s">
        <v>6406</v>
      </c>
      <c r="J1492" t="s">
        <v>108</v>
      </c>
      <c r="K1492" t="s">
        <v>109</v>
      </c>
      <c r="M1492" t="s">
        <v>76</v>
      </c>
      <c r="O1492" t="s">
        <v>77</v>
      </c>
      <c r="P1492" t="s">
        <v>78</v>
      </c>
      <c r="Q1492" t="s">
        <v>50</v>
      </c>
      <c r="R1492" t="s">
        <v>111</v>
      </c>
      <c r="S1492" t="s">
        <v>51</v>
      </c>
      <c r="T1492" t="s">
        <v>1583</v>
      </c>
      <c r="U1492" s="1">
        <v>46077.723935185182</v>
      </c>
      <c r="V1492" t="s">
        <v>54</v>
      </c>
      <c r="W1492" t="s">
        <v>1584</v>
      </c>
      <c r="X1492" t="s">
        <v>113</v>
      </c>
      <c r="Y1492" t="s">
        <v>6407</v>
      </c>
      <c r="Z1492" t="s">
        <v>58</v>
      </c>
      <c r="AA1492" t="s">
        <v>54</v>
      </c>
      <c r="AB1492" t="s">
        <v>115</v>
      </c>
      <c r="AC1492" t="s">
        <v>85</v>
      </c>
      <c r="AD1492" t="s">
        <v>116</v>
      </c>
      <c r="AE1492" t="s">
        <v>1586</v>
      </c>
      <c r="AF1492" t="s">
        <v>664</v>
      </c>
      <c r="AG1492" t="s">
        <v>58</v>
      </c>
      <c r="AH1492" t="s">
        <v>3491</v>
      </c>
      <c r="AK1492">
        <v>1</v>
      </c>
      <c r="AL1492" t="s">
        <v>61</v>
      </c>
      <c r="AM1492" t="s">
        <v>3492</v>
      </c>
      <c r="AN1492" t="s">
        <v>3493</v>
      </c>
    </row>
    <row r="1493" spans="1:40" x14ac:dyDescent="0.35">
      <c r="A1493" t="s">
        <v>37</v>
      </c>
      <c r="B1493" t="s">
        <v>6408</v>
      </c>
      <c r="C1493" t="s">
        <v>102</v>
      </c>
      <c r="D1493" t="s">
        <v>3486</v>
      </c>
      <c r="E1493" t="s">
        <v>3487</v>
      </c>
      <c r="F1493" s="1">
        <v>46074.141122685185</v>
      </c>
      <c r="G1493" t="s">
        <v>105</v>
      </c>
      <c r="H1493" t="s">
        <v>106</v>
      </c>
      <c r="I1493" t="s">
        <v>6409</v>
      </c>
      <c r="J1493" t="s">
        <v>108</v>
      </c>
      <c r="K1493" t="s">
        <v>109</v>
      </c>
      <c r="M1493" t="s">
        <v>47</v>
      </c>
      <c r="O1493" t="s">
        <v>77</v>
      </c>
      <c r="P1493" t="s">
        <v>78</v>
      </c>
      <c r="Q1493" t="s">
        <v>50</v>
      </c>
      <c r="R1493" t="s">
        <v>111</v>
      </c>
      <c r="S1493" t="s">
        <v>51</v>
      </c>
      <c r="T1493" t="s">
        <v>1583</v>
      </c>
      <c r="U1493" s="1">
        <v>46074.737476851849</v>
      </c>
      <c r="V1493" t="s">
        <v>54</v>
      </c>
      <c r="W1493" t="s">
        <v>55</v>
      </c>
      <c r="X1493" t="s">
        <v>113</v>
      </c>
      <c r="Y1493" t="s">
        <v>6410</v>
      </c>
      <c r="Z1493" t="s">
        <v>5594</v>
      </c>
      <c r="AA1493" t="s">
        <v>54</v>
      </c>
      <c r="AB1493" t="s">
        <v>115</v>
      </c>
      <c r="AC1493" t="s">
        <v>85</v>
      </c>
      <c r="AD1493" t="s">
        <v>116</v>
      </c>
      <c r="AE1493" t="s">
        <v>1586</v>
      </c>
      <c r="AF1493" t="s">
        <v>664</v>
      </c>
      <c r="AG1493" t="s">
        <v>5594</v>
      </c>
      <c r="AH1493" t="s">
        <v>3491</v>
      </c>
      <c r="AK1493">
        <v>1</v>
      </c>
      <c r="AL1493" t="s">
        <v>61</v>
      </c>
      <c r="AM1493" t="s">
        <v>3492</v>
      </c>
      <c r="AN1493" t="s">
        <v>3493</v>
      </c>
    </row>
    <row r="1494" spans="1:40" x14ac:dyDescent="0.35">
      <c r="A1494" t="s">
        <v>37</v>
      </c>
      <c r="B1494" t="s">
        <v>6411</v>
      </c>
      <c r="C1494" t="s">
        <v>102</v>
      </c>
      <c r="D1494" t="s">
        <v>3486</v>
      </c>
      <c r="E1494" t="s">
        <v>3487</v>
      </c>
      <c r="F1494" s="1">
        <v>46074.140555555554</v>
      </c>
      <c r="G1494" t="s">
        <v>105</v>
      </c>
      <c r="H1494" t="s">
        <v>106</v>
      </c>
      <c r="I1494" t="s">
        <v>6412</v>
      </c>
      <c r="J1494" t="s">
        <v>108</v>
      </c>
      <c r="K1494" t="s">
        <v>109</v>
      </c>
      <c r="M1494" t="s">
        <v>47</v>
      </c>
      <c r="O1494" t="s">
        <v>77</v>
      </c>
      <c r="P1494" t="s">
        <v>78</v>
      </c>
      <c r="Q1494" t="s">
        <v>50</v>
      </c>
      <c r="R1494" t="s">
        <v>111</v>
      </c>
      <c r="S1494" t="s">
        <v>51</v>
      </c>
      <c r="T1494" t="s">
        <v>1583</v>
      </c>
      <c r="U1494" s="1">
        <v>46074.737083333333</v>
      </c>
      <c r="V1494" t="s">
        <v>54</v>
      </c>
      <c r="W1494" t="s">
        <v>55</v>
      </c>
      <c r="X1494" t="s">
        <v>113</v>
      </c>
      <c r="Y1494" t="s">
        <v>6413</v>
      </c>
      <c r="Z1494" t="s">
        <v>5594</v>
      </c>
      <c r="AA1494" t="s">
        <v>54</v>
      </c>
      <c r="AB1494" t="s">
        <v>115</v>
      </c>
      <c r="AC1494" t="s">
        <v>85</v>
      </c>
      <c r="AD1494" t="s">
        <v>116</v>
      </c>
      <c r="AE1494" t="s">
        <v>1586</v>
      </c>
      <c r="AF1494" t="s">
        <v>664</v>
      </c>
      <c r="AG1494" t="s">
        <v>5594</v>
      </c>
      <c r="AH1494" t="s">
        <v>3491</v>
      </c>
      <c r="AK1494">
        <v>1</v>
      </c>
      <c r="AL1494" t="s">
        <v>61</v>
      </c>
      <c r="AM1494" t="s">
        <v>3492</v>
      </c>
      <c r="AN1494" t="s">
        <v>3493</v>
      </c>
    </row>
    <row r="1495" spans="1:40" x14ac:dyDescent="0.35">
      <c r="A1495" t="s">
        <v>37</v>
      </c>
      <c r="B1495" t="s">
        <v>6414</v>
      </c>
      <c r="C1495" t="s">
        <v>102</v>
      </c>
      <c r="D1495" t="s">
        <v>3486</v>
      </c>
      <c r="E1495" t="s">
        <v>3487</v>
      </c>
      <c r="F1495" s="1">
        <v>46074.140138888892</v>
      </c>
      <c r="G1495" t="s">
        <v>105</v>
      </c>
      <c r="H1495" t="s">
        <v>106</v>
      </c>
      <c r="I1495" t="s">
        <v>6415</v>
      </c>
      <c r="J1495" t="s">
        <v>108</v>
      </c>
      <c r="K1495" t="s">
        <v>109</v>
      </c>
      <c r="M1495" t="s">
        <v>47</v>
      </c>
      <c r="O1495" t="s">
        <v>77</v>
      </c>
      <c r="P1495" t="s">
        <v>78</v>
      </c>
      <c r="Q1495" t="s">
        <v>50</v>
      </c>
      <c r="R1495" t="s">
        <v>111</v>
      </c>
      <c r="S1495" t="s">
        <v>51</v>
      </c>
      <c r="T1495" t="s">
        <v>1583</v>
      </c>
      <c r="U1495" s="1">
        <v>46074.738368055558</v>
      </c>
      <c r="V1495" t="s">
        <v>54</v>
      </c>
      <c r="W1495" t="s">
        <v>55</v>
      </c>
      <c r="X1495" t="s">
        <v>113</v>
      </c>
      <c r="Y1495" t="s">
        <v>6416</v>
      </c>
      <c r="Z1495" t="s">
        <v>5594</v>
      </c>
      <c r="AA1495" t="s">
        <v>54</v>
      </c>
      <c r="AB1495" t="s">
        <v>115</v>
      </c>
      <c r="AC1495" t="s">
        <v>85</v>
      </c>
      <c r="AD1495" t="s">
        <v>116</v>
      </c>
      <c r="AE1495" t="s">
        <v>1586</v>
      </c>
      <c r="AF1495" t="s">
        <v>664</v>
      </c>
      <c r="AG1495" t="s">
        <v>5594</v>
      </c>
      <c r="AH1495" t="s">
        <v>3491</v>
      </c>
      <c r="AK1495">
        <v>1</v>
      </c>
      <c r="AL1495" t="s">
        <v>61</v>
      </c>
      <c r="AM1495" t="s">
        <v>3492</v>
      </c>
      <c r="AN1495" t="s">
        <v>3493</v>
      </c>
    </row>
    <row r="1496" spans="1:40" x14ac:dyDescent="0.35">
      <c r="A1496" t="s">
        <v>37</v>
      </c>
      <c r="B1496" t="s">
        <v>6417</v>
      </c>
      <c r="C1496" t="s">
        <v>102</v>
      </c>
      <c r="D1496" t="s">
        <v>3486</v>
      </c>
      <c r="E1496" t="s">
        <v>3487</v>
      </c>
      <c r="F1496" s="1">
        <v>46074.139699074076</v>
      </c>
      <c r="G1496" t="s">
        <v>105</v>
      </c>
      <c r="H1496" t="s">
        <v>106</v>
      </c>
      <c r="I1496" t="s">
        <v>6418</v>
      </c>
      <c r="J1496" t="s">
        <v>108</v>
      </c>
      <c r="K1496" t="s">
        <v>109</v>
      </c>
      <c r="M1496" t="s">
        <v>47</v>
      </c>
      <c r="O1496" t="s">
        <v>77</v>
      </c>
      <c r="P1496" t="s">
        <v>78</v>
      </c>
      <c r="Q1496" t="s">
        <v>50</v>
      </c>
      <c r="R1496" t="s">
        <v>111</v>
      </c>
      <c r="S1496" t="s">
        <v>51</v>
      </c>
      <c r="T1496" t="s">
        <v>1583</v>
      </c>
      <c r="U1496" s="1">
        <v>46074.73883101852</v>
      </c>
      <c r="V1496" t="s">
        <v>54</v>
      </c>
      <c r="W1496" t="s">
        <v>55</v>
      </c>
      <c r="X1496" t="s">
        <v>113</v>
      </c>
      <c r="Y1496" t="s">
        <v>6419</v>
      </c>
      <c r="Z1496" t="s">
        <v>5594</v>
      </c>
      <c r="AA1496" t="s">
        <v>54</v>
      </c>
      <c r="AB1496" t="s">
        <v>115</v>
      </c>
      <c r="AC1496" t="s">
        <v>85</v>
      </c>
      <c r="AD1496" t="s">
        <v>116</v>
      </c>
      <c r="AE1496" t="s">
        <v>1586</v>
      </c>
      <c r="AF1496" t="s">
        <v>664</v>
      </c>
      <c r="AG1496" t="s">
        <v>5594</v>
      </c>
      <c r="AH1496" t="s">
        <v>3491</v>
      </c>
      <c r="AK1496">
        <v>1</v>
      </c>
      <c r="AL1496" t="s">
        <v>61</v>
      </c>
      <c r="AM1496" t="s">
        <v>3492</v>
      </c>
      <c r="AN1496" t="s">
        <v>3493</v>
      </c>
    </row>
    <row r="1497" spans="1:40" x14ac:dyDescent="0.35">
      <c r="A1497" t="s">
        <v>37</v>
      </c>
      <c r="B1497" t="s">
        <v>6420</v>
      </c>
      <c r="C1497" t="s">
        <v>102</v>
      </c>
      <c r="D1497" t="s">
        <v>3486</v>
      </c>
      <c r="E1497" t="s">
        <v>3487</v>
      </c>
      <c r="F1497" s="1">
        <v>46074.139340277776</v>
      </c>
      <c r="G1497" t="s">
        <v>105</v>
      </c>
      <c r="H1497" t="s">
        <v>106</v>
      </c>
      <c r="I1497" t="s">
        <v>6421</v>
      </c>
      <c r="J1497" t="s">
        <v>108</v>
      </c>
      <c r="K1497" t="s">
        <v>109</v>
      </c>
      <c r="M1497" t="s">
        <v>76</v>
      </c>
      <c r="O1497" t="s">
        <v>77</v>
      </c>
      <c r="P1497" t="s">
        <v>78</v>
      </c>
      <c r="Q1497" t="s">
        <v>50</v>
      </c>
      <c r="R1497" t="s">
        <v>111</v>
      </c>
      <c r="S1497" t="s">
        <v>51</v>
      </c>
      <c r="T1497" t="s">
        <v>1583</v>
      </c>
      <c r="U1497" s="1">
        <v>46077.93408564815</v>
      </c>
      <c r="V1497" t="s">
        <v>54</v>
      </c>
      <c r="W1497" t="s">
        <v>1584</v>
      </c>
      <c r="X1497" t="s">
        <v>113</v>
      </c>
      <c r="Y1497" t="s">
        <v>6422</v>
      </c>
      <c r="Z1497" t="s">
        <v>58</v>
      </c>
      <c r="AA1497" t="s">
        <v>54</v>
      </c>
      <c r="AB1497" t="s">
        <v>115</v>
      </c>
      <c r="AC1497" t="s">
        <v>85</v>
      </c>
      <c r="AD1497" t="s">
        <v>116</v>
      </c>
      <c r="AE1497" t="s">
        <v>1586</v>
      </c>
      <c r="AF1497" t="s">
        <v>664</v>
      </c>
      <c r="AG1497" t="s">
        <v>58</v>
      </c>
      <c r="AH1497" t="s">
        <v>3491</v>
      </c>
      <c r="AK1497">
        <v>1</v>
      </c>
      <c r="AL1497" t="s">
        <v>61</v>
      </c>
      <c r="AM1497" t="s">
        <v>3492</v>
      </c>
      <c r="AN1497" t="s">
        <v>3493</v>
      </c>
    </row>
    <row r="1498" spans="1:40" x14ac:dyDescent="0.35">
      <c r="A1498" t="s">
        <v>37</v>
      </c>
      <c r="B1498" t="s">
        <v>6423</v>
      </c>
      <c r="C1498" t="s">
        <v>102</v>
      </c>
      <c r="D1498" t="s">
        <v>3486</v>
      </c>
      <c r="E1498" t="s">
        <v>3487</v>
      </c>
      <c r="F1498" s="1">
        <v>46074.138877314814</v>
      </c>
      <c r="G1498" t="s">
        <v>105</v>
      </c>
      <c r="H1498" t="s">
        <v>106</v>
      </c>
      <c r="I1498" t="s">
        <v>6424</v>
      </c>
      <c r="J1498" t="s">
        <v>108</v>
      </c>
      <c r="K1498" t="s">
        <v>109</v>
      </c>
      <c r="M1498" t="s">
        <v>47</v>
      </c>
      <c r="O1498" t="s">
        <v>77</v>
      </c>
      <c r="P1498" t="s">
        <v>78</v>
      </c>
      <c r="Q1498" t="s">
        <v>50</v>
      </c>
      <c r="R1498" t="s">
        <v>111</v>
      </c>
      <c r="S1498" t="s">
        <v>51</v>
      </c>
      <c r="T1498" t="s">
        <v>1583</v>
      </c>
      <c r="U1498" s="1">
        <v>46074.737916666665</v>
      </c>
      <c r="V1498" t="s">
        <v>54</v>
      </c>
      <c r="W1498" t="s">
        <v>55</v>
      </c>
      <c r="X1498" t="s">
        <v>113</v>
      </c>
      <c r="Y1498" t="s">
        <v>6425</v>
      </c>
      <c r="Z1498" t="s">
        <v>5594</v>
      </c>
      <c r="AA1498" t="s">
        <v>54</v>
      </c>
      <c r="AB1498" t="s">
        <v>115</v>
      </c>
      <c r="AC1498" t="s">
        <v>85</v>
      </c>
      <c r="AD1498" t="s">
        <v>116</v>
      </c>
      <c r="AE1498" t="s">
        <v>1586</v>
      </c>
      <c r="AF1498" t="s">
        <v>664</v>
      </c>
      <c r="AG1498" t="s">
        <v>5594</v>
      </c>
      <c r="AH1498" t="s">
        <v>3491</v>
      </c>
      <c r="AK1498">
        <v>1</v>
      </c>
      <c r="AL1498" t="s">
        <v>61</v>
      </c>
      <c r="AM1498" t="s">
        <v>3492</v>
      </c>
      <c r="AN1498" t="s">
        <v>3493</v>
      </c>
    </row>
    <row r="1499" spans="1:40" x14ac:dyDescent="0.35">
      <c r="A1499" t="s">
        <v>37</v>
      </c>
      <c r="B1499" t="s">
        <v>6426</v>
      </c>
      <c r="C1499" t="s">
        <v>102</v>
      </c>
      <c r="D1499" t="s">
        <v>3486</v>
      </c>
      <c r="E1499" t="s">
        <v>3487</v>
      </c>
      <c r="F1499" s="1">
        <v>46074.138344907406</v>
      </c>
      <c r="G1499" t="s">
        <v>105</v>
      </c>
      <c r="H1499" t="s">
        <v>106</v>
      </c>
      <c r="I1499" t="s">
        <v>6427</v>
      </c>
      <c r="J1499" t="s">
        <v>108</v>
      </c>
      <c r="K1499" t="s">
        <v>109</v>
      </c>
      <c r="M1499" t="s">
        <v>47</v>
      </c>
      <c r="O1499" t="s">
        <v>77</v>
      </c>
      <c r="P1499" t="s">
        <v>78</v>
      </c>
      <c r="Q1499" t="s">
        <v>50</v>
      </c>
      <c r="R1499" t="s">
        <v>111</v>
      </c>
      <c r="S1499" t="s">
        <v>51</v>
      </c>
      <c r="T1499" t="s">
        <v>1583</v>
      </c>
      <c r="U1499" s="1">
        <v>46074.739236111112</v>
      </c>
      <c r="V1499" t="s">
        <v>54</v>
      </c>
      <c r="W1499" t="s">
        <v>55</v>
      </c>
      <c r="X1499" t="s">
        <v>113</v>
      </c>
      <c r="Y1499" t="s">
        <v>6428</v>
      </c>
      <c r="Z1499" t="s">
        <v>5594</v>
      </c>
      <c r="AA1499" t="s">
        <v>54</v>
      </c>
      <c r="AB1499" t="s">
        <v>115</v>
      </c>
      <c r="AC1499" t="s">
        <v>85</v>
      </c>
      <c r="AD1499" t="s">
        <v>116</v>
      </c>
      <c r="AE1499" t="s">
        <v>1586</v>
      </c>
      <c r="AF1499" t="s">
        <v>664</v>
      </c>
      <c r="AG1499" t="s">
        <v>5594</v>
      </c>
      <c r="AH1499" t="s">
        <v>3491</v>
      </c>
      <c r="AK1499">
        <v>1</v>
      </c>
      <c r="AL1499" t="s">
        <v>61</v>
      </c>
      <c r="AM1499" t="s">
        <v>3492</v>
      </c>
      <c r="AN1499" t="s">
        <v>3493</v>
      </c>
    </row>
    <row r="1500" spans="1:40" x14ac:dyDescent="0.35">
      <c r="A1500" t="s">
        <v>37</v>
      </c>
      <c r="B1500" t="s">
        <v>6429</v>
      </c>
      <c r="C1500" t="s">
        <v>102</v>
      </c>
      <c r="D1500" t="s">
        <v>3486</v>
      </c>
      <c r="E1500" t="s">
        <v>3487</v>
      </c>
      <c r="F1500" s="1">
        <v>46074.137743055559</v>
      </c>
      <c r="G1500" t="s">
        <v>105</v>
      </c>
      <c r="H1500" t="s">
        <v>106</v>
      </c>
      <c r="I1500" t="s">
        <v>6430</v>
      </c>
      <c r="J1500" t="s">
        <v>108</v>
      </c>
      <c r="K1500" t="s">
        <v>571</v>
      </c>
      <c r="M1500" t="s">
        <v>47</v>
      </c>
      <c r="O1500" t="s">
        <v>77</v>
      </c>
      <c r="P1500" t="s">
        <v>78</v>
      </c>
      <c r="Q1500" t="s">
        <v>50</v>
      </c>
      <c r="R1500" t="s">
        <v>111</v>
      </c>
      <c r="S1500" t="s">
        <v>51</v>
      </c>
      <c r="T1500" t="s">
        <v>112</v>
      </c>
      <c r="U1500" s="1">
        <v>46075.341597222221</v>
      </c>
      <c r="V1500" t="s">
        <v>54</v>
      </c>
      <c r="W1500" t="s">
        <v>55</v>
      </c>
      <c r="X1500" t="s">
        <v>113</v>
      </c>
      <c r="Y1500" t="s">
        <v>6431</v>
      </c>
      <c r="Z1500" t="s">
        <v>5594</v>
      </c>
      <c r="AA1500" t="s">
        <v>54</v>
      </c>
      <c r="AB1500" t="s">
        <v>115</v>
      </c>
      <c r="AC1500" t="s">
        <v>85</v>
      </c>
      <c r="AD1500" t="s">
        <v>116</v>
      </c>
      <c r="AE1500" t="s">
        <v>574</v>
      </c>
      <c r="AF1500" t="s">
        <v>664</v>
      </c>
      <c r="AG1500" t="s">
        <v>5594</v>
      </c>
      <c r="AH1500" t="s">
        <v>3491</v>
      </c>
      <c r="AK1500">
        <v>1</v>
      </c>
      <c r="AL1500" t="s">
        <v>61</v>
      </c>
      <c r="AM1500" t="s">
        <v>3492</v>
      </c>
      <c r="AN1500" t="s">
        <v>3493</v>
      </c>
    </row>
    <row r="1501" spans="1:40" x14ac:dyDescent="0.35">
      <c r="A1501" t="s">
        <v>37</v>
      </c>
      <c r="B1501" t="s">
        <v>6432</v>
      </c>
      <c r="C1501" t="s">
        <v>102</v>
      </c>
      <c r="D1501" t="s">
        <v>3486</v>
      </c>
      <c r="E1501" t="s">
        <v>3487</v>
      </c>
      <c r="F1501" s="1">
        <v>46074.13726851852</v>
      </c>
      <c r="G1501" t="s">
        <v>105</v>
      </c>
      <c r="H1501" t="s">
        <v>106</v>
      </c>
      <c r="I1501" t="s">
        <v>6433</v>
      </c>
      <c r="J1501" t="s">
        <v>108</v>
      </c>
      <c r="K1501" t="s">
        <v>571</v>
      </c>
      <c r="M1501" t="s">
        <v>47</v>
      </c>
      <c r="O1501" t="s">
        <v>77</v>
      </c>
      <c r="P1501" t="s">
        <v>78</v>
      </c>
      <c r="Q1501" t="s">
        <v>50</v>
      </c>
      <c r="R1501" t="s">
        <v>111</v>
      </c>
      <c r="S1501" t="s">
        <v>51</v>
      </c>
      <c r="T1501" t="s">
        <v>112</v>
      </c>
      <c r="U1501" s="1">
        <v>46075.286643518521</v>
      </c>
      <c r="V1501" t="s">
        <v>54</v>
      </c>
      <c r="W1501" t="s">
        <v>55</v>
      </c>
      <c r="X1501" t="s">
        <v>113</v>
      </c>
      <c r="Y1501" t="s">
        <v>6434</v>
      </c>
      <c r="Z1501" t="s">
        <v>5594</v>
      </c>
      <c r="AA1501" t="s">
        <v>54</v>
      </c>
      <c r="AB1501" t="s">
        <v>115</v>
      </c>
      <c r="AC1501" t="s">
        <v>85</v>
      </c>
      <c r="AD1501" t="s">
        <v>116</v>
      </c>
      <c r="AE1501" t="s">
        <v>574</v>
      </c>
      <c r="AF1501" t="s">
        <v>664</v>
      </c>
      <c r="AG1501" t="s">
        <v>5594</v>
      </c>
      <c r="AH1501" t="s">
        <v>3491</v>
      </c>
      <c r="AK1501">
        <v>1</v>
      </c>
      <c r="AL1501" t="s">
        <v>61</v>
      </c>
      <c r="AM1501" t="s">
        <v>3492</v>
      </c>
      <c r="AN1501" t="s">
        <v>3493</v>
      </c>
    </row>
    <row r="1502" spans="1:40" x14ac:dyDescent="0.35">
      <c r="A1502" t="s">
        <v>37</v>
      </c>
      <c r="B1502" t="s">
        <v>6435</v>
      </c>
      <c r="C1502" t="s">
        <v>102</v>
      </c>
      <c r="D1502" t="s">
        <v>3486</v>
      </c>
      <c r="E1502" t="s">
        <v>3487</v>
      </c>
      <c r="F1502" s="1">
        <v>46074.136817129627</v>
      </c>
      <c r="G1502" t="s">
        <v>105</v>
      </c>
      <c r="H1502" t="s">
        <v>106</v>
      </c>
      <c r="I1502" t="s">
        <v>3371</v>
      </c>
      <c r="J1502" t="s">
        <v>108</v>
      </c>
      <c r="K1502" t="s">
        <v>571</v>
      </c>
      <c r="M1502" t="s">
        <v>47</v>
      </c>
      <c r="O1502" t="s">
        <v>77</v>
      </c>
      <c r="P1502" t="s">
        <v>78</v>
      </c>
      <c r="Q1502" t="s">
        <v>50</v>
      </c>
      <c r="R1502" t="s">
        <v>111</v>
      </c>
      <c r="S1502" t="s">
        <v>51</v>
      </c>
      <c r="T1502" t="s">
        <v>112</v>
      </c>
      <c r="U1502" s="1">
        <v>46075.329918981479</v>
      </c>
      <c r="V1502" t="s">
        <v>54</v>
      </c>
      <c r="W1502" t="s">
        <v>55</v>
      </c>
      <c r="X1502" t="s">
        <v>113</v>
      </c>
      <c r="Y1502" t="s">
        <v>3515</v>
      </c>
      <c r="Z1502" t="s">
        <v>5594</v>
      </c>
      <c r="AA1502" t="s">
        <v>54</v>
      </c>
      <c r="AB1502" t="s">
        <v>115</v>
      </c>
      <c r="AC1502" t="s">
        <v>85</v>
      </c>
      <c r="AD1502" t="s">
        <v>116</v>
      </c>
      <c r="AE1502" t="s">
        <v>574</v>
      </c>
      <c r="AF1502" t="s">
        <v>664</v>
      </c>
      <c r="AG1502" t="s">
        <v>5594</v>
      </c>
      <c r="AH1502" t="s">
        <v>3491</v>
      </c>
      <c r="AK1502">
        <v>1</v>
      </c>
      <c r="AL1502" t="s">
        <v>61</v>
      </c>
      <c r="AM1502" t="s">
        <v>3492</v>
      </c>
      <c r="AN1502" t="s">
        <v>3493</v>
      </c>
    </row>
    <row r="1503" spans="1:40" x14ac:dyDescent="0.35">
      <c r="A1503" t="s">
        <v>37</v>
      </c>
      <c r="B1503" t="s">
        <v>6436</v>
      </c>
      <c r="C1503" t="s">
        <v>102</v>
      </c>
      <c r="D1503" t="s">
        <v>3486</v>
      </c>
      <c r="E1503" t="s">
        <v>3487</v>
      </c>
      <c r="F1503" s="1">
        <v>46074.136180555557</v>
      </c>
      <c r="G1503" t="s">
        <v>105</v>
      </c>
      <c r="H1503" t="s">
        <v>106</v>
      </c>
      <c r="I1503" t="s">
        <v>789</v>
      </c>
      <c r="J1503" t="s">
        <v>108</v>
      </c>
      <c r="K1503" t="s">
        <v>109</v>
      </c>
      <c r="M1503" t="s">
        <v>47</v>
      </c>
      <c r="O1503" t="s">
        <v>77</v>
      </c>
      <c r="P1503" t="s">
        <v>78</v>
      </c>
      <c r="Q1503" t="s">
        <v>50</v>
      </c>
      <c r="R1503" t="s">
        <v>111</v>
      </c>
      <c r="S1503" t="s">
        <v>51</v>
      </c>
      <c r="T1503" t="s">
        <v>112</v>
      </c>
      <c r="U1503" s="1">
        <v>46075.270775462966</v>
      </c>
      <c r="V1503" t="s">
        <v>54</v>
      </c>
      <c r="W1503" t="s">
        <v>55</v>
      </c>
      <c r="X1503" t="s">
        <v>113</v>
      </c>
      <c r="Y1503" t="s">
        <v>6437</v>
      </c>
      <c r="Z1503" t="s">
        <v>5594</v>
      </c>
      <c r="AA1503" t="s">
        <v>54</v>
      </c>
      <c r="AB1503" t="s">
        <v>115</v>
      </c>
      <c r="AC1503" t="s">
        <v>85</v>
      </c>
      <c r="AD1503" t="s">
        <v>116</v>
      </c>
      <c r="AE1503" t="s">
        <v>117</v>
      </c>
      <c r="AF1503" t="s">
        <v>664</v>
      </c>
      <c r="AG1503" t="s">
        <v>5594</v>
      </c>
      <c r="AH1503" t="s">
        <v>3491</v>
      </c>
      <c r="AK1503">
        <v>1</v>
      </c>
      <c r="AL1503" t="s">
        <v>61</v>
      </c>
      <c r="AM1503" t="s">
        <v>3492</v>
      </c>
      <c r="AN1503" t="s">
        <v>3493</v>
      </c>
    </row>
    <row r="1504" spans="1:40" x14ac:dyDescent="0.35">
      <c r="A1504" t="s">
        <v>37</v>
      </c>
      <c r="B1504" t="s">
        <v>6438</v>
      </c>
      <c r="C1504" t="s">
        <v>102</v>
      </c>
      <c r="D1504" t="s">
        <v>3486</v>
      </c>
      <c r="E1504" t="s">
        <v>3487</v>
      </c>
      <c r="F1504" s="1">
        <v>46074.135578703703</v>
      </c>
      <c r="G1504" t="s">
        <v>105</v>
      </c>
      <c r="H1504" t="s">
        <v>106</v>
      </c>
      <c r="I1504" t="s">
        <v>1957</v>
      </c>
      <c r="J1504" t="s">
        <v>108</v>
      </c>
      <c r="K1504" t="s">
        <v>109</v>
      </c>
      <c r="M1504" t="s">
        <v>47</v>
      </c>
      <c r="O1504" t="s">
        <v>77</v>
      </c>
      <c r="P1504" t="s">
        <v>78</v>
      </c>
      <c r="Q1504" t="s">
        <v>50</v>
      </c>
      <c r="R1504" t="s">
        <v>111</v>
      </c>
      <c r="S1504" t="s">
        <v>51</v>
      </c>
      <c r="T1504" t="s">
        <v>112</v>
      </c>
      <c r="U1504" s="1">
        <v>46075.565034722225</v>
      </c>
      <c r="V1504" t="s">
        <v>54</v>
      </c>
      <c r="W1504" t="s">
        <v>55</v>
      </c>
      <c r="X1504" t="s">
        <v>113</v>
      </c>
      <c r="Y1504" t="s">
        <v>6439</v>
      </c>
      <c r="Z1504" t="s">
        <v>5594</v>
      </c>
      <c r="AA1504" t="s">
        <v>54</v>
      </c>
      <c r="AB1504" t="s">
        <v>115</v>
      </c>
      <c r="AC1504" t="s">
        <v>85</v>
      </c>
      <c r="AD1504" t="s">
        <v>116</v>
      </c>
      <c r="AE1504" t="s">
        <v>117</v>
      </c>
      <c r="AF1504" t="s">
        <v>664</v>
      </c>
      <c r="AG1504" t="s">
        <v>5594</v>
      </c>
      <c r="AH1504" t="s">
        <v>3491</v>
      </c>
      <c r="AK1504">
        <v>1</v>
      </c>
      <c r="AL1504" t="s">
        <v>61</v>
      </c>
      <c r="AM1504" t="s">
        <v>3492</v>
      </c>
      <c r="AN1504" t="s">
        <v>3493</v>
      </c>
    </row>
    <row r="1505" spans="1:40" x14ac:dyDescent="0.35">
      <c r="A1505" t="s">
        <v>37</v>
      </c>
      <c r="B1505" t="s">
        <v>6440</v>
      </c>
      <c r="C1505" t="s">
        <v>39</v>
      </c>
      <c r="D1505" t="s">
        <v>40</v>
      </c>
      <c r="E1505" t="s">
        <v>41</v>
      </c>
      <c r="F1505" s="1">
        <v>46074.128055555557</v>
      </c>
      <c r="G1505" t="s">
        <v>42</v>
      </c>
      <c r="H1505" t="s">
        <v>43</v>
      </c>
      <c r="I1505" t="s">
        <v>6441</v>
      </c>
      <c r="J1505" t="s">
        <v>45</v>
      </c>
      <c r="K1505" t="s">
        <v>46</v>
      </c>
      <c r="M1505" t="s">
        <v>47</v>
      </c>
      <c r="O1505" t="s">
        <v>48</v>
      </c>
      <c r="P1505" t="s">
        <v>49</v>
      </c>
      <c r="Q1505" t="s">
        <v>50</v>
      </c>
      <c r="R1505" t="s">
        <v>51</v>
      </c>
      <c r="S1505" t="s">
        <v>52</v>
      </c>
      <c r="T1505" t="s">
        <v>53</v>
      </c>
      <c r="U1505" s="1">
        <v>46074.129155092596</v>
      </c>
      <c r="V1505" t="s">
        <v>54</v>
      </c>
      <c r="W1505" t="s">
        <v>55</v>
      </c>
      <c r="X1505" t="s">
        <v>56</v>
      </c>
      <c r="Y1505" t="s">
        <v>57</v>
      </c>
      <c r="Z1505" t="s">
        <v>5594</v>
      </c>
      <c r="AA1505" t="s">
        <v>54</v>
      </c>
      <c r="AB1505" t="s">
        <v>59</v>
      </c>
      <c r="AC1505" t="s">
        <v>60</v>
      </c>
      <c r="AD1505" t="s">
        <v>51</v>
      </c>
      <c r="AE1505" t="s">
        <v>52</v>
      </c>
      <c r="AF1505" t="s">
        <v>53</v>
      </c>
      <c r="AG1505" t="s">
        <v>5594</v>
      </c>
      <c r="AK1505">
        <v>0</v>
      </c>
      <c r="AL1505" t="s">
        <v>61</v>
      </c>
      <c r="AM1505" t="s">
        <v>59</v>
      </c>
      <c r="AN1505" t="s">
        <v>62</v>
      </c>
    </row>
    <row r="1506" spans="1:40" x14ac:dyDescent="0.35">
      <c r="A1506" t="s">
        <v>37</v>
      </c>
      <c r="B1506" t="s">
        <v>6442</v>
      </c>
      <c r="C1506" t="s">
        <v>102</v>
      </c>
      <c r="D1506" t="s">
        <v>1698</v>
      </c>
      <c r="E1506" t="s">
        <v>584</v>
      </c>
      <c r="F1506" s="1">
        <v>46074.105555555558</v>
      </c>
      <c r="G1506" t="s">
        <v>105</v>
      </c>
      <c r="H1506" t="s">
        <v>106</v>
      </c>
      <c r="I1506" t="s">
        <v>1949</v>
      </c>
      <c r="J1506" t="s">
        <v>108</v>
      </c>
      <c r="K1506" t="s">
        <v>571</v>
      </c>
      <c r="M1506" t="s">
        <v>47</v>
      </c>
      <c r="O1506" t="s">
        <v>77</v>
      </c>
      <c r="P1506" t="s">
        <v>78</v>
      </c>
      <c r="Q1506" t="s">
        <v>50</v>
      </c>
      <c r="R1506" t="s">
        <v>111</v>
      </c>
      <c r="S1506" t="s">
        <v>51</v>
      </c>
      <c r="T1506" t="s">
        <v>112</v>
      </c>
      <c r="U1506" s="1">
        <v>46074.349085648151</v>
      </c>
      <c r="V1506" t="s">
        <v>54</v>
      </c>
      <c r="W1506" t="s">
        <v>55</v>
      </c>
      <c r="X1506" t="s">
        <v>134</v>
      </c>
      <c r="Y1506" t="s">
        <v>1680</v>
      </c>
      <c r="Z1506" t="s">
        <v>5594</v>
      </c>
      <c r="AA1506" t="s">
        <v>54</v>
      </c>
      <c r="AB1506" t="s">
        <v>1701</v>
      </c>
      <c r="AC1506" t="s">
        <v>85</v>
      </c>
      <c r="AD1506" t="s">
        <v>116</v>
      </c>
      <c r="AE1506" t="s">
        <v>574</v>
      </c>
      <c r="AF1506" t="s">
        <v>144</v>
      </c>
      <c r="AG1506" t="s">
        <v>5594</v>
      </c>
      <c r="AK1506">
        <v>1</v>
      </c>
      <c r="AL1506" t="s">
        <v>61</v>
      </c>
      <c r="AM1506" t="s">
        <v>1701</v>
      </c>
      <c r="AN1506" t="s">
        <v>1702</v>
      </c>
    </row>
    <row r="1507" spans="1:40" x14ac:dyDescent="0.35">
      <c r="A1507" t="s">
        <v>37</v>
      </c>
      <c r="B1507" t="s">
        <v>6443</v>
      </c>
      <c r="C1507" t="s">
        <v>102</v>
      </c>
      <c r="D1507" t="s">
        <v>1698</v>
      </c>
      <c r="E1507" t="s">
        <v>584</v>
      </c>
      <c r="F1507" s="1">
        <v>46074.092974537038</v>
      </c>
      <c r="G1507" t="s">
        <v>105</v>
      </c>
      <c r="H1507" t="s">
        <v>106</v>
      </c>
      <c r="I1507" t="s">
        <v>3825</v>
      </c>
      <c r="J1507" t="s">
        <v>108</v>
      </c>
      <c r="K1507" t="s">
        <v>109</v>
      </c>
      <c r="M1507" t="s">
        <v>47</v>
      </c>
      <c r="O1507" t="s">
        <v>77</v>
      </c>
      <c r="P1507" t="s">
        <v>78</v>
      </c>
      <c r="Q1507" t="s">
        <v>50</v>
      </c>
      <c r="R1507" t="s">
        <v>111</v>
      </c>
      <c r="S1507" t="s">
        <v>51</v>
      </c>
      <c r="T1507" t="s">
        <v>112</v>
      </c>
      <c r="U1507" s="1">
        <v>46074.318923611114</v>
      </c>
      <c r="V1507" t="s">
        <v>54</v>
      </c>
      <c r="W1507" t="s">
        <v>55</v>
      </c>
      <c r="X1507" t="s">
        <v>134</v>
      </c>
      <c r="Y1507" t="s">
        <v>6444</v>
      </c>
      <c r="Z1507" t="s">
        <v>5594</v>
      </c>
      <c r="AA1507" t="s">
        <v>54</v>
      </c>
      <c r="AB1507" t="s">
        <v>1701</v>
      </c>
      <c r="AC1507" t="s">
        <v>85</v>
      </c>
      <c r="AD1507" t="s">
        <v>116</v>
      </c>
      <c r="AE1507" t="s">
        <v>334</v>
      </c>
      <c r="AF1507" t="s">
        <v>335</v>
      </c>
      <c r="AG1507" t="s">
        <v>5594</v>
      </c>
      <c r="AK1507">
        <v>1</v>
      </c>
      <c r="AL1507" t="s">
        <v>61</v>
      </c>
      <c r="AM1507" t="s">
        <v>1701</v>
      </c>
      <c r="AN1507" t="s">
        <v>1702</v>
      </c>
    </row>
    <row r="1508" spans="1:40" x14ac:dyDescent="0.35">
      <c r="A1508" t="s">
        <v>37</v>
      </c>
      <c r="B1508" t="s">
        <v>6445</v>
      </c>
      <c r="C1508" t="s">
        <v>39</v>
      </c>
      <c r="D1508" t="s">
        <v>40</v>
      </c>
      <c r="E1508" t="s">
        <v>41</v>
      </c>
      <c r="F1508" s="1">
        <v>46074.088877314818</v>
      </c>
      <c r="G1508" t="s">
        <v>42</v>
      </c>
      <c r="H1508" t="s">
        <v>43</v>
      </c>
      <c r="I1508" t="s">
        <v>6446</v>
      </c>
      <c r="J1508" t="s">
        <v>45</v>
      </c>
      <c r="K1508" t="s">
        <v>46</v>
      </c>
      <c r="M1508" t="s">
        <v>47</v>
      </c>
      <c r="O1508" t="s">
        <v>48</v>
      </c>
      <c r="P1508" t="s">
        <v>49</v>
      </c>
      <c r="Q1508" t="s">
        <v>50</v>
      </c>
      <c r="R1508" t="s">
        <v>51</v>
      </c>
      <c r="S1508" t="s">
        <v>52</v>
      </c>
      <c r="T1508" t="s">
        <v>53</v>
      </c>
      <c r="U1508" s="1">
        <v>46074.089479166665</v>
      </c>
      <c r="V1508" t="s">
        <v>54</v>
      </c>
      <c r="W1508" t="s">
        <v>55</v>
      </c>
      <c r="X1508" t="s">
        <v>56</v>
      </c>
      <c r="Y1508" t="s">
        <v>65</v>
      </c>
      <c r="Z1508" t="s">
        <v>5594</v>
      </c>
      <c r="AA1508" t="s">
        <v>54</v>
      </c>
      <c r="AB1508" t="s">
        <v>59</v>
      </c>
      <c r="AC1508" t="s">
        <v>60</v>
      </c>
      <c r="AD1508" t="s">
        <v>51</v>
      </c>
      <c r="AE1508" t="s">
        <v>52</v>
      </c>
      <c r="AF1508" t="s">
        <v>53</v>
      </c>
      <c r="AG1508" t="s">
        <v>5594</v>
      </c>
      <c r="AK1508">
        <v>0</v>
      </c>
      <c r="AL1508" t="s">
        <v>61</v>
      </c>
      <c r="AM1508" t="s">
        <v>59</v>
      </c>
      <c r="AN1508" t="s">
        <v>62</v>
      </c>
    </row>
    <row r="1509" spans="1:40" x14ac:dyDescent="0.35">
      <c r="A1509" t="s">
        <v>37</v>
      </c>
      <c r="B1509" t="s">
        <v>6447</v>
      </c>
      <c r="C1509" t="s">
        <v>102</v>
      </c>
      <c r="D1509" t="s">
        <v>3486</v>
      </c>
      <c r="E1509" t="s">
        <v>3487</v>
      </c>
      <c r="F1509" s="1">
        <v>46074.082928240743</v>
      </c>
      <c r="G1509" t="s">
        <v>105</v>
      </c>
      <c r="H1509" t="s">
        <v>106</v>
      </c>
      <c r="I1509" t="s">
        <v>6448</v>
      </c>
      <c r="J1509" t="s">
        <v>108</v>
      </c>
      <c r="K1509" t="s">
        <v>571</v>
      </c>
      <c r="M1509" t="s">
        <v>47</v>
      </c>
      <c r="O1509" t="s">
        <v>77</v>
      </c>
      <c r="P1509" t="s">
        <v>78</v>
      </c>
      <c r="Q1509" t="s">
        <v>50</v>
      </c>
      <c r="R1509" t="s">
        <v>111</v>
      </c>
      <c r="S1509" t="s">
        <v>51</v>
      </c>
      <c r="T1509" t="s">
        <v>112</v>
      </c>
      <c r="U1509" s="1">
        <v>46074.642777777779</v>
      </c>
      <c r="V1509" t="s">
        <v>54</v>
      </c>
      <c r="W1509" t="s">
        <v>55</v>
      </c>
      <c r="X1509" t="s">
        <v>113</v>
      </c>
      <c r="Y1509" t="s">
        <v>6449</v>
      </c>
      <c r="Z1509" t="s">
        <v>5594</v>
      </c>
      <c r="AA1509" t="s">
        <v>54</v>
      </c>
      <c r="AB1509" t="s">
        <v>115</v>
      </c>
      <c r="AC1509" t="s">
        <v>85</v>
      </c>
      <c r="AD1509" t="s">
        <v>116</v>
      </c>
      <c r="AE1509" t="s">
        <v>1541</v>
      </c>
      <c r="AF1509" t="s">
        <v>144</v>
      </c>
      <c r="AG1509" t="s">
        <v>5594</v>
      </c>
      <c r="AH1509" t="s">
        <v>3491</v>
      </c>
      <c r="AK1509">
        <v>1</v>
      </c>
      <c r="AL1509" t="s">
        <v>61</v>
      </c>
      <c r="AM1509" t="s">
        <v>3492</v>
      </c>
      <c r="AN1509" t="s">
        <v>3493</v>
      </c>
    </row>
    <row r="1510" spans="1:40" x14ac:dyDescent="0.35">
      <c r="A1510" t="s">
        <v>37</v>
      </c>
      <c r="B1510" t="s">
        <v>6450</v>
      </c>
      <c r="C1510" t="s">
        <v>102</v>
      </c>
      <c r="D1510" t="s">
        <v>3486</v>
      </c>
      <c r="E1510" t="s">
        <v>3487</v>
      </c>
      <c r="F1510" s="1">
        <v>46074.081122685187</v>
      </c>
      <c r="G1510" t="s">
        <v>105</v>
      </c>
      <c r="H1510" t="s">
        <v>106</v>
      </c>
      <c r="I1510" t="s">
        <v>6448</v>
      </c>
      <c r="J1510" t="s">
        <v>108</v>
      </c>
      <c r="K1510" t="s">
        <v>109</v>
      </c>
      <c r="M1510" t="s">
        <v>47</v>
      </c>
      <c r="O1510" t="s">
        <v>77</v>
      </c>
      <c r="P1510" t="s">
        <v>78</v>
      </c>
      <c r="Q1510" t="s">
        <v>50</v>
      </c>
      <c r="R1510" t="s">
        <v>111</v>
      </c>
      <c r="S1510" t="s">
        <v>51</v>
      </c>
      <c r="T1510" t="s">
        <v>112</v>
      </c>
      <c r="U1510" s="1">
        <v>46074.082175925927</v>
      </c>
      <c r="V1510" t="s">
        <v>54</v>
      </c>
      <c r="W1510" t="s">
        <v>55</v>
      </c>
      <c r="X1510" t="s">
        <v>113</v>
      </c>
      <c r="Y1510" t="s">
        <v>6041</v>
      </c>
      <c r="Z1510" t="s">
        <v>5594</v>
      </c>
      <c r="AA1510" t="s">
        <v>54</v>
      </c>
      <c r="AB1510" t="s">
        <v>115</v>
      </c>
      <c r="AC1510" t="s">
        <v>85</v>
      </c>
      <c r="AD1510" t="s">
        <v>116</v>
      </c>
      <c r="AE1510" t="s">
        <v>1541</v>
      </c>
      <c r="AF1510" t="s">
        <v>144</v>
      </c>
      <c r="AG1510" t="s">
        <v>5594</v>
      </c>
      <c r="AH1510" t="s">
        <v>3491</v>
      </c>
      <c r="AK1510">
        <v>1</v>
      </c>
      <c r="AL1510" t="s">
        <v>61</v>
      </c>
      <c r="AM1510" t="s">
        <v>3492</v>
      </c>
      <c r="AN1510" t="s">
        <v>3493</v>
      </c>
    </row>
    <row r="1511" spans="1:40" x14ac:dyDescent="0.35">
      <c r="A1511" t="s">
        <v>37</v>
      </c>
      <c r="B1511" t="s">
        <v>6451</v>
      </c>
      <c r="C1511" t="s">
        <v>102</v>
      </c>
      <c r="D1511" t="s">
        <v>1698</v>
      </c>
      <c r="E1511" t="s">
        <v>584</v>
      </c>
      <c r="F1511" s="1">
        <v>46074.079745370371</v>
      </c>
      <c r="G1511" t="s">
        <v>105</v>
      </c>
      <c r="H1511" t="s">
        <v>106</v>
      </c>
      <c r="I1511" t="s">
        <v>6452</v>
      </c>
      <c r="J1511" t="s">
        <v>108</v>
      </c>
      <c r="K1511" t="s">
        <v>109</v>
      </c>
      <c r="M1511" t="s">
        <v>47</v>
      </c>
      <c r="O1511" t="s">
        <v>77</v>
      </c>
      <c r="P1511" t="s">
        <v>78</v>
      </c>
      <c r="Q1511" t="s">
        <v>50</v>
      </c>
      <c r="R1511" t="s">
        <v>111</v>
      </c>
      <c r="S1511" t="s">
        <v>51</v>
      </c>
      <c r="T1511" t="s">
        <v>1583</v>
      </c>
      <c r="U1511" s="1">
        <v>46074.377083333333</v>
      </c>
      <c r="V1511" t="s">
        <v>54</v>
      </c>
      <c r="W1511" t="s">
        <v>55</v>
      </c>
      <c r="X1511" t="s">
        <v>134</v>
      </c>
      <c r="Y1511" t="s">
        <v>6453</v>
      </c>
      <c r="Z1511" t="s">
        <v>5594</v>
      </c>
      <c r="AA1511" t="s">
        <v>54</v>
      </c>
      <c r="AB1511" t="s">
        <v>1701</v>
      </c>
      <c r="AC1511" t="s">
        <v>85</v>
      </c>
      <c r="AD1511" t="s">
        <v>116</v>
      </c>
      <c r="AE1511" t="s">
        <v>1586</v>
      </c>
      <c r="AF1511" t="s">
        <v>3110</v>
      </c>
      <c r="AG1511" t="s">
        <v>5594</v>
      </c>
      <c r="AK1511">
        <v>1</v>
      </c>
      <c r="AL1511" t="s">
        <v>61</v>
      </c>
      <c r="AM1511" t="s">
        <v>1701</v>
      </c>
      <c r="AN1511" t="s">
        <v>1702</v>
      </c>
    </row>
    <row r="1512" spans="1:40" x14ac:dyDescent="0.35">
      <c r="A1512" t="s">
        <v>37</v>
      </c>
      <c r="B1512" t="s">
        <v>6454</v>
      </c>
      <c r="C1512" t="s">
        <v>39</v>
      </c>
      <c r="D1512" t="s">
        <v>40</v>
      </c>
      <c r="E1512" t="s">
        <v>41</v>
      </c>
      <c r="F1512" s="1">
        <v>46074.077939814815</v>
      </c>
      <c r="G1512" t="s">
        <v>42</v>
      </c>
      <c r="H1512" t="s">
        <v>43</v>
      </c>
      <c r="I1512" t="s">
        <v>6455</v>
      </c>
      <c r="J1512" t="s">
        <v>45</v>
      </c>
      <c r="K1512" t="s">
        <v>46</v>
      </c>
      <c r="M1512" t="s">
        <v>47</v>
      </c>
      <c r="O1512" t="s">
        <v>48</v>
      </c>
      <c r="P1512" t="s">
        <v>49</v>
      </c>
      <c r="Q1512" t="s">
        <v>50</v>
      </c>
      <c r="R1512" t="s">
        <v>51</v>
      </c>
      <c r="S1512" t="s">
        <v>52</v>
      </c>
      <c r="T1512" t="s">
        <v>53</v>
      </c>
      <c r="U1512" s="1">
        <v>46074.078726851854</v>
      </c>
      <c r="V1512" t="s">
        <v>54</v>
      </c>
      <c r="W1512" t="s">
        <v>55</v>
      </c>
      <c r="X1512" t="s">
        <v>56</v>
      </c>
      <c r="Y1512" t="s">
        <v>57</v>
      </c>
      <c r="Z1512" t="s">
        <v>5594</v>
      </c>
      <c r="AA1512" t="s">
        <v>54</v>
      </c>
      <c r="AB1512" t="s">
        <v>59</v>
      </c>
      <c r="AC1512" t="s">
        <v>60</v>
      </c>
      <c r="AD1512" t="s">
        <v>51</v>
      </c>
      <c r="AE1512" t="s">
        <v>52</v>
      </c>
      <c r="AF1512" t="s">
        <v>53</v>
      </c>
      <c r="AG1512" t="s">
        <v>5594</v>
      </c>
      <c r="AK1512">
        <v>0</v>
      </c>
      <c r="AL1512" t="s">
        <v>61</v>
      </c>
      <c r="AM1512" t="s">
        <v>59</v>
      </c>
      <c r="AN1512" t="s">
        <v>62</v>
      </c>
    </row>
    <row r="1513" spans="1:40" x14ac:dyDescent="0.35">
      <c r="A1513" t="s">
        <v>37</v>
      </c>
      <c r="B1513" t="s">
        <v>6456</v>
      </c>
      <c r="C1513" t="s">
        <v>102</v>
      </c>
      <c r="D1513" t="s">
        <v>1698</v>
      </c>
      <c r="E1513" t="s">
        <v>584</v>
      </c>
      <c r="F1513" s="1">
        <v>46074.059513888889</v>
      </c>
      <c r="G1513" t="s">
        <v>105</v>
      </c>
      <c r="H1513" t="s">
        <v>106</v>
      </c>
      <c r="I1513" t="s">
        <v>6457</v>
      </c>
      <c r="J1513" t="s">
        <v>108</v>
      </c>
      <c r="K1513" t="s">
        <v>109</v>
      </c>
      <c r="M1513" t="s">
        <v>47</v>
      </c>
      <c r="O1513" t="s">
        <v>77</v>
      </c>
      <c r="P1513" t="s">
        <v>78</v>
      </c>
      <c r="Q1513" t="s">
        <v>50</v>
      </c>
      <c r="R1513" t="s">
        <v>111</v>
      </c>
      <c r="S1513" t="s">
        <v>51</v>
      </c>
      <c r="T1513" t="s">
        <v>1583</v>
      </c>
      <c r="U1513" s="1">
        <v>46074.376770833333</v>
      </c>
      <c r="V1513" t="s">
        <v>54</v>
      </c>
      <c r="W1513" t="s">
        <v>55</v>
      </c>
      <c r="X1513" t="s">
        <v>134</v>
      </c>
      <c r="Y1513" t="s">
        <v>6458</v>
      </c>
      <c r="Z1513" t="s">
        <v>5594</v>
      </c>
      <c r="AA1513" t="s">
        <v>54</v>
      </c>
      <c r="AB1513" t="s">
        <v>1701</v>
      </c>
      <c r="AC1513" t="s">
        <v>85</v>
      </c>
      <c r="AD1513" t="s">
        <v>116</v>
      </c>
      <c r="AE1513" t="s">
        <v>1586</v>
      </c>
      <c r="AF1513" t="s">
        <v>3110</v>
      </c>
      <c r="AG1513" t="s">
        <v>5594</v>
      </c>
      <c r="AK1513">
        <v>1</v>
      </c>
      <c r="AL1513" t="s">
        <v>61</v>
      </c>
      <c r="AM1513" t="s">
        <v>1701</v>
      </c>
      <c r="AN1513" t="s">
        <v>1702</v>
      </c>
    </row>
    <row r="1514" spans="1:40" x14ac:dyDescent="0.35">
      <c r="A1514" t="s">
        <v>37</v>
      </c>
      <c r="B1514" t="s">
        <v>6459</v>
      </c>
      <c r="C1514" t="s">
        <v>39</v>
      </c>
      <c r="D1514" t="s">
        <v>40</v>
      </c>
      <c r="E1514" t="s">
        <v>41</v>
      </c>
      <c r="F1514" s="1">
        <v>46074.023935185185</v>
      </c>
      <c r="G1514" t="s">
        <v>42</v>
      </c>
      <c r="H1514" t="s">
        <v>43</v>
      </c>
      <c r="I1514" t="s">
        <v>6460</v>
      </c>
      <c r="J1514" t="s">
        <v>45</v>
      </c>
      <c r="K1514" t="s">
        <v>46</v>
      </c>
      <c r="M1514" t="s">
        <v>47</v>
      </c>
      <c r="O1514" t="s">
        <v>48</v>
      </c>
      <c r="P1514" t="s">
        <v>49</v>
      </c>
      <c r="Q1514" t="s">
        <v>50</v>
      </c>
      <c r="R1514" t="s">
        <v>51</v>
      </c>
      <c r="S1514" t="s">
        <v>52</v>
      </c>
      <c r="T1514" t="s">
        <v>53</v>
      </c>
      <c r="U1514" s="1">
        <v>46074.024953703702</v>
      </c>
      <c r="V1514" t="s">
        <v>54</v>
      </c>
      <c r="W1514" t="s">
        <v>55</v>
      </c>
      <c r="X1514" t="s">
        <v>56</v>
      </c>
      <c r="Y1514" t="s">
        <v>57</v>
      </c>
      <c r="Z1514" t="s">
        <v>5594</v>
      </c>
      <c r="AA1514" t="s">
        <v>54</v>
      </c>
      <c r="AB1514" t="s">
        <v>59</v>
      </c>
      <c r="AC1514" t="s">
        <v>60</v>
      </c>
      <c r="AD1514" t="s">
        <v>51</v>
      </c>
      <c r="AE1514" t="s">
        <v>52</v>
      </c>
      <c r="AF1514" t="s">
        <v>53</v>
      </c>
      <c r="AG1514" t="s">
        <v>5594</v>
      </c>
      <c r="AK1514">
        <v>0</v>
      </c>
      <c r="AL1514" t="s">
        <v>61</v>
      </c>
      <c r="AM1514" t="s">
        <v>59</v>
      </c>
      <c r="AN1514" t="s">
        <v>62</v>
      </c>
    </row>
    <row r="1515" spans="1:40" x14ac:dyDescent="0.35">
      <c r="A1515" t="s">
        <v>37</v>
      </c>
      <c r="B1515" t="s">
        <v>6461</v>
      </c>
      <c r="C1515" t="s">
        <v>102</v>
      </c>
      <c r="D1515" t="s">
        <v>181</v>
      </c>
      <c r="E1515" t="s">
        <v>182</v>
      </c>
      <c r="F1515" s="1">
        <v>46073.9846875</v>
      </c>
      <c r="G1515" t="s">
        <v>105</v>
      </c>
      <c r="H1515" t="s">
        <v>106</v>
      </c>
      <c r="I1515" t="s">
        <v>2876</v>
      </c>
      <c r="J1515" t="s">
        <v>108</v>
      </c>
      <c r="K1515" t="s">
        <v>109</v>
      </c>
      <c r="M1515" t="s">
        <v>47</v>
      </c>
      <c r="O1515" t="s">
        <v>77</v>
      </c>
      <c r="P1515" t="s">
        <v>78</v>
      </c>
      <c r="Q1515" t="s">
        <v>50</v>
      </c>
      <c r="R1515" t="s">
        <v>111</v>
      </c>
      <c r="S1515" t="s">
        <v>51</v>
      </c>
      <c r="T1515" t="s">
        <v>112</v>
      </c>
      <c r="U1515" s="1">
        <v>46074.083807870367</v>
      </c>
      <c r="V1515" t="s">
        <v>54</v>
      </c>
      <c r="W1515" t="s">
        <v>55</v>
      </c>
      <c r="X1515" t="s">
        <v>82</v>
      </c>
      <c r="Y1515" t="s">
        <v>6462</v>
      </c>
      <c r="Z1515" t="s">
        <v>5594</v>
      </c>
      <c r="AA1515" t="s">
        <v>54</v>
      </c>
      <c r="AB1515" t="s">
        <v>115</v>
      </c>
      <c r="AC1515" t="s">
        <v>85</v>
      </c>
      <c r="AD1515" t="s">
        <v>116</v>
      </c>
      <c r="AE1515" t="s">
        <v>117</v>
      </c>
      <c r="AF1515" t="s">
        <v>118</v>
      </c>
      <c r="AG1515" t="s">
        <v>5594</v>
      </c>
      <c r="AH1515" t="s">
        <v>185</v>
      </c>
      <c r="AK1515">
        <v>1</v>
      </c>
      <c r="AL1515" t="s">
        <v>61</v>
      </c>
      <c r="AM1515" t="s">
        <v>186</v>
      </c>
      <c r="AN1515" t="s">
        <v>187</v>
      </c>
    </row>
    <row r="1516" spans="1:40" x14ac:dyDescent="0.35">
      <c r="A1516" t="s">
        <v>37</v>
      </c>
      <c r="B1516" t="s">
        <v>6463</v>
      </c>
      <c r="C1516" t="s">
        <v>39</v>
      </c>
      <c r="D1516" t="s">
        <v>6464</v>
      </c>
      <c r="E1516" t="s">
        <v>1146</v>
      </c>
      <c r="F1516" s="1">
        <v>46073.964872685188</v>
      </c>
      <c r="G1516" t="s">
        <v>170</v>
      </c>
      <c r="H1516" t="s">
        <v>92</v>
      </c>
      <c r="I1516" t="s">
        <v>171</v>
      </c>
      <c r="J1516" t="s">
        <v>1015</v>
      </c>
      <c r="K1516" t="s">
        <v>75</v>
      </c>
      <c r="M1516" t="s">
        <v>47</v>
      </c>
      <c r="O1516" t="s">
        <v>77</v>
      </c>
      <c r="P1516" t="s">
        <v>78</v>
      </c>
      <c r="Q1516" t="s">
        <v>50</v>
      </c>
      <c r="R1516" t="s">
        <v>79</v>
      </c>
      <c r="S1516" t="s">
        <v>172</v>
      </c>
      <c r="T1516" t="s">
        <v>173</v>
      </c>
      <c r="U1516" s="1">
        <v>46073.965601851851</v>
      </c>
      <c r="V1516" t="s">
        <v>54</v>
      </c>
      <c r="W1516" t="s">
        <v>55</v>
      </c>
      <c r="X1516" t="s">
        <v>82</v>
      </c>
      <c r="Y1516" t="s">
        <v>6465</v>
      </c>
      <c r="Z1516" t="s">
        <v>5594</v>
      </c>
      <c r="AA1516" t="s">
        <v>54</v>
      </c>
      <c r="AB1516" t="s">
        <v>954</v>
      </c>
      <c r="AC1516" t="s">
        <v>85</v>
      </c>
      <c r="AD1516" t="s">
        <v>79</v>
      </c>
      <c r="AE1516" t="s">
        <v>172</v>
      </c>
      <c r="AF1516" t="s">
        <v>173</v>
      </c>
      <c r="AG1516" t="s">
        <v>5594</v>
      </c>
      <c r="AH1516" t="s">
        <v>6466</v>
      </c>
      <c r="AK1516">
        <v>0</v>
      </c>
      <c r="AL1516" t="s">
        <v>61</v>
      </c>
      <c r="AM1516" t="s">
        <v>6467</v>
      </c>
      <c r="AN1516" t="s">
        <v>6468</v>
      </c>
    </row>
    <row r="1517" spans="1:40" x14ac:dyDescent="0.35">
      <c r="A1517" t="s">
        <v>37</v>
      </c>
      <c r="B1517" t="s">
        <v>6469</v>
      </c>
      <c r="C1517" t="s">
        <v>39</v>
      </c>
      <c r="D1517" t="s">
        <v>444</v>
      </c>
      <c r="E1517" t="s">
        <v>90</v>
      </c>
      <c r="F1517" s="1">
        <v>46073.958784722221</v>
      </c>
      <c r="G1517" t="s">
        <v>793</v>
      </c>
      <c r="H1517" t="s">
        <v>356</v>
      </c>
      <c r="I1517" t="s">
        <v>6470</v>
      </c>
      <c r="J1517" t="s">
        <v>1833</v>
      </c>
      <c r="K1517" t="s">
        <v>1834</v>
      </c>
      <c r="M1517" t="s">
        <v>76</v>
      </c>
      <c r="O1517" t="s">
        <v>237</v>
      </c>
      <c r="P1517" t="s">
        <v>238</v>
      </c>
      <c r="Q1517" t="s">
        <v>50</v>
      </c>
      <c r="R1517" t="s">
        <v>51</v>
      </c>
      <c r="S1517" t="s">
        <v>52</v>
      </c>
      <c r="T1517" t="s">
        <v>240</v>
      </c>
      <c r="U1517" s="1">
        <v>46076.568414351852</v>
      </c>
      <c r="V1517" t="s">
        <v>54</v>
      </c>
      <c r="W1517" t="s">
        <v>55</v>
      </c>
      <c r="X1517" t="s">
        <v>211</v>
      </c>
      <c r="Y1517" t="s">
        <v>6471</v>
      </c>
      <c r="Z1517" t="s">
        <v>58</v>
      </c>
      <c r="AA1517" t="s">
        <v>54</v>
      </c>
      <c r="AB1517" t="s">
        <v>213</v>
      </c>
      <c r="AC1517" t="s">
        <v>242</v>
      </c>
      <c r="AD1517" t="s">
        <v>52</v>
      </c>
      <c r="AE1517" t="s">
        <v>243</v>
      </c>
      <c r="AF1517" t="s">
        <v>1470</v>
      </c>
      <c r="AG1517" t="s">
        <v>58</v>
      </c>
      <c r="AH1517">
        <v>14495</v>
      </c>
      <c r="AK1517">
        <v>1</v>
      </c>
      <c r="AL1517" t="s">
        <v>61</v>
      </c>
      <c r="AM1517" t="s">
        <v>6472</v>
      </c>
      <c r="AN1517" t="s">
        <v>6473</v>
      </c>
    </row>
    <row r="1518" spans="1:40" x14ac:dyDescent="0.35">
      <c r="A1518" t="s">
        <v>37</v>
      </c>
      <c r="B1518" t="s">
        <v>6474</v>
      </c>
      <c r="C1518" t="s">
        <v>102</v>
      </c>
      <c r="D1518" t="s">
        <v>1698</v>
      </c>
      <c r="E1518" t="s">
        <v>584</v>
      </c>
      <c r="F1518" s="1">
        <v>46073.945474537039</v>
      </c>
      <c r="G1518" t="s">
        <v>105</v>
      </c>
      <c r="H1518" t="s">
        <v>106</v>
      </c>
      <c r="I1518" t="s">
        <v>6300</v>
      </c>
      <c r="J1518" t="s">
        <v>108</v>
      </c>
      <c r="K1518" t="s">
        <v>109</v>
      </c>
      <c r="M1518" t="s">
        <v>47</v>
      </c>
      <c r="O1518" t="s">
        <v>77</v>
      </c>
      <c r="P1518" t="s">
        <v>78</v>
      </c>
      <c r="Q1518" t="s">
        <v>50</v>
      </c>
      <c r="R1518" t="s">
        <v>111</v>
      </c>
      <c r="S1518" t="s">
        <v>51</v>
      </c>
      <c r="T1518" t="s">
        <v>112</v>
      </c>
      <c r="U1518" s="1">
        <v>46074.084386574075</v>
      </c>
      <c r="V1518" t="s">
        <v>54</v>
      </c>
      <c r="W1518" t="s">
        <v>55</v>
      </c>
      <c r="X1518" t="s">
        <v>134</v>
      </c>
      <c r="Y1518" t="s">
        <v>6475</v>
      </c>
      <c r="Z1518" t="s">
        <v>5594</v>
      </c>
      <c r="AA1518" t="s">
        <v>54</v>
      </c>
      <c r="AB1518" t="s">
        <v>1701</v>
      </c>
      <c r="AC1518" t="s">
        <v>85</v>
      </c>
      <c r="AD1518" t="s">
        <v>116</v>
      </c>
      <c r="AE1518" t="s">
        <v>117</v>
      </c>
      <c r="AF1518" t="s">
        <v>118</v>
      </c>
      <c r="AG1518" t="s">
        <v>5594</v>
      </c>
      <c r="AK1518">
        <v>1</v>
      </c>
      <c r="AL1518" t="s">
        <v>61</v>
      </c>
      <c r="AM1518" t="s">
        <v>1701</v>
      </c>
      <c r="AN1518" t="s">
        <v>1702</v>
      </c>
    </row>
    <row r="1519" spans="1:40" x14ac:dyDescent="0.35">
      <c r="A1519" t="s">
        <v>37</v>
      </c>
      <c r="B1519" t="s">
        <v>6476</v>
      </c>
      <c r="C1519" t="s">
        <v>39</v>
      </c>
      <c r="D1519" t="s">
        <v>583</v>
      </c>
      <c r="E1519" t="s">
        <v>584</v>
      </c>
      <c r="F1519" s="1">
        <v>46073.943530092591</v>
      </c>
      <c r="G1519" t="s">
        <v>585</v>
      </c>
      <c r="H1519" t="s">
        <v>356</v>
      </c>
      <c r="I1519" t="s">
        <v>6477</v>
      </c>
      <c r="J1519" t="s">
        <v>2333</v>
      </c>
      <c r="K1519" t="s">
        <v>1187</v>
      </c>
      <c r="M1519" t="s">
        <v>76</v>
      </c>
      <c r="O1519" t="s">
        <v>77</v>
      </c>
      <c r="P1519" t="s">
        <v>78</v>
      </c>
      <c r="Q1519" t="s">
        <v>50</v>
      </c>
      <c r="R1519" t="s">
        <v>79</v>
      </c>
      <c r="S1519" t="s">
        <v>1556</v>
      </c>
      <c r="T1519" t="s">
        <v>1557</v>
      </c>
      <c r="U1519" s="1">
        <v>46078.321030092593</v>
      </c>
      <c r="V1519" t="s">
        <v>54</v>
      </c>
      <c r="W1519" t="s">
        <v>55</v>
      </c>
      <c r="X1519" t="s">
        <v>134</v>
      </c>
      <c r="Y1519" t="s">
        <v>6478</v>
      </c>
      <c r="Z1519" t="s">
        <v>58</v>
      </c>
      <c r="AA1519" t="s">
        <v>54</v>
      </c>
      <c r="AB1519" t="s">
        <v>954</v>
      </c>
      <c r="AC1519" t="s">
        <v>85</v>
      </c>
      <c r="AD1519" t="s">
        <v>214</v>
      </c>
      <c r="AE1519" t="s">
        <v>6479</v>
      </c>
      <c r="AF1519" t="s">
        <v>6480</v>
      </c>
      <c r="AG1519" t="s">
        <v>58</v>
      </c>
      <c r="AK1519">
        <v>3</v>
      </c>
      <c r="AL1519" t="s">
        <v>61</v>
      </c>
      <c r="AM1519" t="s">
        <v>593</v>
      </c>
      <c r="AN1519" t="s">
        <v>594</v>
      </c>
    </row>
    <row r="1520" spans="1:40" x14ac:dyDescent="0.35">
      <c r="A1520" t="s">
        <v>37</v>
      </c>
      <c r="B1520" t="s">
        <v>6481</v>
      </c>
      <c r="C1520" t="s">
        <v>102</v>
      </c>
      <c r="D1520" t="s">
        <v>181</v>
      </c>
      <c r="E1520" t="s">
        <v>182</v>
      </c>
      <c r="F1520" s="1">
        <v>46073.939942129633</v>
      </c>
      <c r="G1520" t="s">
        <v>105</v>
      </c>
      <c r="H1520" t="s">
        <v>106</v>
      </c>
      <c r="I1520" t="s">
        <v>6482</v>
      </c>
      <c r="J1520" t="s">
        <v>108</v>
      </c>
      <c r="K1520" t="s">
        <v>109</v>
      </c>
      <c r="M1520" t="s">
        <v>47</v>
      </c>
      <c r="O1520" t="s">
        <v>77</v>
      </c>
      <c r="P1520" t="s">
        <v>78</v>
      </c>
      <c r="Q1520" t="s">
        <v>50</v>
      </c>
      <c r="R1520" t="s">
        <v>111</v>
      </c>
      <c r="S1520" t="s">
        <v>51</v>
      </c>
      <c r="T1520" t="s">
        <v>112</v>
      </c>
      <c r="U1520" s="1">
        <v>46073.946875000001</v>
      </c>
      <c r="V1520" t="s">
        <v>54</v>
      </c>
      <c r="W1520" t="s">
        <v>55</v>
      </c>
      <c r="X1520" t="s">
        <v>113</v>
      </c>
      <c r="Y1520" t="s">
        <v>6483</v>
      </c>
      <c r="Z1520" t="s">
        <v>5594</v>
      </c>
      <c r="AA1520" t="s">
        <v>54</v>
      </c>
      <c r="AB1520" t="s">
        <v>115</v>
      </c>
      <c r="AC1520" t="s">
        <v>85</v>
      </c>
      <c r="AD1520" t="s">
        <v>116</v>
      </c>
      <c r="AE1520" t="s">
        <v>117</v>
      </c>
      <c r="AF1520" t="s">
        <v>1706</v>
      </c>
      <c r="AG1520" t="s">
        <v>5594</v>
      </c>
      <c r="AH1520" t="s">
        <v>185</v>
      </c>
      <c r="AK1520">
        <v>1</v>
      </c>
      <c r="AL1520" t="s">
        <v>61</v>
      </c>
      <c r="AM1520" t="s">
        <v>186</v>
      </c>
      <c r="AN1520" t="s">
        <v>187</v>
      </c>
    </row>
    <row r="1521" spans="1:40" x14ac:dyDescent="0.35">
      <c r="A1521" t="s">
        <v>37</v>
      </c>
      <c r="B1521" t="s">
        <v>6484</v>
      </c>
      <c r="C1521" t="s">
        <v>102</v>
      </c>
      <c r="D1521" t="s">
        <v>146</v>
      </c>
      <c r="E1521" t="s">
        <v>147</v>
      </c>
      <c r="F1521" s="1">
        <v>46073.93340277778</v>
      </c>
      <c r="G1521" t="s">
        <v>71</v>
      </c>
      <c r="H1521" t="s">
        <v>72</v>
      </c>
      <c r="I1521" t="s">
        <v>6485</v>
      </c>
      <c r="J1521" t="s">
        <v>149</v>
      </c>
      <c r="K1521" t="s">
        <v>130</v>
      </c>
      <c r="M1521" t="s">
        <v>150</v>
      </c>
      <c r="O1521" t="s">
        <v>77</v>
      </c>
      <c r="P1521" t="s">
        <v>78</v>
      </c>
      <c r="Q1521" t="s">
        <v>50</v>
      </c>
      <c r="R1521" t="s">
        <v>132</v>
      </c>
      <c r="S1521" t="s">
        <v>133</v>
      </c>
      <c r="T1521" t="s">
        <v>133</v>
      </c>
      <c r="U1521" s="1">
        <v>46076.367951388886</v>
      </c>
      <c r="V1521" t="s">
        <v>54</v>
      </c>
      <c r="W1521" t="s">
        <v>55</v>
      </c>
      <c r="X1521" t="s">
        <v>82</v>
      </c>
      <c r="Y1521" t="s">
        <v>6486</v>
      </c>
      <c r="Z1521" t="s">
        <v>58</v>
      </c>
      <c r="AA1521" t="s">
        <v>54</v>
      </c>
      <c r="AB1521" t="s">
        <v>152</v>
      </c>
      <c r="AC1521" t="s">
        <v>85</v>
      </c>
      <c r="AD1521" t="s">
        <v>132</v>
      </c>
      <c r="AE1521" t="s">
        <v>133</v>
      </c>
      <c r="AF1521" t="s">
        <v>133</v>
      </c>
      <c r="AG1521" t="s">
        <v>58</v>
      </c>
      <c r="AH1521" t="s">
        <v>153</v>
      </c>
      <c r="AK1521">
        <v>1</v>
      </c>
      <c r="AL1521" t="s">
        <v>61</v>
      </c>
      <c r="AM1521" t="s">
        <v>152</v>
      </c>
      <c r="AN1521" t="s">
        <v>154</v>
      </c>
    </row>
    <row r="1522" spans="1:40" x14ac:dyDescent="0.35">
      <c r="A1522" t="s">
        <v>37</v>
      </c>
      <c r="B1522" t="s">
        <v>6487</v>
      </c>
      <c r="C1522" t="s">
        <v>102</v>
      </c>
      <c r="D1522" t="s">
        <v>181</v>
      </c>
      <c r="E1522" t="s">
        <v>182</v>
      </c>
      <c r="F1522" s="1">
        <v>46073.931307870371</v>
      </c>
      <c r="G1522" t="s">
        <v>105</v>
      </c>
      <c r="H1522" t="s">
        <v>106</v>
      </c>
      <c r="I1522" t="s">
        <v>6237</v>
      </c>
      <c r="J1522" t="s">
        <v>108</v>
      </c>
      <c r="K1522" t="s">
        <v>341</v>
      </c>
      <c r="M1522" t="s">
        <v>47</v>
      </c>
      <c r="O1522" t="s">
        <v>77</v>
      </c>
      <c r="P1522" t="s">
        <v>78</v>
      </c>
      <c r="Q1522" t="s">
        <v>50</v>
      </c>
      <c r="R1522" t="s">
        <v>111</v>
      </c>
      <c r="S1522" t="s">
        <v>51</v>
      </c>
      <c r="T1522" t="s">
        <v>112</v>
      </c>
      <c r="U1522" s="1">
        <v>46074.49009259259</v>
      </c>
      <c r="V1522" t="s">
        <v>54</v>
      </c>
      <c r="X1522" t="s">
        <v>134</v>
      </c>
      <c r="Y1522" t="s">
        <v>6488</v>
      </c>
      <c r="Z1522" t="s">
        <v>5594</v>
      </c>
      <c r="AA1522" t="s">
        <v>54</v>
      </c>
      <c r="AB1522" t="s">
        <v>115</v>
      </c>
      <c r="AC1522" t="s">
        <v>85</v>
      </c>
      <c r="AD1522" t="s">
        <v>116</v>
      </c>
      <c r="AE1522" t="s">
        <v>117</v>
      </c>
      <c r="AF1522" t="s">
        <v>343</v>
      </c>
      <c r="AG1522" t="s">
        <v>5594</v>
      </c>
      <c r="AH1522" t="s">
        <v>185</v>
      </c>
      <c r="AK1522">
        <v>1</v>
      </c>
      <c r="AL1522" t="s">
        <v>61</v>
      </c>
      <c r="AM1522" t="s">
        <v>186</v>
      </c>
      <c r="AN1522" t="s">
        <v>187</v>
      </c>
    </row>
    <row r="1523" spans="1:40" x14ac:dyDescent="0.35">
      <c r="A1523" t="s">
        <v>37</v>
      </c>
      <c r="B1523" t="s">
        <v>6489</v>
      </c>
      <c r="C1523" t="s">
        <v>39</v>
      </c>
      <c r="D1523" t="s">
        <v>6490</v>
      </c>
      <c r="E1523" t="s">
        <v>6491</v>
      </c>
      <c r="F1523" s="1">
        <v>46073.930520833332</v>
      </c>
      <c r="G1523" t="s">
        <v>250</v>
      </c>
      <c r="H1523" t="s">
        <v>106</v>
      </c>
      <c r="I1523" t="s">
        <v>6492</v>
      </c>
      <c r="J1523" t="s">
        <v>3763</v>
      </c>
      <c r="K1523" t="s">
        <v>4359</v>
      </c>
      <c r="M1523" t="s">
        <v>131</v>
      </c>
      <c r="O1523" t="s">
        <v>77</v>
      </c>
      <c r="P1523" t="s">
        <v>78</v>
      </c>
      <c r="Q1523" t="s">
        <v>50</v>
      </c>
      <c r="R1523" t="s">
        <v>51</v>
      </c>
      <c r="S1523" t="s">
        <v>819</v>
      </c>
      <c r="T1523" t="s">
        <v>6493</v>
      </c>
      <c r="U1523" s="1">
        <v>46076.440127314818</v>
      </c>
      <c r="V1523" t="s">
        <v>54</v>
      </c>
      <c r="W1523" t="s">
        <v>55</v>
      </c>
      <c r="X1523" t="s">
        <v>134</v>
      </c>
      <c r="Y1523" t="s">
        <v>6494</v>
      </c>
      <c r="Z1523" t="s">
        <v>58</v>
      </c>
      <c r="AA1523" t="s">
        <v>54</v>
      </c>
      <c r="AB1523" t="s">
        <v>954</v>
      </c>
      <c r="AC1523" t="s">
        <v>85</v>
      </c>
      <c r="AD1523" t="s">
        <v>51</v>
      </c>
      <c r="AE1523" t="s">
        <v>819</v>
      </c>
      <c r="AF1523" t="s">
        <v>4362</v>
      </c>
      <c r="AG1523" t="s">
        <v>58</v>
      </c>
      <c r="AH1523" t="s">
        <v>6495</v>
      </c>
      <c r="AK1523">
        <v>1</v>
      </c>
      <c r="AL1523" t="s">
        <v>61</v>
      </c>
      <c r="AM1523" t="s">
        <v>6496</v>
      </c>
      <c r="AN1523" t="s">
        <v>6497</v>
      </c>
    </row>
    <row r="1524" spans="1:40" x14ac:dyDescent="0.35">
      <c r="A1524" t="s">
        <v>37</v>
      </c>
      <c r="B1524" t="s">
        <v>6498</v>
      </c>
      <c r="C1524" t="s">
        <v>102</v>
      </c>
      <c r="D1524" t="s">
        <v>1668</v>
      </c>
      <c r="E1524" t="s">
        <v>1669</v>
      </c>
      <c r="F1524" s="1">
        <v>46073.926759259259</v>
      </c>
      <c r="G1524" t="s">
        <v>286</v>
      </c>
      <c r="H1524" t="s">
        <v>287</v>
      </c>
      <c r="I1524" t="s">
        <v>6499</v>
      </c>
      <c r="J1524" t="s">
        <v>1671</v>
      </c>
      <c r="K1524" t="s">
        <v>130</v>
      </c>
      <c r="M1524" t="s">
        <v>150</v>
      </c>
      <c r="O1524" t="s">
        <v>77</v>
      </c>
      <c r="P1524" t="s">
        <v>78</v>
      </c>
      <c r="Q1524" t="s">
        <v>50</v>
      </c>
      <c r="R1524" t="s">
        <v>51</v>
      </c>
      <c r="S1524" t="s">
        <v>195</v>
      </c>
      <c r="T1524" t="s">
        <v>680</v>
      </c>
      <c r="U1524" s="1">
        <v>46076.364155092589</v>
      </c>
      <c r="V1524" t="s">
        <v>54</v>
      </c>
      <c r="W1524" t="s">
        <v>55</v>
      </c>
      <c r="X1524" t="s">
        <v>134</v>
      </c>
      <c r="Y1524" t="s">
        <v>6500</v>
      </c>
      <c r="Z1524" t="s">
        <v>58</v>
      </c>
      <c r="AA1524" t="s">
        <v>54</v>
      </c>
      <c r="AB1524" t="s">
        <v>1673</v>
      </c>
      <c r="AC1524" t="s">
        <v>85</v>
      </c>
      <c r="AD1524" t="s">
        <v>51</v>
      </c>
      <c r="AE1524" t="s">
        <v>195</v>
      </c>
      <c r="AF1524" t="s">
        <v>680</v>
      </c>
      <c r="AG1524" t="s">
        <v>58</v>
      </c>
      <c r="AH1524" t="s">
        <v>1674</v>
      </c>
      <c r="AK1524">
        <v>1</v>
      </c>
      <c r="AL1524" t="s">
        <v>61</v>
      </c>
      <c r="AM1524" t="s">
        <v>1673</v>
      </c>
      <c r="AN1524" t="s">
        <v>1675</v>
      </c>
    </row>
    <row r="1525" spans="1:40" x14ac:dyDescent="0.35">
      <c r="A1525" t="s">
        <v>37</v>
      </c>
      <c r="B1525" t="s">
        <v>6501</v>
      </c>
      <c r="C1525" t="s">
        <v>39</v>
      </c>
      <c r="D1525" t="s">
        <v>40</v>
      </c>
      <c r="E1525" t="s">
        <v>41</v>
      </c>
      <c r="F1525" s="1">
        <v>46073.920138888891</v>
      </c>
      <c r="G1525" t="s">
        <v>42</v>
      </c>
      <c r="H1525" t="s">
        <v>43</v>
      </c>
      <c r="I1525" t="s">
        <v>6502</v>
      </c>
      <c r="J1525" t="s">
        <v>45</v>
      </c>
      <c r="K1525" t="s">
        <v>46</v>
      </c>
      <c r="M1525" t="s">
        <v>47</v>
      </c>
      <c r="O1525" t="s">
        <v>48</v>
      </c>
      <c r="P1525" t="s">
        <v>49</v>
      </c>
      <c r="Q1525" t="s">
        <v>50</v>
      </c>
      <c r="R1525" t="s">
        <v>51</v>
      </c>
      <c r="S1525" t="s">
        <v>52</v>
      </c>
      <c r="T1525" t="s">
        <v>53</v>
      </c>
      <c r="U1525" s="1">
        <v>46073.921365740738</v>
      </c>
      <c r="V1525" t="s">
        <v>54</v>
      </c>
      <c r="W1525" t="s">
        <v>55</v>
      </c>
      <c r="X1525" t="s">
        <v>56</v>
      </c>
      <c r="Y1525" t="s">
        <v>57</v>
      </c>
      <c r="Z1525" t="s">
        <v>5594</v>
      </c>
      <c r="AA1525" t="s">
        <v>54</v>
      </c>
      <c r="AB1525" t="s">
        <v>59</v>
      </c>
      <c r="AC1525" t="s">
        <v>60</v>
      </c>
      <c r="AD1525" t="s">
        <v>51</v>
      </c>
      <c r="AE1525" t="s">
        <v>52</v>
      </c>
      <c r="AF1525" t="s">
        <v>53</v>
      </c>
      <c r="AG1525" t="s">
        <v>5594</v>
      </c>
      <c r="AK1525">
        <v>0</v>
      </c>
      <c r="AL1525" t="s">
        <v>61</v>
      </c>
      <c r="AM1525" t="s">
        <v>59</v>
      </c>
      <c r="AN1525" t="s">
        <v>62</v>
      </c>
    </row>
    <row r="1526" spans="1:40" x14ac:dyDescent="0.35">
      <c r="A1526" t="s">
        <v>37</v>
      </c>
      <c r="B1526" t="s">
        <v>6503</v>
      </c>
      <c r="C1526" t="s">
        <v>102</v>
      </c>
      <c r="D1526" t="s">
        <v>181</v>
      </c>
      <c r="E1526" t="s">
        <v>182</v>
      </c>
      <c r="F1526" s="1">
        <v>46073.911006944443</v>
      </c>
      <c r="G1526" t="s">
        <v>105</v>
      </c>
      <c r="H1526" t="s">
        <v>106</v>
      </c>
      <c r="I1526" t="s">
        <v>1913</v>
      </c>
      <c r="J1526" t="s">
        <v>108</v>
      </c>
      <c r="K1526" t="s">
        <v>109</v>
      </c>
      <c r="M1526" t="s">
        <v>47</v>
      </c>
      <c r="O1526" t="s">
        <v>77</v>
      </c>
      <c r="P1526" t="s">
        <v>78</v>
      </c>
      <c r="Q1526" t="s">
        <v>50</v>
      </c>
      <c r="R1526" t="s">
        <v>111</v>
      </c>
      <c r="S1526" t="s">
        <v>51</v>
      </c>
      <c r="T1526" t="s">
        <v>112</v>
      </c>
      <c r="U1526" s="1">
        <v>46073.933287037034</v>
      </c>
      <c r="V1526" t="s">
        <v>54</v>
      </c>
      <c r="W1526" t="s">
        <v>55</v>
      </c>
      <c r="X1526" t="s">
        <v>82</v>
      </c>
      <c r="Y1526" t="s">
        <v>6504</v>
      </c>
      <c r="Z1526" t="s">
        <v>5594</v>
      </c>
      <c r="AA1526" t="s">
        <v>54</v>
      </c>
      <c r="AB1526" t="s">
        <v>115</v>
      </c>
      <c r="AC1526" t="s">
        <v>85</v>
      </c>
      <c r="AD1526" t="s">
        <v>116</v>
      </c>
      <c r="AE1526" t="s">
        <v>117</v>
      </c>
      <c r="AF1526" t="s">
        <v>118</v>
      </c>
      <c r="AG1526" t="s">
        <v>5594</v>
      </c>
      <c r="AH1526" t="s">
        <v>185</v>
      </c>
      <c r="AK1526">
        <v>1</v>
      </c>
      <c r="AL1526" t="s">
        <v>61</v>
      </c>
      <c r="AM1526" t="s">
        <v>186</v>
      </c>
      <c r="AN1526" t="s">
        <v>187</v>
      </c>
    </row>
    <row r="1527" spans="1:40" x14ac:dyDescent="0.35">
      <c r="A1527" t="s">
        <v>37</v>
      </c>
      <c r="B1527" t="s">
        <v>6505</v>
      </c>
      <c r="C1527" t="s">
        <v>102</v>
      </c>
      <c r="D1527" t="s">
        <v>181</v>
      </c>
      <c r="E1527" t="s">
        <v>182</v>
      </c>
      <c r="F1527" s="1">
        <v>46073.91028935185</v>
      </c>
      <c r="G1527" t="s">
        <v>105</v>
      </c>
      <c r="H1527" t="s">
        <v>106</v>
      </c>
      <c r="I1527" t="s">
        <v>5519</v>
      </c>
      <c r="J1527" t="s">
        <v>108</v>
      </c>
      <c r="K1527" t="s">
        <v>571</v>
      </c>
      <c r="M1527" t="s">
        <v>47</v>
      </c>
      <c r="O1527" t="s">
        <v>77</v>
      </c>
      <c r="P1527" t="s">
        <v>78</v>
      </c>
      <c r="Q1527" t="s">
        <v>50</v>
      </c>
      <c r="R1527" t="s">
        <v>111</v>
      </c>
      <c r="S1527" t="s">
        <v>51</v>
      </c>
      <c r="T1527" t="s">
        <v>112</v>
      </c>
      <c r="U1527" s="1">
        <v>46073.97284722222</v>
      </c>
      <c r="V1527" t="s">
        <v>54</v>
      </c>
      <c r="W1527" t="s">
        <v>55</v>
      </c>
      <c r="X1527" t="s">
        <v>82</v>
      </c>
      <c r="Y1527" t="s">
        <v>6506</v>
      </c>
      <c r="Z1527" t="s">
        <v>5594</v>
      </c>
      <c r="AA1527" t="s">
        <v>54</v>
      </c>
      <c r="AB1527" t="s">
        <v>115</v>
      </c>
      <c r="AC1527" t="s">
        <v>85</v>
      </c>
      <c r="AD1527" t="s">
        <v>116</v>
      </c>
      <c r="AE1527" t="s">
        <v>574</v>
      </c>
      <c r="AF1527" t="s">
        <v>4577</v>
      </c>
      <c r="AG1527" t="s">
        <v>5594</v>
      </c>
      <c r="AH1527" t="s">
        <v>185</v>
      </c>
      <c r="AK1527">
        <v>1</v>
      </c>
      <c r="AL1527" t="s">
        <v>61</v>
      </c>
      <c r="AM1527" t="s">
        <v>186</v>
      </c>
      <c r="AN1527" t="s">
        <v>187</v>
      </c>
    </row>
    <row r="1528" spans="1:40" x14ac:dyDescent="0.35">
      <c r="A1528" t="s">
        <v>37</v>
      </c>
      <c r="B1528" t="s">
        <v>6507</v>
      </c>
      <c r="C1528" t="s">
        <v>102</v>
      </c>
      <c r="D1528" t="s">
        <v>6508</v>
      </c>
      <c r="E1528" t="s">
        <v>6509</v>
      </c>
      <c r="F1528" s="1">
        <v>46073.909004629626</v>
      </c>
      <c r="G1528" t="s">
        <v>250</v>
      </c>
      <c r="H1528" t="s">
        <v>106</v>
      </c>
      <c r="I1528" t="s">
        <v>2460</v>
      </c>
      <c r="J1528" t="s">
        <v>1015</v>
      </c>
      <c r="K1528" t="s">
        <v>75</v>
      </c>
      <c r="M1528" t="s">
        <v>47</v>
      </c>
      <c r="O1528" t="s">
        <v>237</v>
      </c>
      <c r="P1528" t="s">
        <v>238</v>
      </c>
      <c r="Q1528" t="s">
        <v>6510</v>
      </c>
      <c r="R1528" t="s">
        <v>79</v>
      </c>
      <c r="S1528" t="s">
        <v>955</v>
      </c>
      <c r="T1528" t="s">
        <v>2460</v>
      </c>
      <c r="U1528" s="1">
        <v>46073.91238425926</v>
      </c>
      <c r="V1528" t="s">
        <v>54</v>
      </c>
      <c r="W1528" t="s">
        <v>55</v>
      </c>
      <c r="X1528" t="s">
        <v>82</v>
      </c>
      <c r="Y1528" t="s">
        <v>6511</v>
      </c>
      <c r="Z1528" t="s">
        <v>5594</v>
      </c>
      <c r="AA1528" t="s">
        <v>54</v>
      </c>
      <c r="AB1528" t="s">
        <v>954</v>
      </c>
      <c r="AC1528" t="s">
        <v>242</v>
      </c>
      <c r="AD1528" t="s">
        <v>79</v>
      </c>
      <c r="AE1528" t="s">
        <v>955</v>
      </c>
      <c r="AF1528" t="s">
        <v>2460</v>
      </c>
      <c r="AG1528" t="s">
        <v>5594</v>
      </c>
      <c r="AH1528">
        <v>1892</v>
      </c>
      <c r="AK1528">
        <v>0</v>
      </c>
      <c r="AL1528" t="s">
        <v>61</v>
      </c>
      <c r="AM1528" t="s">
        <v>6512</v>
      </c>
      <c r="AN1528" t="s">
        <v>6513</v>
      </c>
    </row>
    <row r="1529" spans="1:40" x14ac:dyDescent="0.35">
      <c r="A1529" t="s">
        <v>37</v>
      </c>
      <c r="B1529" t="s">
        <v>6514</v>
      </c>
      <c r="C1529" t="s">
        <v>102</v>
      </c>
      <c r="D1529" t="s">
        <v>1698</v>
      </c>
      <c r="E1529" t="s">
        <v>584</v>
      </c>
      <c r="F1529" s="1">
        <v>46073.878032407411</v>
      </c>
      <c r="G1529" t="s">
        <v>105</v>
      </c>
      <c r="H1529" t="s">
        <v>106</v>
      </c>
      <c r="I1529" t="s">
        <v>6515</v>
      </c>
      <c r="J1529" t="s">
        <v>108</v>
      </c>
      <c r="K1529" t="s">
        <v>109</v>
      </c>
      <c r="M1529" t="s">
        <v>47</v>
      </c>
      <c r="O1529" t="s">
        <v>77</v>
      </c>
      <c r="P1529" t="s">
        <v>78</v>
      </c>
      <c r="Q1529" t="s">
        <v>50</v>
      </c>
      <c r="R1529" t="s">
        <v>111</v>
      </c>
      <c r="S1529" t="s">
        <v>51</v>
      </c>
      <c r="T1529" t="s">
        <v>1583</v>
      </c>
      <c r="U1529" s="1">
        <v>46073.931875000002</v>
      </c>
      <c r="V1529" t="s">
        <v>54</v>
      </c>
      <c r="W1529" t="s">
        <v>55</v>
      </c>
      <c r="X1529" t="s">
        <v>134</v>
      </c>
      <c r="Y1529" t="s">
        <v>6516</v>
      </c>
      <c r="Z1529" t="s">
        <v>5594</v>
      </c>
      <c r="AA1529" t="s">
        <v>54</v>
      </c>
      <c r="AB1529" t="s">
        <v>1701</v>
      </c>
      <c r="AC1529" t="s">
        <v>85</v>
      </c>
      <c r="AD1529" t="s">
        <v>116</v>
      </c>
      <c r="AE1529" t="s">
        <v>3814</v>
      </c>
      <c r="AF1529" t="s">
        <v>3110</v>
      </c>
      <c r="AG1529" t="s">
        <v>5594</v>
      </c>
      <c r="AK1529">
        <v>1</v>
      </c>
      <c r="AL1529" t="s">
        <v>61</v>
      </c>
      <c r="AM1529" t="s">
        <v>1701</v>
      </c>
      <c r="AN1529" t="s">
        <v>1702</v>
      </c>
    </row>
    <row r="1530" spans="1:40" x14ac:dyDescent="0.35">
      <c r="A1530" t="s">
        <v>37</v>
      </c>
      <c r="B1530" t="s">
        <v>6517</v>
      </c>
      <c r="C1530" t="s">
        <v>102</v>
      </c>
      <c r="D1530" t="s">
        <v>1698</v>
      </c>
      <c r="E1530" t="s">
        <v>584</v>
      </c>
      <c r="F1530" s="1">
        <v>46073.853645833333</v>
      </c>
      <c r="G1530" t="s">
        <v>105</v>
      </c>
      <c r="H1530" t="s">
        <v>106</v>
      </c>
      <c r="I1530" t="s">
        <v>3150</v>
      </c>
      <c r="J1530" t="s">
        <v>108</v>
      </c>
      <c r="K1530" t="s">
        <v>571</v>
      </c>
      <c r="M1530" t="s">
        <v>47</v>
      </c>
      <c r="O1530" t="s">
        <v>77</v>
      </c>
      <c r="P1530" t="s">
        <v>78</v>
      </c>
      <c r="Q1530" t="s">
        <v>50</v>
      </c>
      <c r="R1530" t="s">
        <v>111</v>
      </c>
      <c r="S1530" t="s">
        <v>51</v>
      </c>
      <c r="T1530" t="s">
        <v>112</v>
      </c>
      <c r="U1530" s="1">
        <v>46073.914537037039</v>
      </c>
      <c r="V1530" t="s">
        <v>54</v>
      </c>
      <c r="W1530" t="s">
        <v>55</v>
      </c>
      <c r="X1530" t="s">
        <v>134</v>
      </c>
      <c r="Y1530" t="s">
        <v>6518</v>
      </c>
      <c r="Z1530" t="s">
        <v>5594</v>
      </c>
      <c r="AA1530" t="s">
        <v>54</v>
      </c>
      <c r="AB1530" t="s">
        <v>1701</v>
      </c>
      <c r="AC1530" t="s">
        <v>85</v>
      </c>
      <c r="AD1530" t="s">
        <v>116</v>
      </c>
      <c r="AE1530" t="s">
        <v>574</v>
      </c>
      <c r="AF1530" t="s">
        <v>575</v>
      </c>
      <c r="AG1530" t="s">
        <v>5594</v>
      </c>
      <c r="AK1530">
        <v>1</v>
      </c>
      <c r="AL1530" t="s">
        <v>61</v>
      </c>
      <c r="AM1530" t="s">
        <v>1701</v>
      </c>
      <c r="AN1530" t="s">
        <v>1702</v>
      </c>
    </row>
    <row r="1531" spans="1:40" x14ac:dyDescent="0.35">
      <c r="A1531" t="s">
        <v>37</v>
      </c>
      <c r="B1531" t="s">
        <v>6519</v>
      </c>
      <c r="C1531" t="s">
        <v>102</v>
      </c>
      <c r="D1531" t="s">
        <v>1698</v>
      </c>
      <c r="E1531" t="s">
        <v>584</v>
      </c>
      <c r="F1531" s="1">
        <v>46073.852824074071</v>
      </c>
      <c r="G1531" t="s">
        <v>105</v>
      </c>
      <c r="H1531" t="s">
        <v>106</v>
      </c>
      <c r="I1531" t="s">
        <v>6237</v>
      </c>
      <c r="J1531" t="s">
        <v>108</v>
      </c>
      <c r="K1531" t="s">
        <v>109</v>
      </c>
      <c r="M1531" t="s">
        <v>47</v>
      </c>
      <c r="O1531" t="s">
        <v>77</v>
      </c>
      <c r="P1531" t="s">
        <v>78</v>
      </c>
      <c r="Q1531" t="s">
        <v>50</v>
      </c>
      <c r="R1531" t="s">
        <v>111</v>
      </c>
      <c r="S1531" t="s">
        <v>51</v>
      </c>
      <c r="T1531" t="s">
        <v>112</v>
      </c>
      <c r="U1531" s="1">
        <v>46073.930509259262</v>
      </c>
      <c r="V1531" t="s">
        <v>54</v>
      </c>
      <c r="W1531" t="s">
        <v>55</v>
      </c>
      <c r="X1531" t="s">
        <v>134</v>
      </c>
      <c r="Y1531" t="s">
        <v>6520</v>
      </c>
      <c r="Z1531" t="s">
        <v>5594</v>
      </c>
      <c r="AA1531" t="s">
        <v>54</v>
      </c>
      <c r="AB1531" t="s">
        <v>1701</v>
      </c>
      <c r="AC1531" t="s">
        <v>85</v>
      </c>
      <c r="AD1531" t="s">
        <v>116</v>
      </c>
      <c r="AE1531" t="s">
        <v>117</v>
      </c>
      <c r="AF1531" t="s">
        <v>343</v>
      </c>
      <c r="AG1531" t="s">
        <v>5594</v>
      </c>
      <c r="AK1531">
        <v>1</v>
      </c>
      <c r="AL1531" t="s">
        <v>61</v>
      </c>
      <c r="AM1531" t="s">
        <v>1701</v>
      </c>
      <c r="AN1531" t="s">
        <v>1702</v>
      </c>
    </row>
    <row r="1532" spans="1:40" x14ac:dyDescent="0.35">
      <c r="A1532" t="s">
        <v>37</v>
      </c>
      <c r="B1532" t="s">
        <v>6521</v>
      </c>
      <c r="C1532" t="s">
        <v>102</v>
      </c>
      <c r="D1532" t="s">
        <v>1698</v>
      </c>
      <c r="E1532" t="s">
        <v>584</v>
      </c>
      <c r="F1532" s="1">
        <v>46073.843009259261</v>
      </c>
      <c r="G1532" t="s">
        <v>105</v>
      </c>
      <c r="H1532" t="s">
        <v>106</v>
      </c>
      <c r="I1532" t="s">
        <v>6522</v>
      </c>
      <c r="J1532" t="s">
        <v>108</v>
      </c>
      <c r="K1532" t="s">
        <v>109</v>
      </c>
      <c r="M1532" t="s">
        <v>47</v>
      </c>
      <c r="O1532" t="s">
        <v>77</v>
      </c>
      <c r="P1532" t="s">
        <v>78</v>
      </c>
      <c r="Q1532" t="s">
        <v>50</v>
      </c>
      <c r="R1532" t="s">
        <v>111</v>
      </c>
      <c r="S1532" t="s">
        <v>51</v>
      </c>
      <c r="T1532" t="s">
        <v>1583</v>
      </c>
      <c r="U1532" s="1">
        <v>46073.947615740741</v>
      </c>
      <c r="V1532" t="s">
        <v>54</v>
      </c>
      <c r="W1532" t="s">
        <v>55</v>
      </c>
      <c r="X1532" t="s">
        <v>134</v>
      </c>
      <c r="Y1532" t="s">
        <v>6523</v>
      </c>
      <c r="Z1532" t="s">
        <v>5594</v>
      </c>
      <c r="AA1532" t="s">
        <v>54</v>
      </c>
      <c r="AB1532" t="s">
        <v>1701</v>
      </c>
      <c r="AC1532" t="s">
        <v>85</v>
      </c>
      <c r="AD1532" t="s">
        <v>116</v>
      </c>
      <c r="AE1532" t="s">
        <v>3814</v>
      </c>
      <c r="AF1532" t="s">
        <v>3110</v>
      </c>
      <c r="AG1532" t="s">
        <v>5594</v>
      </c>
      <c r="AK1532">
        <v>1</v>
      </c>
      <c r="AL1532" t="s">
        <v>61</v>
      </c>
      <c r="AM1532" t="s">
        <v>1701</v>
      </c>
      <c r="AN1532" t="s">
        <v>1702</v>
      </c>
    </row>
    <row r="1533" spans="1:40" x14ac:dyDescent="0.35">
      <c r="A1533" t="s">
        <v>37</v>
      </c>
      <c r="B1533" t="s">
        <v>6524</v>
      </c>
      <c r="C1533" t="s">
        <v>102</v>
      </c>
      <c r="D1533" t="s">
        <v>181</v>
      </c>
      <c r="E1533" t="s">
        <v>182</v>
      </c>
      <c r="F1533" s="1">
        <v>46073.810972222222</v>
      </c>
      <c r="G1533" t="s">
        <v>105</v>
      </c>
      <c r="H1533" t="s">
        <v>106</v>
      </c>
      <c r="I1533" t="s">
        <v>6525</v>
      </c>
      <c r="J1533" t="s">
        <v>108</v>
      </c>
      <c r="K1533" t="s">
        <v>109</v>
      </c>
      <c r="M1533" t="s">
        <v>47</v>
      </c>
      <c r="O1533" t="s">
        <v>77</v>
      </c>
      <c r="P1533" t="s">
        <v>78</v>
      </c>
      <c r="Q1533" t="s">
        <v>50</v>
      </c>
      <c r="R1533" t="s">
        <v>111</v>
      </c>
      <c r="S1533" t="s">
        <v>51</v>
      </c>
      <c r="T1533" t="s">
        <v>112</v>
      </c>
      <c r="U1533" s="1">
        <v>46073.926793981482</v>
      </c>
      <c r="V1533" t="s">
        <v>54</v>
      </c>
      <c r="W1533" t="s">
        <v>55</v>
      </c>
      <c r="X1533" t="s">
        <v>82</v>
      </c>
      <c r="Y1533" t="s">
        <v>6526</v>
      </c>
      <c r="Z1533" t="s">
        <v>5594</v>
      </c>
      <c r="AA1533" t="s">
        <v>54</v>
      </c>
      <c r="AB1533" t="s">
        <v>115</v>
      </c>
      <c r="AC1533" t="s">
        <v>85</v>
      </c>
      <c r="AD1533" t="s">
        <v>116</v>
      </c>
      <c r="AE1533" t="s">
        <v>117</v>
      </c>
      <c r="AF1533" t="s">
        <v>118</v>
      </c>
      <c r="AG1533" t="s">
        <v>5594</v>
      </c>
      <c r="AH1533" t="s">
        <v>185</v>
      </c>
      <c r="AK1533">
        <v>1</v>
      </c>
      <c r="AL1533" t="s">
        <v>61</v>
      </c>
      <c r="AM1533" t="s">
        <v>186</v>
      </c>
      <c r="AN1533" t="s">
        <v>187</v>
      </c>
    </row>
    <row r="1534" spans="1:40" x14ac:dyDescent="0.35">
      <c r="A1534" t="s">
        <v>37</v>
      </c>
      <c r="B1534" t="s">
        <v>6527</v>
      </c>
      <c r="C1534" t="s">
        <v>102</v>
      </c>
      <c r="D1534" t="s">
        <v>181</v>
      </c>
      <c r="E1534" t="s">
        <v>182</v>
      </c>
      <c r="F1534" s="1">
        <v>46073.810312499998</v>
      </c>
      <c r="G1534" t="s">
        <v>105</v>
      </c>
      <c r="H1534" t="s">
        <v>106</v>
      </c>
      <c r="I1534" t="s">
        <v>6528</v>
      </c>
      <c r="J1534" t="s">
        <v>108</v>
      </c>
      <c r="K1534" t="s">
        <v>109</v>
      </c>
      <c r="M1534" t="s">
        <v>47</v>
      </c>
      <c r="O1534" t="s">
        <v>77</v>
      </c>
      <c r="P1534" t="s">
        <v>78</v>
      </c>
      <c r="Q1534" t="s">
        <v>50</v>
      </c>
      <c r="R1534" t="s">
        <v>111</v>
      </c>
      <c r="S1534" t="s">
        <v>51</v>
      </c>
      <c r="T1534" t="s">
        <v>112</v>
      </c>
      <c r="U1534" s="1">
        <v>46073.917986111112</v>
      </c>
      <c r="V1534" t="s">
        <v>54</v>
      </c>
      <c r="W1534" t="s">
        <v>55</v>
      </c>
      <c r="X1534" t="s">
        <v>82</v>
      </c>
      <c r="Y1534" t="s">
        <v>6529</v>
      </c>
      <c r="Z1534" t="s">
        <v>5594</v>
      </c>
      <c r="AA1534" t="s">
        <v>54</v>
      </c>
      <c r="AB1534" t="s">
        <v>115</v>
      </c>
      <c r="AC1534" t="s">
        <v>85</v>
      </c>
      <c r="AD1534" t="s">
        <v>116</v>
      </c>
      <c r="AE1534" t="s">
        <v>117</v>
      </c>
      <c r="AF1534" t="s">
        <v>118</v>
      </c>
      <c r="AG1534" t="s">
        <v>5594</v>
      </c>
      <c r="AH1534" t="s">
        <v>185</v>
      </c>
      <c r="AK1534">
        <v>1</v>
      </c>
      <c r="AL1534" t="s">
        <v>61</v>
      </c>
      <c r="AM1534" t="s">
        <v>186</v>
      </c>
      <c r="AN1534" t="s">
        <v>187</v>
      </c>
    </row>
    <row r="1535" spans="1:40" x14ac:dyDescent="0.35">
      <c r="A1535" t="s">
        <v>37</v>
      </c>
      <c r="B1535" t="s">
        <v>6530</v>
      </c>
      <c r="C1535" t="s">
        <v>102</v>
      </c>
      <c r="D1535" t="s">
        <v>146</v>
      </c>
      <c r="E1535" t="s">
        <v>147</v>
      </c>
      <c r="F1535" s="1">
        <v>46073.810173611113</v>
      </c>
      <c r="G1535" t="s">
        <v>71</v>
      </c>
      <c r="H1535" t="s">
        <v>72</v>
      </c>
      <c r="I1535" t="s">
        <v>2009</v>
      </c>
      <c r="J1535" t="s">
        <v>149</v>
      </c>
      <c r="K1535" t="s">
        <v>130</v>
      </c>
      <c r="M1535" t="s">
        <v>131</v>
      </c>
      <c r="O1535" t="s">
        <v>77</v>
      </c>
      <c r="P1535" t="s">
        <v>78</v>
      </c>
      <c r="Q1535" t="s">
        <v>50</v>
      </c>
      <c r="R1535" t="s">
        <v>132</v>
      </c>
      <c r="S1535" t="s">
        <v>133</v>
      </c>
      <c r="T1535" t="s">
        <v>133</v>
      </c>
      <c r="U1535" s="1">
        <v>46076.568831018521</v>
      </c>
      <c r="V1535" t="s">
        <v>54</v>
      </c>
      <c r="W1535" t="s">
        <v>55</v>
      </c>
      <c r="X1535" t="s">
        <v>82</v>
      </c>
      <c r="Y1535" t="s">
        <v>6531</v>
      </c>
      <c r="Z1535" t="s">
        <v>58</v>
      </c>
      <c r="AA1535" t="s">
        <v>54</v>
      </c>
      <c r="AB1535" t="s">
        <v>152</v>
      </c>
      <c r="AC1535" t="s">
        <v>85</v>
      </c>
      <c r="AD1535" t="s">
        <v>132</v>
      </c>
      <c r="AE1535" t="s">
        <v>133</v>
      </c>
      <c r="AF1535" t="s">
        <v>133</v>
      </c>
      <c r="AG1535" t="s">
        <v>58</v>
      </c>
      <c r="AH1535" t="s">
        <v>153</v>
      </c>
      <c r="AK1535">
        <v>1</v>
      </c>
      <c r="AL1535" t="s">
        <v>61</v>
      </c>
      <c r="AM1535" t="s">
        <v>152</v>
      </c>
      <c r="AN1535" t="s">
        <v>154</v>
      </c>
    </row>
    <row r="1536" spans="1:40" x14ac:dyDescent="0.35">
      <c r="A1536" t="s">
        <v>37</v>
      </c>
      <c r="B1536" t="s">
        <v>6532</v>
      </c>
      <c r="C1536" t="s">
        <v>102</v>
      </c>
      <c r="D1536" t="s">
        <v>1698</v>
      </c>
      <c r="E1536" t="s">
        <v>584</v>
      </c>
      <c r="F1536" s="1">
        <v>46073.806111111109</v>
      </c>
      <c r="G1536" t="s">
        <v>105</v>
      </c>
      <c r="H1536" t="s">
        <v>106</v>
      </c>
      <c r="I1536" t="s">
        <v>1732</v>
      </c>
      <c r="J1536" t="s">
        <v>108</v>
      </c>
      <c r="K1536" t="s">
        <v>109</v>
      </c>
      <c r="M1536" t="s">
        <v>47</v>
      </c>
      <c r="O1536" t="s">
        <v>77</v>
      </c>
      <c r="P1536" t="s">
        <v>78</v>
      </c>
      <c r="Q1536" t="s">
        <v>50</v>
      </c>
      <c r="R1536" t="s">
        <v>111</v>
      </c>
      <c r="S1536" t="s">
        <v>51</v>
      </c>
      <c r="T1536" t="s">
        <v>112</v>
      </c>
      <c r="U1536" s="1">
        <v>46073.929560185185</v>
      </c>
      <c r="V1536" t="s">
        <v>54</v>
      </c>
      <c r="W1536" t="s">
        <v>55</v>
      </c>
      <c r="X1536" t="s">
        <v>134</v>
      </c>
      <c r="Y1536" t="s">
        <v>6533</v>
      </c>
      <c r="Z1536" t="s">
        <v>5594</v>
      </c>
      <c r="AA1536" t="s">
        <v>54</v>
      </c>
      <c r="AB1536" t="s">
        <v>1701</v>
      </c>
      <c r="AC1536" t="s">
        <v>85</v>
      </c>
      <c r="AD1536" t="s">
        <v>116</v>
      </c>
      <c r="AE1536" t="s">
        <v>117</v>
      </c>
      <c r="AF1536" t="s">
        <v>1724</v>
      </c>
      <c r="AG1536" t="s">
        <v>5594</v>
      </c>
      <c r="AK1536">
        <v>1</v>
      </c>
      <c r="AL1536" t="s">
        <v>61</v>
      </c>
      <c r="AM1536" t="s">
        <v>1701</v>
      </c>
      <c r="AN1536" t="s">
        <v>1702</v>
      </c>
    </row>
    <row r="1537" spans="1:40" x14ac:dyDescent="0.35">
      <c r="A1537" t="s">
        <v>37</v>
      </c>
      <c r="B1537" t="s">
        <v>6534</v>
      </c>
      <c r="C1537" t="s">
        <v>39</v>
      </c>
      <c r="D1537" t="s">
        <v>579</v>
      </c>
      <c r="E1537" t="s">
        <v>127</v>
      </c>
      <c r="F1537" s="1">
        <v>46073.801701388889</v>
      </c>
      <c r="G1537" t="s">
        <v>597</v>
      </c>
      <c r="H1537" t="s">
        <v>287</v>
      </c>
      <c r="I1537" t="s">
        <v>6535</v>
      </c>
      <c r="J1537" t="s">
        <v>950</v>
      </c>
      <c r="K1537" t="s">
        <v>951</v>
      </c>
      <c r="M1537" t="s">
        <v>76</v>
      </c>
      <c r="O1537" t="s">
        <v>77</v>
      </c>
      <c r="P1537" t="s">
        <v>78</v>
      </c>
      <c r="Q1537" t="s">
        <v>50</v>
      </c>
      <c r="R1537" t="s">
        <v>79</v>
      </c>
      <c r="S1537" t="s">
        <v>1556</v>
      </c>
      <c r="T1537" t="s">
        <v>1557</v>
      </c>
      <c r="U1537" s="1">
        <v>46076.721724537034</v>
      </c>
      <c r="V1537" t="s">
        <v>54</v>
      </c>
      <c r="W1537" t="s">
        <v>55</v>
      </c>
      <c r="X1537" t="s">
        <v>134</v>
      </c>
      <c r="Y1537" t="s">
        <v>6536</v>
      </c>
      <c r="Z1537" t="s">
        <v>58</v>
      </c>
      <c r="AA1537" t="s">
        <v>54</v>
      </c>
      <c r="AB1537" t="s">
        <v>954</v>
      </c>
      <c r="AC1537" t="s">
        <v>85</v>
      </c>
      <c r="AD1537" t="s">
        <v>79</v>
      </c>
      <c r="AE1537" t="s">
        <v>1556</v>
      </c>
      <c r="AF1537" t="s">
        <v>1557</v>
      </c>
      <c r="AG1537" t="s">
        <v>58</v>
      </c>
      <c r="AH1537" t="s">
        <v>6537</v>
      </c>
      <c r="AK1537">
        <v>1</v>
      </c>
      <c r="AL1537" t="s">
        <v>61</v>
      </c>
      <c r="AM1537" t="s">
        <v>6538</v>
      </c>
      <c r="AN1537" t="s">
        <v>6539</v>
      </c>
    </row>
    <row r="1538" spans="1:40" x14ac:dyDescent="0.35">
      <c r="A1538" t="s">
        <v>37</v>
      </c>
      <c r="B1538" t="s">
        <v>6540</v>
      </c>
      <c r="C1538" t="s">
        <v>102</v>
      </c>
      <c r="D1538" t="s">
        <v>1698</v>
      </c>
      <c r="E1538" t="s">
        <v>584</v>
      </c>
      <c r="F1538" s="1">
        <v>46073.794189814813</v>
      </c>
      <c r="G1538" t="s">
        <v>105</v>
      </c>
      <c r="H1538" t="s">
        <v>106</v>
      </c>
      <c r="I1538" t="s">
        <v>6541</v>
      </c>
      <c r="J1538" t="s">
        <v>108</v>
      </c>
      <c r="K1538" t="s">
        <v>571</v>
      </c>
      <c r="M1538" t="s">
        <v>47</v>
      </c>
      <c r="O1538" t="s">
        <v>77</v>
      </c>
      <c r="P1538" t="s">
        <v>78</v>
      </c>
      <c r="Q1538" t="s">
        <v>50</v>
      </c>
      <c r="R1538" t="s">
        <v>111</v>
      </c>
      <c r="S1538" t="s">
        <v>51</v>
      </c>
      <c r="T1538" t="s">
        <v>112</v>
      </c>
      <c r="U1538" s="1">
        <v>46073.913831018515</v>
      </c>
      <c r="V1538" t="s">
        <v>54</v>
      </c>
      <c r="W1538" t="s">
        <v>55</v>
      </c>
      <c r="X1538" t="s">
        <v>134</v>
      </c>
      <c r="Y1538" t="s">
        <v>6518</v>
      </c>
      <c r="Z1538" t="s">
        <v>5594</v>
      </c>
      <c r="AA1538" t="s">
        <v>54</v>
      </c>
      <c r="AB1538" t="s">
        <v>1701</v>
      </c>
      <c r="AC1538" t="s">
        <v>85</v>
      </c>
      <c r="AD1538" t="s">
        <v>116</v>
      </c>
      <c r="AE1538" t="s">
        <v>574</v>
      </c>
      <c r="AF1538" t="s">
        <v>575</v>
      </c>
      <c r="AG1538" t="s">
        <v>5594</v>
      </c>
      <c r="AK1538">
        <v>1</v>
      </c>
      <c r="AL1538" t="s">
        <v>61</v>
      </c>
      <c r="AM1538" t="s">
        <v>1701</v>
      </c>
      <c r="AN1538" t="s">
        <v>1702</v>
      </c>
    </row>
    <row r="1539" spans="1:40" x14ac:dyDescent="0.35">
      <c r="A1539" t="s">
        <v>37</v>
      </c>
      <c r="B1539" t="s">
        <v>6542</v>
      </c>
      <c r="C1539" t="s">
        <v>102</v>
      </c>
      <c r="D1539" t="s">
        <v>1698</v>
      </c>
      <c r="E1539" t="s">
        <v>584</v>
      </c>
      <c r="F1539" s="1">
        <v>46073.793391203704</v>
      </c>
      <c r="G1539" t="s">
        <v>105</v>
      </c>
      <c r="H1539" t="s">
        <v>106</v>
      </c>
      <c r="I1539" t="s">
        <v>3150</v>
      </c>
      <c r="J1539" t="s">
        <v>108</v>
      </c>
      <c r="K1539" t="s">
        <v>571</v>
      </c>
      <c r="M1539" t="s">
        <v>47</v>
      </c>
      <c r="O1539" t="s">
        <v>77</v>
      </c>
      <c r="P1539" t="s">
        <v>78</v>
      </c>
      <c r="Q1539" t="s">
        <v>50</v>
      </c>
      <c r="R1539" t="s">
        <v>111</v>
      </c>
      <c r="S1539" t="s">
        <v>51</v>
      </c>
      <c r="T1539" t="s">
        <v>112</v>
      </c>
      <c r="U1539" s="1">
        <v>46073.913414351853</v>
      </c>
      <c r="V1539" t="s">
        <v>54</v>
      </c>
      <c r="W1539" t="s">
        <v>55</v>
      </c>
      <c r="X1539" t="s">
        <v>134</v>
      </c>
      <c r="Y1539" t="s">
        <v>6543</v>
      </c>
      <c r="Z1539" t="s">
        <v>5594</v>
      </c>
      <c r="AA1539" t="s">
        <v>54</v>
      </c>
      <c r="AB1539" t="s">
        <v>1701</v>
      </c>
      <c r="AC1539" t="s">
        <v>85</v>
      </c>
      <c r="AD1539" t="s">
        <v>116</v>
      </c>
      <c r="AE1539" t="s">
        <v>574</v>
      </c>
      <c r="AF1539" t="s">
        <v>575</v>
      </c>
      <c r="AG1539" t="s">
        <v>5594</v>
      </c>
      <c r="AK1539">
        <v>1</v>
      </c>
      <c r="AL1539" t="s">
        <v>61</v>
      </c>
      <c r="AM1539" t="s">
        <v>1701</v>
      </c>
      <c r="AN1539" t="s">
        <v>1702</v>
      </c>
    </row>
    <row r="1540" spans="1:40" x14ac:dyDescent="0.35">
      <c r="A1540" t="s">
        <v>37</v>
      </c>
      <c r="B1540" t="s">
        <v>6544</v>
      </c>
      <c r="C1540" t="s">
        <v>102</v>
      </c>
      <c r="D1540" t="s">
        <v>1698</v>
      </c>
      <c r="E1540" t="s">
        <v>584</v>
      </c>
      <c r="F1540" s="1">
        <v>46073.78707175926</v>
      </c>
      <c r="G1540" t="s">
        <v>105</v>
      </c>
      <c r="H1540" t="s">
        <v>106</v>
      </c>
      <c r="I1540" t="s">
        <v>3150</v>
      </c>
      <c r="J1540" t="s">
        <v>108</v>
      </c>
      <c r="K1540" t="s">
        <v>571</v>
      </c>
      <c r="M1540" t="s">
        <v>47</v>
      </c>
      <c r="O1540" t="s">
        <v>77</v>
      </c>
      <c r="P1540" t="s">
        <v>78</v>
      </c>
      <c r="Q1540" t="s">
        <v>50</v>
      </c>
      <c r="R1540" t="s">
        <v>111</v>
      </c>
      <c r="S1540" t="s">
        <v>51</v>
      </c>
      <c r="T1540" t="s">
        <v>112</v>
      </c>
      <c r="U1540" s="1">
        <v>46073.912442129629</v>
      </c>
      <c r="V1540" t="s">
        <v>54</v>
      </c>
      <c r="W1540" t="s">
        <v>55</v>
      </c>
      <c r="X1540" t="s">
        <v>134</v>
      </c>
      <c r="Y1540" t="s">
        <v>6545</v>
      </c>
      <c r="Z1540" t="s">
        <v>5594</v>
      </c>
      <c r="AA1540" t="s">
        <v>54</v>
      </c>
      <c r="AB1540" t="s">
        <v>1701</v>
      </c>
      <c r="AC1540" t="s">
        <v>85</v>
      </c>
      <c r="AD1540" t="s">
        <v>116</v>
      </c>
      <c r="AE1540" t="s">
        <v>574</v>
      </c>
      <c r="AF1540" t="s">
        <v>575</v>
      </c>
      <c r="AG1540" t="s">
        <v>5594</v>
      </c>
      <c r="AK1540">
        <v>1</v>
      </c>
      <c r="AL1540" t="s">
        <v>61</v>
      </c>
      <c r="AM1540" t="s">
        <v>1701</v>
      </c>
      <c r="AN1540" t="s">
        <v>1702</v>
      </c>
    </row>
    <row r="1541" spans="1:40" x14ac:dyDescent="0.35">
      <c r="A1541" t="s">
        <v>37</v>
      </c>
      <c r="B1541" t="s">
        <v>6546</v>
      </c>
      <c r="C1541" t="s">
        <v>102</v>
      </c>
      <c r="D1541" t="s">
        <v>1698</v>
      </c>
      <c r="E1541" t="s">
        <v>584</v>
      </c>
      <c r="F1541" s="1">
        <v>46073.778680555559</v>
      </c>
      <c r="G1541" t="s">
        <v>105</v>
      </c>
      <c r="H1541" t="s">
        <v>106</v>
      </c>
      <c r="I1541" t="s">
        <v>5100</v>
      </c>
      <c r="J1541" t="s">
        <v>108</v>
      </c>
      <c r="K1541" t="s">
        <v>341</v>
      </c>
      <c r="M1541" t="s">
        <v>47</v>
      </c>
      <c r="O1541" t="s">
        <v>77</v>
      </c>
      <c r="P1541" t="s">
        <v>78</v>
      </c>
      <c r="Q1541" t="s">
        <v>50</v>
      </c>
      <c r="R1541" t="s">
        <v>111</v>
      </c>
      <c r="S1541" t="s">
        <v>51</v>
      </c>
      <c r="T1541" t="s">
        <v>112</v>
      </c>
      <c r="U1541" s="1">
        <v>46074.489317129628</v>
      </c>
      <c r="V1541" t="s">
        <v>54</v>
      </c>
      <c r="X1541" t="s">
        <v>134</v>
      </c>
      <c r="Y1541" t="s">
        <v>6547</v>
      </c>
      <c r="Z1541" t="s">
        <v>5594</v>
      </c>
      <c r="AA1541" t="s">
        <v>54</v>
      </c>
      <c r="AB1541" t="s">
        <v>1701</v>
      </c>
      <c r="AC1541" t="s">
        <v>85</v>
      </c>
      <c r="AD1541" t="s">
        <v>116</v>
      </c>
      <c r="AE1541" t="s">
        <v>117</v>
      </c>
      <c r="AF1541" t="s">
        <v>1740</v>
      </c>
      <c r="AG1541" t="s">
        <v>5594</v>
      </c>
      <c r="AK1541">
        <v>1</v>
      </c>
      <c r="AL1541" t="s">
        <v>61</v>
      </c>
      <c r="AM1541" t="s">
        <v>1701</v>
      </c>
      <c r="AN1541" t="s">
        <v>1702</v>
      </c>
    </row>
    <row r="1542" spans="1:40" x14ac:dyDescent="0.35">
      <c r="A1542" t="s">
        <v>37</v>
      </c>
      <c r="B1542" t="s">
        <v>6548</v>
      </c>
      <c r="C1542" t="s">
        <v>102</v>
      </c>
      <c r="D1542" t="s">
        <v>1698</v>
      </c>
      <c r="E1542" t="s">
        <v>584</v>
      </c>
      <c r="F1542" s="1">
        <v>46073.77721064815</v>
      </c>
      <c r="G1542" t="s">
        <v>105</v>
      </c>
      <c r="H1542" t="s">
        <v>106</v>
      </c>
      <c r="I1542" t="s">
        <v>1941</v>
      </c>
      <c r="J1542" t="s">
        <v>108</v>
      </c>
      <c r="K1542" t="s">
        <v>109</v>
      </c>
      <c r="M1542" t="s">
        <v>47</v>
      </c>
      <c r="O1542" t="s">
        <v>77</v>
      </c>
      <c r="P1542" t="s">
        <v>78</v>
      </c>
      <c r="Q1542" t="s">
        <v>50</v>
      </c>
      <c r="R1542" t="s">
        <v>111</v>
      </c>
      <c r="S1542" t="s">
        <v>51</v>
      </c>
      <c r="T1542" t="s">
        <v>112</v>
      </c>
      <c r="U1542" s="1">
        <v>46073.927662037036</v>
      </c>
      <c r="V1542" t="s">
        <v>54</v>
      </c>
      <c r="W1542" t="s">
        <v>55</v>
      </c>
      <c r="X1542" t="s">
        <v>134</v>
      </c>
      <c r="Y1542" t="s">
        <v>6549</v>
      </c>
      <c r="Z1542" t="s">
        <v>5594</v>
      </c>
      <c r="AA1542" t="s">
        <v>54</v>
      </c>
      <c r="AB1542" t="s">
        <v>1701</v>
      </c>
      <c r="AC1542" t="s">
        <v>85</v>
      </c>
      <c r="AD1542" t="s">
        <v>116</v>
      </c>
      <c r="AE1542" t="s">
        <v>117</v>
      </c>
      <c r="AF1542" t="s">
        <v>1706</v>
      </c>
      <c r="AG1542" t="s">
        <v>5594</v>
      </c>
      <c r="AK1542">
        <v>1</v>
      </c>
      <c r="AL1542" t="s">
        <v>61</v>
      </c>
      <c r="AM1542" t="s">
        <v>1701</v>
      </c>
      <c r="AN1542" t="s">
        <v>1702</v>
      </c>
    </row>
    <row r="1543" spans="1:40" x14ac:dyDescent="0.35">
      <c r="A1543" t="s">
        <v>37</v>
      </c>
      <c r="B1543" t="s">
        <v>6550</v>
      </c>
      <c r="C1543" t="s">
        <v>39</v>
      </c>
      <c r="D1543" t="s">
        <v>6551</v>
      </c>
      <c r="E1543" t="s">
        <v>6552</v>
      </c>
      <c r="F1543" s="1">
        <v>46073.761712962965</v>
      </c>
      <c r="G1543" t="s">
        <v>355</v>
      </c>
      <c r="H1543" t="s">
        <v>356</v>
      </c>
      <c r="I1543" t="s">
        <v>6553</v>
      </c>
      <c r="J1543" t="s">
        <v>394</v>
      </c>
      <c r="K1543" t="s">
        <v>75</v>
      </c>
      <c r="M1543" t="s">
        <v>76</v>
      </c>
      <c r="O1543" t="s">
        <v>77</v>
      </c>
      <c r="P1543" t="s">
        <v>78</v>
      </c>
      <c r="Q1543" t="s">
        <v>50</v>
      </c>
      <c r="R1543" t="s">
        <v>79</v>
      </c>
      <c r="S1543" t="s">
        <v>967</v>
      </c>
      <c r="T1543" t="s">
        <v>1072</v>
      </c>
      <c r="U1543" s="1">
        <v>46077.52065972222</v>
      </c>
      <c r="V1543" t="s">
        <v>54</v>
      </c>
      <c r="W1543" t="s">
        <v>55</v>
      </c>
      <c r="X1543" t="s">
        <v>134</v>
      </c>
      <c r="Y1543" t="s">
        <v>3051</v>
      </c>
      <c r="Z1543" t="s">
        <v>58</v>
      </c>
      <c r="AA1543" t="s">
        <v>54</v>
      </c>
      <c r="AB1543" t="s">
        <v>954</v>
      </c>
      <c r="AC1543" t="s">
        <v>85</v>
      </c>
      <c r="AD1543" t="s">
        <v>79</v>
      </c>
      <c r="AE1543" t="s">
        <v>967</v>
      </c>
      <c r="AF1543" t="s">
        <v>1072</v>
      </c>
      <c r="AG1543" t="s">
        <v>58</v>
      </c>
      <c r="AH1543" t="s">
        <v>6554</v>
      </c>
      <c r="AK1543">
        <v>1</v>
      </c>
      <c r="AL1543" t="s">
        <v>61</v>
      </c>
      <c r="AM1543" t="s">
        <v>6555</v>
      </c>
      <c r="AN1543" t="s">
        <v>6556</v>
      </c>
    </row>
    <row r="1544" spans="1:40" x14ac:dyDescent="0.35">
      <c r="A1544" t="s">
        <v>37</v>
      </c>
      <c r="B1544" t="s">
        <v>6557</v>
      </c>
      <c r="C1544" t="s">
        <v>39</v>
      </c>
      <c r="D1544" t="s">
        <v>3318</v>
      </c>
      <c r="E1544" t="s">
        <v>3319</v>
      </c>
      <c r="F1544" s="1">
        <v>46073.738923611112</v>
      </c>
      <c r="G1544" t="s">
        <v>515</v>
      </c>
      <c r="H1544" t="s">
        <v>92</v>
      </c>
      <c r="I1544" t="s">
        <v>6558</v>
      </c>
      <c r="J1544" t="s">
        <v>3257</v>
      </c>
      <c r="K1544" t="s">
        <v>1834</v>
      </c>
      <c r="M1544" t="s">
        <v>76</v>
      </c>
      <c r="O1544" t="s">
        <v>77</v>
      </c>
      <c r="P1544" t="s">
        <v>78</v>
      </c>
      <c r="Q1544" t="s">
        <v>1174</v>
      </c>
      <c r="R1544" t="s">
        <v>51</v>
      </c>
      <c r="S1544" t="s">
        <v>52</v>
      </c>
      <c r="T1544" t="s">
        <v>240</v>
      </c>
      <c r="U1544" s="1">
        <v>46076.31653935185</v>
      </c>
      <c r="V1544" t="s">
        <v>54</v>
      </c>
      <c r="W1544" t="s">
        <v>55</v>
      </c>
      <c r="X1544" t="s">
        <v>134</v>
      </c>
      <c r="Y1544" t="s">
        <v>3258</v>
      </c>
      <c r="Z1544" t="s">
        <v>58</v>
      </c>
      <c r="AA1544" t="s">
        <v>54</v>
      </c>
      <c r="AB1544" t="s">
        <v>3259</v>
      </c>
      <c r="AC1544" t="s">
        <v>85</v>
      </c>
      <c r="AD1544" t="s">
        <v>52</v>
      </c>
      <c r="AE1544" t="s">
        <v>243</v>
      </c>
      <c r="AF1544" t="s">
        <v>1470</v>
      </c>
      <c r="AG1544" t="s">
        <v>58</v>
      </c>
      <c r="AH1544" t="s">
        <v>3321</v>
      </c>
      <c r="AK1544">
        <v>0</v>
      </c>
      <c r="AL1544" t="s">
        <v>61</v>
      </c>
      <c r="AM1544" t="s">
        <v>3259</v>
      </c>
      <c r="AN1544" t="s">
        <v>3322</v>
      </c>
    </row>
    <row r="1545" spans="1:40" x14ac:dyDescent="0.35">
      <c r="A1545" t="s">
        <v>37</v>
      </c>
      <c r="B1545" t="s">
        <v>6559</v>
      </c>
      <c r="C1545" t="s">
        <v>39</v>
      </c>
      <c r="D1545" t="s">
        <v>6105</v>
      </c>
      <c r="E1545" t="s">
        <v>6106</v>
      </c>
      <c r="F1545" s="1">
        <v>46073.737928240742</v>
      </c>
      <c r="G1545" t="s">
        <v>250</v>
      </c>
      <c r="H1545" t="s">
        <v>106</v>
      </c>
      <c r="I1545" t="s">
        <v>1087</v>
      </c>
      <c r="J1545" t="s">
        <v>1015</v>
      </c>
      <c r="K1545" t="s">
        <v>75</v>
      </c>
      <c r="M1545" t="s">
        <v>47</v>
      </c>
      <c r="O1545" t="s">
        <v>77</v>
      </c>
      <c r="P1545" t="s">
        <v>78</v>
      </c>
      <c r="Q1545" t="s">
        <v>6108</v>
      </c>
      <c r="R1545" t="s">
        <v>79</v>
      </c>
      <c r="S1545" t="s">
        <v>1078</v>
      </c>
      <c r="T1545" t="s">
        <v>1078</v>
      </c>
      <c r="U1545" s="1">
        <v>46073.738796296297</v>
      </c>
      <c r="V1545" t="s">
        <v>54</v>
      </c>
      <c r="W1545" t="s">
        <v>55</v>
      </c>
      <c r="X1545" t="s">
        <v>82</v>
      </c>
      <c r="Y1545" t="s">
        <v>6560</v>
      </c>
      <c r="Z1545" t="s">
        <v>5594</v>
      </c>
      <c r="AA1545" t="s">
        <v>54</v>
      </c>
      <c r="AB1545" t="s">
        <v>954</v>
      </c>
      <c r="AC1545" t="s">
        <v>85</v>
      </c>
      <c r="AD1545" t="s">
        <v>79</v>
      </c>
      <c r="AE1545" t="s">
        <v>1078</v>
      </c>
      <c r="AF1545" t="s">
        <v>1078</v>
      </c>
      <c r="AG1545" t="s">
        <v>5594</v>
      </c>
      <c r="AH1545">
        <v>4868</v>
      </c>
      <c r="AK1545">
        <v>0</v>
      </c>
      <c r="AL1545" t="s">
        <v>61</v>
      </c>
      <c r="AM1545" t="s">
        <v>6110</v>
      </c>
      <c r="AN1545" t="s">
        <v>6111</v>
      </c>
    </row>
    <row r="1546" spans="1:40" x14ac:dyDescent="0.35">
      <c r="A1546" t="s">
        <v>37</v>
      </c>
      <c r="B1546" t="s">
        <v>6561</v>
      </c>
      <c r="C1546" t="s">
        <v>102</v>
      </c>
      <c r="D1546" t="s">
        <v>6562</v>
      </c>
      <c r="E1546" t="s">
        <v>6563</v>
      </c>
      <c r="F1546" s="1">
        <v>46073.734247685185</v>
      </c>
      <c r="G1546" t="s">
        <v>2015</v>
      </c>
      <c r="H1546" t="s">
        <v>447</v>
      </c>
      <c r="I1546" t="s">
        <v>6564</v>
      </c>
      <c r="J1546" t="s">
        <v>2531</v>
      </c>
      <c r="K1546" t="s">
        <v>2532</v>
      </c>
      <c r="M1546" t="s">
        <v>76</v>
      </c>
      <c r="O1546" t="s">
        <v>237</v>
      </c>
      <c r="P1546" t="s">
        <v>238</v>
      </c>
      <c r="Q1546" t="s">
        <v>50</v>
      </c>
      <c r="R1546" t="s">
        <v>51</v>
      </c>
      <c r="S1546" t="s">
        <v>52</v>
      </c>
      <c r="T1546" t="s">
        <v>240</v>
      </c>
      <c r="U1546" s="1">
        <v>46077.516516203701</v>
      </c>
      <c r="V1546" t="s">
        <v>54</v>
      </c>
      <c r="W1546" t="s">
        <v>55</v>
      </c>
      <c r="X1546" t="s">
        <v>134</v>
      </c>
      <c r="Y1546" t="e">
        <f>- Attendance on the mentioned days has been re-processed as per actual punch logs.</f>
        <v>#NAME?</v>
      </c>
      <c r="Z1546" t="s">
        <v>58</v>
      </c>
      <c r="AA1546" t="s">
        <v>54</v>
      </c>
      <c r="AB1546" t="s">
        <v>954</v>
      </c>
      <c r="AC1546" t="s">
        <v>242</v>
      </c>
      <c r="AD1546" t="s">
        <v>52</v>
      </c>
      <c r="AE1546" t="s">
        <v>243</v>
      </c>
      <c r="AF1546" t="s">
        <v>2533</v>
      </c>
      <c r="AG1546" t="s">
        <v>58</v>
      </c>
      <c r="AH1546">
        <v>12097</v>
      </c>
      <c r="AK1546">
        <v>1</v>
      </c>
      <c r="AL1546" t="s">
        <v>61</v>
      </c>
      <c r="AM1546" t="s">
        <v>6565</v>
      </c>
      <c r="AN1546" t="s">
        <v>6566</v>
      </c>
    </row>
    <row r="1547" spans="1:40" x14ac:dyDescent="0.35">
      <c r="A1547" t="s">
        <v>37</v>
      </c>
      <c r="B1547" t="s">
        <v>6567</v>
      </c>
      <c r="C1547" t="s">
        <v>39</v>
      </c>
      <c r="D1547" t="s">
        <v>40</v>
      </c>
      <c r="E1547" t="s">
        <v>41</v>
      </c>
      <c r="F1547" s="1">
        <v>46073.715960648151</v>
      </c>
      <c r="G1547" t="s">
        <v>42</v>
      </c>
      <c r="H1547" t="s">
        <v>43</v>
      </c>
      <c r="I1547" t="s">
        <v>6568</v>
      </c>
      <c r="J1547" t="s">
        <v>45</v>
      </c>
      <c r="K1547" t="s">
        <v>46</v>
      </c>
      <c r="M1547" t="s">
        <v>47</v>
      </c>
      <c r="O1547" t="s">
        <v>48</v>
      </c>
      <c r="P1547" t="s">
        <v>49</v>
      </c>
      <c r="Q1547" t="s">
        <v>50</v>
      </c>
      <c r="R1547" t="s">
        <v>51</v>
      </c>
      <c r="S1547" t="s">
        <v>52</v>
      </c>
      <c r="T1547" t="s">
        <v>53</v>
      </c>
      <c r="U1547" s="1">
        <v>46073.71806712963</v>
      </c>
      <c r="V1547" t="s">
        <v>54</v>
      </c>
      <c r="W1547" t="s">
        <v>55</v>
      </c>
      <c r="X1547" t="s">
        <v>56</v>
      </c>
      <c r="Y1547" t="s">
        <v>65</v>
      </c>
      <c r="Z1547" t="s">
        <v>5594</v>
      </c>
      <c r="AA1547" t="s">
        <v>54</v>
      </c>
      <c r="AB1547" t="s">
        <v>59</v>
      </c>
      <c r="AC1547" t="s">
        <v>60</v>
      </c>
      <c r="AD1547" t="s">
        <v>51</v>
      </c>
      <c r="AE1547" t="s">
        <v>52</v>
      </c>
      <c r="AF1547" t="s">
        <v>53</v>
      </c>
      <c r="AG1547" t="s">
        <v>5594</v>
      </c>
      <c r="AK1547">
        <v>0</v>
      </c>
      <c r="AL1547" t="s">
        <v>61</v>
      </c>
      <c r="AM1547" t="s">
        <v>59</v>
      </c>
      <c r="AN1547" t="s">
        <v>62</v>
      </c>
    </row>
    <row r="1548" spans="1:40" x14ac:dyDescent="0.35">
      <c r="A1548" t="s">
        <v>37</v>
      </c>
      <c r="B1548" t="s">
        <v>6569</v>
      </c>
      <c r="C1548" t="s">
        <v>102</v>
      </c>
      <c r="D1548" t="s">
        <v>1698</v>
      </c>
      <c r="E1548" t="s">
        <v>584</v>
      </c>
      <c r="F1548" s="1">
        <v>46073.7108912037</v>
      </c>
      <c r="G1548" t="s">
        <v>105</v>
      </c>
      <c r="H1548" t="s">
        <v>106</v>
      </c>
      <c r="I1548" t="s">
        <v>1957</v>
      </c>
      <c r="J1548" t="s">
        <v>108</v>
      </c>
      <c r="K1548" t="s">
        <v>109</v>
      </c>
      <c r="M1548" t="s">
        <v>76</v>
      </c>
      <c r="O1548" t="s">
        <v>77</v>
      </c>
      <c r="P1548" t="s">
        <v>78</v>
      </c>
      <c r="Q1548" t="s">
        <v>50</v>
      </c>
      <c r="R1548" t="s">
        <v>111</v>
      </c>
      <c r="S1548" t="s">
        <v>51</v>
      </c>
      <c r="T1548" t="s">
        <v>112</v>
      </c>
      <c r="U1548" s="1">
        <v>46078.874282407407</v>
      </c>
      <c r="V1548" t="s">
        <v>54</v>
      </c>
      <c r="W1548" t="s">
        <v>1584</v>
      </c>
      <c r="X1548" t="s">
        <v>134</v>
      </c>
      <c r="Y1548" t="s">
        <v>143</v>
      </c>
      <c r="Z1548" t="s">
        <v>58</v>
      </c>
      <c r="AA1548" t="s">
        <v>54</v>
      </c>
      <c r="AB1548" t="s">
        <v>1701</v>
      </c>
      <c r="AC1548" t="s">
        <v>85</v>
      </c>
      <c r="AD1548" t="s">
        <v>116</v>
      </c>
      <c r="AE1548" t="s">
        <v>117</v>
      </c>
      <c r="AF1548" t="s">
        <v>144</v>
      </c>
      <c r="AG1548" t="s">
        <v>58</v>
      </c>
      <c r="AK1548">
        <v>1</v>
      </c>
      <c r="AL1548" t="s">
        <v>61</v>
      </c>
      <c r="AM1548" t="s">
        <v>1701</v>
      </c>
      <c r="AN1548" t="s">
        <v>1702</v>
      </c>
    </row>
    <row r="1549" spans="1:40" x14ac:dyDescent="0.35">
      <c r="A1549" t="s">
        <v>37</v>
      </c>
      <c r="B1549" t="s">
        <v>6570</v>
      </c>
      <c r="C1549" t="s">
        <v>102</v>
      </c>
      <c r="D1549" t="s">
        <v>6571</v>
      </c>
      <c r="E1549" t="s">
        <v>6572</v>
      </c>
      <c r="F1549" s="1">
        <v>46073.711851851855</v>
      </c>
      <c r="G1549" t="s">
        <v>4421</v>
      </c>
      <c r="H1549" t="s">
        <v>92</v>
      </c>
      <c r="I1549" t="s">
        <v>6573</v>
      </c>
      <c r="J1549" t="s">
        <v>548</v>
      </c>
      <c r="K1549" t="s">
        <v>549</v>
      </c>
      <c r="M1549" t="s">
        <v>47</v>
      </c>
      <c r="O1549" t="s">
        <v>77</v>
      </c>
      <c r="P1549" t="s">
        <v>78</v>
      </c>
      <c r="Q1549" t="s">
        <v>50</v>
      </c>
      <c r="R1549" t="s">
        <v>51</v>
      </c>
      <c r="S1549" t="s">
        <v>52</v>
      </c>
      <c r="T1549" t="s">
        <v>240</v>
      </c>
      <c r="U1549" s="1">
        <v>46073.712638888886</v>
      </c>
      <c r="V1549" t="s">
        <v>54</v>
      </c>
      <c r="W1549" t="s">
        <v>55</v>
      </c>
      <c r="X1549" t="s">
        <v>82</v>
      </c>
      <c r="Y1549" t="s">
        <v>6574</v>
      </c>
      <c r="Z1549" t="s">
        <v>5594</v>
      </c>
      <c r="AA1549" t="s">
        <v>54</v>
      </c>
      <c r="AB1549" t="s">
        <v>6575</v>
      </c>
      <c r="AC1549" t="s">
        <v>85</v>
      </c>
      <c r="AD1549" t="s">
        <v>52</v>
      </c>
      <c r="AE1549" t="s">
        <v>243</v>
      </c>
      <c r="AF1549" t="s">
        <v>1470</v>
      </c>
      <c r="AG1549" t="s">
        <v>5594</v>
      </c>
      <c r="AH1549">
        <v>13420</v>
      </c>
      <c r="AK1549">
        <v>0</v>
      </c>
      <c r="AL1549" t="s">
        <v>61</v>
      </c>
      <c r="AM1549" t="s">
        <v>6576</v>
      </c>
      <c r="AN1549" t="s">
        <v>6577</v>
      </c>
    </row>
    <row r="1550" spans="1:40" x14ac:dyDescent="0.35">
      <c r="A1550" t="s">
        <v>37</v>
      </c>
      <c r="B1550" t="s">
        <v>6578</v>
      </c>
      <c r="C1550" t="s">
        <v>102</v>
      </c>
      <c r="D1550" t="s">
        <v>146</v>
      </c>
      <c r="E1550" t="s">
        <v>147</v>
      </c>
      <c r="F1550" s="1">
        <v>46073.71125</v>
      </c>
      <c r="G1550" t="s">
        <v>71</v>
      </c>
      <c r="H1550" t="s">
        <v>72</v>
      </c>
      <c r="I1550" t="s">
        <v>6579</v>
      </c>
      <c r="J1550" t="s">
        <v>149</v>
      </c>
      <c r="K1550" t="s">
        <v>130</v>
      </c>
      <c r="M1550" t="s">
        <v>150</v>
      </c>
      <c r="O1550" t="s">
        <v>77</v>
      </c>
      <c r="P1550" t="s">
        <v>78</v>
      </c>
      <c r="Q1550" t="s">
        <v>50</v>
      </c>
      <c r="R1550" t="s">
        <v>132</v>
      </c>
      <c r="S1550" t="s">
        <v>133</v>
      </c>
      <c r="T1550" t="s">
        <v>133</v>
      </c>
      <c r="U1550" s="1">
        <v>46076.370185185187</v>
      </c>
      <c r="V1550" t="s">
        <v>54</v>
      </c>
      <c r="W1550" t="s">
        <v>55</v>
      </c>
      <c r="X1550" t="s">
        <v>82</v>
      </c>
      <c r="Y1550" t="s">
        <v>6580</v>
      </c>
      <c r="Z1550" t="s">
        <v>58</v>
      </c>
      <c r="AA1550" t="s">
        <v>54</v>
      </c>
      <c r="AB1550" t="s">
        <v>152</v>
      </c>
      <c r="AC1550" t="s">
        <v>85</v>
      </c>
      <c r="AD1550" t="s">
        <v>132</v>
      </c>
      <c r="AE1550" t="s">
        <v>133</v>
      </c>
      <c r="AF1550" t="s">
        <v>133</v>
      </c>
      <c r="AG1550" t="s">
        <v>58</v>
      </c>
      <c r="AH1550" t="s">
        <v>153</v>
      </c>
      <c r="AK1550">
        <v>1</v>
      </c>
      <c r="AL1550" t="s">
        <v>61</v>
      </c>
      <c r="AM1550" t="s">
        <v>152</v>
      </c>
      <c r="AN1550" t="s">
        <v>154</v>
      </c>
    </row>
    <row r="1551" spans="1:40" x14ac:dyDescent="0.35">
      <c r="A1551" t="s">
        <v>37</v>
      </c>
      <c r="B1551" t="s">
        <v>6581</v>
      </c>
      <c r="C1551" t="s">
        <v>39</v>
      </c>
      <c r="D1551" t="s">
        <v>6582</v>
      </c>
      <c r="E1551" t="s">
        <v>770</v>
      </c>
      <c r="F1551" s="1">
        <v>46073.70890046296</v>
      </c>
      <c r="G1551" t="s">
        <v>855</v>
      </c>
      <c r="H1551" t="s">
        <v>447</v>
      </c>
      <c r="I1551" t="s">
        <v>6583</v>
      </c>
      <c r="J1551" t="s">
        <v>1555</v>
      </c>
      <c r="K1551" t="s">
        <v>951</v>
      </c>
      <c r="M1551" t="s">
        <v>76</v>
      </c>
      <c r="O1551" t="s">
        <v>77</v>
      </c>
      <c r="P1551" t="s">
        <v>78</v>
      </c>
      <c r="Q1551" t="s">
        <v>50</v>
      </c>
      <c r="R1551" t="s">
        <v>79</v>
      </c>
      <c r="S1551" t="s">
        <v>1556</v>
      </c>
      <c r="T1551" t="s">
        <v>1557</v>
      </c>
      <c r="U1551" s="1">
        <v>46076.334560185183</v>
      </c>
      <c r="V1551" t="s">
        <v>54</v>
      </c>
      <c r="W1551" t="s">
        <v>55</v>
      </c>
      <c r="X1551" t="s">
        <v>134</v>
      </c>
      <c r="Y1551" t="e">
        <f>- Cleaned / deleted Quarantined items. - deleted temporary files, temporary internet files and cookies. - Ran SEP Active scan. - Completed successfully</f>
        <v>#NAME?</v>
      </c>
      <c r="Z1551" t="s">
        <v>58</v>
      </c>
      <c r="AA1551" t="s">
        <v>54</v>
      </c>
      <c r="AB1551" t="s">
        <v>954</v>
      </c>
      <c r="AC1551" t="s">
        <v>85</v>
      </c>
      <c r="AD1551" t="s">
        <v>79</v>
      </c>
      <c r="AE1551" t="s">
        <v>1556</v>
      </c>
      <c r="AF1551" t="s">
        <v>1557</v>
      </c>
      <c r="AG1551" t="s">
        <v>58</v>
      </c>
      <c r="AH1551" t="s">
        <v>6584</v>
      </c>
      <c r="AK1551">
        <v>1</v>
      </c>
      <c r="AL1551" t="s">
        <v>61</v>
      </c>
      <c r="AM1551" t="s">
        <v>6585</v>
      </c>
      <c r="AN1551" t="s">
        <v>6586</v>
      </c>
    </row>
    <row r="1552" spans="1:40" x14ac:dyDescent="0.35">
      <c r="A1552" t="s">
        <v>37</v>
      </c>
      <c r="B1552" t="s">
        <v>6587</v>
      </c>
      <c r="C1552" t="s">
        <v>39</v>
      </c>
      <c r="D1552" t="s">
        <v>5457</v>
      </c>
      <c r="E1552" t="s">
        <v>6588</v>
      </c>
      <c r="F1552" s="1">
        <v>46073.706875000003</v>
      </c>
      <c r="G1552" t="s">
        <v>42</v>
      </c>
      <c r="H1552" t="s">
        <v>43</v>
      </c>
      <c r="I1552" t="s">
        <v>6589</v>
      </c>
      <c r="J1552" t="s">
        <v>1015</v>
      </c>
      <c r="K1552" t="s">
        <v>75</v>
      </c>
      <c r="M1552" t="s">
        <v>47</v>
      </c>
      <c r="O1552" t="s">
        <v>77</v>
      </c>
      <c r="P1552" t="s">
        <v>78</v>
      </c>
      <c r="Q1552" t="s">
        <v>50</v>
      </c>
      <c r="R1552" t="s">
        <v>79</v>
      </c>
      <c r="S1552" t="s">
        <v>1556</v>
      </c>
      <c r="T1552" t="s">
        <v>1557</v>
      </c>
      <c r="U1552" s="1">
        <v>46073.718055555553</v>
      </c>
      <c r="V1552" t="s">
        <v>54</v>
      </c>
      <c r="W1552" t="s">
        <v>55</v>
      </c>
      <c r="X1552" t="s">
        <v>134</v>
      </c>
      <c r="Y1552" t="s">
        <v>6590</v>
      </c>
      <c r="Z1552" t="s">
        <v>5594</v>
      </c>
      <c r="AA1552" t="s">
        <v>54</v>
      </c>
      <c r="AB1552" t="s">
        <v>954</v>
      </c>
      <c r="AC1552" t="s">
        <v>85</v>
      </c>
      <c r="AD1552" t="s">
        <v>79</v>
      </c>
      <c r="AE1552" t="s">
        <v>1556</v>
      </c>
      <c r="AF1552" t="s">
        <v>1557</v>
      </c>
      <c r="AG1552" t="s">
        <v>5594</v>
      </c>
      <c r="AH1552" t="s">
        <v>6591</v>
      </c>
      <c r="AK1552">
        <v>0</v>
      </c>
      <c r="AL1552" t="s">
        <v>61</v>
      </c>
      <c r="AM1552" t="s">
        <v>6592</v>
      </c>
      <c r="AN1552" t="s">
        <v>6593</v>
      </c>
    </row>
    <row r="1553" spans="1:40" x14ac:dyDescent="0.35">
      <c r="A1553" t="s">
        <v>37</v>
      </c>
      <c r="B1553" t="s">
        <v>6594</v>
      </c>
      <c r="C1553" t="s">
        <v>102</v>
      </c>
      <c r="D1553" t="s">
        <v>1698</v>
      </c>
      <c r="E1553" t="s">
        <v>584</v>
      </c>
      <c r="F1553" s="1">
        <v>46073.704444444447</v>
      </c>
      <c r="G1553" t="s">
        <v>105</v>
      </c>
      <c r="H1553" t="s">
        <v>106</v>
      </c>
      <c r="I1553" t="s">
        <v>6237</v>
      </c>
      <c r="J1553" t="s">
        <v>108</v>
      </c>
      <c r="K1553" t="s">
        <v>109</v>
      </c>
      <c r="M1553" t="s">
        <v>76</v>
      </c>
      <c r="O1553" t="s">
        <v>77</v>
      </c>
      <c r="P1553" t="s">
        <v>78</v>
      </c>
      <c r="Q1553" t="s">
        <v>50</v>
      </c>
      <c r="R1553" t="s">
        <v>111</v>
      </c>
      <c r="S1553" t="s">
        <v>51</v>
      </c>
      <c r="T1553" t="s">
        <v>112</v>
      </c>
      <c r="U1553" s="1">
        <v>46078.873530092591</v>
      </c>
      <c r="V1553" t="s">
        <v>54</v>
      </c>
      <c r="W1553" t="s">
        <v>1584</v>
      </c>
      <c r="X1553" t="s">
        <v>134</v>
      </c>
      <c r="Y1553" t="s">
        <v>143</v>
      </c>
      <c r="Z1553" t="s">
        <v>58</v>
      </c>
      <c r="AA1553" t="s">
        <v>54</v>
      </c>
      <c r="AB1553" t="s">
        <v>1701</v>
      </c>
      <c r="AC1553" t="s">
        <v>85</v>
      </c>
      <c r="AD1553" t="s">
        <v>116</v>
      </c>
      <c r="AE1553" t="s">
        <v>117</v>
      </c>
      <c r="AF1553" t="s">
        <v>144</v>
      </c>
      <c r="AG1553" t="s">
        <v>58</v>
      </c>
      <c r="AK1553">
        <v>1</v>
      </c>
      <c r="AL1553" t="s">
        <v>61</v>
      </c>
      <c r="AM1553" t="s">
        <v>1701</v>
      </c>
      <c r="AN1553" t="s">
        <v>1702</v>
      </c>
    </row>
    <row r="1554" spans="1:40" x14ac:dyDescent="0.35">
      <c r="A1554" t="s">
        <v>37</v>
      </c>
      <c r="B1554" t="s">
        <v>6595</v>
      </c>
      <c r="C1554" t="s">
        <v>102</v>
      </c>
      <c r="D1554" t="s">
        <v>747</v>
      </c>
      <c r="E1554" t="s">
        <v>6596</v>
      </c>
      <c r="F1554" s="1">
        <v>46073.695150462961</v>
      </c>
      <c r="G1554" t="s">
        <v>2015</v>
      </c>
      <c r="H1554" t="s">
        <v>447</v>
      </c>
      <c r="I1554" t="s">
        <v>6597</v>
      </c>
      <c r="J1554" t="s">
        <v>2531</v>
      </c>
      <c r="K1554" t="s">
        <v>2532</v>
      </c>
      <c r="M1554" t="s">
        <v>76</v>
      </c>
      <c r="O1554" t="s">
        <v>237</v>
      </c>
      <c r="P1554" t="s">
        <v>238</v>
      </c>
      <c r="Q1554" t="s">
        <v>456</v>
      </c>
      <c r="R1554" t="s">
        <v>51</v>
      </c>
      <c r="S1554" t="s">
        <v>52</v>
      </c>
      <c r="T1554" t="s">
        <v>240</v>
      </c>
      <c r="U1554" s="1">
        <v>46076.376203703701</v>
      </c>
      <c r="V1554" t="s">
        <v>54</v>
      </c>
      <c r="W1554" t="s">
        <v>55</v>
      </c>
      <c r="X1554" t="s">
        <v>211</v>
      </c>
      <c r="Y1554" t="e">
        <f>- Please note that, your username has been whitelisted now. kindly ensure that you are using only one device to punch.</f>
        <v>#NAME?</v>
      </c>
      <c r="Z1554" t="s">
        <v>58</v>
      </c>
      <c r="AA1554" t="s">
        <v>54</v>
      </c>
      <c r="AB1554" t="s">
        <v>213</v>
      </c>
      <c r="AC1554" t="s">
        <v>242</v>
      </c>
      <c r="AD1554" t="s">
        <v>52</v>
      </c>
      <c r="AE1554" t="s">
        <v>243</v>
      </c>
      <c r="AF1554" t="s">
        <v>2533</v>
      </c>
      <c r="AG1554" t="s">
        <v>58</v>
      </c>
      <c r="AH1554">
        <v>229</v>
      </c>
      <c r="AK1554">
        <v>2</v>
      </c>
      <c r="AL1554" t="s">
        <v>61</v>
      </c>
      <c r="AM1554" t="s">
        <v>6598</v>
      </c>
      <c r="AN1554" t="s">
        <v>6599</v>
      </c>
    </row>
    <row r="1555" spans="1:40" x14ac:dyDescent="0.35">
      <c r="A1555" t="s">
        <v>37</v>
      </c>
      <c r="B1555" t="s">
        <v>6600</v>
      </c>
      <c r="C1555" t="s">
        <v>102</v>
      </c>
      <c r="D1555" t="s">
        <v>3486</v>
      </c>
      <c r="E1555" t="s">
        <v>6601</v>
      </c>
      <c r="F1555" s="1">
        <v>46073.6953587963</v>
      </c>
      <c r="G1555" t="s">
        <v>793</v>
      </c>
      <c r="H1555" t="s">
        <v>356</v>
      </c>
      <c r="I1555" t="s">
        <v>6602</v>
      </c>
      <c r="J1555" t="s">
        <v>404</v>
      </c>
      <c r="K1555" t="s">
        <v>405</v>
      </c>
      <c r="M1555" t="s">
        <v>76</v>
      </c>
      <c r="O1555" t="s">
        <v>237</v>
      </c>
      <c r="P1555" t="s">
        <v>238</v>
      </c>
      <c r="Q1555" t="s">
        <v>50</v>
      </c>
      <c r="R1555" t="s">
        <v>51</v>
      </c>
      <c r="S1555" t="s">
        <v>52</v>
      </c>
      <c r="T1555" t="s">
        <v>240</v>
      </c>
      <c r="U1555" s="1">
        <v>46078.545300925929</v>
      </c>
      <c r="V1555" t="s">
        <v>54</v>
      </c>
      <c r="W1555" t="s">
        <v>55</v>
      </c>
      <c r="X1555" t="s">
        <v>134</v>
      </c>
      <c r="Y1555" t="s">
        <v>6603</v>
      </c>
      <c r="Z1555" t="s">
        <v>58</v>
      </c>
      <c r="AA1555" t="s">
        <v>54</v>
      </c>
      <c r="AB1555" t="s">
        <v>954</v>
      </c>
      <c r="AC1555" t="s">
        <v>242</v>
      </c>
      <c r="AD1555" t="s">
        <v>52</v>
      </c>
      <c r="AE1555" t="s">
        <v>243</v>
      </c>
      <c r="AF1555" t="s">
        <v>244</v>
      </c>
      <c r="AG1555" t="s">
        <v>58</v>
      </c>
      <c r="AH1555">
        <v>14088</v>
      </c>
      <c r="AK1555">
        <v>1</v>
      </c>
      <c r="AL1555" t="s">
        <v>61</v>
      </c>
      <c r="AM1555" t="s">
        <v>6604</v>
      </c>
      <c r="AN1555" t="s">
        <v>6605</v>
      </c>
    </row>
    <row r="1556" spans="1:40" x14ac:dyDescent="0.35">
      <c r="A1556" t="s">
        <v>37</v>
      </c>
      <c r="B1556" t="s">
        <v>6606</v>
      </c>
      <c r="C1556" t="s">
        <v>39</v>
      </c>
      <c r="D1556" t="s">
        <v>40</v>
      </c>
      <c r="E1556" t="s">
        <v>41</v>
      </c>
      <c r="F1556" s="1">
        <v>46073.682430555556</v>
      </c>
      <c r="G1556" t="s">
        <v>42</v>
      </c>
      <c r="H1556" t="s">
        <v>43</v>
      </c>
      <c r="I1556" t="s">
        <v>6607</v>
      </c>
      <c r="J1556" t="s">
        <v>45</v>
      </c>
      <c r="K1556" t="s">
        <v>46</v>
      </c>
      <c r="M1556" t="s">
        <v>47</v>
      </c>
      <c r="O1556" t="s">
        <v>48</v>
      </c>
      <c r="P1556" t="s">
        <v>49</v>
      </c>
      <c r="Q1556" t="s">
        <v>50</v>
      </c>
      <c r="R1556" t="s">
        <v>51</v>
      </c>
      <c r="S1556" t="s">
        <v>52</v>
      </c>
      <c r="T1556" t="s">
        <v>53</v>
      </c>
      <c r="U1556" s="1">
        <v>46073.683275462965</v>
      </c>
      <c r="V1556" t="s">
        <v>54</v>
      </c>
      <c r="W1556" t="s">
        <v>55</v>
      </c>
      <c r="X1556" t="s">
        <v>56</v>
      </c>
      <c r="Y1556" t="s">
        <v>57</v>
      </c>
      <c r="Z1556" t="s">
        <v>5594</v>
      </c>
      <c r="AA1556" t="s">
        <v>54</v>
      </c>
      <c r="AB1556" t="s">
        <v>59</v>
      </c>
      <c r="AC1556" t="s">
        <v>60</v>
      </c>
      <c r="AD1556" t="s">
        <v>51</v>
      </c>
      <c r="AE1556" t="s">
        <v>52</v>
      </c>
      <c r="AF1556" t="s">
        <v>53</v>
      </c>
      <c r="AG1556" t="s">
        <v>5594</v>
      </c>
      <c r="AK1556">
        <v>0</v>
      </c>
      <c r="AL1556" t="s">
        <v>61</v>
      </c>
      <c r="AM1556" t="s">
        <v>59</v>
      </c>
      <c r="AN1556" t="s">
        <v>62</v>
      </c>
    </row>
    <row r="1557" spans="1:40" x14ac:dyDescent="0.35">
      <c r="A1557" t="s">
        <v>37</v>
      </c>
      <c r="B1557" t="s">
        <v>6608</v>
      </c>
      <c r="C1557" t="s">
        <v>39</v>
      </c>
      <c r="D1557" t="s">
        <v>40</v>
      </c>
      <c r="E1557" t="s">
        <v>41</v>
      </c>
      <c r="F1557" s="1">
        <v>46073.682175925926</v>
      </c>
      <c r="G1557" t="s">
        <v>42</v>
      </c>
      <c r="H1557" t="s">
        <v>43</v>
      </c>
      <c r="I1557" t="s">
        <v>6609</v>
      </c>
      <c r="J1557" t="s">
        <v>45</v>
      </c>
      <c r="K1557" t="s">
        <v>46</v>
      </c>
      <c r="M1557" t="s">
        <v>47</v>
      </c>
      <c r="O1557" t="s">
        <v>48</v>
      </c>
      <c r="P1557" t="s">
        <v>49</v>
      </c>
      <c r="Q1557" t="s">
        <v>50</v>
      </c>
      <c r="R1557" t="s">
        <v>51</v>
      </c>
      <c r="S1557" t="s">
        <v>52</v>
      </c>
      <c r="T1557" t="s">
        <v>53</v>
      </c>
      <c r="U1557" s="1">
        <v>46073.683171296296</v>
      </c>
      <c r="V1557" t="s">
        <v>54</v>
      </c>
      <c r="W1557" t="s">
        <v>55</v>
      </c>
      <c r="X1557" t="s">
        <v>56</v>
      </c>
      <c r="Y1557" t="s">
        <v>57</v>
      </c>
      <c r="Z1557" t="s">
        <v>5594</v>
      </c>
      <c r="AA1557" t="s">
        <v>54</v>
      </c>
      <c r="AB1557" t="s">
        <v>59</v>
      </c>
      <c r="AC1557" t="s">
        <v>60</v>
      </c>
      <c r="AD1557" t="s">
        <v>51</v>
      </c>
      <c r="AE1557" t="s">
        <v>52</v>
      </c>
      <c r="AF1557" t="s">
        <v>53</v>
      </c>
      <c r="AG1557" t="s">
        <v>5594</v>
      </c>
      <c r="AK1557">
        <v>0</v>
      </c>
      <c r="AL1557" t="s">
        <v>61</v>
      </c>
      <c r="AM1557" t="s">
        <v>59</v>
      </c>
      <c r="AN1557" t="s">
        <v>62</v>
      </c>
    </row>
    <row r="1558" spans="1:40" x14ac:dyDescent="0.35">
      <c r="A1558" t="s">
        <v>37</v>
      </c>
      <c r="B1558" t="s">
        <v>6610</v>
      </c>
      <c r="C1558" t="s">
        <v>102</v>
      </c>
      <c r="D1558" t="s">
        <v>3010</v>
      </c>
      <c r="E1558" t="s">
        <v>6611</v>
      </c>
      <c r="F1558" s="1">
        <v>46073.682384259257</v>
      </c>
      <c r="G1558" t="s">
        <v>432</v>
      </c>
      <c r="H1558" t="s">
        <v>433</v>
      </c>
      <c r="I1558" t="s">
        <v>6612</v>
      </c>
      <c r="J1558" t="s">
        <v>816</v>
      </c>
      <c r="K1558" t="s">
        <v>817</v>
      </c>
      <c r="M1558" t="s">
        <v>76</v>
      </c>
      <c r="O1558" t="s">
        <v>237</v>
      </c>
      <c r="P1558" t="s">
        <v>238</v>
      </c>
      <c r="Q1558" t="s">
        <v>50</v>
      </c>
      <c r="R1558" t="s">
        <v>51</v>
      </c>
      <c r="S1558" t="s">
        <v>195</v>
      </c>
      <c r="T1558" t="s">
        <v>817</v>
      </c>
      <c r="U1558" s="1">
        <v>46076.408206018517</v>
      </c>
      <c r="V1558" t="s">
        <v>54</v>
      </c>
      <c r="W1558" t="s">
        <v>55</v>
      </c>
      <c r="X1558" t="s">
        <v>134</v>
      </c>
      <c r="Y1558" t="s">
        <v>6613</v>
      </c>
      <c r="Z1558" t="s">
        <v>58</v>
      </c>
      <c r="AA1558" t="s">
        <v>54</v>
      </c>
      <c r="AB1558" t="s">
        <v>954</v>
      </c>
      <c r="AC1558" t="s">
        <v>242</v>
      </c>
      <c r="AD1558" t="s">
        <v>51</v>
      </c>
      <c r="AE1558" t="s">
        <v>195</v>
      </c>
      <c r="AF1558" t="s">
        <v>817</v>
      </c>
      <c r="AG1558" t="s">
        <v>58</v>
      </c>
      <c r="AH1558">
        <v>11812</v>
      </c>
      <c r="AK1558">
        <v>1</v>
      </c>
      <c r="AL1558" t="s">
        <v>61</v>
      </c>
      <c r="AM1558" t="s">
        <v>6614</v>
      </c>
      <c r="AN1558" t="s">
        <v>6615</v>
      </c>
    </row>
    <row r="1559" spans="1:40" x14ac:dyDescent="0.35">
      <c r="A1559" t="s">
        <v>37</v>
      </c>
      <c r="B1559" t="s">
        <v>6616</v>
      </c>
      <c r="C1559" t="s">
        <v>102</v>
      </c>
      <c r="D1559" t="s">
        <v>6617</v>
      </c>
      <c r="E1559" t="s">
        <v>6618</v>
      </c>
      <c r="F1559" s="1">
        <v>46073.674803240741</v>
      </c>
      <c r="G1559" t="s">
        <v>71</v>
      </c>
      <c r="H1559" t="s">
        <v>72</v>
      </c>
      <c r="I1559" t="s">
        <v>6619</v>
      </c>
      <c r="J1559" t="s">
        <v>6620</v>
      </c>
      <c r="K1559" t="s">
        <v>951</v>
      </c>
      <c r="M1559" t="s">
        <v>76</v>
      </c>
      <c r="O1559" t="s">
        <v>237</v>
      </c>
      <c r="P1559" t="s">
        <v>238</v>
      </c>
      <c r="Q1559" t="s">
        <v>818</v>
      </c>
      <c r="R1559" t="s">
        <v>79</v>
      </c>
      <c r="S1559" t="s">
        <v>955</v>
      </c>
      <c r="T1559" t="s">
        <v>2460</v>
      </c>
      <c r="U1559" s="1">
        <v>46076.447696759256</v>
      </c>
      <c r="V1559" t="s">
        <v>54</v>
      </c>
      <c r="W1559" t="s">
        <v>55</v>
      </c>
      <c r="X1559" t="s">
        <v>134</v>
      </c>
      <c r="Y1559" t="s">
        <v>6621</v>
      </c>
      <c r="Z1559" t="s">
        <v>58</v>
      </c>
      <c r="AA1559" t="s">
        <v>54</v>
      </c>
      <c r="AB1559" t="s">
        <v>954</v>
      </c>
      <c r="AC1559" t="s">
        <v>242</v>
      </c>
      <c r="AD1559" t="s">
        <v>79</v>
      </c>
      <c r="AE1559" t="s">
        <v>172</v>
      </c>
      <c r="AF1559" t="s">
        <v>2897</v>
      </c>
      <c r="AG1559" t="s">
        <v>58</v>
      </c>
      <c r="AH1559">
        <v>3297</v>
      </c>
      <c r="AK1559">
        <v>1</v>
      </c>
      <c r="AL1559" t="s">
        <v>61</v>
      </c>
      <c r="AM1559" t="s">
        <v>6622</v>
      </c>
      <c r="AN1559" t="s">
        <v>6623</v>
      </c>
    </row>
    <row r="1560" spans="1:40" x14ac:dyDescent="0.35">
      <c r="A1560" t="s">
        <v>37</v>
      </c>
      <c r="B1560" t="s">
        <v>6624</v>
      </c>
      <c r="C1560" t="s">
        <v>102</v>
      </c>
      <c r="D1560" t="s">
        <v>191</v>
      </c>
      <c r="E1560" t="s">
        <v>192</v>
      </c>
      <c r="F1560" s="1">
        <v>46073.671458333331</v>
      </c>
      <c r="G1560" t="s">
        <v>71</v>
      </c>
      <c r="H1560" t="s">
        <v>72</v>
      </c>
      <c r="I1560" t="s">
        <v>6625</v>
      </c>
      <c r="J1560" t="s">
        <v>194</v>
      </c>
      <c r="K1560" t="s">
        <v>130</v>
      </c>
      <c r="M1560" t="s">
        <v>150</v>
      </c>
      <c r="O1560" t="s">
        <v>77</v>
      </c>
      <c r="P1560" t="s">
        <v>78</v>
      </c>
      <c r="Q1560" t="s">
        <v>50</v>
      </c>
      <c r="R1560" t="s">
        <v>51</v>
      </c>
      <c r="S1560" t="s">
        <v>52</v>
      </c>
      <c r="T1560" t="s">
        <v>195</v>
      </c>
      <c r="U1560" s="1">
        <v>46076.450972222221</v>
      </c>
      <c r="V1560" t="s">
        <v>54</v>
      </c>
      <c r="W1560" t="s">
        <v>55</v>
      </c>
      <c r="X1560" t="s">
        <v>196</v>
      </c>
      <c r="Y1560" t="s">
        <v>6626</v>
      </c>
      <c r="Z1560" t="s">
        <v>58</v>
      </c>
      <c r="AA1560" t="s">
        <v>54</v>
      </c>
      <c r="AB1560" t="s">
        <v>198</v>
      </c>
      <c r="AC1560" t="s">
        <v>85</v>
      </c>
      <c r="AD1560" t="s">
        <v>51</v>
      </c>
      <c r="AE1560" t="s">
        <v>52</v>
      </c>
      <c r="AF1560" t="s">
        <v>195</v>
      </c>
      <c r="AG1560" t="s">
        <v>58</v>
      </c>
      <c r="AH1560" t="s">
        <v>199</v>
      </c>
      <c r="AK1560">
        <v>1</v>
      </c>
      <c r="AL1560" t="s">
        <v>61</v>
      </c>
      <c r="AM1560" t="s">
        <v>198</v>
      </c>
      <c r="AN1560" t="s">
        <v>200</v>
      </c>
    </row>
    <row r="1561" spans="1:40" x14ac:dyDescent="0.35">
      <c r="A1561" t="s">
        <v>37</v>
      </c>
      <c r="B1561" t="s">
        <v>6627</v>
      </c>
      <c r="C1561" t="s">
        <v>39</v>
      </c>
      <c r="D1561" t="s">
        <v>40</v>
      </c>
      <c r="E1561" t="s">
        <v>41</v>
      </c>
      <c r="F1561" s="1">
        <v>46073.661377314813</v>
      </c>
      <c r="G1561" t="s">
        <v>42</v>
      </c>
      <c r="H1561" t="s">
        <v>43</v>
      </c>
      <c r="I1561" t="s">
        <v>6628</v>
      </c>
      <c r="J1561" t="s">
        <v>45</v>
      </c>
      <c r="K1561" t="s">
        <v>46</v>
      </c>
      <c r="M1561" t="s">
        <v>47</v>
      </c>
      <c r="O1561" t="s">
        <v>48</v>
      </c>
      <c r="P1561" t="s">
        <v>49</v>
      </c>
      <c r="Q1561" t="s">
        <v>50</v>
      </c>
      <c r="R1561" t="s">
        <v>51</v>
      </c>
      <c r="S1561" t="s">
        <v>52</v>
      </c>
      <c r="T1561" t="s">
        <v>53</v>
      </c>
      <c r="U1561" s="1">
        <v>46073.662210648145</v>
      </c>
      <c r="V1561" t="s">
        <v>54</v>
      </c>
      <c r="W1561" t="s">
        <v>55</v>
      </c>
      <c r="X1561" t="s">
        <v>56</v>
      </c>
      <c r="Y1561" t="s">
        <v>57</v>
      </c>
      <c r="Z1561" t="s">
        <v>5594</v>
      </c>
      <c r="AA1561" t="s">
        <v>54</v>
      </c>
      <c r="AB1561" t="s">
        <v>59</v>
      </c>
      <c r="AC1561" t="s">
        <v>60</v>
      </c>
      <c r="AD1561" t="s">
        <v>51</v>
      </c>
      <c r="AE1561" t="s">
        <v>52</v>
      </c>
      <c r="AF1561" t="s">
        <v>53</v>
      </c>
      <c r="AG1561" t="s">
        <v>5594</v>
      </c>
      <c r="AK1561">
        <v>0</v>
      </c>
      <c r="AL1561" t="s">
        <v>61</v>
      </c>
      <c r="AM1561" t="s">
        <v>59</v>
      </c>
      <c r="AN1561" t="s">
        <v>62</v>
      </c>
    </row>
    <row r="1562" spans="1:40" x14ac:dyDescent="0.35">
      <c r="A1562" t="s">
        <v>37</v>
      </c>
      <c r="B1562" t="s">
        <v>6629</v>
      </c>
      <c r="C1562" t="s">
        <v>39</v>
      </c>
      <c r="D1562" t="s">
        <v>2386</v>
      </c>
      <c r="E1562" t="s">
        <v>1316</v>
      </c>
      <c r="F1562" s="1">
        <v>46073.645914351851</v>
      </c>
      <c r="G1562" t="s">
        <v>355</v>
      </c>
      <c r="H1562" t="s">
        <v>356</v>
      </c>
      <c r="I1562" t="s">
        <v>6630</v>
      </c>
      <c r="J1562" t="s">
        <v>6631</v>
      </c>
      <c r="K1562" t="s">
        <v>6632</v>
      </c>
      <c r="M1562" t="s">
        <v>47</v>
      </c>
      <c r="O1562" t="s">
        <v>77</v>
      </c>
      <c r="P1562" t="s">
        <v>78</v>
      </c>
      <c r="Q1562" t="s">
        <v>50</v>
      </c>
      <c r="R1562" t="s">
        <v>51</v>
      </c>
      <c r="S1562" t="s">
        <v>52</v>
      </c>
      <c r="T1562" t="s">
        <v>773</v>
      </c>
      <c r="U1562" s="1">
        <v>46073.646562499998</v>
      </c>
      <c r="V1562" t="s">
        <v>54</v>
      </c>
      <c r="W1562" t="s">
        <v>55</v>
      </c>
      <c r="X1562" t="s">
        <v>134</v>
      </c>
      <c r="Y1562" t="s">
        <v>6633</v>
      </c>
      <c r="Z1562" t="s">
        <v>5594</v>
      </c>
      <c r="AA1562" t="s">
        <v>54</v>
      </c>
      <c r="AB1562" t="s">
        <v>2388</v>
      </c>
      <c r="AC1562" t="s">
        <v>85</v>
      </c>
      <c r="AD1562" t="s">
        <v>52</v>
      </c>
      <c r="AE1562" t="s">
        <v>999</v>
      </c>
      <c r="AF1562" t="s">
        <v>6634</v>
      </c>
      <c r="AG1562" t="s">
        <v>5594</v>
      </c>
      <c r="AK1562">
        <v>0</v>
      </c>
      <c r="AL1562" t="s">
        <v>61</v>
      </c>
      <c r="AM1562" t="s">
        <v>2388</v>
      </c>
      <c r="AN1562" t="s">
        <v>2389</v>
      </c>
    </row>
    <row r="1563" spans="1:40" x14ac:dyDescent="0.35">
      <c r="A1563" t="s">
        <v>37</v>
      </c>
      <c r="B1563" t="s">
        <v>6635</v>
      </c>
      <c r="C1563" t="s">
        <v>39</v>
      </c>
      <c r="D1563" t="s">
        <v>2386</v>
      </c>
      <c r="E1563" t="s">
        <v>1316</v>
      </c>
      <c r="F1563" s="1">
        <v>46073.645914351851</v>
      </c>
      <c r="G1563" t="s">
        <v>355</v>
      </c>
      <c r="H1563" t="s">
        <v>356</v>
      </c>
      <c r="I1563" t="s">
        <v>6636</v>
      </c>
      <c r="J1563" t="s">
        <v>6631</v>
      </c>
      <c r="K1563" t="s">
        <v>6632</v>
      </c>
      <c r="M1563" t="s">
        <v>47</v>
      </c>
      <c r="O1563" t="s">
        <v>77</v>
      </c>
      <c r="P1563" t="s">
        <v>78</v>
      </c>
      <c r="Q1563" t="s">
        <v>50</v>
      </c>
      <c r="R1563" t="s">
        <v>51</v>
      </c>
      <c r="S1563" t="s">
        <v>52</v>
      </c>
      <c r="T1563" t="s">
        <v>773</v>
      </c>
      <c r="U1563" s="1">
        <v>46073.648182870369</v>
      </c>
      <c r="V1563" t="s">
        <v>54</v>
      </c>
      <c r="W1563" t="s">
        <v>55</v>
      </c>
      <c r="X1563" t="s">
        <v>134</v>
      </c>
      <c r="Y1563" t="s">
        <v>6633</v>
      </c>
      <c r="Z1563" t="s">
        <v>5594</v>
      </c>
      <c r="AA1563" t="s">
        <v>54</v>
      </c>
      <c r="AB1563" t="s">
        <v>2388</v>
      </c>
      <c r="AC1563" t="s">
        <v>85</v>
      </c>
      <c r="AD1563" t="s">
        <v>52</v>
      </c>
      <c r="AE1563" t="s">
        <v>967</v>
      </c>
      <c r="AF1563" t="s">
        <v>2563</v>
      </c>
      <c r="AG1563" t="s">
        <v>5594</v>
      </c>
      <c r="AK1563">
        <v>0</v>
      </c>
      <c r="AL1563" t="s">
        <v>61</v>
      </c>
      <c r="AM1563" t="s">
        <v>2388</v>
      </c>
      <c r="AN1563" t="s">
        <v>2389</v>
      </c>
    </row>
    <row r="1564" spans="1:40" x14ac:dyDescent="0.35">
      <c r="A1564" t="s">
        <v>37</v>
      </c>
      <c r="B1564" t="s">
        <v>6637</v>
      </c>
      <c r="C1564" t="s">
        <v>39</v>
      </c>
      <c r="D1564" t="s">
        <v>2386</v>
      </c>
      <c r="E1564" t="s">
        <v>1316</v>
      </c>
      <c r="F1564" s="1">
        <v>46073.645914351851</v>
      </c>
      <c r="G1564" t="s">
        <v>355</v>
      </c>
      <c r="H1564" t="s">
        <v>356</v>
      </c>
      <c r="I1564" t="s">
        <v>6638</v>
      </c>
      <c r="J1564" t="s">
        <v>6631</v>
      </c>
      <c r="K1564" t="s">
        <v>6632</v>
      </c>
      <c r="M1564" t="s">
        <v>47</v>
      </c>
      <c r="O1564" t="s">
        <v>77</v>
      </c>
      <c r="P1564" t="s">
        <v>78</v>
      </c>
      <c r="Q1564" t="s">
        <v>50</v>
      </c>
      <c r="R1564" t="s">
        <v>51</v>
      </c>
      <c r="S1564" t="s">
        <v>52</v>
      </c>
      <c r="T1564" t="s">
        <v>773</v>
      </c>
      <c r="U1564" s="1">
        <v>46073.648518518516</v>
      </c>
      <c r="V1564" t="s">
        <v>54</v>
      </c>
      <c r="W1564" t="s">
        <v>55</v>
      </c>
      <c r="X1564" t="s">
        <v>134</v>
      </c>
      <c r="Y1564" t="s">
        <v>6639</v>
      </c>
      <c r="Z1564" t="s">
        <v>5594</v>
      </c>
      <c r="AA1564" t="s">
        <v>54</v>
      </c>
      <c r="AB1564" t="s">
        <v>2388</v>
      </c>
      <c r="AC1564" t="s">
        <v>85</v>
      </c>
      <c r="AD1564" t="s">
        <v>52</v>
      </c>
      <c r="AE1564" t="s">
        <v>967</v>
      </c>
      <c r="AF1564" t="s">
        <v>2563</v>
      </c>
      <c r="AG1564" t="s">
        <v>5594</v>
      </c>
      <c r="AK1564">
        <v>0</v>
      </c>
      <c r="AL1564" t="s">
        <v>61</v>
      </c>
      <c r="AM1564" t="s">
        <v>2388</v>
      </c>
      <c r="AN1564" t="s">
        <v>2389</v>
      </c>
    </row>
    <row r="1565" spans="1:40" x14ac:dyDescent="0.35">
      <c r="A1565" t="s">
        <v>37</v>
      </c>
      <c r="B1565" t="s">
        <v>6640</v>
      </c>
      <c r="C1565" t="s">
        <v>39</v>
      </c>
      <c r="D1565" t="s">
        <v>2386</v>
      </c>
      <c r="E1565" t="s">
        <v>1316</v>
      </c>
      <c r="F1565" s="1">
        <v>46073.644861111112</v>
      </c>
      <c r="G1565" t="s">
        <v>355</v>
      </c>
      <c r="H1565" t="s">
        <v>356</v>
      </c>
      <c r="I1565" t="s">
        <v>6641</v>
      </c>
      <c r="J1565" t="s">
        <v>6631</v>
      </c>
      <c r="K1565" t="s">
        <v>6632</v>
      </c>
      <c r="M1565" t="s">
        <v>47</v>
      </c>
      <c r="O1565" t="s">
        <v>77</v>
      </c>
      <c r="P1565" t="s">
        <v>78</v>
      </c>
      <c r="Q1565" t="s">
        <v>50</v>
      </c>
      <c r="R1565" t="s">
        <v>51</v>
      </c>
      <c r="S1565" t="s">
        <v>52</v>
      </c>
      <c r="T1565" t="s">
        <v>773</v>
      </c>
      <c r="U1565" s="1">
        <v>46073.645590277774</v>
      </c>
      <c r="V1565" t="s">
        <v>54</v>
      </c>
      <c r="W1565" t="s">
        <v>55</v>
      </c>
      <c r="X1565" t="s">
        <v>134</v>
      </c>
      <c r="Y1565" t="s">
        <v>6642</v>
      </c>
      <c r="Z1565" t="s">
        <v>5594</v>
      </c>
      <c r="AA1565" t="s">
        <v>54</v>
      </c>
      <c r="AB1565" t="s">
        <v>2388</v>
      </c>
      <c r="AC1565" t="s">
        <v>85</v>
      </c>
      <c r="AD1565" t="s">
        <v>52</v>
      </c>
      <c r="AE1565" t="s">
        <v>6643</v>
      </c>
      <c r="AF1565" t="s">
        <v>6644</v>
      </c>
      <c r="AG1565" t="s">
        <v>5594</v>
      </c>
      <c r="AK1565">
        <v>0</v>
      </c>
      <c r="AL1565" t="s">
        <v>61</v>
      </c>
      <c r="AM1565" t="s">
        <v>2388</v>
      </c>
      <c r="AN1565" t="s">
        <v>2389</v>
      </c>
    </row>
    <row r="1566" spans="1:40" x14ac:dyDescent="0.35">
      <c r="A1566" t="s">
        <v>37</v>
      </c>
      <c r="B1566" t="s">
        <v>6645</v>
      </c>
      <c r="C1566" t="s">
        <v>102</v>
      </c>
      <c r="D1566" t="s">
        <v>1698</v>
      </c>
      <c r="E1566" t="s">
        <v>584</v>
      </c>
      <c r="F1566" s="1">
        <v>46073.644861111112</v>
      </c>
      <c r="G1566" t="s">
        <v>105</v>
      </c>
      <c r="H1566" t="s">
        <v>106</v>
      </c>
      <c r="I1566" t="s">
        <v>6646</v>
      </c>
      <c r="J1566" t="s">
        <v>108</v>
      </c>
      <c r="K1566" t="s">
        <v>109</v>
      </c>
      <c r="M1566" t="s">
        <v>47</v>
      </c>
      <c r="O1566" t="s">
        <v>77</v>
      </c>
      <c r="P1566" t="s">
        <v>78</v>
      </c>
      <c r="Q1566" t="s">
        <v>50</v>
      </c>
      <c r="R1566" t="s">
        <v>111</v>
      </c>
      <c r="S1566" t="s">
        <v>51</v>
      </c>
      <c r="T1566" t="s">
        <v>112</v>
      </c>
      <c r="U1566" s="1">
        <v>46073.917303240742</v>
      </c>
      <c r="V1566" t="s">
        <v>54</v>
      </c>
      <c r="W1566" t="s">
        <v>55</v>
      </c>
      <c r="X1566" t="s">
        <v>134</v>
      </c>
      <c r="Y1566" t="s">
        <v>6647</v>
      </c>
      <c r="Z1566" t="s">
        <v>5594</v>
      </c>
      <c r="AA1566" t="s">
        <v>54</v>
      </c>
      <c r="AB1566" t="s">
        <v>1701</v>
      </c>
      <c r="AC1566" t="s">
        <v>85</v>
      </c>
      <c r="AD1566" t="s">
        <v>116</v>
      </c>
      <c r="AE1566" t="s">
        <v>117</v>
      </c>
      <c r="AF1566" t="s">
        <v>6648</v>
      </c>
      <c r="AG1566" t="s">
        <v>5594</v>
      </c>
      <c r="AK1566">
        <v>1</v>
      </c>
      <c r="AL1566" t="s">
        <v>61</v>
      </c>
      <c r="AM1566" t="s">
        <v>1701</v>
      </c>
      <c r="AN1566" t="s">
        <v>1702</v>
      </c>
    </row>
    <row r="1567" spans="1:40" x14ac:dyDescent="0.35">
      <c r="A1567" t="s">
        <v>37</v>
      </c>
      <c r="B1567" t="s">
        <v>6649</v>
      </c>
      <c r="C1567" t="s">
        <v>39</v>
      </c>
      <c r="D1567" t="s">
        <v>2386</v>
      </c>
      <c r="E1567" t="s">
        <v>1316</v>
      </c>
      <c r="F1567" s="1">
        <v>46073.644861111112</v>
      </c>
      <c r="G1567" t="s">
        <v>355</v>
      </c>
      <c r="H1567" t="s">
        <v>356</v>
      </c>
      <c r="I1567" t="s">
        <v>6650</v>
      </c>
      <c r="J1567" t="s">
        <v>6631</v>
      </c>
      <c r="K1567" t="s">
        <v>6632</v>
      </c>
      <c r="M1567" t="s">
        <v>47</v>
      </c>
      <c r="O1567" t="s">
        <v>77</v>
      </c>
      <c r="P1567" t="s">
        <v>78</v>
      </c>
      <c r="Q1567" t="s">
        <v>50</v>
      </c>
      <c r="R1567" t="s">
        <v>51</v>
      </c>
      <c r="S1567" t="s">
        <v>52</v>
      </c>
      <c r="T1567" t="s">
        <v>773</v>
      </c>
      <c r="U1567" s="1">
        <v>46073.647118055553</v>
      </c>
      <c r="V1567" t="s">
        <v>54</v>
      </c>
      <c r="W1567" t="s">
        <v>55</v>
      </c>
      <c r="X1567" t="s">
        <v>134</v>
      </c>
      <c r="Y1567" t="s">
        <v>6651</v>
      </c>
      <c r="Z1567" t="s">
        <v>5594</v>
      </c>
      <c r="AA1567" t="s">
        <v>54</v>
      </c>
      <c r="AB1567" t="s">
        <v>2388</v>
      </c>
      <c r="AC1567" t="s">
        <v>85</v>
      </c>
      <c r="AD1567" t="s">
        <v>52</v>
      </c>
      <c r="AE1567" t="s">
        <v>967</v>
      </c>
      <c r="AF1567" t="s">
        <v>2563</v>
      </c>
      <c r="AG1567" t="s">
        <v>5594</v>
      </c>
      <c r="AK1567">
        <v>0</v>
      </c>
      <c r="AL1567" t="s">
        <v>61</v>
      </c>
      <c r="AM1567" t="s">
        <v>2388</v>
      </c>
      <c r="AN1567" t="s">
        <v>2389</v>
      </c>
    </row>
    <row r="1568" spans="1:40" x14ac:dyDescent="0.35">
      <c r="A1568" t="s">
        <v>37</v>
      </c>
      <c r="B1568" t="s">
        <v>6652</v>
      </c>
      <c r="C1568" t="s">
        <v>39</v>
      </c>
      <c r="D1568" t="s">
        <v>2386</v>
      </c>
      <c r="E1568" t="s">
        <v>1316</v>
      </c>
      <c r="F1568" s="1">
        <v>46073.644861111112</v>
      </c>
      <c r="G1568" t="s">
        <v>355</v>
      </c>
      <c r="H1568" t="s">
        <v>356</v>
      </c>
      <c r="I1568" t="s">
        <v>6653</v>
      </c>
      <c r="J1568" t="s">
        <v>6631</v>
      </c>
      <c r="K1568" t="s">
        <v>6632</v>
      </c>
      <c r="M1568" t="s">
        <v>47</v>
      </c>
      <c r="O1568" t="s">
        <v>77</v>
      </c>
      <c r="P1568" t="s">
        <v>78</v>
      </c>
      <c r="Q1568" t="s">
        <v>50</v>
      </c>
      <c r="R1568" t="s">
        <v>51</v>
      </c>
      <c r="S1568" t="s">
        <v>52</v>
      </c>
      <c r="T1568" t="s">
        <v>773</v>
      </c>
      <c r="U1568" s="1">
        <v>46073.645902777775</v>
      </c>
      <c r="V1568" t="s">
        <v>54</v>
      </c>
      <c r="W1568" t="s">
        <v>55</v>
      </c>
      <c r="X1568" t="s">
        <v>134</v>
      </c>
      <c r="Y1568" t="s">
        <v>6654</v>
      </c>
      <c r="Z1568" t="s">
        <v>5594</v>
      </c>
      <c r="AA1568" t="s">
        <v>54</v>
      </c>
      <c r="AB1568" t="s">
        <v>2388</v>
      </c>
      <c r="AC1568" t="s">
        <v>85</v>
      </c>
      <c r="AD1568" t="s">
        <v>52</v>
      </c>
      <c r="AE1568" t="s">
        <v>967</v>
      </c>
      <c r="AF1568" t="s">
        <v>2563</v>
      </c>
      <c r="AG1568" t="s">
        <v>5594</v>
      </c>
      <c r="AK1568">
        <v>0</v>
      </c>
      <c r="AL1568" t="s">
        <v>61</v>
      </c>
      <c r="AM1568" t="s">
        <v>2388</v>
      </c>
      <c r="AN1568" t="s">
        <v>2389</v>
      </c>
    </row>
    <row r="1569" spans="1:40" x14ac:dyDescent="0.35">
      <c r="A1569" t="s">
        <v>37</v>
      </c>
      <c r="B1569" t="s">
        <v>6655</v>
      </c>
      <c r="C1569" t="s">
        <v>39</v>
      </c>
      <c r="D1569" t="s">
        <v>2386</v>
      </c>
      <c r="E1569" t="s">
        <v>1316</v>
      </c>
      <c r="F1569" s="1">
        <v>46073.644861111112</v>
      </c>
      <c r="G1569" t="s">
        <v>355</v>
      </c>
      <c r="H1569" t="s">
        <v>356</v>
      </c>
      <c r="I1569" t="s">
        <v>6656</v>
      </c>
      <c r="J1569" t="s">
        <v>6631</v>
      </c>
      <c r="K1569" t="s">
        <v>6632</v>
      </c>
      <c r="M1569" t="s">
        <v>47</v>
      </c>
      <c r="O1569" t="s">
        <v>77</v>
      </c>
      <c r="P1569" t="s">
        <v>78</v>
      </c>
      <c r="Q1569" t="s">
        <v>50</v>
      </c>
      <c r="R1569" t="s">
        <v>51</v>
      </c>
      <c r="S1569" t="s">
        <v>52</v>
      </c>
      <c r="T1569" t="s">
        <v>773</v>
      </c>
      <c r="U1569" s="1">
        <v>46073.647372685184</v>
      </c>
      <c r="V1569" t="s">
        <v>54</v>
      </c>
      <c r="W1569" t="s">
        <v>55</v>
      </c>
      <c r="X1569" t="s">
        <v>134</v>
      </c>
      <c r="Y1569" t="s">
        <v>6651</v>
      </c>
      <c r="Z1569" t="s">
        <v>5594</v>
      </c>
      <c r="AA1569" t="s">
        <v>54</v>
      </c>
      <c r="AB1569" t="s">
        <v>2388</v>
      </c>
      <c r="AC1569" t="s">
        <v>85</v>
      </c>
      <c r="AD1569" t="s">
        <v>52</v>
      </c>
      <c r="AE1569" t="s">
        <v>967</v>
      </c>
      <c r="AF1569" t="s">
        <v>2563</v>
      </c>
      <c r="AG1569" t="s">
        <v>5594</v>
      </c>
      <c r="AK1569">
        <v>0</v>
      </c>
      <c r="AL1569" t="s">
        <v>61</v>
      </c>
      <c r="AM1569" t="s">
        <v>2388</v>
      </c>
      <c r="AN1569" t="s">
        <v>2389</v>
      </c>
    </row>
    <row r="1570" spans="1:40" x14ac:dyDescent="0.35">
      <c r="A1570" t="s">
        <v>37</v>
      </c>
      <c r="B1570" t="s">
        <v>6657</v>
      </c>
      <c r="C1570" t="s">
        <v>39</v>
      </c>
      <c r="D1570" t="s">
        <v>2386</v>
      </c>
      <c r="E1570" t="s">
        <v>1316</v>
      </c>
      <c r="F1570" s="1">
        <v>46073.644861111112</v>
      </c>
      <c r="G1570" t="s">
        <v>355</v>
      </c>
      <c r="H1570" t="s">
        <v>356</v>
      </c>
      <c r="I1570" t="s">
        <v>6658</v>
      </c>
      <c r="J1570" t="s">
        <v>6631</v>
      </c>
      <c r="K1570" t="s">
        <v>6632</v>
      </c>
      <c r="M1570" t="s">
        <v>47</v>
      </c>
      <c r="O1570" t="s">
        <v>77</v>
      </c>
      <c r="P1570" t="s">
        <v>78</v>
      </c>
      <c r="Q1570" t="s">
        <v>50</v>
      </c>
      <c r="R1570" t="s">
        <v>51</v>
      </c>
      <c r="S1570" t="s">
        <v>52</v>
      </c>
      <c r="T1570" t="s">
        <v>773</v>
      </c>
      <c r="U1570" s="1">
        <v>46073.647673611114</v>
      </c>
      <c r="V1570" t="s">
        <v>54</v>
      </c>
      <c r="W1570" t="s">
        <v>55</v>
      </c>
      <c r="X1570" t="s">
        <v>134</v>
      </c>
      <c r="Y1570" t="s">
        <v>6659</v>
      </c>
      <c r="Z1570" t="s">
        <v>5594</v>
      </c>
      <c r="AA1570" t="s">
        <v>54</v>
      </c>
      <c r="AB1570" t="s">
        <v>2388</v>
      </c>
      <c r="AC1570" t="s">
        <v>85</v>
      </c>
      <c r="AD1570" t="s">
        <v>52</v>
      </c>
      <c r="AE1570" t="s">
        <v>967</v>
      </c>
      <c r="AF1570" t="s">
        <v>2563</v>
      </c>
      <c r="AG1570" t="s">
        <v>5594</v>
      </c>
      <c r="AK1570">
        <v>0</v>
      </c>
      <c r="AL1570" t="s">
        <v>61</v>
      </c>
      <c r="AM1570" t="s">
        <v>2388</v>
      </c>
      <c r="AN1570" t="s">
        <v>2389</v>
      </c>
    </row>
    <row r="1571" spans="1:40" x14ac:dyDescent="0.35">
      <c r="A1571" t="s">
        <v>37</v>
      </c>
      <c r="B1571" t="s">
        <v>6660</v>
      </c>
      <c r="C1571" t="s">
        <v>39</v>
      </c>
      <c r="D1571" t="s">
        <v>2386</v>
      </c>
      <c r="E1571" t="s">
        <v>1316</v>
      </c>
      <c r="F1571" s="1">
        <v>46073.644861111112</v>
      </c>
      <c r="G1571" t="s">
        <v>355</v>
      </c>
      <c r="H1571" t="s">
        <v>356</v>
      </c>
      <c r="I1571" t="s">
        <v>6661</v>
      </c>
      <c r="J1571" t="s">
        <v>6631</v>
      </c>
      <c r="K1571" t="s">
        <v>6632</v>
      </c>
      <c r="M1571" t="s">
        <v>47</v>
      </c>
      <c r="O1571" t="s">
        <v>77</v>
      </c>
      <c r="P1571" t="s">
        <v>78</v>
      </c>
      <c r="Q1571" t="s">
        <v>50</v>
      </c>
      <c r="R1571" t="s">
        <v>51</v>
      </c>
      <c r="S1571" t="s">
        <v>52</v>
      </c>
      <c r="T1571" t="s">
        <v>773</v>
      </c>
      <c r="U1571" s="1">
        <v>46073.646168981482</v>
      </c>
      <c r="V1571" t="s">
        <v>54</v>
      </c>
      <c r="W1571" t="s">
        <v>55</v>
      </c>
      <c r="X1571" t="s">
        <v>134</v>
      </c>
      <c r="Y1571" t="s">
        <v>6662</v>
      </c>
      <c r="Z1571" t="s">
        <v>5594</v>
      </c>
      <c r="AA1571" t="s">
        <v>54</v>
      </c>
      <c r="AB1571" t="s">
        <v>2388</v>
      </c>
      <c r="AC1571" t="s">
        <v>85</v>
      </c>
      <c r="AD1571" t="s">
        <v>52</v>
      </c>
      <c r="AE1571" t="s">
        <v>967</v>
      </c>
      <c r="AF1571" t="s">
        <v>2563</v>
      </c>
      <c r="AG1571" t="s">
        <v>5594</v>
      </c>
      <c r="AK1571">
        <v>0</v>
      </c>
      <c r="AL1571" t="s">
        <v>61</v>
      </c>
      <c r="AM1571" t="s">
        <v>2388</v>
      </c>
      <c r="AN1571" t="s">
        <v>2389</v>
      </c>
    </row>
    <row r="1572" spans="1:40" x14ac:dyDescent="0.35">
      <c r="A1572" t="s">
        <v>37</v>
      </c>
      <c r="B1572" t="s">
        <v>6663</v>
      </c>
      <c r="C1572" t="s">
        <v>39</v>
      </c>
      <c r="D1572" t="s">
        <v>2386</v>
      </c>
      <c r="E1572" t="s">
        <v>1316</v>
      </c>
      <c r="F1572" s="1">
        <v>46073.644861111112</v>
      </c>
      <c r="G1572" t="s">
        <v>355</v>
      </c>
      <c r="H1572" t="s">
        <v>356</v>
      </c>
      <c r="I1572" t="s">
        <v>6664</v>
      </c>
      <c r="J1572" t="s">
        <v>6631</v>
      </c>
      <c r="K1572" t="s">
        <v>6632</v>
      </c>
      <c r="M1572" t="s">
        <v>47</v>
      </c>
      <c r="O1572" t="s">
        <v>77</v>
      </c>
      <c r="P1572" t="s">
        <v>78</v>
      </c>
      <c r="Q1572" t="s">
        <v>50</v>
      </c>
      <c r="R1572" t="s">
        <v>51</v>
      </c>
      <c r="S1572" t="s">
        <v>52</v>
      </c>
      <c r="T1572" t="s">
        <v>773</v>
      </c>
      <c r="U1572" s="1">
        <v>46073.64880787037</v>
      </c>
      <c r="V1572" t="s">
        <v>54</v>
      </c>
      <c r="W1572" t="s">
        <v>55</v>
      </c>
      <c r="X1572" t="s">
        <v>134</v>
      </c>
      <c r="Y1572" t="s">
        <v>6665</v>
      </c>
      <c r="Z1572" t="s">
        <v>5594</v>
      </c>
      <c r="AA1572" t="s">
        <v>54</v>
      </c>
      <c r="AB1572" t="s">
        <v>2388</v>
      </c>
      <c r="AC1572" t="s">
        <v>85</v>
      </c>
      <c r="AD1572" t="s">
        <v>52</v>
      </c>
      <c r="AE1572" t="s">
        <v>2575</v>
      </c>
      <c r="AF1572" t="s">
        <v>2576</v>
      </c>
      <c r="AG1572" t="s">
        <v>5594</v>
      </c>
      <c r="AK1572">
        <v>0</v>
      </c>
      <c r="AL1572" t="s">
        <v>61</v>
      </c>
      <c r="AM1572" t="s">
        <v>2388</v>
      </c>
      <c r="AN1572" t="s">
        <v>2389</v>
      </c>
    </row>
    <row r="1573" spans="1:40" x14ac:dyDescent="0.35">
      <c r="A1573" t="s">
        <v>37</v>
      </c>
      <c r="B1573" t="s">
        <v>6666</v>
      </c>
      <c r="C1573" t="s">
        <v>39</v>
      </c>
      <c r="D1573" t="s">
        <v>2386</v>
      </c>
      <c r="E1573" t="s">
        <v>1316</v>
      </c>
      <c r="F1573" s="1">
        <v>46073.644074074073</v>
      </c>
      <c r="G1573" t="s">
        <v>355</v>
      </c>
      <c r="H1573" t="s">
        <v>356</v>
      </c>
      <c r="I1573" t="s">
        <v>6667</v>
      </c>
      <c r="J1573" t="s">
        <v>6631</v>
      </c>
      <c r="K1573" t="s">
        <v>6632</v>
      </c>
      <c r="M1573" t="s">
        <v>47</v>
      </c>
      <c r="O1573" t="s">
        <v>77</v>
      </c>
      <c r="P1573" t="s">
        <v>78</v>
      </c>
      <c r="Q1573" t="s">
        <v>50</v>
      </c>
      <c r="R1573" t="s">
        <v>51</v>
      </c>
      <c r="S1573" t="s">
        <v>52</v>
      </c>
      <c r="T1573" t="s">
        <v>773</v>
      </c>
      <c r="U1573" s="1">
        <v>46073.649097222224</v>
      </c>
      <c r="V1573" t="s">
        <v>54</v>
      </c>
      <c r="W1573" t="s">
        <v>55</v>
      </c>
      <c r="X1573" t="s">
        <v>134</v>
      </c>
      <c r="Y1573" t="s">
        <v>6668</v>
      </c>
      <c r="Z1573" t="s">
        <v>5594</v>
      </c>
      <c r="AA1573" t="s">
        <v>54</v>
      </c>
      <c r="AB1573" t="s">
        <v>2388</v>
      </c>
      <c r="AC1573" t="s">
        <v>85</v>
      </c>
      <c r="AD1573" t="s">
        <v>52</v>
      </c>
      <c r="AE1573" t="s">
        <v>967</v>
      </c>
      <c r="AF1573" t="s">
        <v>2563</v>
      </c>
      <c r="AG1573" t="s">
        <v>5594</v>
      </c>
      <c r="AK1573">
        <v>0</v>
      </c>
      <c r="AL1573" t="s">
        <v>61</v>
      </c>
      <c r="AM1573" t="s">
        <v>2388</v>
      </c>
      <c r="AN1573" t="s">
        <v>2389</v>
      </c>
    </row>
    <row r="1574" spans="1:40" x14ac:dyDescent="0.35">
      <c r="A1574" t="s">
        <v>37</v>
      </c>
      <c r="B1574" t="s">
        <v>6669</v>
      </c>
      <c r="C1574" t="s">
        <v>39</v>
      </c>
      <c r="D1574" t="s">
        <v>2386</v>
      </c>
      <c r="E1574" t="s">
        <v>1316</v>
      </c>
      <c r="F1574" s="1">
        <v>46073.644074074073</v>
      </c>
      <c r="G1574" t="s">
        <v>355</v>
      </c>
      <c r="H1574" t="s">
        <v>356</v>
      </c>
      <c r="I1574" t="s">
        <v>6670</v>
      </c>
      <c r="J1574" t="s">
        <v>6631</v>
      </c>
      <c r="K1574" t="s">
        <v>6632</v>
      </c>
      <c r="M1574" t="s">
        <v>47</v>
      </c>
      <c r="O1574" t="s">
        <v>77</v>
      </c>
      <c r="P1574" t="s">
        <v>78</v>
      </c>
      <c r="Q1574" t="s">
        <v>50</v>
      </c>
      <c r="R1574" t="s">
        <v>51</v>
      </c>
      <c r="S1574" t="s">
        <v>52</v>
      </c>
      <c r="T1574" t="s">
        <v>773</v>
      </c>
      <c r="U1574" s="1">
        <v>46073.649641203701</v>
      </c>
      <c r="V1574" t="s">
        <v>54</v>
      </c>
      <c r="W1574" t="s">
        <v>55</v>
      </c>
      <c r="X1574" t="s">
        <v>134</v>
      </c>
      <c r="Y1574" t="s">
        <v>6671</v>
      </c>
      <c r="Z1574" t="s">
        <v>5594</v>
      </c>
      <c r="AA1574" t="s">
        <v>54</v>
      </c>
      <c r="AB1574" t="s">
        <v>2388</v>
      </c>
      <c r="AC1574" t="s">
        <v>85</v>
      </c>
      <c r="AD1574" t="s">
        <v>52</v>
      </c>
      <c r="AE1574" t="s">
        <v>2575</v>
      </c>
      <c r="AF1574" t="s">
        <v>2576</v>
      </c>
      <c r="AG1574" t="s">
        <v>5594</v>
      </c>
      <c r="AK1574">
        <v>0</v>
      </c>
      <c r="AL1574" t="s">
        <v>61</v>
      </c>
      <c r="AM1574" t="s">
        <v>2388</v>
      </c>
      <c r="AN1574" t="s">
        <v>2389</v>
      </c>
    </row>
    <row r="1575" spans="1:40" x14ac:dyDescent="0.35">
      <c r="A1575" t="s">
        <v>37</v>
      </c>
      <c r="B1575" t="s">
        <v>6672</v>
      </c>
      <c r="C1575" t="s">
        <v>39</v>
      </c>
      <c r="D1575" t="s">
        <v>2386</v>
      </c>
      <c r="E1575" t="s">
        <v>1316</v>
      </c>
      <c r="F1575" s="1">
        <v>46073.643090277779</v>
      </c>
      <c r="G1575" t="s">
        <v>355</v>
      </c>
      <c r="H1575" t="s">
        <v>356</v>
      </c>
      <c r="I1575" t="s">
        <v>6673</v>
      </c>
      <c r="J1575" t="s">
        <v>6631</v>
      </c>
      <c r="K1575" t="s">
        <v>6632</v>
      </c>
      <c r="M1575" t="s">
        <v>47</v>
      </c>
      <c r="O1575" t="s">
        <v>77</v>
      </c>
      <c r="P1575" t="s">
        <v>78</v>
      </c>
      <c r="Q1575" t="s">
        <v>50</v>
      </c>
      <c r="R1575" t="s">
        <v>51</v>
      </c>
      <c r="S1575" t="s">
        <v>52</v>
      </c>
      <c r="T1575" t="s">
        <v>773</v>
      </c>
      <c r="U1575" s="1">
        <v>46073.650520833333</v>
      </c>
      <c r="V1575" t="s">
        <v>54</v>
      </c>
      <c r="W1575" t="s">
        <v>55</v>
      </c>
      <c r="X1575" t="s">
        <v>134</v>
      </c>
      <c r="Y1575" t="s">
        <v>6674</v>
      </c>
      <c r="Z1575" t="s">
        <v>5594</v>
      </c>
      <c r="AA1575" t="s">
        <v>54</v>
      </c>
      <c r="AB1575" t="s">
        <v>2388</v>
      </c>
      <c r="AC1575" t="s">
        <v>85</v>
      </c>
      <c r="AD1575" t="s">
        <v>52</v>
      </c>
      <c r="AE1575" t="s">
        <v>967</v>
      </c>
      <c r="AF1575" t="s">
        <v>2563</v>
      </c>
      <c r="AG1575" t="s">
        <v>5594</v>
      </c>
      <c r="AK1575">
        <v>0</v>
      </c>
      <c r="AL1575" t="s">
        <v>61</v>
      </c>
      <c r="AM1575" t="s">
        <v>2388</v>
      </c>
      <c r="AN1575" t="s">
        <v>2389</v>
      </c>
    </row>
    <row r="1576" spans="1:40" x14ac:dyDescent="0.35">
      <c r="A1576" t="s">
        <v>37</v>
      </c>
      <c r="B1576" t="s">
        <v>6675</v>
      </c>
      <c r="C1576" t="s">
        <v>39</v>
      </c>
      <c r="D1576" t="s">
        <v>2386</v>
      </c>
      <c r="E1576" t="s">
        <v>1316</v>
      </c>
      <c r="F1576" s="1">
        <v>46073.643090277779</v>
      </c>
      <c r="G1576" t="s">
        <v>355</v>
      </c>
      <c r="H1576" t="s">
        <v>356</v>
      </c>
      <c r="I1576" t="s">
        <v>6676</v>
      </c>
      <c r="J1576" t="s">
        <v>6631</v>
      </c>
      <c r="K1576" t="s">
        <v>6632</v>
      </c>
      <c r="M1576" t="s">
        <v>47</v>
      </c>
      <c r="O1576" t="s">
        <v>77</v>
      </c>
      <c r="P1576" t="s">
        <v>78</v>
      </c>
      <c r="Q1576" t="s">
        <v>50</v>
      </c>
      <c r="R1576" t="s">
        <v>51</v>
      </c>
      <c r="S1576" t="s">
        <v>52</v>
      </c>
      <c r="T1576" t="s">
        <v>773</v>
      </c>
      <c r="U1576" s="1">
        <v>46073.649930555555</v>
      </c>
      <c r="V1576" t="s">
        <v>54</v>
      </c>
      <c r="W1576" t="s">
        <v>55</v>
      </c>
      <c r="X1576" t="s">
        <v>134</v>
      </c>
      <c r="Y1576" t="s">
        <v>6677</v>
      </c>
      <c r="Z1576" t="s">
        <v>5594</v>
      </c>
      <c r="AA1576" t="s">
        <v>54</v>
      </c>
      <c r="AB1576" t="s">
        <v>2388</v>
      </c>
      <c r="AC1576" t="s">
        <v>85</v>
      </c>
      <c r="AD1576" t="s">
        <v>52</v>
      </c>
      <c r="AE1576" t="s">
        <v>967</v>
      </c>
      <c r="AF1576" t="s">
        <v>2563</v>
      </c>
      <c r="AG1576" t="s">
        <v>5594</v>
      </c>
      <c r="AK1576">
        <v>0</v>
      </c>
      <c r="AL1576" t="s">
        <v>61</v>
      </c>
      <c r="AM1576" t="s">
        <v>2388</v>
      </c>
      <c r="AN1576" t="s">
        <v>2389</v>
      </c>
    </row>
    <row r="1577" spans="1:40" x14ac:dyDescent="0.35">
      <c r="A1577" t="s">
        <v>37</v>
      </c>
      <c r="B1577" t="s">
        <v>6678</v>
      </c>
      <c r="C1577" t="s">
        <v>39</v>
      </c>
      <c r="D1577" t="s">
        <v>2386</v>
      </c>
      <c r="E1577" t="s">
        <v>1316</v>
      </c>
      <c r="F1577" s="1">
        <v>46073.643090277779</v>
      </c>
      <c r="G1577" t="s">
        <v>355</v>
      </c>
      <c r="H1577" t="s">
        <v>356</v>
      </c>
      <c r="I1577" t="s">
        <v>6679</v>
      </c>
      <c r="J1577" t="s">
        <v>6631</v>
      </c>
      <c r="K1577" t="s">
        <v>6632</v>
      </c>
      <c r="M1577" t="s">
        <v>47</v>
      </c>
      <c r="O1577" t="s">
        <v>77</v>
      </c>
      <c r="P1577" t="s">
        <v>78</v>
      </c>
      <c r="Q1577" t="s">
        <v>50</v>
      </c>
      <c r="R1577" t="s">
        <v>51</v>
      </c>
      <c r="S1577" t="s">
        <v>52</v>
      </c>
      <c r="T1577" t="s">
        <v>773</v>
      </c>
      <c r="U1577" s="1">
        <v>46073.650173611109</v>
      </c>
      <c r="V1577" t="s">
        <v>54</v>
      </c>
      <c r="W1577" t="s">
        <v>55</v>
      </c>
      <c r="X1577" t="s">
        <v>134</v>
      </c>
      <c r="Y1577" t="s">
        <v>6680</v>
      </c>
      <c r="Z1577" t="s">
        <v>5594</v>
      </c>
      <c r="AA1577" t="s">
        <v>54</v>
      </c>
      <c r="AB1577" t="s">
        <v>2388</v>
      </c>
      <c r="AC1577" t="s">
        <v>85</v>
      </c>
      <c r="AD1577" t="s">
        <v>52</v>
      </c>
      <c r="AE1577" t="s">
        <v>999</v>
      </c>
      <c r="AF1577" t="s">
        <v>6634</v>
      </c>
      <c r="AG1577" t="s">
        <v>5594</v>
      </c>
      <c r="AK1577">
        <v>0</v>
      </c>
      <c r="AL1577" t="s">
        <v>61</v>
      </c>
      <c r="AM1577" t="s">
        <v>2388</v>
      </c>
      <c r="AN1577" t="s">
        <v>2389</v>
      </c>
    </row>
    <row r="1578" spans="1:40" x14ac:dyDescent="0.35">
      <c r="A1578" t="s">
        <v>37</v>
      </c>
      <c r="B1578" t="s">
        <v>6681</v>
      </c>
      <c r="C1578" t="s">
        <v>39</v>
      </c>
      <c r="D1578" t="s">
        <v>2386</v>
      </c>
      <c r="E1578" t="s">
        <v>1316</v>
      </c>
      <c r="F1578" s="1">
        <v>46073.643090277779</v>
      </c>
      <c r="G1578" t="s">
        <v>355</v>
      </c>
      <c r="H1578" t="s">
        <v>356</v>
      </c>
      <c r="I1578" t="s">
        <v>6667</v>
      </c>
      <c r="J1578" t="s">
        <v>6631</v>
      </c>
      <c r="K1578" t="s">
        <v>6632</v>
      </c>
      <c r="M1578" t="s">
        <v>47</v>
      </c>
      <c r="O1578" t="s">
        <v>77</v>
      </c>
      <c r="P1578" t="s">
        <v>78</v>
      </c>
      <c r="Q1578" t="s">
        <v>50</v>
      </c>
      <c r="R1578" t="s">
        <v>51</v>
      </c>
      <c r="S1578" t="s">
        <v>52</v>
      </c>
      <c r="T1578" t="s">
        <v>773</v>
      </c>
      <c r="U1578" s="1">
        <v>46073.650821759256</v>
      </c>
      <c r="V1578" t="s">
        <v>54</v>
      </c>
      <c r="W1578" t="s">
        <v>55</v>
      </c>
      <c r="X1578" t="s">
        <v>134</v>
      </c>
      <c r="Y1578" t="s">
        <v>6682</v>
      </c>
      <c r="Z1578" t="s">
        <v>5594</v>
      </c>
      <c r="AA1578" t="s">
        <v>54</v>
      </c>
      <c r="AB1578" t="s">
        <v>2388</v>
      </c>
      <c r="AC1578" t="s">
        <v>85</v>
      </c>
      <c r="AD1578" t="s">
        <v>52</v>
      </c>
      <c r="AE1578" t="s">
        <v>967</v>
      </c>
      <c r="AF1578" t="s">
        <v>2563</v>
      </c>
      <c r="AG1578" t="s">
        <v>5594</v>
      </c>
      <c r="AK1578">
        <v>0</v>
      </c>
      <c r="AL1578" t="s">
        <v>61</v>
      </c>
      <c r="AM1578" t="s">
        <v>2388</v>
      </c>
      <c r="AN1578" t="s">
        <v>2389</v>
      </c>
    </row>
    <row r="1579" spans="1:40" x14ac:dyDescent="0.35">
      <c r="A1579" t="s">
        <v>37</v>
      </c>
      <c r="B1579" t="s">
        <v>6683</v>
      </c>
      <c r="C1579" t="s">
        <v>39</v>
      </c>
      <c r="D1579" t="s">
        <v>2386</v>
      </c>
      <c r="E1579" t="s">
        <v>1316</v>
      </c>
      <c r="F1579" s="1">
        <v>46073.643090277779</v>
      </c>
      <c r="G1579" t="s">
        <v>355</v>
      </c>
      <c r="H1579" t="s">
        <v>356</v>
      </c>
      <c r="I1579" t="s">
        <v>6684</v>
      </c>
      <c r="J1579" t="s">
        <v>6631</v>
      </c>
      <c r="K1579" t="s">
        <v>6632</v>
      </c>
      <c r="M1579" t="s">
        <v>47</v>
      </c>
      <c r="O1579" t="s">
        <v>77</v>
      </c>
      <c r="P1579" t="s">
        <v>78</v>
      </c>
      <c r="Q1579" t="s">
        <v>50</v>
      </c>
      <c r="R1579" t="s">
        <v>51</v>
      </c>
      <c r="S1579" t="s">
        <v>52</v>
      </c>
      <c r="T1579" t="s">
        <v>773</v>
      </c>
      <c r="U1579" s="1">
        <v>46073.651076388887</v>
      </c>
      <c r="V1579" t="s">
        <v>54</v>
      </c>
      <c r="W1579" t="s">
        <v>55</v>
      </c>
      <c r="X1579" t="s">
        <v>134</v>
      </c>
      <c r="Y1579" t="s">
        <v>6685</v>
      </c>
      <c r="Z1579" t="s">
        <v>5594</v>
      </c>
      <c r="AA1579" t="s">
        <v>54</v>
      </c>
      <c r="AB1579" t="s">
        <v>2388</v>
      </c>
      <c r="AC1579" t="s">
        <v>85</v>
      </c>
      <c r="AD1579" t="s">
        <v>52</v>
      </c>
      <c r="AE1579" t="s">
        <v>967</v>
      </c>
      <c r="AF1579" t="s">
        <v>2563</v>
      </c>
      <c r="AG1579" t="s">
        <v>5594</v>
      </c>
      <c r="AK1579">
        <v>0</v>
      </c>
      <c r="AL1579" t="s">
        <v>61</v>
      </c>
      <c r="AM1579" t="s">
        <v>2388</v>
      </c>
      <c r="AN1579" t="s">
        <v>2389</v>
      </c>
    </row>
    <row r="1580" spans="1:40" x14ac:dyDescent="0.35">
      <c r="A1580" t="s">
        <v>37</v>
      </c>
      <c r="B1580" t="s">
        <v>6686</v>
      </c>
      <c r="C1580" t="s">
        <v>39</v>
      </c>
      <c r="D1580" t="s">
        <v>2386</v>
      </c>
      <c r="E1580" t="s">
        <v>1316</v>
      </c>
      <c r="F1580" s="1">
        <v>46073.643090277779</v>
      </c>
      <c r="G1580" t="s">
        <v>355</v>
      </c>
      <c r="H1580" t="s">
        <v>356</v>
      </c>
      <c r="I1580" t="s">
        <v>6687</v>
      </c>
      <c r="J1580" t="s">
        <v>6631</v>
      </c>
      <c r="K1580" t="s">
        <v>6632</v>
      </c>
      <c r="M1580" t="s">
        <v>47</v>
      </c>
      <c r="O1580" t="s">
        <v>77</v>
      </c>
      <c r="P1580" t="s">
        <v>78</v>
      </c>
      <c r="Q1580" t="s">
        <v>50</v>
      </c>
      <c r="R1580" t="s">
        <v>51</v>
      </c>
      <c r="S1580" t="s">
        <v>52</v>
      </c>
      <c r="T1580" t="s">
        <v>773</v>
      </c>
      <c r="U1580" s="1">
        <v>46073.651354166665</v>
      </c>
      <c r="V1580" t="s">
        <v>54</v>
      </c>
      <c r="W1580" t="s">
        <v>55</v>
      </c>
      <c r="X1580" t="s">
        <v>134</v>
      </c>
      <c r="Y1580" t="s">
        <v>6688</v>
      </c>
      <c r="Z1580" t="s">
        <v>5594</v>
      </c>
      <c r="AA1580" t="s">
        <v>54</v>
      </c>
      <c r="AB1580" t="s">
        <v>2388</v>
      </c>
      <c r="AC1580" t="s">
        <v>85</v>
      </c>
      <c r="AD1580" t="s">
        <v>52</v>
      </c>
      <c r="AE1580" t="s">
        <v>967</v>
      </c>
      <c r="AF1580" t="s">
        <v>2563</v>
      </c>
      <c r="AG1580" t="s">
        <v>5594</v>
      </c>
      <c r="AK1580">
        <v>0</v>
      </c>
      <c r="AL1580" t="s">
        <v>61</v>
      </c>
      <c r="AM1580" t="s">
        <v>2388</v>
      </c>
      <c r="AN1580" t="s">
        <v>2389</v>
      </c>
    </row>
    <row r="1581" spans="1:40" x14ac:dyDescent="0.35">
      <c r="A1581" t="s">
        <v>37</v>
      </c>
      <c r="B1581" t="s">
        <v>6689</v>
      </c>
      <c r="C1581" t="s">
        <v>102</v>
      </c>
      <c r="D1581" t="s">
        <v>1698</v>
      </c>
      <c r="E1581" t="s">
        <v>584</v>
      </c>
      <c r="F1581" s="1">
        <v>46073.634027777778</v>
      </c>
      <c r="G1581" t="s">
        <v>105</v>
      </c>
      <c r="H1581" t="s">
        <v>106</v>
      </c>
      <c r="I1581" t="s">
        <v>6690</v>
      </c>
      <c r="J1581" t="s">
        <v>108</v>
      </c>
      <c r="K1581" t="s">
        <v>571</v>
      </c>
      <c r="M1581" t="s">
        <v>47</v>
      </c>
      <c r="O1581" t="s">
        <v>77</v>
      </c>
      <c r="P1581" t="s">
        <v>78</v>
      </c>
      <c r="Q1581" t="s">
        <v>50</v>
      </c>
      <c r="R1581" t="s">
        <v>111</v>
      </c>
      <c r="S1581" t="s">
        <v>51</v>
      </c>
      <c r="T1581" t="s">
        <v>112</v>
      </c>
      <c r="U1581" s="1">
        <v>46073.76152777778</v>
      </c>
      <c r="V1581" t="s">
        <v>54</v>
      </c>
      <c r="W1581" t="s">
        <v>55</v>
      </c>
      <c r="X1581" t="s">
        <v>134</v>
      </c>
      <c r="Y1581" t="s">
        <v>6691</v>
      </c>
      <c r="Z1581" t="s">
        <v>5594</v>
      </c>
      <c r="AA1581" t="s">
        <v>54</v>
      </c>
      <c r="AB1581" t="s">
        <v>1701</v>
      </c>
      <c r="AC1581" t="s">
        <v>85</v>
      </c>
      <c r="AD1581" t="s">
        <v>116</v>
      </c>
      <c r="AE1581" t="s">
        <v>574</v>
      </c>
      <c r="AF1581" t="s">
        <v>575</v>
      </c>
      <c r="AG1581" t="s">
        <v>5594</v>
      </c>
      <c r="AK1581">
        <v>1</v>
      </c>
      <c r="AL1581" t="s">
        <v>61</v>
      </c>
      <c r="AM1581" t="s">
        <v>1701</v>
      </c>
      <c r="AN1581" t="s">
        <v>1702</v>
      </c>
    </row>
    <row r="1582" spans="1:40" x14ac:dyDescent="0.35">
      <c r="A1582" t="s">
        <v>37</v>
      </c>
      <c r="B1582" t="s">
        <v>6692</v>
      </c>
      <c r="C1582" t="s">
        <v>39</v>
      </c>
      <c r="D1582" t="s">
        <v>40</v>
      </c>
      <c r="E1582" t="s">
        <v>41</v>
      </c>
      <c r="F1582" s="1">
        <v>46073.632604166669</v>
      </c>
      <c r="G1582" t="s">
        <v>42</v>
      </c>
      <c r="H1582" t="s">
        <v>43</v>
      </c>
      <c r="I1582" t="s">
        <v>6693</v>
      </c>
      <c r="J1582" t="s">
        <v>45</v>
      </c>
      <c r="K1582" t="s">
        <v>46</v>
      </c>
      <c r="M1582" t="s">
        <v>47</v>
      </c>
      <c r="O1582" t="s">
        <v>48</v>
      </c>
      <c r="P1582" t="s">
        <v>49</v>
      </c>
      <c r="Q1582" t="s">
        <v>50</v>
      </c>
      <c r="R1582" t="s">
        <v>51</v>
      </c>
      <c r="S1582" t="s">
        <v>52</v>
      </c>
      <c r="T1582" t="s">
        <v>53</v>
      </c>
      <c r="U1582" s="1">
        <v>46073.633761574078</v>
      </c>
      <c r="V1582" t="s">
        <v>54</v>
      </c>
      <c r="W1582" t="s">
        <v>55</v>
      </c>
      <c r="X1582" t="s">
        <v>56</v>
      </c>
      <c r="Y1582" t="s">
        <v>65</v>
      </c>
      <c r="Z1582" t="s">
        <v>5594</v>
      </c>
      <c r="AA1582" t="s">
        <v>54</v>
      </c>
      <c r="AB1582" t="s">
        <v>59</v>
      </c>
      <c r="AC1582" t="s">
        <v>60</v>
      </c>
      <c r="AD1582" t="s">
        <v>51</v>
      </c>
      <c r="AE1582" t="s">
        <v>52</v>
      </c>
      <c r="AF1582" t="s">
        <v>53</v>
      </c>
      <c r="AG1582" t="s">
        <v>5594</v>
      </c>
      <c r="AK1582">
        <v>0</v>
      </c>
      <c r="AL1582" t="s">
        <v>61</v>
      </c>
      <c r="AM1582" t="s">
        <v>59</v>
      </c>
      <c r="AN1582" t="s">
        <v>62</v>
      </c>
    </row>
    <row r="1583" spans="1:40" x14ac:dyDescent="0.35">
      <c r="A1583" t="s">
        <v>37</v>
      </c>
      <c r="B1583" t="s">
        <v>6694</v>
      </c>
      <c r="C1583" t="s">
        <v>102</v>
      </c>
      <c r="D1583" t="s">
        <v>3786</v>
      </c>
      <c r="E1583" t="s">
        <v>469</v>
      </c>
      <c r="F1583" s="1">
        <v>46073.62840277778</v>
      </c>
      <c r="G1583" t="s">
        <v>105</v>
      </c>
      <c r="H1583" t="s">
        <v>106</v>
      </c>
      <c r="I1583" t="s">
        <v>2905</v>
      </c>
      <c r="J1583" t="s">
        <v>108</v>
      </c>
      <c r="K1583" t="s">
        <v>571</v>
      </c>
      <c r="M1583" t="s">
        <v>47</v>
      </c>
      <c r="O1583" t="s">
        <v>77</v>
      </c>
      <c r="P1583" t="s">
        <v>78</v>
      </c>
      <c r="Q1583" t="s">
        <v>541</v>
      </c>
      <c r="R1583" t="s">
        <v>111</v>
      </c>
      <c r="S1583" t="s">
        <v>51</v>
      </c>
      <c r="T1583" t="s">
        <v>112</v>
      </c>
      <c r="U1583" s="1">
        <v>46073.763171296298</v>
      </c>
      <c r="V1583" t="s">
        <v>54</v>
      </c>
      <c r="W1583" t="s">
        <v>55</v>
      </c>
      <c r="X1583" t="s">
        <v>113</v>
      </c>
      <c r="Y1583" t="s">
        <v>6695</v>
      </c>
      <c r="Z1583" t="s">
        <v>5594</v>
      </c>
      <c r="AA1583" t="s">
        <v>54</v>
      </c>
      <c r="AB1583" t="s">
        <v>115</v>
      </c>
      <c r="AC1583" t="s">
        <v>85</v>
      </c>
      <c r="AD1583" t="s">
        <v>116</v>
      </c>
      <c r="AE1583" t="s">
        <v>574</v>
      </c>
      <c r="AF1583" t="s">
        <v>3475</v>
      </c>
      <c r="AG1583" t="s">
        <v>5594</v>
      </c>
      <c r="AH1583">
        <v>5935</v>
      </c>
      <c r="AK1583">
        <v>1</v>
      </c>
      <c r="AL1583" t="s">
        <v>61</v>
      </c>
      <c r="AM1583" t="s">
        <v>3789</v>
      </c>
      <c r="AN1583" t="s">
        <v>3790</v>
      </c>
    </row>
    <row r="1584" spans="1:40" x14ac:dyDescent="0.35">
      <c r="A1584" t="s">
        <v>37</v>
      </c>
      <c r="B1584" t="s">
        <v>6696</v>
      </c>
      <c r="C1584" t="s">
        <v>39</v>
      </c>
      <c r="D1584" t="s">
        <v>2386</v>
      </c>
      <c r="E1584" t="s">
        <v>1316</v>
      </c>
      <c r="F1584" s="1">
        <v>46073.626851851855</v>
      </c>
      <c r="G1584" t="s">
        <v>355</v>
      </c>
      <c r="H1584" t="s">
        <v>356</v>
      </c>
      <c r="I1584" t="s">
        <v>6661</v>
      </c>
      <c r="J1584" t="s">
        <v>6631</v>
      </c>
      <c r="K1584" t="s">
        <v>6632</v>
      </c>
      <c r="M1584" t="s">
        <v>47</v>
      </c>
      <c r="O1584" t="s">
        <v>77</v>
      </c>
      <c r="P1584" t="s">
        <v>78</v>
      </c>
      <c r="Q1584" t="s">
        <v>50</v>
      </c>
      <c r="R1584" t="s">
        <v>51</v>
      </c>
      <c r="S1584" t="s">
        <v>52</v>
      </c>
      <c r="T1584" t="s">
        <v>773</v>
      </c>
      <c r="U1584" s="1">
        <v>46073.629027777781</v>
      </c>
      <c r="V1584" t="s">
        <v>54</v>
      </c>
      <c r="W1584" t="s">
        <v>55</v>
      </c>
      <c r="X1584" t="s">
        <v>134</v>
      </c>
      <c r="Y1584" t="s">
        <v>6697</v>
      </c>
      <c r="Z1584" t="s">
        <v>5594</v>
      </c>
      <c r="AA1584" t="s">
        <v>54</v>
      </c>
      <c r="AB1584" t="s">
        <v>2388</v>
      </c>
      <c r="AC1584" t="s">
        <v>85</v>
      </c>
      <c r="AD1584" t="s">
        <v>52</v>
      </c>
      <c r="AE1584" t="s">
        <v>967</v>
      </c>
      <c r="AF1584" t="s">
        <v>2563</v>
      </c>
      <c r="AG1584" t="s">
        <v>5594</v>
      </c>
      <c r="AK1584">
        <v>0</v>
      </c>
      <c r="AL1584" t="s">
        <v>61</v>
      </c>
      <c r="AM1584" t="s">
        <v>2388</v>
      </c>
      <c r="AN1584" t="s">
        <v>2389</v>
      </c>
    </row>
    <row r="1585" spans="1:40" x14ac:dyDescent="0.35">
      <c r="A1585" t="s">
        <v>37</v>
      </c>
      <c r="B1585" t="s">
        <v>6698</v>
      </c>
      <c r="C1585" t="s">
        <v>102</v>
      </c>
      <c r="D1585" t="s">
        <v>3786</v>
      </c>
      <c r="E1585" t="s">
        <v>469</v>
      </c>
      <c r="F1585" s="1">
        <v>46073.627546296295</v>
      </c>
      <c r="G1585" t="s">
        <v>105</v>
      </c>
      <c r="H1585" t="s">
        <v>106</v>
      </c>
      <c r="I1585" t="s">
        <v>6699</v>
      </c>
      <c r="J1585" t="s">
        <v>108</v>
      </c>
      <c r="K1585" t="s">
        <v>571</v>
      </c>
      <c r="M1585" t="s">
        <v>47</v>
      </c>
      <c r="O1585" t="s">
        <v>77</v>
      </c>
      <c r="P1585" t="s">
        <v>78</v>
      </c>
      <c r="Q1585" t="s">
        <v>541</v>
      </c>
      <c r="R1585" t="s">
        <v>111</v>
      </c>
      <c r="S1585" t="s">
        <v>51</v>
      </c>
      <c r="T1585" t="s">
        <v>112</v>
      </c>
      <c r="U1585" s="1">
        <v>46074.131284722222</v>
      </c>
      <c r="V1585" t="s">
        <v>54</v>
      </c>
      <c r="W1585" t="s">
        <v>55</v>
      </c>
      <c r="X1585" t="s">
        <v>113</v>
      </c>
      <c r="Y1585" t="s">
        <v>6700</v>
      </c>
      <c r="Z1585" t="s">
        <v>5594</v>
      </c>
      <c r="AA1585" t="s">
        <v>54</v>
      </c>
      <c r="AB1585" t="s">
        <v>115</v>
      </c>
      <c r="AC1585" t="s">
        <v>85</v>
      </c>
      <c r="AD1585" t="s">
        <v>116</v>
      </c>
      <c r="AE1585" t="s">
        <v>1541</v>
      </c>
      <c r="AF1585" t="s">
        <v>144</v>
      </c>
      <c r="AG1585" t="s">
        <v>5594</v>
      </c>
      <c r="AH1585">
        <v>5935</v>
      </c>
      <c r="AK1585">
        <v>1</v>
      </c>
      <c r="AL1585" t="s">
        <v>61</v>
      </c>
      <c r="AM1585" t="s">
        <v>3789</v>
      </c>
      <c r="AN1585" t="s">
        <v>3790</v>
      </c>
    </row>
    <row r="1586" spans="1:40" x14ac:dyDescent="0.35">
      <c r="A1586" t="s">
        <v>37</v>
      </c>
      <c r="B1586" t="s">
        <v>6701</v>
      </c>
      <c r="C1586" t="s">
        <v>39</v>
      </c>
      <c r="D1586" t="s">
        <v>2386</v>
      </c>
      <c r="E1586" t="s">
        <v>1316</v>
      </c>
      <c r="F1586" s="1">
        <v>46073.626851851855</v>
      </c>
      <c r="G1586" t="s">
        <v>355</v>
      </c>
      <c r="H1586" t="s">
        <v>356</v>
      </c>
      <c r="I1586" t="s">
        <v>6684</v>
      </c>
      <c r="J1586" t="s">
        <v>6631</v>
      </c>
      <c r="K1586" t="s">
        <v>6632</v>
      </c>
      <c r="M1586" t="s">
        <v>47</v>
      </c>
      <c r="O1586" t="s">
        <v>77</v>
      </c>
      <c r="P1586" t="s">
        <v>78</v>
      </c>
      <c r="Q1586" t="s">
        <v>50</v>
      </c>
      <c r="R1586" t="s">
        <v>51</v>
      </c>
      <c r="S1586" t="s">
        <v>52</v>
      </c>
      <c r="T1586" t="s">
        <v>773</v>
      </c>
      <c r="U1586" s="1">
        <v>46073.63349537037</v>
      </c>
      <c r="V1586" t="s">
        <v>54</v>
      </c>
      <c r="W1586" t="s">
        <v>55</v>
      </c>
      <c r="X1586" t="s">
        <v>134</v>
      </c>
      <c r="Y1586" t="s">
        <v>6702</v>
      </c>
      <c r="Z1586" t="s">
        <v>5594</v>
      </c>
      <c r="AA1586" t="s">
        <v>54</v>
      </c>
      <c r="AB1586" t="s">
        <v>2388</v>
      </c>
      <c r="AC1586" t="s">
        <v>85</v>
      </c>
      <c r="AD1586" t="s">
        <v>52</v>
      </c>
      <c r="AE1586" t="s">
        <v>967</v>
      </c>
      <c r="AF1586" t="s">
        <v>2563</v>
      </c>
      <c r="AG1586" t="s">
        <v>5594</v>
      </c>
      <c r="AK1586">
        <v>0</v>
      </c>
      <c r="AL1586" t="s">
        <v>61</v>
      </c>
      <c r="AM1586" t="s">
        <v>2388</v>
      </c>
      <c r="AN1586" t="s">
        <v>2389</v>
      </c>
    </row>
    <row r="1587" spans="1:40" x14ac:dyDescent="0.35">
      <c r="A1587" t="s">
        <v>37</v>
      </c>
      <c r="B1587" t="s">
        <v>6703</v>
      </c>
      <c r="C1587" t="s">
        <v>102</v>
      </c>
      <c r="D1587" t="s">
        <v>1698</v>
      </c>
      <c r="E1587" t="s">
        <v>584</v>
      </c>
      <c r="F1587" s="1">
        <v>46073.625879629632</v>
      </c>
      <c r="G1587" t="s">
        <v>105</v>
      </c>
      <c r="H1587" t="s">
        <v>106</v>
      </c>
      <c r="I1587" t="s">
        <v>570</v>
      </c>
      <c r="J1587" t="s">
        <v>108</v>
      </c>
      <c r="K1587" t="s">
        <v>571</v>
      </c>
      <c r="M1587" t="s">
        <v>47</v>
      </c>
      <c r="O1587" t="s">
        <v>77</v>
      </c>
      <c r="P1587" t="s">
        <v>78</v>
      </c>
      <c r="Q1587" t="s">
        <v>50</v>
      </c>
      <c r="R1587" t="s">
        <v>111</v>
      </c>
      <c r="S1587" t="s">
        <v>51</v>
      </c>
      <c r="T1587" t="s">
        <v>112</v>
      </c>
      <c r="U1587" s="1">
        <v>46073.754143518519</v>
      </c>
      <c r="V1587" t="s">
        <v>54</v>
      </c>
      <c r="W1587" t="s">
        <v>55</v>
      </c>
      <c r="X1587" t="s">
        <v>134</v>
      </c>
      <c r="Y1587" t="s">
        <v>6691</v>
      </c>
      <c r="Z1587" t="s">
        <v>5594</v>
      </c>
      <c r="AA1587" t="s">
        <v>54</v>
      </c>
      <c r="AB1587" t="s">
        <v>1701</v>
      </c>
      <c r="AC1587" t="s">
        <v>85</v>
      </c>
      <c r="AD1587" t="s">
        <v>116</v>
      </c>
      <c r="AE1587" t="s">
        <v>574</v>
      </c>
      <c r="AF1587" t="s">
        <v>575</v>
      </c>
      <c r="AG1587" t="s">
        <v>5594</v>
      </c>
      <c r="AK1587">
        <v>1</v>
      </c>
      <c r="AL1587" t="s">
        <v>61</v>
      </c>
      <c r="AM1587" t="s">
        <v>1701</v>
      </c>
      <c r="AN1587" t="s">
        <v>1702</v>
      </c>
    </row>
    <row r="1588" spans="1:40" x14ac:dyDescent="0.35">
      <c r="A1588" t="s">
        <v>37</v>
      </c>
      <c r="B1588" t="s">
        <v>6704</v>
      </c>
      <c r="C1588" t="s">
        <v>39</v>
      </c>
      <c r="D1588" t="s">
        <v>2386</v>
      </c>
      <c r="E1588" t="s">
        <v>1316</v>
      </c>
      <c r="F1588" s="1">
        <v>46073.625879629632</v>
      </c>
      <c r="G1588" t="s">
        <v>355</v>
      </c>
      <c r="H1588" t="s">
        <v>356</v>
      </c>
      <c r="I1588" t="s">
        <v>6670</v>
      </c>
      <c r="J1588" t="s">
        <v>6631</v>
      </c>
      <c r="K1588" t="s">
        <v>6632</v>
      </c>
      <c r="M1588" t="s">
        <v>47</v>
      </c>
      <c r="O1588" t="s">
        <v>77</v>
      </c>
      <c r="P1588" t="s">
        <v>78</v>
      </c>
      <c r="Q1588" t="s">
        <v>50</v>
      </c>
      <c r="R1588" t="s">
        <v>51</v>
      </c>
      <c r="S1588" t="s">
        <v>52</v>
      </c>
      <c r="T1588" t="s">
        <v>773</v>
      </c>
      <c r="U1588" s="1">
        <v>46073.626898148148</v>
      </c>
      <c r="V1588" t="s">
        <v>54</v>
      </c>
      <c r="W1588" t="s">
        <v>55</v>
      </c>
      <c r="X1588" t="s">
        <v>134</v>
      </c>
      <c r="Y1588" t="s">
        <v>6705</v>
      </c>
      <c r="Z1588" t="s">
        <v>5594</v>
      </c>
      <c r="AA1588" t="s">
        <v>54</v>
      </c>
      <c r="AB1588" t="s">
        <v>2388</v>
      </c>
      <c r="AC1588" t="s">
        <v>85</v>
      </c>
      <c r="AD1588" t="s">
        <v>52</v>
      </c>
      <c r="AE1588" t="s">
        <v>6643</v>
      </c>
      <c r="AF1588" t="s">
        <v>6644</v>
      </c>
      <c r="AG1588" t="s">
        <v>5594</v>
      </c>
      <c r="AK1588">
        <v>0</v>
      </c>
      <c r="AL1588" t="s">
        <v>61</v>
      </c>
      <c r="AM1588" t="s">
        <v>2388</v>
      </c>
      <c r="AN1588" t="s">
        <v>2389</v>
      </c>
    </row>
    <row r="1589" spans="1:40" x14ac:dyDescent="0.35">
      <c r="A1589" t="s">
        <v>37</v>
      </c>
      <c r="B1589" t="s">
        <v>6706</v>
      </c>
      <c r="C1589" t="s">
        <v>39</v>
      </c>
      <c r="D1589" t="s">
        <v>2386</v>
      </c>
      <c r="E1589" t="s">
        <v>1316</v>
      </c>
      <c r="F1589" s="1">
        <v>46073.625879629632</v>
      </c>
      <c r="G1589" t="s">
        <v>355</v>
      </c>
      <c r="H1589" t="s">
        <v>356</v>
      </c>
      <c r="I1589" t="s">
        <v>6707</v>
      </c>
      <c r="J1589" t="s">
        <v>6631</v>
      </c>
      <c r="K1589" t="s">
        <v>6632</v>
      </c>
      <c r="M1589" t="s">
        <v>47</v>
      </c>
      <c r="O1589" t="s">
        <v>77</v>
      </c>
      <c r="P1589" t="s">
        <v>78</v>
      </c>
      <c r="Q1589" t="s">
        <v>50</v>
      </c>
      <c r="R1589" t="s">
        <v>51</v>
      </c>
      <c r="S1589" t="s">
        <v>52</v>
      </c>
      <c r="T1589" t="s">
        <v>773</v>
      </c>
      <c r="U1589" s="1">
        <v>46073.627604166664</v>
      </c>
      <c r="V1589" t="s">
        <v>54</v>
      </c>
      <c r="W1589" t="s">
        <v>55</v>
      </c>
      <c r="X1589" t="s">
        <v>134</v>
      </c>
      <c r="Y1589" t="s">
        <v>6708</v>
      </c>
      <c r="Z1589" t="s">
        <v>5594</v>
      </c>
      <c r="AA1589" t="s">
        <v>54</v>
      </c>
      <c r="AB1589" t="s">
        <v>2388</v>
      </c>
      <c r="AC1589" t="s">
        <v>85</v>
      </c>
      <c r="AD1589" t="s">
        <v>52</v>
      </c>
      <c r="AE1589" t="s">
        <v>2575</v>
      </c>
      <c r="AF1589" t="s">
        <v>2576</v>
      </c>
      <c r="AG1589" t="s">
        <v>5594</v>
      </c>
      <c r="AK1589">
        <v>0</v>
      </c>
      <c r="AL1589" t="s">
        <v>61</v>
      </c>
      <c r="AM1589" t="s">
        <v>2388</v>
      </c>
      <c r="AN1589" t="s">
        <v>2389</v>
      </c>
    </row>
    <row r="1590" spans="1:40" x14ac:dyDescent="0.35">
      <c r="A1590" t="s">
        <v>37</v>
      </c>
      <c r="B1590" t="s">
        <v>6709</v>
      </c>
      <c r="C1590" t="s">
        <v>102</v>
      </c>
      <c r="D1590" t="s">
        <v>3786</v>
      </c>
      <c r="E1590" t="s">
        <v>469</v>
      </c>
      <c r="F1590" s="1">
        <v>46073.62667824074</v>
      </c>
      <c r="G1590" t="s">
        <v>105</v>
      </c>
      <c r="H1590" t="s">
        <v>106</v>
      </c>
      <c r="I1590" t="s">
        <v>6710</v>
      </c>
      <c r="J1590" t="s">
        <v>108</v>
      </c>
      <c r="K1590" t="s">
        <v>571</v>
      </c>
      <c r="M1590" t="s">
        <v>47</v>
      </c>
      <c r="O1590" t="s">
        <v>77</v>
      </c>
      <c r="P1590" t="s">
        <v>78</v>
      </c>
      <c r="Q1590" t="s">
        <v>541</v>
      </c>
      <c r="R1590" t="s">
        <v>111</v>
      </c>
      <c r="S1590" t="s">
        <v>51</v>
      </c>
      <c r="T1590" t="s">
        <v>112</v>
      </c>
      <c r="U1590" s="1">
        <v>46074.130868055552</v>
      </c>
      <c r="V1590" t="s">
        <v>54</v>
      </c>
      <c r="W1590" t="s">
        <v>55</v>
      </c>
      <c r="X1590" t="s">
        <v>113</v>
      </c>
      <c r="Y1590" t="s">
        <v>6711</v>
      </c>
      <c r="Z1590" t="s">
        <v>5594</v>
      </c>
      <c r="AA1590" t="s">
        <v>54</v>
      </c>
      <c r="AB1590" t="s">
        <v>115</v>
      </c>
      <c r="AC1590" t="s">
        <v>85</v>
      </c>
      <c r="AD1590" t="s">
        <v>116</v>
      </c>
      <c r="AE1590" t="s">
        <v>1541</v>
      </c>
      <c r="AF1590" t="s">
        <v>1569</v>
      </c>
      <c r="AG1590" t="s">
        <v>5594</v>
      </c>
      <c r="AH1590">
        <v>5935</v>
      </c>
      <c r="AK1590">
        <v>1</v>
      </c>
      <c r="AL1590" t="s">
        <v>61</v>
      </c>
      <c r="AM1590" t="s">
        <v>3789</v>
      </c>
      <c r="AN1590" t="s">
        <v>3790</v>
      </c>
    </row>
    <row r="1591" spans="1:40" x14ac:dyDescent="0.35">
      <c r="A1591" t="s">
        <v>37</v>
      </c>
      <c r="B1591" t="s">
        <v>6712</v>
      </c>
      <c r="C1591" t="s">
        <v>39</v>
      </c>
      <c r="D1591" t="s">
        <v>2386</v>
      </c>
      <c r="E1591" t="s">
        <v>1316</v>
      </c>
      <c r="F1591" s="1">
        <v>46073.625879629632</v>
      </c>
      <c r="G1591" t="s">
        <v>355</v>
      </c>
      <c r="H1591" t="s">
        <v>356</v>
      </c>
      <c r="I1591" t="s">
        <v>6713</v>
      </c>
      <c r="J1591" t="s">
        <v>6631</v>
      </c>
      <c r="K1591" t="s">
        <v>6632</v>
      </c>
      <c r="M1591" t="s">
        <v>47</v>
      </c>
      <c r="O1591" t="s">
        <v>77</v>
      </c>
      <c r="P1591" t="s">
        <v>78</v>
      </c>
      <c r="Q1591" t="s">
        <v>50</v>
      </c>
      <c r="R1591" t="s">
        <v>51</v>
      </c>
      <c r="S1591" t="s">
        <v>52</v>
      </c>
      <c r="T1591" t="s">
        <v>773</v>
      </c>
      <c r="U1591" s="1">
        <v>46073.627870370372</v>
      </c>
      <c r="V1591" t="s">
        <v>54</v>
      </c>
      <c r="W1591" t="s">
        <v>55</v>
      </c>
      <c r="X1591" t="s">
        <v>134</v>
      </c>
      <c r="Y1591" t="s">
        <v>6714</v>
      </c>
      <c r="Z1591" t="s">
        <v>5594</v>
      </c>
      <c r="AA1591" t="s">
        <v>54</v>
      </c>
      <c r="AB1591" t="s">
        <v>2388</v>
      </c>
      <c r="AC1591" t="s">
        <v>85</v>
      </c>
      <c r="AD1591" t="s">
        <v>52</v>
      </c>
      <c r="AE1591" t="s">
        <v>967</v>
      </c>
      <c r="AF1591" t="s">
        <v>2563</v>
      </c>
      <c r="AG1591" t="s">
        <v>5594</v>
      </c>
      <c r="AK1591">
        <v>0</v>
      </c>
      <c r="AL1591" t="s">
        <v>61</v>
      </c>
      <c r="AM1591" t="s">
        <v>2388</v>
      </c>
      <c r="AN1591" t="s">
        <v>2389</v>
      </c>
    </row>
    <row r="1592" spans="1:40" x14ac:dyDescent="0.35">
      <c r="A1592" t="s">
        <v>37</v>
      </c>
      <c r="B1592" t="s">
        <v>6715</v>
      </c>
      <c r="C1592" t="s">
        <v>39</v>
      </c>
      <c r="D1592" t="s">
        <v>2386</v>
      </c>
      <c r="E1592" t="s">
        <v>1316</v>
      </c>
      <c r="F1592" s="1">
        <v>46073.625879629632</v>
      </c>
      <c r="G1592" t="s">
        <v>355</v>
      </c>
      <c r="H1592" t="s">
        <v>356</v>
      </c>
      <c r="I1592" t="s">
        <v>6716</v>
      </c>
      <c r="J1592" t="s">
        <v>6631</v>
      </c>
      <c r="K1592" t="s">
        <v>6632</v>
      </c>
      <c r="M1592" t="s">
        <v>47</v>
      </c>
      <c r="O1592" t="s">
        <v>77</v>
      </c>
      <c r="P1592" t="s">
        <v>78</v>
      </c>
      <c r="Q1592" t="s">
        <v>50</v>
      </c>
      <c r="R1592" t="s">
        <v>51</v>
      </c>
      <c r="S1592" t="s">
        <v>52</v>
      </c>
      <c r="T1592" t="s">
        <v>773</v>
      </c>
      <c r="U1592" s="1">
        <v>46073.628171296295</v>
      </c>
      <c r="V1592" t="s">
        <v>54</v>
      </c>
      <c r="W1592" t="s">
        <v>55</v>
      </c>
      <c r="X1592" t="s">
        <v>134</v>
      </c>
      <c r="Y1592" t="s">
        <v>6717</v>
      </c>
      <c r="Z1592" t="s">
        <v>5594</v>
      </c>
      <c r="AA1592" t="s">
        <v>54</v>
      </c>
      <c r="AB1592" t="s">
        <v>2388</v>
      </c>
      <c r="AC1592" t="s">
        <v>85</v>
      </c>
      <c r="AD1592" t="s">
        <v>52</v>
      </c>
      <c r="AE1592" t="s">
        <v>967</v>
      </c>
      <c r="AF1592" t="s">
        <v>2563</v>
      </c>
      <c r="AG1592" t="s">
        <v>5594</v>
      </c>
      <c r="AK1592">
        <v>0</v>
      </c>
      <c r="AL1592" t="s">
        <v>61</v>
      </c>
      <c r="AM1592" t="s">
        <v>2388</v>
      </c>
      <c r="AN1592" t="s">
        <v>2389</v>
      </c>
    </row>
    <row r="1593" spans="1:40" x14ac:dyDescent="0.35">
      <c r="A1593" t="s">
        <v>37</v>
      </c>
      <c r="B1593" t="s">
        <v>6718</v>
      </c>
      <c r="C1593" t="s">
        <v>39</v>
      </c>
      <c r="D1593" t="s">
        <v>2386</v>
      </c>
      <c r="E1593" t="s">
        <v>1316</v>
      </c>
      <c r="F1593" s="1">
        <v>46073.625879629632</v>
      </c>
      <c r="G1593" t="s">
        <v>355</v>
      </c>
      <c r="H1593" t="s">
        <v>356</v>
      </c>
      <c r="I1593" t="s">
        <v>6719</v>
      </c>
      <c r="J1593" t="s">
        <v>6631</v>
      </c>
      <c r="K1593" t="s">
        <v>6632</v>
      </c>
      <c r="M1593" t="s">
        <v>47</v>
      </c>
      <c r="O1593" t="s">
        <v>77</v>
      </c>
      <c r="P1593" t="s">
        <v>78</v>
      </c>
      <c r="Q1593" t="s">
        <v>50</v>
      </c>
      <c r="R1593" t="s">
        <v>51</v>
      </c>
      <c r="S1593" t="s">
        <v>52</v>
      </c>
      <c r="T1593" t="s">
        <v>773</v>
      </c>
      <c r="U1593" s="1">
        <v>46073.633761574078</v>
      </c>
      <c r="V1593" t="s">
        <v>54</v>
      </c>
      <c r="W1593" t="s">
        <v>55</v>
      </c>
      <c r="X1593" t="s">
        <v>134</v>
      </c>
      <c r="Y1593" t="s">
        <v>6720</v>
      </c>
      <c r="Z1593" t="s">
        <v>5594</v>
      </c>
      <c r="AA1593" t="s">
        <v>54</v>
      </c>
      <c r="AB1593" t="s">
        <v>2388</v>
      </c>
      <c r="AC1593" t="s">
        <v>85</v>
      </c>
      <c r="AD1593" t="s">
        <v>52</v>
      </c>
      <c r="AE1593" t="s">
        <v>967</v>
      </c>
      <c r="AF1593" t="s">
        <v>2563</v>
      </c>
      <c r="AG1593" t="s">
        <v>5594</v>
      </c>
      <c r="AK1593">
        <v>0</v>
      </c>
      <c r="AL1593" t="s">
        <v>61</v>
      </c>
      <c r="AM1593" t="s">
        <v>2388</v>
      </c>
      <c r="AN1593" t="s">
        <v>2389</v>
      </c>
    </row>
    <row r="1594" spans="1:40" x14ac:dyDescent="0.35">
      <c r="A1594" t="s">
        <v>37</v>
      </c>
      <c r="B1594" t="s">
        <v>6721</v>
      </c>
      <c r="C1594" t="s">
        <v>39</v>
      </c>
      <c r="D1594" t="s">
        <v>2386</v>
      </c>
      <c r="E1594" t="s">
        <v>1316</v>
      </c>
      <c r="F1594" s="1">
        <v>46073.625879629632</v>
      </c>
      <c r="G1594" t="s">
        <v>355</v>
      </c>
      <c r="H1594" t="s">
        <v>356</v>
      </c>
      <c r="I1594" t="s">
        <v>6722</v>
      </c>
      <c r="J1594" t="s">
        <v>6631</v>
      </c>
      <c r="K1594" t="s">
        <v>6632</v>
      </c>
      <c r="M1594" t="s">
        <v>47</v>
      </c>
      <c r="O1594" t="s">
        <v>77</v>
      </c>
      <c r="P1594" t="s">
        <v>78</v>
      </c>
      <c r="Q1594" t="s">
        <v>50</v>
      </c>
      <c r="R1594" t="s">
        <v>51</v>
      </c>
      <c r="S1594" t="s">
        <v>52</v>
      </c>
      <c r="T1594" t="s">
        <v>773</v>
      </c>
      <c r="U1594" s="1">
        <v>46073.628437500003</v>
      </c>
      <c r="V1594" t="s">
        <v>54</v>
      </c>
      <c r="W1594" t="s">
        <v>55</v>
      </c>
      <c r="X1594" t="s">
        <v>134</v>
      </c>
      <c r="Y1594" t="s">
        <v>6723</v>
      </c>
      <c r="Z1594" t="s">
        <v>5594</v>
      </c>
      <c r="AA1594" t="s">
        <v>54</v>
      </c>
      <c r="AB1594" t="s">
        <v>2388</v>
      </c>
      <c r="AC1594" t="s">
        <v>85</v>
      </c>
      <c r="AD1594" t="s">
        <v>52</v>
      </c>
      <c r="AE1594" t="s">
        <v>967</v>
      </c>
      <c r="AF1594" t="s">
        <v>2563</v>
      </c>
      <c r="AG1594" t="s">
        <v>5594</v>
      </c>
      <c r="AK1594">
        <v>0</v>
      </c>
      <c r="AL1594" t="s">
        <v>61</v>
      </c>
      <c r="AM1594" t="s">
        <v>2388</v>
      </c>
      <c r="AN1594" t="s">
        <v>2389</v>
      </c>
    </row>
    <row r="1595" spans="1:40" x14ac:dyDescent="0.35">
      <c r="A1595" t="s">
        <v>37</v>
      </c>
      <c r="B1595" t="s">
        <v>6724</v>
      </c>
      <c r="C1595" t="s">
        <v>39</v>
      </c>
      <c r="D1595" t="s">
        <v>2386</v>
      </c>
      <c r="E1595" t="s">
        <v>1316</v>
      </c>
      <c r="F1595" s="1">
        <v>46073.625034722223</v>
      </c>
      <c r="G1595" t="s">
        <v>355</v>
      </c>
      <c r="H1595" t="s">
        <v>356</v>
      </c>
      <c r="I1595" t="s">
        <v>6725</v>
      </c>
      <c r="J1595" t="s">
        <v>6631</v>
      </c>
      <c r="K1595" t="s">
        <v>6632</v>
      </c>
      <c r="M1595" t="s">
        <v>47</v>
      </c>
      <c r="O1595" t="s">
        <v>77</v>
      </c>
      <c r="P1595" t="s">
        <v>78</v>
      </c>
      <c r="Q1595" t="s">
        <v>50</v>
      </c>
      <c r="R1595" t="s">
        <v>51</v>
      </c>
      <c r="S1595" t="s">
        <v>52</v>
      </c>
      <c r="T1595" t="s">
        <v>773</v>
      </c>
      <c r="U1595" s="1">
        <v>46073.634016203701</v>
      </c>
      <c r="V1595" t="s">
        <v>54</v>
      </c>
      <c r="W1595" t="s">
        <v>55</v>
      </c>
      <c r="X1595" t="s">
        <v>134</v>
      </c>
      <c r="Y1595" t="s">
        <v>6726</v>
      </c>
      <c r="Z1595" t="s">
        <v>5594</v>
      </c>
      <c r="AA1595" t="s">
        <v>54</v>
      </c>
      <c r="AB1595" t="s">
        <v>2388</v>
      </c>
      <c r="AC1595" t="s">
        <v>85</v>
      </c>
      <c r="AD1595" t="s">
        <v>52</v>
      </c>
      <c r="AE1595" t="s">
        <v>967</v>
      </c>
      <c r="AF1595" t="s">
        <v>2563</v>
      </c>
      <c r="AG1595" t="s">
        <v>5594</v>
      </c>
      <c r="AK1595">
        <v>0</v>
      </c>
      <c r="AL1595" t="s">
        <v>61</v>
      </c>
      <c r="AM1595" t="s">
        <v>2388</v>
      </c>
      <c r="AN1595" t="s">
        <v>2389</v>
      </c>
    </row>
    <row r="1596" spans="1:40" x14ac:dyDescent="0.35">
      <c r="A1596" t="s">
        <v>37</v>
      </c>
      <c r="B1596" t="s">
        <v>6727</v>
      </c>
      <c r="C1596" t="s">
        <v>39</v>
      </c>
      <c r="D1596" t="s">
        <v>2386</v>
      </c>
      <c r="E1596" t="s">
        <v>1316</v>
      </c>
      <c r="F1596" s="1">
        <v>46073.625034722223</v>
      </c>
      <c r="G1596" t="s">
        <v>355</v>
      </c>
      <c r="H1596" t="s">
        <v>356</v>
      </c>
      <c r="I1596" t="s">
        <v>6728</v>
      </c>
      <c r="J1596" t="s">
        <v>6631</v>
      </c>
      <c r="K1596" t="s">
        <v>6632</v>
      </c>
      <c r="M1596" t="s">
        <v>47</v>
      </c>
      <c r="O1596" t="s">
        <v>77</v>
      </c>
      <c r="P1596" t="s">
        <v>78</v>
      </c>
      <c r="Q1596" t="s">
        <v>50</v>
      </c>
      <c r="R1596" t="s">
        <v>51</v>
      </c>
      <c r="S1596" t="s">
        <v>52</v>
      </c>
      <c r="T1596" t="s">
        <v>773</v>
      </c>
      <c r="U1596" s="1">
        <v>46073.634270833332</v>
      </c>
      <c r="V1596" t="s">
        <v>54</v>
      </c>
      <c r="W1596" t="s">
        <v>55</v>
      </c>
      <c r="X1596" t="s">
        <v>134</v>
      </c>
      <c r="Y1596" t="s">
        <v>6729</v>
      </c>
      <c r="Z1596" t="s">
        <v>5594</v>
      </c>
      <c r="AA1596" t="s">
        <v>54</v>
      </c>
      <c r="AB1596" t="s">
        <v>2388</v>
      </c>
      <c r="AC1596" t="s">
        <v>85</v>
      </c>
      <c r="AD1596" t="s">
        <v>52</v>
      </c>
      <c r="AE1596" t="s">
        <v>6643</v>
      </c>
      <c r="AF1596" t="s">
        <v>6644</v>
      </c>
      <c r="AG1596" t="s">
        <v>5594</v>
      </c>
      <c r="AK1596">
        <v>0</v>
      </c>
      <c r="AL1596" t="s">
        <v>61</v>
      </c>
      <c r="AM1596" t="s">
        <v>2388</v>
      </c>
      <c r="AN1596" t="s">
        <v>2389</v>
      </c>
    </row>
    <row r="1597" spans="1:40" x14ac:dyDescent="0.35">
      <c r="A1597" t="s">
        <v>37</v>
      </c>
      <c r="B1597" t="s">
        <v>6730</v>
      </c>
      <c r="C1597" t="s">
        <v>39</v>
      </c>
      <c r="D1597" t="s">
        <v>2386</v>
      </c>
      <c r="E1597" t="s">
        <v>1316</v>
      </c>
      <c r="F1597" s="1">
        <v>46073.625034722223</v>
      </c>
      <c r="G1597" t="s">
        <v>355</v>
      </c>
      <c r="H1597" t="s">
        <v>356</v>
      </c>
      <c r="I1597" t="s">
        <v>6731</v>
      </c>
      <c r="J1597" t="s">
        <v>6631</v>
      </c>
      <c r="K1597" t="s">
        <v>6632</v>
      </c>
      <c r="M1597" t="s">
        <v>47</v>
      </c>
      <c r="O1597" t="s">
        <v>77</v>
      </c>
      <c r="P1597" t="s">
        <v>78</v>
      </c>
      <c r="Q1597" t="s">
        <v>50</v>
      </c>
      <c r="R1597" t="s">
        <v>51</v>
      </c>
      <c r="S1597" t="s">
        <v>52</v>
      </c>
      <c r="T1597" t="s">
        <v>773</v>
      </c>
      <c r="U1597" s="1">
        <v>46073.63449074074</v>
      </c>
      <c r="V1597" t="s">
        <v>54</v>
      </c>
      <c r="W1597" t="s">
        <v>55</v>
      </c>
      <c r="X1597" t="s">
        <v>134</v>
      </c>
      <c r="Y1597" t="s">
        <v>6651</v>
      </c>
      <c r="Z1597" t="s">
        <v>5594</v>
      </c>
      <c r="AA1597" t="s">
        <v>54</v>
      </c>
      <c r="AB1597" t="s">
        <v>2388</v>
      </c>
      <c r="AC1597" t="s">
        <v>85</v>
      </c>
      <c r="AD1597" t="s">
        <v>52</v>
      </c>
      <c r="AE1597" t="s">
        <v>967</v>
      </c>
      <c r="AF1597" t="s">
        <v>2563</v>
      </c>
      <c r="AG1597" t="s">
        <v>5594</v>
      </c>
      <c r="AK1597">
        <v>0</v>
      </c>
      <c r="AL1597" t="s">
        <v>61</v>
      </c>
      <c r="AM1597" t="s">
        <v>2388</v>
      </c>
      <c r="AN1597" t="s">
        <v>2389</v>
      </c>
    </row>
    <row r="1598" spans="1:40" x14ac:dyDescent="0.35">
      <c r="A1598" t="s">
        <v>37</v>
      </c>
      <c r="B1598" t="s">
        <v>6732</v>
      </c>
      <c r="C1598" t="s">
        <v>39</v>
      </c>
      <c r="D1598" t="s">
        <v>2386</v>
      </c>
      <c r="E1598" t="s">
        <v>1316</v>
      </c>
      <c r="F1598" s="1">
        <v>46073.624085648145</v>
      </c>
      <c r="G1598" t="s">
        <v>355</v>
      </c>
      <c r="H1598" t="s">
        <v>356</v>
      </c>
      <c r="I1598" t="s">
        <v>6733</v>
      </c>
      <c r="J1598" t="s">
        <v>6631</v>
      </c>
      <c r="K1598" t="s">
        <v>6632</v>
      </c>
      <c r="M1598" t="s">
        <v>47</v>
      </c>
      <c r="O1598" t="s">
        <v>77</v>
      </c>
      <c r="P1598" t="s">
        <v>78</v>
      </c>
      <c r="Q1598" t="s">
        <v>50</v>
      </c>
      <c r="R1598" t="s">
        <v>51</v>
      </c>
      <c r="S1598" t="s">
        <v>52</v>
      </c>
      <c r="T1598" t="s">
        <v>773</v>
      </c>
      <c r="U1598" s="1">
        <v>46073.634733796294</v>
      </c>
      <c r="V1598" t="s">
        <v>54</v>
      </c>
      <c r="W1598" t="s">
        <v>55</v>
      </c>
      <c r="X1598" t="s">
        <v>134</v>
      </c>
      <c r="Y1598" t="s">
        <v>6651</v>
      </c>
      <c r="Z1598" t="s">
        <v>5594</v>
      </c>
      <c r="AA1598" t="s">
        <v>54</v>
      </c>
      <c r="AB1598" t="s">
        <v>2388</v>
      </c>
      <c r="AC1598" t="s">
        <v>85</v>
      </c>
      <c r="AD1598" t="s">
        <v>52</v>
      </c>
      <c r="AE1598" t="s">
        <v>967</v>
      </c>
      <c r="AF1598" t="s">
        <v>2563</v>
      </c>
      <c r="AG1598" t="s">
        <v>5594</v>
      </c>
      <c r="AK1598">
        <v>0</v>
      </c>
      <c r="AL1598" t="s">
        <v>61</v>
      </c>
      <c r="AM1598" t="s">
        <v>2388</v>
      </c>
      <c r="AN1598" t="s">
        <v>2389</v>
      </c>
    </row>
    <row r="1599" spans="1:40" x14ac:dyDescent="0.35">
      <c r="A1599" t="s">
        <v>37</v>
      </c>
      <c r="B1599" t="s">
        <v>6734</v>
      </c>
      <c r="C1599" t="s">
        <v>39</v>
      </c>
      <c r="D1599" t="s">
        <v>2386</v>
      </c>
      <c r="E1599" t="s">
        <v>1316</v>
      </c>
      <c r="F1599" s="1">
        <v>46073.624085648145</v>
      </c>
      <c r="G1599" t="s">
        <v>355</v>
      </c>
      <c r="H1599" t="s">
        <v>356</v>
      </c>
      <c r="I1599" t="s">
        <v>6735</v>
      </c>
      <c r="J1599" t="s">
        <v>6631</v>
      </c>
      <c r="K1599" t="s">
        <v>6632</v>
      </c>
      <c r="M1599" t="s">
        <v>47</v>
      </c>
      <c r="O1599" t="s">
        <v>77</v>
      </c>
      <c r="P1599" t="s">
        <v>78</v>
      </c>
      <c r="Q1599" t="s">
        <v>50</v>
      </c>
      <c r="R1599" t="s">
        <v>51</v>
      </c>
      <c r="S1599" t="s">
        <v>52</v>
      </c>
      <c r="T1599" t="s">
        <v>773</v>
      </c>
      <c r="U1599" s="1">
        <v>46073.62871527778</v>
      </c>
      <c r="V1599" t="s">
        <v>54</v>
      </c>
      <c r="W1599" t="s">
        <v>55</v>
      </c>
      <c r="X1599" t="s">
        <v>134</v>
      </c>
      <c r="Y1599" t="s">
        <v>6736</v>
      </c>
      <c r="Z1599" t="s">
        <v>5594</v>
      </c>
      <c r="AA1599" t="s">
        <v>54</v>
      </c>
      <c r="AB1599" t="s">
        <v>2388</v>
      </c>
      <c r="AC1599" t="s">
        <v>85</v>
      </c>
      <c r="AD1599" t="s">
        <v>52</v>
      </c>
      <c r="AE1599" t="s">
        <v>6643</v>
      </c>
      <c r="AF1599" t="s">
        <v>6644</v>
      </c>
      <c r="AG1599" t="s">
        <v>5594</v>
      </c>
      <c r="AK1599">
        <v>0</v>
      </c>
      <c r="AL1599" t="s">
        <v>61</v>
      </c>
      <c r="AM1599" t="s">
        <v>2388</v>
      </c>
      <c r="AN1599" t="s">
        <v>2389</v>
      </c>
    </row>
    <row r="1600" spans="1:40" x14ac:dyDescent="0.35">
      <c r="A1600" t="s">
        <v>37</v>
      </c>
      <c r="B1600" t="s">
        <v>6737</v>
      </c>
      <c r="C1600" t="s">
        <v>39</v>
      </c>
      <c r="D1600" t="s">
        <v>2386</v>
      </c>
      <c r="E1600" t="s">
        <v>1316</v>
      </c>
      <c r="F1600" s="1">
        <v>46073.624085648145</v>
      </c>
      <c r="G1600" t="s">
        <v>355</v>
      </c>
      <c r="H1600" t="s">
        <v>356</v>
      </c>
      <c r="I1600" t="s">
        <v>6738</v>
      </c>
      <c r="J1600" t="s">
        <v>6631</v>
      </c>
      <c r="K1600" t="s">
        <v>6632</v>
      </c>
      <c r="M1600" t="s">
        <v>47</v>
      </c>
      <c r="O1600" t="s">
        <v>77</v>
      </c>
      <c r="P1600" t="s">
        <v>78</v>
      </c>
      <c r="Q1600" t="s">
        <v>50</v>
      </c>
      <c r="R1600" t="s">
        <v>51</v>
      </c>
      <c r="S1600" t="s">
        <v>52</v>
      </c>
      <c r="T1600" t="s">
        <v>773</v>
      </c>
      <c r="U1600" s="1">
        <v>46073.635046296295</v>
      </c>
      <c r="V1600" t="s">
        <v>54</v>
      </c>
      <c r="W1600" t="s">
        <v>55</v>
      </c>
      <c r="X1600" t="s">
        <v>134</v>
      </c>
      <c r="Y1600" t="s">
        <v>6739</v>
      </c>
      <c r="Z1600" t="s">
        <v>5594</v>
      </c>
      <c r="AA1600" t="s">
        <v>54</v>
      </c>
      <c r="AB1600" t="s">
        <v>2388</v>
      </c>
      <c r="AC1600" t="s">
        <v>85</v>
      </c>
      <c r="AD1600" t="s">
        <v>52</v>
      </c>
      <c r="AE1600" t="s">
        <v>967</v>
      </c>
      <c r="AF1600" t="s">
        <v>2563</v>
      </c>
      <c r="AG1600" t="s">
        <v>5594</v>
      </c>
      <c r="AK1600">
        <v>0</v>
      </c>
      <c r="AL1600" t="s">
        <v>61</v>
      </c>
      <c r="AM1600" t="s">
        <v>2388</v>
      </c>
      <c r="AN1600" t="s">
        <v>2389</v>
      </c>
    </row>
    <row r="1601" spans="1:40" x14ac:dyDescent="0.35">
      <c r="A1601" t="s">
        <v>37</v>
      </c>
      <c r="B1601" t="s">
        <v>6740</v>
      </c>
      <c r="C1601" t="s">
        <v>39</v>
      </c>
      <c r="D1601" t="s">
        <v>2386</v>
      </c>
      <c r="E1601" t="s">
        <v>1316</v>
      </c>
      <c r="F1601" s="1">
        <v>46073.624085648145</v>
      </c>
      <c r="G1601" t="s">
        <v>355</v>
      </c>
      <c r="H1601" t="s">
        <v>356</v>
      </c>
      <c r="I1601" t="s">
        <v>6741</v>
      </c>
      <c r="J1601" t="s">
        <v>6631</v>
      </c>
      <c r="K1601" t="s">
        <v>6632</v>
      </c>
      <c r="M1601" t="s">
        <v>47</v>
      </c>
      <c r="O1601" t="s">
        <v>77</v>
      </c>
      <c r="P1601" t="s">
        <v>78</v>
      </c>
      <c r="Q1601" t="s">
        <v>50</v>
      </c>
      <c r="R1601" t="s">
        <v>51</v>
      </c>
      <c r="S1601" t="s">
        <v>52</v>
      </c>
      <c r="T1601" t="s">
        <v>773</v>
      </c>
      <c r="U1601" s="1">
        <v>46073.635879629626</v>
      </c>
      <c r="V1601" t="s">
        <v>54</v>
      </c>
      <c r="W1601" t="s">
        <v>55</v>
      </c>
      <c r="X1601" t="s">
        <v>134</v>
      </c>
      <c r="Y1601" t="s">
        <v>6742</v>
      </c>
      <c r="Z1601" t="s">
        <v>5594</v>
      </c>
      <c r="AA1601" t="s">
        <v>54</v>
      </c>
      <c r="AB1601" t="s">
        <v>2388</v>
      </c>
      <c r="AC1601" t="s">
        <v>85</v>
      </c>
      <c r="AD1601" t="s">
        <v>52</v>
      </c>
      <c r="AE1601" t="s">
        <v>6643</v>
      </c>
      <c r="AF1601" t="s">
        <v>6644</v>
      </c>
      <c r="AG1601" t="s">
        <v>5594</v>
      </c>
      <c r="AK1601">
        <v>0</v>
      </c>
      <c r="AL1601" t="s">
        <v>61</v>
      </c>
      <c r="AM1601" t="s">
        <v>2388</v>
      </c>
      <c r="AN1601" t="s">
        <v>2389</v>
      </c>
    </row>
    <row r="1602" spans="1:40" x14ac:dyDescent="0.35">
      <c r="A1602" t="s">
        <v>37</v>
      </c>
      <c r="B1602" t="s">
        <v>6743</v>
      </c>
      <c r="C1602" t="s">
        <v>39</v>
      </c>
      <c r="D1602" t="s">
        <v>2386</v>
      </c>
      <c r="E1602" t="s">
        <v>1316</v>
      </c>
      <c r="F1602" s="1">
        <v>46073.624085648145</v>
      </c>
      <c r="G1602" t="s">
        <v>355</v>
      </c>
      <c r="H1602" t="s">
        <v>356</v>
      </c>
      <c r="I1602" t="s">
        <v>6744</v>
      </c>
      <c r="J1602" t="s">
        <v>6631</v>
      </c>
      <c r="K1602" t="s">
        <v>6632</v>
      </c>
      <c r="M1602" t="s">
        <v>47</v>
      </c>
      <c r="O1602" t="s">
        <v>77</v>
      </c>
      <c r="P1602" t="s">
        <v>78</v>
      </c>
      <c r="Q1602" t="s">
        <v>50</v>
      </c>
      <c r="R1602" t="s">
        <v>51</v>
      </c>
      <c r="S1602" t="s">
        <v>52</v>
      </c>
      <c r="T1602" t="s">
        <v>773</v>
      </c>
      <c r="U1602" s="1">
        <v>46073.637071759258</v>
      </c>
      <c r="V1602" t="s">
        <v>54</v>
      </c>
      <c r="W1602" t="s">
        <v>55</v>
      </c>
      <c r="X1602" t="s">
        <v>134</v>
      </c>
      <c r="Y1602" t="s">
        <v>6742</v>
      </c>
      <c r="Z1602" t="s">
        <v>5594</v>
      </c>
      <c r="AA1602" t="s">
        <v>54</v>
      </c>
      <c r="AB1602" t="s">
        <v>2388</v>
      </c>
      <c r="AC1602" t="s">
        <v>85</v>
      </c>
      <c r="AD1602" t="s">
        <v>52</v>
      </c>
      <c r="AE1602" t="s">
        <v>967</v>
      </c>
      <c r="AF1602" t="s">
        <v>2563</v>
      </c>
      <c r="AG1602" t="s">
        <v>5594</v>
      </c>
      <c r="AK1602">
        <v>0</v>
      </c>
      <c r="AL1602" t="s">
        <v>61</v>
      </c>
      <c r="AM1602" t="s">
        <v>2388</v>
      </c>
      <c r="AN1602" t="s">
        <v>2389</v>
      </c>
    </row>
    <row r="1603" spans="1:40" x14ac:dyDescent="0.35">
      <c r="A1603" t="s">
        <v>37</v>
      </c>
      <c r="B1603" t="s">
        <v>6745</v>
      </c>
      <c r="C1603" t="s">
        <v>39</v>
      </c>
      <c r="D1603" t="s">
        <v>2386</v>
      </c>
      <c r="E1603" t="s">
        <v>1316</v>
      </c>
      <c r="F1603" s="1">
        <v>46073.623148148145</v>
      </c>
      <c r="G1603" t="s">
        <v>355</v>
      </c>
      <c r="H1603" t="s">
        <v>356</v>
      </c>
      <c r="I1603" t="s">
        <v>6746</v>
      </c>
      <c r="J1603" t="s">
        <v>6631</v>
      </c>
      <c r="K1603" t="s">
        <v>6632</v>
      </c>
      <c r="M1603" t="s">
        <v>47</v>
      </c>
      <c r="O1603" t="s">
        <v>77</v>
      </c>
      <c r="P1603" t="s">
        <v>78</v>
      </c>
      <c r="Q1603" t="s">
        <v>50</v>
      </c>
      <c r="R1603" t="s">
        <v>51</v>
      </c>
      <c r="S1603" t="s">
        <v>52</v>
      </c>
      <c r="T1603" t="s">
        <v>773</v>
      </c>
      <c r="U1603" s="1">
        <v>46073.636099537034</v>
      </c>
      <c r="V1603" t="s">
        <v>54</v>
      </c>
      <c r="W1603" t="s">
        <v>55</v>
      </c>
      <c r="X1603" t="s">
        <v>134</v>
      </c>
      <c r="Y1603" t="s">
        <v>6747</v>
      </c>
      <c r="Z1603" t="s">
        <v>5594</v>
      </c>
      <c r="AA1603" t="s">
        <v>54</v>
      </c>
      <c r="AB1603" t="s">
        <v>2388</v>
      </c>
      <c r="AC1603" t="s">
        <v>85</v>
      </c>
      <c r="AD1603" t="s">
        <v>52</v>
      </c>
      <c r="AE1603" t="s">
        <v>967</v>
      </c>
      <c r="AF1603" t="s">
        <v>2563</v>
      </c>
      <c r="AG1603" t="s">
        <v>5594</v>
      </c>
      <c r="AK1603">
        <v>0</v>
      </c>
      <c r="AL1603" t="s">
        <v>61</v>
      </c>
      <c r="AM1603" t="s">
        <v>2388</v>
      </c>
      <c r="AN1603" t="s">
        <v>2389</v>
      </c>
    </row>
    <row r="1604" spans="1:40" x14ac:dyDescent="0.35">
      <c r="A1604" t="s">
        <v>37</v>
      </c>
      <c r="B1604" t="s">
        <v>6748</v>
      </c>
      <c r="C1604" t="s">
        <v>39</v>
      </c>
      <c r="D1604" t="s">
        <v>2386</v>
      </c>
      <c r="E1604" t="s">
        <v>1316</v>
      </c>
      <c r="F1604" s="1">
        <v>46073.623148148145</v>
      </c>
      <c r="G1604" t="s">
        <v>355</v>
      </c>
      <c r="H1604" t="s">
        <v>356</v>
      </c>
      <c r="I1604" t="s">
        <v>6749</v>
      </c>
      <c r="J1604" t="s">
        <v>6631</v>
      </c>
      <c r="K1604" t="s">
        <v>6632</v>
      </c>
      <c r="M1604" t="s">
        <v>47</v>
      </c>
      <c r="O1604" t="s">
        <v>77</v>
      </c>
      <c r="P1604" t="s">
        <v>78</v>
      </c>
      <c r="Q1604" t="s">
        <v>50</v>
      </c>
      <c r="R1604" t="s">
        <v>51</v>
      </c>
      <c r="S1604" t="s">
        <v>52</v>
      </c>
      <c r="T1604" t="s">
        <v>773</v>
      </c>
      <c r="U1604" s="1">
        <v>46073.637754629628</v>
      </c>
      <c r="V1604" t="s">
        <v>54</v>
      </c>
      <c r="W1604" t="s">
        <v>55</v>
      </c>
      <c r="X1604" t="s">
        <v>134</v>
      </c>
      <c r="Y1604" t="s">
        <v>6750</v>
      </c>
      <c r="Z1604" t="s">
        <v>5594</v>
      </c>
      <c r="AA1604" t="s">
        <v>54</v>
      </c>
      <c r="AB1604" t="s">
        <v>2388</v>
      </c>
      <c r="AC1604" t="s">
        <v>85</v>
      </c>
      <c r="AD1604" t="s">
        <v>52</v>
      </c>
      <c r="AE1604" t="s">
        <v>967</v>
      </c>
      <c r="AF1604" t="s">
        <v>2563</v>
      </c>
      <c r="AG1604" t="s">
        <v>5594</v>
      </c>
      <c r="AK1604">
        <v>0</v>
      </c>
      <c r="AL1604" t="s">
        <v>61</v>
      </c>
      <c r="AM1604" t="s">
        <v>2388</v>
      </c>
      <c r="AN1604" t="s">
        <v>2389</v>
      </c>
    </row>
    <row r="1605" spans="1:40" x14ac:dyDescent="0.35">
      <c r="A1605" t="s">
        <v>37</v>
      </c>
      <c r="B1605" t="s">
        <v>6751</v>
      </c>
      <c r="C1605" t="s">
        <v>39</v>
      </c>
      <c r="D1605" t="s">
        <v>2386</v>
      </c>
      <c r="E1605" t="s">
        <v>1316</v>
      </c>
      <c r="F1605" s="1">
        <v>46073.623148148145</v>
      </c>
      <c r="G1605" t="s">
        <v>355</v>
      </c>
      <c r="H1605" t="s">
        <v>356</v>
      </c>
      <c r="I1605" t="s">
        <v>6752</v>
      </c>
      <c r="J1605" t="s">
        <v>6631</v>
      </c>
      <c r="K1605" t="s">
        <v>6632</v>
      </c>
      <c r="M1605" t="s">
        <v>47</v>
      </c>
      <c r="O1605" t="s">
        <v>77</v>
      </c>
      <c r="P1605" t="s">
        <v>78</v>
      </c>
      <c r="Q1605" t="s">
        <v>50</v>
      </c>
      <c r="R1605" t="s">
        <v>51</v>
      </c>
      <c r="S1605" t="s">
        <v>52</v>
      </c>
      <c r="T1605" t="s">
        <v>773</v>
      </c>
      <c r="U1605" s="1">
        <v>46073.637395833335</v>
      </c>
      <c r="V1605" t="s">
        <v>54</v>
      </c>
      <c r="W1605" t="s">
        <v>55</v>
      </c>
      <c r="X1605" t="s">
        <v>134</v>
      </c>
      <c r="Y1605" t="s">
        <v>6753</v>
      </c>
      <c r="Z1605" t="s">
        <v>5594</v>
      </c>
      <c r="AA1605" t="s">
        <v>54</v>
      </c>
      <c r="AB1605" t="s">
        <v>2388</v>
      </c>
      <c r="AC1605" t="s">
        <v>85</v>
      </c>
      <c r="AD1605" t="s">
        <v>52</v>
      </c>
      <c r="AE1605" t="s">
        <v>967</v>
      </c>
      <c r="AF1605" t="s">
        <v>2563</v>
      </c>
      <c r="AG1605" t="s">
        <v>5594</v>
      </c>
      <c r="AK1605">
        <v>0</v>
      </c>
      <c r="AL1605" t="s">
        <v>61</v>
      </c>
      <c r="AM1605" t="s">
        <v>2388</v>
      </c>
      <c r="AN1605" t="s">
        <v>2389</v>
      </c>
    </row>
    <row r="1606" spans="1:40" x14ac:dyDescent="0.35">
      <c r="A1606" t="s">
        <v>37</v>
      </c>
      <c r="B1606" t="s">
        <v>6754</v>
      </c>
      <c r="C1606" t="s">
        <v>39</v>
      </c>
      <c r="D1606" t="s">
        <v>2386</v>
      </c>
      <c r="E1606" t="s">
        <v>1316</v>
      </c>
      <c r="F1606" s="1">
        <v>46073.623148148145</v>
      </c>
      <c r="G1606" t="s">
        <v>355</v>
      </c>
      <c r="H1606" t="s">
        <v>356</v>
      </c>
      <c r="I1606" t="s">
        <v>6755</v>
      </c>
      <c r="J1606" t="s">
        <v>6631</v>
      </c>
      <c r="K1606" t="s">
        <v>6632</v>
      </c>
      <c r="M1606" t="s">
        <v>47</v>
      </c>
      <c r="O1606" t="s">
        <v>77</v>
      </c>
      <c r="P1606" t="s">
        <v>78</v>
      </c>
      <c r="Q1606" t="s">
        <v>50</v>
      </c>
      <c r="R1606" t="s">
        <v>51</v>
      </c>
      <c r="S1606" t="s">
        <v>52</v>
      </c>
      <c r="T1606" t="s">
        <v>773</v>
      </c>
      <c r="U1606" s="1">
        <v>46073.636342592596</v>
      </c>
      <c r="V1606" t="s">
        <v>54</v>
      </c>
      <c r="W1606" t="s">
        <v>55</v>
      </c>
      <c r="X1606" t="s">
        <v>134</v>
      </c>
      <c r="Y1606" t="s">
        <v>6756</v>
      </c>
      <c r="Z1606" t="s">
        <v>5594</v>
      </c>
      <c r="AA1606" t="s">
        <v>54</v>
      </c>
      <c r="AB1606" t="s">
        <v>2388</v>
      </c>
      <c r="AC1606" t="s">
        <v>85</v>
      </c>
      <c r="AD1606" t="s">
        <v>52</v>
      </c>
      <c r="AE1606" t="s">
        <v>967</v>
      </c>
      <c r="AF1606" t="s">
        <v>2563</v>
      </c>
      <c r="AG1606" t="s">
        <v>5594</v>
      </c>
      <c r="AK1606">
        <v>0</v>
      </c>
      <c r="AL1606" t="s">
        <v>61</v>
      </c>
      <c r="AM1606" t="s">
        <v>2388</v>
      </c>
      <c r="AN1606" t="s">
        <v>2389</v>
      </c>
    </row>
    <row r="1607" spans="1:40" x14ac:dyDescent="0.35">
      <c r="A1607" t="s">
        <v>37</v>
      </c>
      <c r="B1607" t="s">
        <v>6757</v>
      </c>
      <c r="C1607" t="s">
        <v>39</v>
      </c>
      <c r="D1607" t="s">
        <v>2386</v>
      </c>
      <c r="E1607" t="s">
        <v>1316</v>
      </c>
      <c r="F1607" s="1">
        <v>46073.623148148145</v>
      </c>
      <c r="G1607" t="s">
        <v>355</v>
      </c>
      <c r="H1607" t="s">
        <v>356</v>
      </c>
      <c r="I1607" t="s">
        <v>6758</v>
      </c>
      <c r="J1607" t="s">
        <v>6631</v>
      </c>
      <c r="K1607" t="s">
        <v>6632</v>
      </c>
      <c r="M1607" t="s">
        <v>47</v>
      </c>
      <c r="O1607" t="s">
        <v>77</v>
      </c>
      <c r="P1607" t="s">
        <v>78</v>
      </c>
      <c r="Q1607" t="s">
        <v>50</v>
      </c>
      <c r="R1607" t="s">
        <v>51</v>
      </c>
      <c r="S1607" t="s">
        <v>52</v>
      </c>
      <c r="T1607" t="s">
        <v>773</v>
      </c>
      <c r="U1607" s="1">
        <v>46073.637974537036</v>
      </c>
      <c r="V1607" t="s">
        <v>54</v>
      </c>
      <c r="W1607" t="s">
        <v>55</v>
      </c>
      <c r="X1607" t="s">
        <v>134</v>
      </c>
      <c r="Y1607" t="s">
        <v>6651</v>
      </c>
      <c r="Z1607" t="s">
        <v>5594</v>
      </c>
      <c r="AA1607" t="s">
        <v>54</v>
      </c>
      <c r="AB1607" t="s">
        <v>2388</v>
      </c>
      <c r="AC1607" t="s">
        <v>85</v>
      </c>
      <c r="AD1607" t="s">
        <v>52</v>
      </c>
      <c r="AE1607" t="s">
        <v>967</v>
      </c>
      <c r="AF1607" t="s">
        <v>2563</v>
      </c>
      <c r="AG1607" t="s">
        <v>5594</v>
      </c>
      <c r="AK1607">
        <v>0</v>
      </c>
      <c r="AL1607" t="s">
        <v>61</v>
      </c>
      <c r="AM1607" t="s">
        <v>2388</v>
      </c>
      <c r="AN1607" t="s">
        <v>2389</v>
      </c>
    </row>
    <row r="1608" spans="1:40" x14ac:dyDescent="0.35">
      <c r="A1608" t="s">
        <v>37</v>
      </c>
      <c r="B1608" t="s">
        <v>6759</v>
      </c>
      <c r="C1608" t="s">
        <v>39</v>
      </c>
      <c r="D1608" t="s">
        <v>2386</v>
      </c>
      <c r="E1608" t="s">
        <v>1316</v>
      </c>
      <c r="F1608" s="1">
        <v>46073.622152777774</v>
      </c>
      <c r="G1608" t="s">
        <v>355</v>
      </c>
      <c r="H1608" t="s">
        <v>356</v>
      </c>
      <c r="I1608" t="s">
        <v>6760</v>
      </c>
      <c r="J1608" t="s">
        <v>6631</v>
      </c>
      <c r="K1608" t="s">
        <v>6632</v>
      </c>
      <c r="M1608" t="s">
        <v>47</v>
      </c>
      <c r="O1608" t="s">
        <v>77</v>
      </c>
      <c r="P1608" t="s">
        <v>78</v>
      </c>
      <c r="Q1608" t="s">
        <v>50</v>
      </c>
      <c r="R1608" t="s">
        <v>51</v>
      </c>
      <c r="S1608" t="s">
        <v>52</v>
      </c>
      <c r="T1608" t="s">
        <v>773</v>
      </c>
      <c r="U1608" s="1">
        <v>46073.638275462959</v>
      </c>
      <c r="V1608" t="s">
        <v>54</v>
      </c>
      <c r="W1608" t="s">
        <v>55</v>
      </c>
      <c r="X1608" t="s">
        <v>134</v>
      </c>
      <c r="Y1608" t="s">
        <v>6761</v>
      </c>
      <c r="Z1608" t="s">
        <v>5594</v>
      </c>
      <c r="AA1608" t="s">
        <v>54</v>
      </c>
      <c r="AB1608" t="s">
        <v>2388</v>
      </c>
      <c r="AC1608" t="s">
        <v>85</v>
      </c>
      <c r="AD1608" t="s">
        <v>52</v>
      </c>
      <c r="AE1608" t="s">
        <v>967</v>
      </c>
      <c r="AF1608" t="s">
        <v>2563</v>
      </c>
      <c r="AG1608" t="s">
        <v>5594</v>
      </c>
      <c r="AK1608">
        <v>0</v>
      </c>
      <c r="AL1608" t="s">
        <v>61</v>
      </c>
      <c r="AM1608" t="s">
        <v>2388</v>
      </c>
      <c r="AN1608" t="s">
        <v>2389</v>
      </c>
    </row>
    <row r="1609" spans="1:40" x14ac:dyDescent="0.35">
      <c r="A1609" t="s">
        <v>37</v>
      </c>
      <c r="B1609" t="s">
        <v>6762</v>
      </c>
      <c r="C1609" t="s">
        <v>39</v>
      </c>
      <c r="D1609" t="s">
        <v>2386</v>
      </c>
      <c r="E1609" t="s">
        <v>1316</v>
      </c>
      <c r="F1609" s="1">
        <v>46073.622152777774</v>
      </c>
      <c r="G1609" t="s">
        <v>355</v>
      </c>
      <c r="H1609" t="s">
        <v>356</v>
      </c>
      <c r="I1609" t="s">
        <v>6684</v>
      </c>
      <c r="J1609" t="s">
        <v>6631</v>
      </c>
      <c r="K1609" t="s">
        <v>6632</v>
      </c>
      <c r="M1609" t="s">
        <v>47</v>
      </c>
      <c r="O1609" t="s">
        <v>77</v>
      </c>
      <c r="P1609" t="s">
        <v>78</v>
      </c>
      <c r="Q1609" t="s">
        <v>50</v>
      </c>
      <c r="R1609" t="s">
        <v>51</v>
      </c>
      <c r="S1609" t="s">
        <v>52</v>
      </c>
      <c r="T1609" t="s">
        <v>773</v>
      </c>
      <c r="U1609" s="1">
        <v>46073.638715277775</v>
      </c>
      <c r="V1609" t="s">
        <v>54</v>
      </c>
      <c r="W1609" t="s">
        <v>55</v>
      </c>
      <c r="X1609" t="s">
        <v>134</v>
      </c>
      <c r="Y1609" t="s">
        <v>6763</v>
      </c>
      <c r="Z1609" t="s">
        <v>5594</v>
      </c>
      <c r="AA1609" t="s">
        <v>54</v>
      </c>
      <c r="AB1609" t="s">
        <v>2388</v>
      </c>
      <c r="AC1609" t="s">
        <v>85</v>
      </c>
      <c r="AD1609" t="s">
        <v>52</v>
      </c>
      <c r="AE1609" t="s">
        <v>6643</v>
      </c>
      <c r="AF1609" t="s">
        <v>6644</v>
      </c>
      <c r="AG1609" t="s">
        <v>5594</v>
      </c>
      <c r="AK1609">
        <v>0</v>
      </c>
      <c r="AL1609" t="s">
        <v>61</v>
      </c>
      <c r="AM1609" t="s">
        <v>2388</v>
      </c>
      <c r="AN1609" t="s">
        <v>2389</v>
      </c>
    </row>
    <row r="1610" spans="1:40" x14ac:dyDescent="0.35">
      <c r="A1610" t="s">
        <v>37</v>
      </c>
      <c r="B1610" t="s">
        <v>6764</v>
      </c>
      <c r="C1610" t="s">
        <v>39</v>
      </c>
      <c r="D1610" t="s">
        <v>2386</v>
      </c>
      <c r="E1610" t="s">
        <v>1316</v>
      </c>
      <c r="F1610" s="1">
        <v>46073.622152777774</v>
      </c>
      <c r="G1610" t="s">
        <v>355</v>
      </c>
      <c r="H1610" t="s">
        <v>356</v>
      </c>
      <c r="I1610" t="s">
        <v>6765</v>
      </c>
      <c r="J1610" t="s">
        <v>6631</v>
      </c>
      <c r="K1610" t="s">
        <v>6632</v>
      </c>
      <c r="M1610" t="s">
        <v>47</v>
      </c>
      <c r="O1610" t="s">
        <v>77</v>
      </c>
      <c r="P1610" t="s">
        <v>78</v>
      </c>
      <c r="Q1610" t="s">
        <v>50</v>
      </c>
      <c r="R1610" t="s">
        <v>51</v>
      </c>
      <c r="S1610" t="s">
        <v>52</v>
      </c>
      <c r="T1610" t="s">
        <v>773</v>
      </c>
      <c r="U1610" s="1">
        <v>46073.638993055552</v>
      </c>
      <c r="V1610" t="s">
        <v>54</v>
      </c>
      <c r="W1610" t="s">
        <v>55</v>
      </c>
      <c r="X1610" t="s">
        <v>134</v>
      </c>
      <c r="Y1610" t="s">
        <v>6766</v>
      </c>
      <c r="Z1610" t="s">
        <v>5594</v>
      </c>
      <c r="AA1610" t="s">
        <v>54</v>
      </c>
      <c r="AB1610" t="s">
        <v>2388</v>
      </c>
      <c r="AC1610" t="s">
        <v>85</v>
      </c>
      <c r="AD1610" t="s">
        <v>52</v>
      </c>
      <c r="AE1610" t="s">
        <v>6643</v>
      </c>
      <c r="AF1610" t="s">
        <v>6644</v>
      </c>
      <c r="AG1610" t="s">
        <v>5594</v>
      </c>
      <c r="AK1610">
        <v>0</v>
      </c>
      <c r="AL1610" t="s">
        <v>61</v>
      </c>
      <c r="AM1610" t="s">
        <v>2388</v>
      </c>
      <c r="AN1610" t="s">
        <v>2389</v>
      </c>
    </row>
    <row r="1611" spans="1:40" x14ac:dyDescent="0.35">
      <c r="A1611" t="s">
        <v>37</v>
      </c>
      <c r="B1611" t="s">
        <v>6767</v>
      </c>
      <c r="C1611" t="s">
        <v>39</v>
      </c>
      <c r="D1611" t="s">
        <v>2386</v>
      </c>
      <c r="E1611" t="s">
        <v>1316</v>
      </c>
      <c r="F1611" s="1">
        <v>46073.622152777774</v>
      </c>
      <c r="G1611" t="s">
        <v>355</v>
      </c>
      <c r="H1611" t="s">
        <v>356</v>
      </c>
      <c r="I1611" t="s">
        <v>6768</v>
      </c>
      <c r="J1611" t="s">
        <v>6631</v>
      </c>
      <c r="K1611" t="s">
        <v>6632</v>
      </c>
      <c r="M1611" t="s">
        <v>47</v>
      </c>
      <c r="O1611" t="s">
        <v>77</v>
      </c>
      <c r="P1611" t="s">
        <v>78</v>
      </c>
      <c r="Q1611" t="s">
        <v>50</v>
      </c>
      <c r="R1611" t="s">
        <v>51</v>
      </c>
      <c r="S1611" t="s">
        <v>52</v>
      </c>
      <c r="T1611" t="s">
        <v>773</v>
      </c>
      <c r="U1611" s="1">
        <v>46073.63994212963</v>
      </c>
      <c r="V1611" t="s">
        <v>54</v>
      </c>
      <c r="W1611" t="s">
        <v>55</v>
      </c>
      <c r="X1611" t="s">
        <v>134</v>
      </c>
      <c r="Y1611" t="s">
        <v>6769</v>
      </c>
      <c r="Z1611" t="s">
        <v>5594</v>
      </c>
      <c r="AA1611" t="s">
        <v>54</v>
      </c>
      <c r="AB1611" t="s">
        <v>2388</v>
      </c>
      <c r="AC1611" t="s">
        <v>85</v>
      </c>
      <c r="AD1611" t="s">
        <v>52</v>
      </c>
      <c r="AE1611" t="s">
        <v>967</v>
      </c>
      <c r="AF1611" t="s">
        <v>2563</v>
      </c>
      <c r="AG1611" t="s">
        <v>5594</v>
      </c>
      <c r="AK1611">
        <v>0</v>
      </c>
      <c r="AL1611" t="s">
        <v>61</v>
      </c>
      <c r="AM1611" t="s">
        <v>2388</v>
      </c>
      <c r="AN1611" t="s">
        <v>2389</v>
      </c>
    </row>
    <row r="1612" spans="1:40" x14ac:dyDescent="0.35">
      <c r="A1612" t="s">
        <v>37</v>
      </c>
      <c r="B1612" t="s">
        <v>6770</v>
      </c>
      <c r="C1612" t="s">
        <v>39</v>
      </c>
      <c r="D1612" t="s">
        <v>2386</v>
      </c>
      <c r="E1612" t="s">
        <v>1316</v>
      </c>
      <c r="F1612" s="1">
        <v>46073.622152777774</v>
      </c>
      <c r="G1612" t="s">
        <v>355</v>
      </c>
      <c r="H1612" t="s">
        <v>356</v>
      </c>
      <c r="I1612" t="s">
        <v>6771</v>
      </c>
      <c r="J1612" t="s">
        <v>6631</v>
      </c>
      <c r="K1612" t="s">
        <v>6632</v>
      </c>
      <c r="M1612" t="s">
        <v>47</v>
      </c>
      <c r="O1612" t="s">
        <v>77</v>
      </c>
      <c r="P1612" t="s">
        <v>78</v>
      </c>
      <c r="Q1612" t="s">
        <v>50</v>
      </c>
      <c r="R1612" t="s">
        <v>51</v>
      </c>
      <c r="S1612" t="s">
        <v>52</v>
      </c>
      <c r="T1612" t="s">
        <v>773</v>
      </c>
      <c r="U1612" s="1">
        <v>46073.63925925926</v>
      </c>
      <c r="V1612" t="s">
        <v>54</v>
      </c>
      <c r="W1612" t="s">
        <v>55</v>
      </c>
      <c r="X1612" t="s">
        <v>134</v>
      </c>
      <c r="Y1612" t="s">
        <v>6772</v>
      </c>
      <c r="Z1612" t="s">
        <v>5594</v>
      </c>
      <c r="AA1612" t="s">
        <v>54</v>
      </c>
      <c r="AB1612" t="s">
        <v>2388</v>
      </c>
      <c r="AC1612" t="s">
        <v>85</v>
      </c>
      <c r="AD1612" t="s">
        <v>52</v>
      </c>
      <c r="AE1612" t="s">
        <v>967</v>
      </c>
      <c r="AF1612" t="s">
        <v>2563</v>
      </c>
      <c r="AG1612" t="s">
        <v>5594</v>
      </c>
      <c r="AK1612">
        <v>0</v>
      </c>
      <c r="AL1612" t="s">
        <v>61</v>
      </c>
      <c r="AM1612" t="s">
        <v>2388</v>
      </c>
      <c r="AN1612" t="s">
        <v>2389</v>
      </c>
    </row>
    <row r="1613" spans="1:40" x14ac:dyDescent="0.35">
      <c r="A1613" t="s">
        <v>37</v>
      </c>
      <c r="B1613" t="s">
        <v>6773</v>
      </c>
      <c r="C1613" t="s">
        <v>39</v>
      </c>
      <c r="D1613" t="s">
        <v>2386</v>
      </c>
      <c r="E1613" t="s">
        <v>1316</v>
      </c>
      <c r="F1613" s="1">
        <v>46073.622152777774</v>
      </c>
      <c r="G1613" t="s">
        <v>355</v>
      </c>
      <c r="H1613" t="s">
        <v>356</v>
      </c>
      <c r="I1613" t="s">
        <v>6687</v>
      </c>
      <c r="J1613" t="s">
        <v>6631</v>
      </c>
      <c r="K1613" t="s">
        <v>6632</v>
      </c>
      <c r="M1613" t="s">
        <v>47</v>
      </c>
      <c r="O1613" t="s">
        <v>77</v>
      </c>
      <c r="P1613" t="s">
        <v>78</v>
      </c>
      <c r="Q1613" t="s">
        <v>50</v>
      </c>
      <c r="R1613" t="s">
        <v>51</v>
      </c>
      <c r="S1613" t="s">
        <v>52</v>
      </c>
      <c r="T1613" t="s">
        <v>773</v>
      </c>
      <c r="U1613" s="1">
        <v>46073.639525462961</v>
      </c>
      <c r="V1613" t="s">
        <v>54</v>
      </c>
      <c r="W1613" t="s">
        <v>55</v>
      </c>
      <c r="X1613" t="s">
        <v>134</v>
      </c>
      <c r="Y1613" t="s">
        <v>6774</v>
      </c>
      <c r="Z1613" t="s">
        <v>5594</v>
      </c>
      <c r="AA1613" t="s">
        <v>54</v>
      </c>
      <c r="AB1613" t="s">
        <v>2388</v>
      </c>
      <c r="AC1613" t="s">
        <v>85</v>
      </c>
      <c r="AD1613" t="s">
        <v>52</v>
      </c>
      <c r="AE1613" t="s">
        <v>967</v>
      </c>
      <c r="AF1613" t="s">
        <v>2563</v>
      </c>
      <c r="AG1613" t="s">
        <v>5594</v>
      </c>
      <c r="AK1613">
        <v>0</v>
      </c>
      <c r="AL1613" t="s">
        <v>61</v>
      </c>
      <c r="AM1613" t="s">
        <v>2388</v>
      </c>
      <c r="AN1613" t="s">
        <v>2389</v>
      </c>
    </row>
    <row r="1614" spans="1:40" x14ac:dyDescent="0.35">
      <c r="A1614" t="s">
        <v>37</v>
      </c>
      <c r="B1614" t="s">
        <v>6775</v>
      </c>
      <c r="C1614" t="s">
        <v>39</v>
      </c>
      <c r="D1614" t="s">
        <v>2386</v>
      </c>
      <c r="E1614" t="s">
        <v>1316</v>
      </c>
      <c r="F1614" s="1">
        <v>46073.622152777774</v>
      </c>
      <c r="G1614" t="s">
        <v>355</v>
      </c>
      <c r="H1614" t="s">
        <v>356</v>
      </c>
      <c r="I1614" t="s">
        <v>6776</v>
      </c>
      <c r="J1614" t="s">
        <v>6631</v>
      </c>
      <c r="K1614" t="s">
        <v>6632</v>
      </c>
      <c r="M1614" t="s">
        <v>47</v>
      </c>
      <c r="O1614" t="s">
        <v>77</v>
      </c>
      <c r="P1614" t="s">
        <v>78</v>
      </c>
      <c r="Q1614" t="s">
        <v>50</v>
      </c>
      <c r="R1614" t="s">
        <v>51</v>
      </c>
      <c r="S1614" t="s">
        <v>52</v>
      </c>
      <c r="T1614" t="s">
        <v>773</v>
      </c>
      <c r="U1614" s="1">
        <v>46073.641099537039</v>
      </c>
      <c r="V1614" t="s">
        <v>54</v>
      </c>
      <c r="W1614" t="s">
        <v>55</v>
      </c>
      <c r="X1614" t="s">
        <v>134</v>
      </c>
      <c r="Y1614" t="s">
        <v>6777</v>
      </c>
      <c r="Z1614" t="s">
        <v>5594</v>
      </c>
      <c r="AA1614" t="s">
        <v>54</v>
      </c>
      <c r="AB1614" t="s">
        <v>2388</v>
      </c>
      <c r="AC1614" t="s">
        <v>85</v>
      </c>
      <c r="AD1614" t="s">
        <v>52</v>
      </c>
      <c r="AE1614" t="s">
        <v>967</v>
      </c>
      <c r="AF1614" t="s">
        <v>2563</v>
      </c>
      <c r="AG1614" t="s">
        <v>5594</v>
      </c>
      <c r="AK1614">
        <v>0</v>
      </c>
      <c r="AL1614" t="s">
        <v>61</v>
      </c>
      <c r="AM1614" t="s">
        <v>2388</v>
      </c>
      <c r="AN1614" t="s">
        <v>2389</v>
      </c>
    </row>
    <row r="1615" spans="1:40" x14ac:dyDescent="0.35">
      <c r="A1615" t="s">
        <v>37</v>
      </c>
      <c r="B1615" t="s">
        <v>6778</v>
      </c>
      <c r="C1615" t="s">
        <v>39</v>
      </c>
      <c r="D1615" t="s">
        <v>2386</v>
      </c>
      <c r="E1615" t="s">
        <v>1316</v>
      </c>
      <c r="F1615" s="1">
        <v>46073.62127314815</v>
      </c>
      <c r="G1615" t="s">
        <v>355</v>
      </c>
      <c r="H1615" t="s">
        <v>356</v>
      </c>
      <c r="I1615" t="s">
        <v>6779</v>
      </c>
      <c r="J1615" t="s">
        <v>6631</v>
      </c>
      <c r="K1615" t="s">
        <v>6632</v>
      </c>
      <c r="M1615" t="s">
        <v>47</v>
      </c>
      <c r="O1615" t="s">
        <v>77</v>
      </c>
      <c r="P1615" t="s">
        <v>78</v>
      </c>
      <c r="Q1615" t="s">
        <v>50</v>
      </c>
      <c r="R1615" t="s">
        <v>51</v>
      </c>
      <c r="S1615" t="s">
        <v>52</v>
      </c>
      <c r="T1615" t="s">
        <v>773</v>
      </c>
      <c r="U1615" s="1">
        <v>46073.640196759261</v>
      </c>
      <c r="V1615" t="s">
        <v>54</v>
      </c>
      <c r="W1615" t="s">
        <v>55</v>
      </c>
      <c r="X1615" t="s">
        <v>134</v>
      </c>
      <c r="Y1615" t="s">
        <v>6780</v>
      </c>
      <c r="Z1615" t="s">
        <v>5594</v>
      </c>
      <c r="AA1615" t="s">
        <v>54</v>
      </c>
      <c r="AB1615" t="s">
        <v>2388</v>
      </c>
      <c r="AC1615" t="s">
        <v>85</v>
      </c>
      <c r="AD1615" t="s">
        <v>52</v>
      </c>
      <c r="AE1615" t="s">
        <v>967</v>
      </c>
      <c r="AF1615" t="s">
        <v>2563</v>
      </c>
      <c r="AG1615" t="s">
        <v>5594</v>
      </c>
      <c r="AK1615">
        <v>0</v>
      </c>
      <c r="AL1615" t="s">
        <v>61</v>
      </c>
      <c r="AM1615" t="s">
        <v>2388</v>
      </c>
      <c r="AN1615" t="s">
        <v>2389</v>
      </c>
    </row>
    <row r="1616" spans="1:40" x14ac:dyDescent="0.35">
      <c r="A1616" t="s">
        <v>37</v>
      </c>
      <c r="B1616" t="s">
        <v>6781</v>
      </c>
      <c r="C1616" t="s">
        <v>39</v>
      </c>
      <c r="D1616" t="s">
        <v>2386</v>
      </c>
      <c r="E1616" t="s">
        <v>1316</v>
      </c>
      <c r="F1616" s="1">
        <v>46073.62127314815</v>
      </c>
      <c r="G1616" t="s">
        <v>355</v>
      </c>
      <c r="H1616" t="s">
        <v>356</v>
      </c>
      <c r="I1616" t="s">
        <v>6782</v>
      </c>
      <c r="J1616" t="s">
        <v>6631</v>
      </c>
      <c r="K1616" t="s">
        <v>6632</v>
      </c>
      <c r="M1616" t="s">
        <v>47</v>
      </c>
      <c r="O1616" t="s">
        <v>77</v>
      </c>
      <c r="P1616" t="s">
        <v>78</v>
      </c>
      <c r="Q1616" t="s">
        <v>50</v>
      </c>
      <c r="R1616" t="s">
        <v>51</v>
      </c>
      <c r="S1616" t="s">
        <v>52</v>
      </c>
      <c r="T1616" t="s">
        <v>773</v>
      </c>
      <c r="U1616" s="1">
        <v>46073.642256944448</v>
      </c>
      <c r="V1616" t="s">
        <v>54</v>
      </c>
      <c r="W1616" t="s">
        <v>55</v>
      </c>
      <c r="X1616" t="s">
        <v>134</v>
      </c>
      <c r="Y1616" t="s">
        <v>6783</v>
      </c>
      <c r="Z1616" t="s">
        <v>5594</v>
      </c>
      <c r="AA1616" t="s">
        <v>54</v>
      </c>
      <c r="AB1616" t="s">
        <v>2388</v>
      </c>
      <c r="AC1616" t="s">
        <v>85</v>
      </c>
      <c r="AD1616" t="s">
        <v>52</v>
      </c>
      <c r="AE1616" t="s">
        <v>999</v>
      </c>
      <c r="AF1616" t="s">
        <v>6634</v>
      </c>
      <c r="AG1616" t="s">
        <v>5594</v>
      </c>
      <c r="AK1616">
        <v>0</v>
      </c>
      <c r="AL1616" t="s">
        <v>61</v>
      </c>
      <c r="AM1616" t="s">
        <v>2388</v>
      </c>
      <c r="AN1616" t="s">
        <v>2389</v>
      </c>
    </row>
    <row r="1617" spans="1:40" x14ac:dyDescent="0.35">
      <c r="A1617" t="s">
        <v>37</v>
      </c>
      <c r="B1617" t="s">
        <v>6784</v>
      </c>
      <c r="C1617" t="s">
        <v>102</v>
      </c>
      <c r="D1617" t="s">
        <v>1698</v>
      </c>
      <c r="E1617" t="s">
        <v>584</v>
      </c>
      <c r="F1617" s="1">
        <v>46073.62127314815</v>
      </c>
      <c r="G1617" t="s">
        <v>105</v>
      </c>
      <c r="H1617" t="s">
        <v>106</v>
      </c>
      <c r="I1617" t="s">
        <v>1898</v>
      </c>
      <c r="J1617" t="s">
        <v>108</v>
      </c>
      <c r="K1617" t="s">
        <v>341</v>
      </c>
      <c r="M1617" t="s">
        <v>47</v>
      </c>
      <c r="O1617" t="s">
        <v>77</v>
      </c>
      <c r="P1617" t="s">
        <v>78</v>
      </c>
      <c r="Q1617" t="s">
        <v>50</v>
      </c>
      <c r="R1617" t="s">
        <v>111</v>
      </c>
      <c r="S1617" t="s">
        <v>51</v>
      </c>
      <c r="T1617" t="s">
        <v>112</v>
      </c>
      <c r="U1617" s="1">
        <v>46073.943831018521</v>
      </c>
      <c r="V1617" t="s">
        <v>54</v>
      </c>
      <c r="X1617" t="s">
        <v>134</v>
      </c>
      <c r="Y1617" t="s">
        <v>6785</v>
      </c>
      <c r="Z1617" t="s">
        <v>5594</v>
      </c>
      <c r="AA1617" t="s">
        <v>54</v>
      </c>
      <c r="AB1617" t="s">
        <v>1701</v>
      </c>
      <c r="AC1617" t="s">
        <v>85</v>
      </c>
      <c r="AD1617" t="s">
        <v>116</v>
      </c>
      <c r="AE1617" t="s">
        <v>117</v>
      </c>
      <c r="AF1617" t="s">
        <v>1740</v>
      </c>
      <c r="AG1617" t="s">
        <v>5594</v>
      </c>
      <c r="AK1617">
        <v>1</v>
      </c>
      <c r="AL1617" t="s">
        <v>61</v>
      </c>
      <c r="AM1617" t="s">
        <v>1701</v>
      </c>
      <c r="AN1617" t="s">
        <v>1702</v>
      </c>
    </row>
    <row r="1618" spans="1:40" x14ac:dyDescent="0.35">
      <c r="A1618" t="s">
        <v>37</v>
      </c>
      <c r="B1618" t="s">
        <v>6786</v>
      </c>
      <c r="C1618" t="s">
        <v>39</v>
      </c>
      <c r="D1618" t="s">
        <v>2386</v>
      </c>
      <c r="E1618" t="s">
        <v>1316</v>
      </c>
      <c r="F1618" s="1">
        <v>46073.62127314815</v>
      </c>
      <c r="G1618" t="s">
        <v>355</v>
      </c>
      <c r="H1618" t="s">
        <v>356</v>
      </c>
      <c r="I1618" t="s">
        <v>6787</v>
      </c>
      <c r="J1618" t="s">
        <v>6631</v>
      </c>
      <c r="K1618" t="s">
        <v>6632</v>
      </c>
      <c r="M1618" t="s">
        <v>47</v>
      </c>
      <c r="O1618" t="s">
        <v>77</v>
      </c>
      <c r="P1618" t="s">
        <v>78</v>
      </c>
      <c r="Q1618" t="s">
        <v>50</v>
      </c>
      <c r="R1618" t="s">
        <v>51</v>
      </c>
      <c r="S1618" t="s">
        <v>52</v>
      </c>
      <c r="T1618" t="s">
        <v>773</v>
      </c>
      <c r="U1618" s="1">
        <v>46073.640856481485</v>
      </c>
      <c r="V1618" t="s">
        <v>54</v>
      </c>
      <c r="W1618" t="s">
        <v>55</v>
      </c>
      <c r="X1618" t="s">
        <v>134</v>
      </c>
      <c r="Y1618" t="s">
        <v>6761</v>
      </c>
      <c r="Z1618" t="s">
        <v>5594</v>
      </c>
      <c r="AA1618" t="s">
        <v>54</v>
      </c>
      <c r="AB1618" t="s">
        <v>2388</v>
      </c>
      <c r="AC1618" t="s">
        <v>85</v>
      </c>
      <c r="AD1618" t="s">
        <v>52</v>
      </c>
      <c r="AE1618" t="s">
        <v>2575</v>
      </c>
      <c r="AF1618" t="s">
        <v>2576</v>
      </c>
      <c r="AG1618" t="s">
        <v>5594</v>
      </c>
      <c r="AK1618">
        <v>0</v>
      </c>
      <c r="AL1618" t="s">
        <v>61</v>
      </c>
      <c r="AM1618" t="s">
        <v>2388</v>
      </c>
      <c r="AN1618" t="s">
        <v>2389</v>
      </c>
    </row>
    <row r="1619" spans="1:40" x14ac:dyDescent="0.35">
      <c r="A1619" t="s">
        <v>37</v>
      </c>
      <c r="B1619" t="s">
        <v>6788</v>
      </c>
      <c r="C1619" t="s">
        <v>39</v>
      </c>
      <c r="D1619" t="s">
        <v>40</v>
      </c>
      <c r="E1619" t="s">
        <v>41</v>
      </c>
      <c r="F1619" s="1">
        <v>46073.620613425926</v>
      </c>
      <c r="G1619" t="s">
        <v>42</v>
      </c>
      <c r="H1619" t="s">
        <v>43</v>
      </c>
      <c r="I1619" t="s">
        <v>6789</v>
      </c>
      <c r="J1619" t="s">
        <v>45</v>
      </c>
      <c r="K1619" t="s">
        <v>46</v>
      </c>
      <c r="M1619" t="s">
        <v>47</v>
      </c>
      <c r="O1619" t="s">
        <v>48</v>
      </c>
      <c r="P1619" t="s">
        <v>49</v>
      </c>
      <c r="Q1619" t="s">
        <v>50</v>
      </c>
      <c r="R1619" t="s">
        <v>51</v>
      </c>
      <c r="S1619" t="s">
        <v>52</v>
      </c>
      <c r="T1619" t="s">
        <v>53</v>
      </c>
      <c r="U1619" s="1">
        <v>46073.621388888889</v>
      </c>
      <c r="V1619" t="s">
        <v>54</v>
      </c>
      <c r="W1619" t="s">
        <v>55</v>
      </c>
      <c r="X1619" t="s">
        <v>56</v>
      </c>
      <c r="Y1619" t="s">
        <v>57</v>
      </c>
      <c r="Z1619" t="s">
        <v>5594</v>
      </c>
      <c r="AA1619" t="s">
        <v>54</v>
      </c>
      <c r="AB1619" t="s">
        <v>59</v>
      </c>
      <c r="AC1619" t="s">
        <v>60</v>
      </c>
      <c r="AD1619" t="s">
        <v>51</v>
      </c>
      <c r="AE1619" t="s">
        <v>52</v>
      </c>
      <c r="AF1619" t="s">
        <v>53</v>
      </c>
      <c r="AG1619" t="s">
        <v>5594</v>
      </c>
      <c r="AK1619">
        <v>0</v>
      </c>
      <c r="AL1619" t="s">
        <v>61</v>
      </c>
      <c r="AM1619" t="s">
        <v>59</v>
      </c>
      <c r="AN1619" t="s">
        <v>62</v>
      </c>
    </row>
    <row r="1620" spans="1:40" x14ac:dyDescent="0.35">
      <c r="A1620" t="s">
        <v>37</v>
      </c>
      <c r="B1620" t="s">
        <v>6790</v>
      </c>
      <c r="C1620" t="s">
        <v>39</v>
      </c>
      <c r="D1620" t="s">
        <v>2386</v>
      </c>
      <c r="E1620" t="s">
        <v>1316</v>
      </c>
      <c r="F1620" s="1">
        <v>46073.620486111111</v>
      </c>
      <c r="G1620" t="s">
        <v>355</v>
      </c>
      <c r="H1620" t="s">
        <v>356</v>
      </c>
      <c r="I1620" t="s">
        <v>6791</v>
      </c>
      <c r="J1620" t="s">
        <v>6631</v>
      </c>
      <c r="K1620" t="s">
        <v>6632</v>
      </c>
      <c r="M1620" t="s">
        <v>47</v>
      </c>
      <c r="O1620" t="s">
        <v>77</v>
      </c>
      <c r="P1620" t="s">
        <v>78</v>
      </c>
      <c r="Q1620" t="s">
        <v>50</v>
      </c>
      <c r="R1620" t="s">
        <v>51</v>
      </c>
      <c r="S1620" t="s">
        <v>52</v>
      </c>
      <c r="T1620" t="s">
        <v>773</v>
      </c>
      <c r="U1620" s="1">
        <v>46073.641747685186</v>
      </c>
      <c r="V1620" t="s">
        <v>54</v>
      </c>
      <c r="W1620" t="s">
        <v>55</v>
      </c>
      <c r="X1620" t="s">
        <v>134</v>
      </c>
      <c r="Y1620" t="s">
        <v>6792</v>
      </c>
      <c r="Z1620" t="s">
        <v>5594</v>
      </c>
      <c r="AA1620" t="s">
        <v>54</v>
      </c>
      <c r="AB1620" t="s">
        <v>2388</v>
      </c>
      <c r="AC1620" t="s">
        <v>85</v>
      </c>
      <c r="AD1620" t="s">
        <v>52</v>
      </c>
      <c r="AE1620" t="s">
        <v>2575</v>
      </c>
      <c r="AF1620" t="s">
        <v>2576</v>
      </c>
      <c r="AG1620" t="s">
        <v>5594</v>
      </c>
      <c r="AK1620">
        <v>0</v>
      </c>
      <c r="AL1620" t="s">
        <v>61</v>
      </c>
      <c r="AM1620" t="s">
        <v>2388</v>
      </c>
      <c r="AN1620" t="s">
        <v>2389</v>
      </c>
    </row>
    <row r="1621" spans="1:40" x14ac:dyDescent="0.35">
      <c r="A1621" t="s">
        <v>37</v>
      </c>
      <c r="B1621" t="s">
        <v>6793</v>
      </c>
      <c r="C1621" t="s">
        <v>39</v>
      </c>
      <c r="D1621" t="s">
        <v>40</v>
      </c>
      <c r="E1621" t="s">
        <v>41</v>
      </c>
      <c r="F1621" s="1">
        <v>46073.620208333334</v>
      </c>
      <c r="G1621" t="s">
        <v>42</v>
      </c>
      <c r="H1621" t="s">
        <v>43</v>
      </c>
      <c r="I1621" t="s">
        <v>6794</v>
      </c>
      <c r="J1621" t="s">
        <v>45</v>
      </c>
      <c r="K1621" t="s">
        <v>46</v>
      </c>
      <c r="M1621" t="s">
        <v>47</v>
      </c>
      <c r="O1621" t="s">
        <v>48</v>
      </c>
      <c r="P1621" t="s">
        <v>49</v>
      </c>
      <c r="Q1621" t="s">
        <v>50</v>
      </c>
      <c r="R1621" t="s">
        <v>51</v>
      </c>
      <c r="S1621" t="s">
        <v>52</v>
      </c>
      <c r="T1621" t="s">
        <v>53</v>
      </c>
      <c r="U1621" s="1">
        <v>46073.621041666665</v>
      </c>
      <c r="V1621" t="s">
        <v>54</v>
      </c>
      <c r="W1621" t="s">
        <v>55</v>
      </c>
      <c r="X1621" t="s">
        <v>56</v>
      </c>
      <c r="Y1621" t="s">
        <v>57</v>
      </c>
      <c r="Z1621" t="s">
        <v>5594</v>
      </c>
      <c r="AA1621" t="s">
        <v>54</v>
      </c>
      <c r="AB1621" t="s">
        <v>59</v>
      </c>
      <c r="AC1621" t="s">
        <v>60</v>
      </c>
      <c r="AD1621" t="s">
        <v>51</v>
      </c>
      <c r="AE1621" t="s">
        <v>52</v>
      </c>
      <c r="AF1621" t="s">
        <v>53</v>
      </c>
      <c r="AG1621" t="s">
        <v>5594</v>
      </c>
      <c r="AK1621">
        <v>0</v>
      </c>
      <c r="AL1621" t="s">
        <v>61</v>
      </c>
      <c r="AM1621" t="s">
        <v>59</v>
      </c>
      <c r="AN1621" t="s">
        <v>62</v>
      </c>
    </row>
    <row r="1622" spans="1:40" x14ac:dyDescent="0.35">
      <c r="A1622" t="s">
        <v>37</v>
      </c>
      <c r="B1622" t="s">
        <v>6795</v>
      </c>
      <c r="C1622" t="s">
        <v>102</v>
      </c>
      <c r="D1622" t="s">
        <v>1698</v>
      </c>
      <c r="E1622" t="s">
        <v>584</v>
      </c>
      <c r="F1622" s="1">
        <v>46073.612083333333</v>
      </c>
      <c r="G1622" t="s">
        <v>105</v>
      </c>
      <c r="H1622" t="s">
        <v>106</v>
      </c>
      <c r="I1622" t="s">
        <v>107</v>
      </c>
      <c r="J1622" t="s">
        <v>108</v>
      </c>
      <c r="K1622" t="s">
        <v>109</v>
      </c>
      <c r="M1622" t="s">
        <v>47</v>
      </c>
      <c r="O1622" t="s">
        <v>77</v>
      </c>
      <c r="P1622" t="s">
        <v>78</v>
      </c>
      <c r="Q1622" t="s">
        <v>50</v>
      </c>
      <c r="R1622" t="s">
        <v>111</v>
      </c>
      <c r="S1622" t="s">
        <v>51</v>
      </c>
      <c r="T1622" t="s">
        <v>112</v>
      </c>
      <c r="U1622" s="1">
        <v>46073.915312500001</v>
      </c>
      <c r="V1622" t="s">
        <v>54</v>
      </c>
      <c r="W1622" t="s">
        <v>55</v>
      </c>
      <c r="X1622" t="s">
        <v>134</v>
      </c>
      <c r="Y1622" t="s">
        <v>6796</v>
      </c>
      <c r="Z1622" t="s">
        <v>5594</v>
      </c>
      <c r="AA1622" t="s">
        <v>54</v>
      </c>
      <c r="AB1622" t="s">
        <v>1701</v>
      </c>
      <c r="AC1622" t="s">
        <v>85</v>
      </c>
      <c r="AD1622" t="s">
        <v>116</v>
      </c>
      <c r="AE1622" t="s">
        <v>117</v>
      </c>
      <c r="AF1622" t="s">
        <v>1706</v>
      </c>
      <c r="AG1622" t="s">
        <v>5594</v>
      </c>
      <c r="AK1622">
        <v>1</v>
      </c>
      <c r="AL1622" t="s">
        <v>61</v>
      </c>
      <c r="AM1622" t="s">
        <v>1701</v>
      </c>
      <c r="AN1622" t="s">
        <v>1702</v>
      </c>
    </row>
    <row r="1623" spans="1:40" x14ac:dyDescent="0.35">
      <c r="A1623" t="s">
        <v>37</v>
      </c>
      <c r="B1623" t="s">
        <v>6797</v>
      </c>
      <c r="C1623" t="s">
        <v>102</v>
      </c>
      <c r="D1623" t="s">
        <v>568</v>
      </c>
      <c r="E1623" t="s">
        <v>569</v>
      </c>
      <c r="F1623" s="1">
        <v>46073.616666666669</v>
      </c>
      <c r="G1623" t="s">
        <v>105</v>
      </c>
      <c r="H1623" t="s">
        <v>106</v>
      </c>
      <c r="I1623" t="s">
        <v>6798</v>
      </c>
      <c r="J1623" t="s">
        <v>4445</v>
      </c>
      <c r="K1623" t="s">
        <v>2345</v>
      </c>
      <c r="M1623" t="s">
        <v>131</v>
      </c>
      <c r="O1623" t="s">
        <v>77</v>
      </c>
      <c r="P1623" t="s">
        <v>78</v>
      </c>
      <c r="Q1623" t="s">
        <v>448</v>
      </c>
      <c r="R1623" t="s">
        <v>208</v>
      </c>
      <c r="S1623" t="s">
        <v>3119</v>
      </c>
      <c r="T1623" t="s">
        <v>967</v>
      </c>
      <c r="U1623" s="1">
        <v>46076.49417824074</v>
      </c>
      <c r="V1623" t="s">
        <v>54</v>
      </c>
      <c r="W1623" t="s">
        <v>55</v>
      </c>
      <c r="X1623" t="s">
        <v>134</v>
      </c>
      <c r="Y1623" t="s">
        <v>6799</v>
      </c>
      <c r="Z1623" t="s">
        <v>58</v>
      </c>
      <c r="AA1623" t="s">
        <v>54</v>
      </c>
      <c r="AB1623" t="s">
        <v>4447</v>
      </c>
      <c r="AC1623" t="s">
        <v>85</v>
      </c>
      <c r="AD1623" t="s">
        <v>208</v>
      </c>
      <c r="AE1623" t="s">
        <v>3119</v>
      </c>
      <c r="AF1623" t="s">
        <v>967</v>
      </c>
      <c r="AG1623" t="s">
        <v>58</v>
      </c>
      <c r="AK1623">
        <v>0</v>
      </c>
      <c r="AL1623" t="s">
        <v>61</v>
      </c>
      <c r="AM1623" t="s">
        <v>576</v>
      </c>
      <c r="AN1623" t="s">
        <v>577</v>
      </c>
    </row>
    <row r="1624" spans="1:40" x14ac:dyDescent="0.35">
      <c r="A1624" t="s">
        <v>37</v>
      </c>
      <c r="B1624" t="s">
        <v>6800</v>
      </c>
      <c r="C1624" t="s">
        <v>102</v>
      </c>
      <c r="D1624" t="s">
        <v>191</v>
      </c>
      <c r="E1624" t="s">
        <v>192</v>
      </c>
      <c r="F1624" s="1">
        <v>46073.608622685184</v>
      </c>
      <c r="G1624" t="s">
        <v>71</v>
      </c>
      <c r="H1624" t="s">
        <v>72</v>
      </c>
      <c r="I1624" t="s">
        <v>6801</v>
      </c>
      <c r="J1624" t="s">
        <v>194</v>
      </c>
      <c r="K1624" t="s">
        <v>130</v>
      </c>
      <c r="M1624" t="s">
        <v>131</v>
      </c>
      <c r="O1624" t="s">
        <v>77</v>
      </c>
      <c r="P1624" t="s">
        <v>78</v>
      </c>
      <c r="Q1624" t="s">
        <v>50</v>
      </c>
      <c r="R1624" t="s">
        <v>51</v>
      </c>
      <c r="S1624" t="s">
        <v>52</v>
      </c>
      <c r="T1624" t="s">
        <v>195</v>
      </c>
      <c r="U1624" s="1">
        <v>46076.345775462964</v>
      </c>
      <c r="V1624" t="s">
        <v>54</v>
      </c>
      <c r="W1624" t="s">
        <v>55</v>
      </c>
      <c r="X1624" t="s">
        <v>134</v>
      </c>
      <c r="Y1624" t="s">
        <v>6802</v>
      </c>
      <c r="Z1624" t="s">
        <v>58</v>
      </c>
      <c r="AA1624" t="s">
        <v>54</v>
      </c>
      <c r="AB1624" t="s">
        <v>198</v>
      </c>
      <c r="AC1624" t="s">
        <v>85</v>
      </c>
      <c r="AD1624" t="s">
        <v>51</v>
      </c>
      <c r="AE1624" t="s">
        <v>52</v>
      </c>
      <c r="AF1624" t="s">
        <v>195</v>
      </c>
      <c r="AG1624" t="s">
        <v>58</v>
      </c>
      <c r="AH1624" t="s">
        <v>199</v>
      </c>
      <c r="AK1624">
        <v>1</v>
      </c>
      <c r="AL1624" t="s">
        <v>61</v>
      </c>
      <c r="AM1624" t="s">
        <v>198</v>
      </c>
      <c r="AN1624" t="s">
        <v>200</v>
      </c>
    </row>
    <row r="1625" spans="1:40" x14ac:dyDescent="0.35">
      <c r="A1625" t="s">
        <v>37</v>
      </c>
      <c r="B1625" t="s">
        <v>6803</v>
      </c>
      <c r="C1625" t="s">
        <v>39</v>
      </c>
      <c r="D1625" t="s">
        <v>2386</v>
      </c>
      <c r="E1625" t="s">
        <v>1316</v>
      </c>
      <c r="F1625" s="1">
        <v>46073.604849537034</v>
      </c>
      <c r="G1625" t="s">
        <v>355</v>
      </c>
      <c r="H1625" t="s">
        <v>356</v>
      </c>
      <c r="I1625" t="s">
        <v>6804</v>
      </c>
      <c r="J1625" t="s">
        <v>6631</v>
      </c>
      <c r="K1625" t="s">
        <v>6632</v>
      </c>
      <c r="M1625" t="s">
        <v>47</v>
      </c>
      <c r="O1625" t="s">
        <v>77</v>
      </c>
      <c r="P1625" t="s">
        <v>78</v>
      </c>
      <c r="Q1625" t="s">
        <v>50</v>
      </c>
      <c r="R1625" t="s">
        <v>51</v>
      </c>
      <c r="S1625" t="s">
        <v>52</v>
      </c>
      <c r="T1625" t="s">
        <v>773</v>
      </c>
      <c r="U1625" s="1">
        <v>46073.618888888886</v>
      </c>
      <c r="V1625" t="s">
        <v>54</v>
      </c>
      <c r="W1625" t="s">
        <v>55</v>
      </c>
      <c r="X1625" t="s">
        <v>134</v>
      </c>
      <c r="Y1625" t="s">
        <v>6805</v>
      </c>
      <c r="Z1625" t="s">
        <v>5594</v>
      </c>
      <c r="AA1625" t="s">
        <v>54</v>
      </c>
      <c r="AB1625" t="s">
        <v>2388</v>
      </c>
      <c r="AC1625" t="s">
        <v>85</v>
      </c>
      <c r="AD1625" t="s">
        <v>52</v>
      </c>
      <c r="AE1625" t="s">
        <v>2575</v>
      </c>
      <c r="AF1625" t="s">
        <v>2576</v>
      </c>
      <c r="AG1625" t="s">
        <v>5594</v>
      </c>
      <c r="AK1625">
        <v>0</v>
      </c>
      <c r="AL1625" t="s">
        <v>61</v>
      </c>
      <c r="AM1625" t="s">
        <v>2388</v>
      </c>
      <c r="AN1625" t="s">
        <v>2389</v>
      </c>
    </row>
    <row r="1626" spans="1:40" x14ac:dyDescent="0.35">
      <c r="A1626" t="s">
        <v>37</v>
      </c>
      <c r="B1626" t="s">
        <v>6806</v>
      </c>
      <c r="C1626" t="s">
        <v>39</v>
      </c>
      <c r="D1626" t="s">
        <v>2386</v>
      </c>
      <c r="E1626" t="s">
        <v>1316</v>
      </c>
      <c r="F1626" s="1">
        <v>46073.604849537034</v>
      </c>
      <c r="G1626" t="s">
        <v>355</v>
      </c>
      <c r="H1626" t="s">
        <v>356</v>
      </c>
      <c r="I1626" t="s">
        <v>6807</v>
      </c>
      <c r="J1626" t="s">
        <v>6631</v>
      </c>
      <c r="K1626" t="s">
        <v>6632</v>
      </c>
      <c r="M1626" t="s">
        <v>47</v>
      </c>
      <c r="O1626" t="s">
        <v>77</v>
      </c>
      <c r="P1626" t="s">
        <v>78</v>
      </c>
      <c r="Q1626" t="s">
        <v>50</v>
      </c>
      <c r="R1626" t="s">
        <v>51</v>
      </c>
      <c r="S1626" t="s">
        <v>52</v>
      </c>
      <c r="T1626" t="s">
        <v>773</v>
      </c>
      <c r="U1626" s="1">
        <v>46073.618611111109</v>
      </c>
      <c r="V1626" t="s">
        <v>54</v>
      </c>
      <c r="W1626" t="s">
        <v>55</v>
      </c>
      <c r="X1626" t="s">
        <v>134</v>
      </c>
      <c r="Y1626" t="s">
        <v>6808</v>
      </c>
      <c r="Z1626" t="s">
        <v>5594</v>
      </c>
      <c r="AA1626" t="s">
        <v>54</v>
      </c>
      <c r="AB1626" t="s">
        <v>2388</v>
      </c>
      <c r="AC1626" t="s">
        <v>85</v>
      </c>
      <c r="AD1626" t="s">
        <v>52</v>
      </c>
      <c r="AE1626" t="s">
        <v>6643</v>
      </c>
      <c r="AF1626" t="s">
        <v>6644</v>
      </c>
      <c r="AG1626" t="s">
        <v>5594</v>
      </c>
      <c r="AK1626">
        <v>0</v>
      </c>
      <c r="AL1626" t="s">
        <v>61</v>
      </c>
      <c r="AM1626" t="s">
        <v>2388</v>
      </c>
      <c r="AN1626" t="s">
        <v>2389</v>
      </c>
    </row>
    <row r="1627" spans="1:40" x14ac:dyDescent="0.35">
      <c r="A1627" t="s">
        <v>37</v>
      </c>
      <c r="B1627" t="s">
        <v>6809</v>
      </c>
      <c r="C1627" t="s">
        <v>39</v>
      </c>
      <c r="D1627" t="s">
        <v>2386</v>
      </c>
      <c r="E1627" t="s">
        <v>1316</v>
      </c>
      <c r="F1627" s="1">
        <v>46073.604849537034</v>
      </c>
      <c r="G1627" t="s">
        <v>355</v>
      </c>
      <c r="H1627" t="s">
        <v>356</v>
      </c>
      <c r="I1627" t="s">
        <v>6810</v>
      </c>
      <c r="J1627" t="s">
        <v>6631</v>
      </c>
      <c r="K1627" t="s">
        <v>6632</v>
      </c>
      <c r="M1627" t="s">
        <v>47</v>
      </c>
      <c r="O1627" t="s">
        <v>77</v>
      </c>
      <c r="P1627" t="s">
        <v>78</v>
      </c>
      <c r="Q1627" t="s">
        <v>50</v>
      </c>
      <c r="R1627" t="s">
        <v>51</v>
      </c>
      <c r="S1627" t="s">
        <v>52</v>
      </c>
      <c r="T1627" t="s">
        <v>773</v>
      </c>
      <c r="U1627" s="1">
        <v>46073.618368055555</v>
      </c>
      <c r="V1627" t="s">
        <v>54</v>
      </c>
      <c r="W1627" t="s">
        <v>55</v>
      </c>
      <c r="X1627" t="s">
        <v>134</v>
      </c>
      <c r="Y1627" t="s">
        <v>6811</v>
      </c>
      <c r="Z1627" t="s">
        <v>5594</v>
      </c>
      <c r="AA1627" t="s">
        <v>54</v>
      </c>
      <c r="AB1627" t="s">
        <v>2388</v>
      </c>
      <c r="AC1627" t="s">
        <v>85</v>
      </c>
      <c r="AD1627" t="s">
        <v>52</v>
      </c>
      <c r="AE1627" t="s">
        <v>967</v>
      </c>
      <c r="AF1627" t="s">
        <v>2563</v>
      </c>
      <c r="AG1627" t="s">
        <v>5594</v>
      </c>
      <c r="AK1627">
        <v>0</v>
      </c>
      <c r="AL1627" t="s">
        <v>61</v>
      </c>
      <c r="AM1627" t="s">
        <v>2388</v>
      </c>
      <c r="AN1627" t="s">
        <v>2389</v>
      </c>
    </row>
    <row r="1628" spans="1:40" x14ac:dyDescent="0.35">
      <c r="A1628" t="s">
        <v>37</v>
      </c>
      <c r="B1628" t="s">
        <v>6812</v>
      </c>
      <c r="C1628" t="s">
        <v>39</v>
      </c>
      <c r="D1628" t="s">
        <v>2386</v>
      </c>
      <c r="E1628" t="s">
        <v>1316</v>
      </c>
      <c r="F1628" s="1">
        <v>46073.604849537034</v>
      </c>
      <c r="G1628" t="s">
        <v>355</v>
      </c>
      <c r="H1628" t="s">
        <v>356</v>
      </c>
      <c r="I1628" t="s">
        <v>6813</v>
      </c>
      <c r="J1628" t="s">
        <v>6631</v>
      </c>
      <c r="K1628" t="s">
        <v>6632</v>
      </c>
      <c r="M1628" t="s">
        <v>47</v>
      </c>
      <c r="O1628" t="s">
        <v>77</v>
      </c>
      <c r="P1628" t="s">
        <v>78</v>
      </c>
      <c r="Q1628" t="s">
        <v>50</v>
      </c>
      <c r="R1628" t="s">
        <v>51</v>
      </c>
      <c r="S1628" t="s">
        <v>52</v>
      </c>
      <c r="T1628" t="s">
        <v>773</v>
      </c>
      <c r="U1628" s="1">
        <v>46073.618148148147</v>
      </c>
      <c r="V1628" t="s">
        <v>54</v>
      </c>
      <c r="W1628" t="s">
        <v>55</v>
      </c>
      <c r="X1628" t="s">
        <v>134</v>
      </c>
      <c r="Y1628" t="s">
        <v>6814</v>
      </c>
      <c r="Z1628" t="s">
        <v>5594</v>
      </c>
      <c r="AA1628" t="s">
        <v>54</v>
      </c>
      <c r="AB1628" t="s">
        <v>2388</v>
      </c>
      <c r="AC1628" t="s">
        <v>85</v>
      </c>
      <c r="AD1628" t="s">
        <v>52</v>
      </c>
      <c r="AE1628" t="s">
        <v>967</v>
      </c>
      <c r="AF1628" t="s">
        <v>2563</v>
      </c>
      <c r="AG1628" t="s">
        <v>5594</v>
      </c>
      <c r="AK1628">
        <v>0</v>
      </c>
      <c r="AL1628" t="s">
        <v>61</v>
      </c>
      <c r="AM1628" t="s">
        <v>2388</v>
      </c>
      <c r="AN1628" t="s">
        <v>2389</v>
      </c>
    </row>
    <row r="1629" spans="1:40" x14ac:dyDescent="0.35">
      <c r="A1629" t="s">
        <v>37</v>
      </c>
      <c r="B1629" t="s">
        <v>6815</v>
      </c>
      <c r="C1629" t="s">
        <v>39</v>
      </c>
      <c r="D1629" t="s">
        <v>2386</v>
      </c>
      <c r="E1629" t="s">
        <v>1316</v>
      </c>
      <c r="F1629" s="1">
        <v>46073.604062500002</v>
      </c>
      <c r="G1629" t="s">
        <v>355</v>
      </c>
      <c r="H1629" t="s">
        <v>356</v>
      </c>
      <c r="I1629" t="s">
        <v>6816</v>
      </c>
      <c r="J1629" t="s">
        <v>6631</v>
      </c>
      <c r="K1629" t="s">
        <v>6632</v>
      </c>
      <c r="M1629" t="s">
        <v>47</v>
      </c>
      <c r="O1629" t="s">
        <v>77</v>
      </c>
      <c r="P1629" t="s">
        <v>78</v>
      </c>
      <c r="Q1629" t="s">
        <v>50</v>
      </c>
      <c r="R1629" t="s">
        <v>51</v>
      </c>
      <c r="S1629" t="s">
        <v>52</v>
      </c>
      <c r="T1629" t="s">
        <v>773</v>
      </c>
      <c r="U1629" s="1">
        <v>46073.617905092593</v>
      </c>
      <c r="V1629" t="s">
        <v>54</v>
      </c>
      <c r="W1629" t="s">
        <v>55</v>
      </c>
      <c r="X1629" t="s">
        <v>134</v>
      </c>
      <c r="Y1629" t="s">
        <v>6817</v>
      </c>
      <c r="Z1629" t="s">
        <v>5594</v>
      </c>
      <c r="AA1629" t="s">
        <v>54</v>
      </c>
      <c r="AB1629" t="s">
        <v>2388</v>
      </c>
      <c r="AC1629" t="s">
        <v>85</v>
      </c>
      <c r="AD1629" t="s">
        <v>52</v>
      </c>
      <c r="AE1629" t="s">
        <v>2575</v>
      </c>
      <c r="AF1629" t="s">
        <v>2576</v>
      </c>
      <c r="AG1629" t="s">
        <v>5594</v>
      </c>
      <c r="AK1629">
        <v>0</v>
      </c>
      <c r="AL1629" t="s">
        <v>61</v>
      </c>
      <c r="AM1629" t="s">
        <v>2388</v>
      </c>
      <c r="AN1629" t="s">
        <v>2389</v>
      </c>
    </row>
    <row r="1630" spans="1:40" x14ac:dyDescent="0.35">
      <c r="A1630" t="s">
        <v>37</v>
      </c>
      <c r="B1630" t="s">
        <v>6818</v>
      </c>
      <c r="C1630" t="s">
        <v>39</v>
      </c>
      <c r="D1630" t="s">
        <v>2386</v>
      </c>
      <c r="E1630" t="s">
        <v>1316</v>
      </c>
      <c r="F1630" s="1">
        <v>46073.604062500002</v>
      </c>
      <c r="G1630" t="s">
        <v>355</v>
      </c>
      <c r="H1630" t="s">
        <v>356</v>
      </c>
      <c r="I1630" t="s">
        <v>6819</v>
      </c>
      <c r="J1630" t="s">
        <v>6631</v>
      </c>
      <c r="K1630" t="s">
        <v>6632</v>
      </c>
      <c r="M1630" t="s">
        <v>47</v>
      </c>
      <c r="O1630" t="s">
        <v>77</v>
      </c>
      <c r="P1630" t="s">
        <v>78</v>
      </c>
      <c r="Q1630" t="s">
        <v>50</v>
      </c>
      <c r="R1630" t="s">
        <v>51</v>
      </c>
      <c r="S1630" t="s">
        <v>52</v>
      </c>
      <c r="T1630" t="s">
        <v>773</v>
      </c>
      <c r="U1630" s="1">
        <v>46073.617627314816</v>
      </c>
      <c r="V1630" t="s">
        <v>54</v>
      </c>
      <c r="W1630" t="s">
        <v>55</v>
      </c>
      <c r="X1630" t="s">
        <v>134</v>
      </c>
      <c r="Y1630" t="s">
        <v>6792</v>
      </c>
      <c r="Z1630" t="s">
        <v>5594</v>
      </c>
      <c r="AA1630" t="s">
        <v>54</v>
      </c>
      <c r="AB1630" t="s">
        <v>2388</v>
      </c>
      <c r="AC1630" t="s">
        <v>85</v>
      </c>
      <c r="AD1630" t="s">
        <v>52</v>
      </c>
      <c r="AE1630" t="s">
        <v>2575</v>
      </c>
      <c r="AF1630" t="s">
        <v>2576</v>
      </c>
      <c r="AG1630" t="s">
        <v>5594</v>
      </c>
      <c r="AK1630">
        <v>0</v>
      </c>
      <c r="AL1630" t="s">
        <v>61</v>
      </c>
      <c r="AM1630" t="s">
        <v>2388</v>
      </c>
      <c r="AN1630" t="s">
        <v>2389</v>
      </c>
    </row>
    <row r="1631" spans="1:40" x14ac:dyDescent="0.35">
      <c r="A1631" t="s">
        <v>37</v>
      </c>
      <c r="B1631" t="s">
        <v>6820</v>
      </c>
      <c r="C1631" t="s">
        <v>39</v>
      </c>
      <c r="D1631" t="s">
        <v>2386</v>
      </c>
      <c r="E1631" t="s">
        <v>1316</v>
      </c>
      <c r="F1631" s="1">
        <v>46073.60328703704</v>
      </c>
      <c r="G1631" t="s">
        <v>355</v>
      </c>
      <c r="H1631" t="s">
        <v>356</v>
      </c>
      <c r="I1631" t="s">
        <v>6821</v>
      </c>
      <c r="J1631" t="s">
        <v>6631</v>
      </c>
      <c r="K1631" t="s">
        <v>6632</v>
      </c>
      <c r="M1631" t="s">
        <v>47</v>
      </c>
      <c r="O1631" t="s">
        <v>77</v>
      </c>
      <c r="P1631" t="s">
        <v>78</v>
      </c>
      <c r="Q1631" t="s">
        <v>50</v>
      </c>
      <c r="R1631" t="s">
        <v>51</v>
      </c>
      <c r="S1631" t="s">
        <v>52</v>
      </c>
      <c r="T1631" t="s">
        <v>773</v>
      </c>
      <c r="U1631" s="1">
        <v>46073.617256944446</v>
      </c>
      <c r="V1631" t="s">
        <v>54</v>
      </c>
      <c r="W1631" t="s">
        <v>55</v>
      </c>
      <c r="X1631" t="s">
        <v>134</v>
      </c>
      <c r="Y1631" t="s">
        <v>6651</v>
      </c>
      <c r="Z1631" t="s">
        <v>5594</v>
      </c>
      <c r="AA1631" t="s">
        <v>54</v>
      </c>
      <c r="AB1631" t="s">
        <v>2388</v>
      </c>
      <c r="AC1631" t="s">
        <v>85</v>
      </c>
      <c r="AD1631" t="s">
        <v>52</v>
      </c>
      <c r="AE1631" t="s">
        <v>967</v>
      </c>
      <c r="AF1631" t="s">
        <v>2563</v>
      </c>
      <c r="AG1631" t="s">
        <v>5594</v>
      </c>
      <c r="AK1631">
        <v>0</v>
      </c>
      <c r="AL1631" t="s">
        <v>61</v>
      </c>
      <c r="AM1631" t="s">
        <v>2388</v>
      </c>
      <c r="AN1631" t="s">
        <v>2389</v>
      </c>
    </row>
    <row r="1632" spans="1:40" x14ac:dyDescent="0.35">
      <c r="A1632" t="s">
        <v>37</v>
      </c>
      <c r="B1632" t="s">
        <v>6822</v>
      </c>
      <c r="C1632" t="s">
        <v>39</v>
      </c>
      <c r="D1632" t="s">
        <v>2386</v>
      </c>
      <c r="E1632" t="s">
        <v>1316</v>
      </c>
      <c r="F1632" s="1">
        <v>46073.60328703704</v>
      </c>
      <c r="G1632" t="s">
        <v>355</v>
      </c>
      <c r="H1632" t="s">
        <v>356</v>
      </c>
      <c r="I1632" t="s">
        <v>6823</v>
      </c>
      <c r="J1632" t="s">
        <v>6631</v>
      </c>
      <c r="K1632" t="s">
        <v>6632</v>
      </c>
      <c r="M1632" t="s">
        <v>47</v>
      </c>
      <c r="O1632" t="s">
        <v>77</v>
      </c>
      <c r="P1632" t="s">
        <v>78</v>
      </c>
      <c r="Q1632" t="s">
        <v>50</v>
      </c>
      <c r="R1632" t="s">
        <v>51</v>
      </c>
      <c r="S1632" t="s">
        <v>52</v>
      </c>
      <c r="T1632" t="s">
        <v>773</v>
      </c>
      <c r="U1632" s="1">
        <v>46073.617013888892</v>
      </c>
      <c r="V1632" t="s">
        <v>54</v>
      </c>
      <c r="W1632" t="s">
        <v>55</v>
      </c>
      <c r="X1632" t="s">
        <v>134</v>
      </c>
      <c r="Y1632" t="s">
        <v>6824</v>
      </c>
      <c r="Z1632" t="s">
        <v>5594</v>
      </c>
      <c r="AA1632" t="s">
        <v>54</v>
      </c>
      <c r="AB1632" t="s">
        <v>2388</v>
      </c>
      <c r="AC1632" t="s">
        <v>85</v>
      </c>
      <c r="AD1632" t="s">
        <v>52</v>
      </c>
      <c r="AE1632" t="s">
        <v>967</v>
      </c>
      <c r="AF1632" t="s">
        <v>2563</v>
      </c>
      <c r="AG1632" t="s">
        <v>5594</v>
      </c>
      <c r="AK1632">
        <v>0</v>
      </c>
      <c r="AL1632" t="s">
        <v>61</v>
      </c>
      <c r="AM1632" t="s">
        <v>2388</v>
      </c>
      <c r="AN1632" t="s">
        <v>2389</v>
      </c>
    </row>
    <row r="1633" spans="1:40" x14ac:dyDescent="0.35">
      <c r="A1633" t="s">
        <v>37</v>
      </c>
      <c r="B1633" t="s">
        <v>6825</v>
      </c>
      <c r="C1633" t="s">
        <v>39</v>
      </c>
      <c r="D1633" t="s">
        <v>2386</v>
      </c>
      <c r="E1633" t="s">
        <v>1316</v>
      </c>
      <c r="F1633" s="1">
        <v>46073.60224537037</v>
      </c>
      <c r="G1633" t="s">
        <v>355</v>
      </c>
      <c r="H1633" t="s">
        <v>356</v>
      </c>
      <c r="I1633" t="s">
        <v>6826</v>
      </c>
      <c r="J1633" t="s">
        <v>6631</v>
      </c>
      <c r="K1633" t="s">
        <v>6632</v>
      </c>
      <c r="M1633" t="s">
        <v>47</v>
      </c>
      <c r="O1633" t="s">
        <v>77</v>
      </c>
      <c r="P1633" t="s">
        <v>78</v>
      </c>
      <c r="Q1633" t="s">
        <v>50</v>
      </c>
      <c r="R1633" t="s">
        <v>51</v>
      </c>
      <c r="S1633" t="s">
        <v>52</v>
      </c>
      <c r="T1633" t="s">
        <v>773</v>
      </c>
      <c r="U1633" s="1">
        <v>46073.616770833331</v>
      </c>
      <c r="V1633" t="s">
        <v>54</v>
      </c>
      <c r="W1633" t="s">
        <v>55</v>
      </c>
      <c r="X1633" t="s">
        <v>134</v>
      </c>
      <c r="Y1633" t="s">
        <v>6827</v>
      </c>
      <c r="Z1633" t="s">
        <v>5594</v>
      </c>
      <c r="AA1633" t="s">
        <v>54</v>
      </c>
      <c r="AB1633" t="s">
        <v>2388</v>
      </c>
      <c r="AC1633" t="s">
        <v>85</v>
      </c>
      <c r="AD1633" t="s">
        <v>52</v>
      </c>
      <c r="AE1633" t="s">
        <v>999</v>
      </c>
      <c r="AF1633" t="s">
        <v>6634</v>
      </c>
      <c r="AG1633" t="s">
        <v>5594</v>
      </c>
      <c r="AK1633">
        <v>0</v>
      </c>
      <c r="AL1633" t="s">
        <v>61</v>
      </c>
      <c r="AM1633" t="s">
        <v>2388</v>
      </c>
      <c r="AN1633" t="s">
        <v>2389</v>
      </c>
    </row>
    <row r="1634" spans="1:40" x14ac:dyDescent="0.35">
      <c r="A1634" t="s">
        <v>37</v>
      </c>
      <c r="B1634" t="s">
        <v>6828</v>
      </c>
      <c r="C1634" t="s">
        <v>39</v>
      </c>
      <c r="D1634" t="s">
        <v>2386</v>
      </c>
      <c r="E1634" t="s">
        <v>1316</v>
      </c>
      <c r="F1634" s="1">
        <v>46073.60224537037</v>
      </c>
      <c r="G1634" t="s">
        <v>355</v>
      </c>
      <c r="H1634" t="s">
        <v>356</v>
      </c>
      <c r="I1634" t="s">
        <v>6829</v>
      </c>
      <c r="J1634" t="s">
        <v>6631</v>
      </c>
      <c r="K1634" t="s">
        <v>6632</v>
      </c>
      <c r="M1634" t="s">
        <v>47</v>
      </c>
      <c r="O1634" t="s">
        <v>77</v>
      </c>
      <c r="P1634" t="s">
        <v>78</v>
      </c>
      <c r="Q1634" t="s">
        <v>50</v>
      </c>
      <c r="R1634" t="s">
        <v>51</v>
      </c>
      <c r="S1634" t="s">
        <v>52</v>
      </c>
      <c r="T1634" t="s">
        <v>773</v>
      </c>
      <c r="U1634" s="1">
        <v>46073.616446759261</v>
      </c>
      <c r="V1634" t="s">
        <v>54</v>
      </c>
      <c r="W1634" t="s">
        <v>55</v>
      </c>
      <c r="X1634" t="s">
        <v>134</v>
      </c>
      <c r="Y1634" t="s">
        <v>6830</v>
      </c>
      <c r="Z1634" t="s">
        <v>5594</v>
      </c>
      <c r="AA1634" t="s">
        <v>54</v>
      </c>
      <c r="AB1634" t="s">
        <v>2388</v>
      </c>
      <c r="AC1634" t="s">
        <v>85</v>
      </c>
      <c r="AD1634" t="s">
        <v>52</v>
      </c>
      <c r="AE1634" t="s">
        <v>967</v>
      </c>
      <c r="AF1634" t="s">
        <v>2563</v>
      </c>
      <c r="AG1634" t="s">
        <v>5594</v>
      </c>
      <c r="AK1634">
        <v>0</v>
      </c>
      <c r="AL1634" t="s">
        <v>61</v>
      </c>
      <c r="AM1634" t="s">
        <v>2388</v>
      </c>
      <c r="AN1634" t="s">
        <v>2389</v>
      </c>
    </row>
    <row r="1635" spans="1:40" x14ac:dyDescent="0.35">
      <c r="A1635" t="s">
        <v>37</v>
      </c>
      <c r="B1635" t="s">
        <v>6831</v>
      </c>
      <c r="C1635" t="s">
        <v>39</v>
      </c>
      <c r="D1635" t="s">
        <v>2386</v>
      </c>
      <c r="E1635" t="s">
        <v>1316</v>
      </c>
      <c r="F1635" s="1">
        <v>46073.60224537037</v>
      </c>
      <c r="G1635" t="s">
        <v>355</v>
      </c>
      <c r="H1635" t="s">
        <v>356</v>
      </c>
      <c r="I1635" t="s">
        <v>6832</v>
      </c>
      <c r="J1635" t="s">
        <v>6631</v>
      </c>
      <c r="K1635" t="s">
        <v>6632</v>
      </c>
      <c r="M1635" t="s">
        <v>47</v>
      </c>
      <c r="O1635" t="s">
        <v>77</v>
      </c>
      <c r="P1635" t="s">
        <v>78</v>
      </c>
      <c r="Q1635" t="s">
        <v>50</v>
      </c>
      <c r="R1635" t="s">
        <v>51</v>
      </c>
      <c r="S1635" t="s">
        <v>52</v>
      </c>
      <c r="T1635" t="s">
        <v>773</v>
      </c>
      <c r="U1635" s="1">
        <v>46073.616180555553</v>
      </c>
      <c r="V1635" t="s">
        <v>54</v>
      </c>
      <c r="W1635" t="s">
        <v>55</v>
      </c>
      <c r="X1635" t="s">
        <v>134</v>
      </c>
      <c r="Y1635" t="s">
        <v>6833</v>
      </c>
      <c r="Z1635" t="s">
        <v>5594</v>
      </c>
      <c r="AA1635" t="s">
        <v>54</v>
      </c>
      <c r="AB1635" t="s">
        <v>2388</v>
      </c>
      <c r="AC1635" t="s">
        <v>85</v>
      </c>
      <c r="AD1635" t="s">
        <v>52</v>
      </c>
      <c r="AE1635" t="s">
        <v>967</v>
      </c>
      <c r="AF1635" t="s">
        <v>2563</v>
      </c>
      <c r="AG1635" t="s">
        <v>5594</v>
      </c>
      <c r="AK1635">
        <v>0</v>
      </c>
      <c r="AL1635" t="s">
        <v>61</v>
      </c>
      <c r="AM1635" t="s">
        <v>2388</v>
      </c>
      <c r="AN1635" t="s">
        <v>2389</v>
      </c>
    </row>
    <row r="1636" spans="1:40" x14ac:dyDescent="0.35">
      <c r="A1636" t="s">
        <v>37</v>
      </c>
      <c r="B1636" t="s">
        <v>6834</v>
      </c>
      <c r="C1636" t="s">
        <v>39</v>
      </c>
      <c r="D1636" t="s">
        <v>2386</v>
      </c>
      <c r="E1636" t="s">
        <v>1316</v>
      </c>
      <c r="F1636" s="1">
        <v>46073.60224537037</v>
      </c>
      <c r="G1636" t="s">
        <v>355</v>
      </c>
      <c r="H1636" t="s">
        <v>356</v>
      </c>
      <c r="I1636" t="s">
        <v>6835</v>
      </c>
      <c r="J1636" t="s">
        <v>6631</v>
      </c>
      <c r="K1636" t="s">
        <v>6632</v>
      </c>
      <c r="M1636" t="s">
        <v>47</v>
      </c>
      <c r="O1636" t="s">
        <v>77</v>
      </c>
      <c r="P1636" t="s">
        <v>78</v>
      </c>
      <c r="Q1636" t="s">
        <v>50</v>
      </c>
      <c r="R1636" t="s">
        <v>51</v>
      </c>
      <c r="S1636" t="s">
        <v>52</v>
      </c>
      <c r="T1636" t="s">
        <v>773</v>
      </c>
      <c r="U1636" s="1">
        <v>46073.615659722222</v>
      </c>
      <c r="V1636" t="s">
        <v>54</v>
      </c>
      <c r="W1636" t="s">
        <v>55</v>
      </c>
      <c r="X1636" t="s">
        <v>134</v>
      </c>
      <c r="Y1636" t="s">
        <v>6833</v>
      </c>
      <c r="Z1636" t="s">
        <v>5594</v>
      </c>
      <c r="AA1636" t="s">
        <v>54</v>
      </c>
      <c r="AB1636" t="s">
        <v>2388</v>
      </c>
      <c r="AC1636" t="s">
        <v>85</v>
      </c>
      <c r="AD1636" t="s">
        <v>52</v>
      </c>
      <c r="AE1636" t="s">
        <v>967</v>
      </c>
      <c r="AF1636" t="s">
        <v>2563</v>
      </c>
      <c r="AG1636" t="s">
        <v>5594</v>
      </c>
      <c r="AK1636">
        <v>0</v>
      </c>
      <c r="AL1636" t="s">
        <v>61</v>
      </c>
      <c r="AM1636" t="s">
        <v>2388</v>
      </c>
      <c r="AN1636" t="s">
        <v>2389</v>
      </c>
    </row>
    <row r="1637" spans="1:40" x14ac:dyDescent="0.35">
      <c r="A1637" t="s">
        <v>37</v>
      </c>
      <c r="B1637" t="s">
        <v>6836</v>
      </c>
      <c r="C1637" t="s">
        <v>39</v>
      </c>
      <c r="D1637" t="s">
        <v>2386</v>
      </c>
      <c r="E1637" t="s">
        <v>1316</v>
      </c>
      <c r="F1637" s="1">
        <v>46073.60224537037</v>
      </c>
      <c r="G1637" t="s">
        <v>355</v>
      </c>
      <c r="H1637" t="s">
        <v>356</v>
      </c>
      <c r="I1637" t="s">
        <v>6837</v>
      </c>
      <c r="J1637" t="s">
        <v>6631</v>
      </c>
      <c r="K1637" t="s">
        <v>6632</v>
      </c>
      <c r="M1637" t="s">
        <v>47</v>
      </c>
      <c r="O1637" t="s">
        <v>77</v>
      </c>
      <c r="P1637" t="s">
        <v>78</v>
      </c>
      <c r="Q1637" t="s">
        <v>50</v>
      </c>
      <c r="R1637" t="s">
        <v>51</v>
      </c>
      <c r="S1637" t="s">
        <v>52</v>
      </c>
      <c r="T1637" t="s">
        <v>773</v>
      </c>
      <c r="U1637" s="1">
        <v>46073.615405092591</v>
      </c>
      <c r="V1637" t="s">
        <v>54</v>
      </c>
      <c r="W1637" t="s">
        <v>55</v>
      </c>
      <c r="X1637" t="s">
        <v>134</v>
      </c>
      <c r="Y1637" t="s">
        <v>6833</v>
      </c>
      <c r="Z1637" t="s">
        <v>5594</v>
      </c>
      <c r="AA1637" t="s">
        <v>54</v>
      </c>
      <c r="AB1637" t="s">
        <v>2388</v>
      </c>
      <c r="AC1637" t="s">
        <v>85</v>
      </c>
      <c r="AD1637" t="s">
        <v>52</v>
      </c>
      <c r="AE1637" t="s">
        <v>967</v>
      </c>
      <c r="AF1637" t="s">
        <v>2563</v>
      </c>
      <c r="AG1637" t="s">
        <v>5594</v>
      </c>
      <c r="AK1637">
        <v>0</v>
      </c>
      <c r="AL1637" t="s">
        <v>61</v>
      </c>
      <c r="AM1637" t="s">
        <v>2388</v>
      </c>
      <c r="AN1637" t="s">
        <v>2389</v>
      </c>
    </row>
    <row r="1638" spans="1:40" x14ac:dyDescent="0.35">
      <c r="A1638" t="s">
        <v>37</v>
      </c>
      <c r="B1638" t="s">
        <v>6838</v>
      </c>
      <c r="C1638" t="s">
        <v>39</v>
      </c>
      <c r="D1638" t="s">
        <v>2386</v>
      </c>
      <c r="E1638" t="s">
        <v>1316</v>
      </c>
      <c r="F1638" s="1">
        <v>46073.60224537037</v>
      </c>
      <c r="G1638" t="s">
        <v>355</v>
      </c>
      <c r="H1638" t="s">
        <v>356</v>
      </c>
      <c r="I1638" t="s">
        <v>6839</v>
      </c>
      <c r="J1638" t="s">
        <v>6631</v>
      </c>
      <c r="K1638" t="s">
        <v>6632</v>
      </c>
      <c r="M1638" t="s">
        <v>47</v>
      </c>
      <c r="O1638" t="s">
        <v>77</v>
      </c>
      <c r="P1638" t="s">
        <v>78</v>
      </c>
      <c r="Q1638" t="s">
        <v>50</v>
      </c>
      <c r="R1638" t="s">
        <v>51</v>
      </c>
      <c r="S1638" t="s">
        <v>52</v>
      </c>
      <c r="T1638" t="s">
        <v>773</v>
      </c>
      <c r="U1638" s="1">
        <v>46073.615937499999</v>
      </c>
      <c r="V1638" t="s">
        <v>54</v>
      </c>
      <c r="W1638" t="s">
        <v>55</v>
      </c>
      <c r="X1638" t="s">
        <v>134</v>
      </c>
      <c r="Y1638" t="s">
        <v>6833</v>
      </c>
      <c r="Z1638" t="s">
        <v>5594</v>
      </c>
      <c r="AA1638" t="s">
        <v>54</v>
      </c>
      <c r="AB1638" t="s">
        <v>2388</v>
      </c>
      <c r="AC1638" t="s">
        <v>85</v>
      </c>
      <c r="AD1638" t="s">
        <v>52</v>
      </c>
      <c r="AE1638" t="s">
        <v>6643</v>
      </c>
      <c r="AF1638" t="s">
        <v>6644</v>
      </c>
      <c r="AG1638" t="s">
        <v>5594</v>
      </c>
      <c r="AK1638">
        <v>0</v>
      </c>
      <c r="AL1638" t="s">
        <v>61</v>
      </c>
      <c r="AM1638" t="s">
        <v>2388</v>
      </c>
      <c r="AN1638" t="s">
        <v>2389</v>
      </c>
    </row>
    <row r="1639" spans="1:40" x14ac:dyDescent="0.35">
      <c r="A1639" t="s">
        <v>37</v>
      </c>
      <c r="B1639" t="s">
        <v>6840</v>
      </c>
      <c r="C1639" t="s">
        <v>39</v>
      </c>
      <c r="D1639" t="s">
        <v>2341</v>
      </c>
      <c r="E1639" t="s">
        <v>2342</v>
      </c>
      <c r="F1639" s="1">
        <v>46073.602418981478</v>
      </c>
      <c r="G1639" t="s">
        <v>105</v>
      </c>
      <c r="H1639" t="s">
        <v>106</v>
      </c>
      <c r="I1639" t="s">
        <v>6841</v>
      </c>
      <c r="J1639" t="s">
        <v>2344</v>
      </c>
      <c r="K1639" t="s">
        <v>2345</v>
      </c>
      <c r="M1639" t="s">
        <v>47</v>
      </c>
      <c r="O1639" t="s">
        <v>237</v>
      </c>
      <c r="P1639" t="s">
        <v>238</v>
      </c>
      <c r="Q1639" t="s">
        <v>50</v>
      </c>
      <c r="R1639" t="s">
        <v>111</v>
      </c>
      <c r="S1639" t="s">
        <v>51</v>
      </c>
      <c r="T1639" t="s">
        <v>3989</v>
      </c>
      <c r="U1639" s="1">
        <v>46073.602881944447</v>
      </c>
      <c r="V1639" t="s">
        <v>54</v>
      </c>
      <c r="W1639" t="s">
        <v>55</v>
      </c>
      <c r="X1639" t="s">
        <v>134</v>
      </c>
      <c r="Y1639" t="s">
        <v>6842</v>
      </c>
      <c r="Z1639" t="s">
        <v>5594</v>
      </c>
      <c r="AA1639" t="s">
        <v>54</v>
      </c>
      <c r="AB1639" t="s">
        <v>2349</v>
      </c>
      <c r="AC1639" t="s">
        <v>242</v>
      </c>
      <c r="AD1639" t="s">
        <v>2350</v>
      </c>
      <c r="AE1639" t="s">
        <v>2351</v>
      </c>
      <c r="AF1639" t="s">
        <v>2352</v>
      </c>
      <c r="AG1639" t="s">
        <v>5594</v>
      </c>
      <c r="AH1639">
        <v>15148</v>
      </c>
      <c r="AK1639">
        <v>0</v>
      </c>
      <c r="AL1639" t="s">
        <v>61</v>
      </c>
      <c r="AM1639" t="s">
        <v>2353</v>
      </c>
      <c r="AN1639" t="s">
        <v>2354</v>
      </c>
    </row>
    <row r="1640" spans="1:40" x14ac:dyDescent="0.35">
      <c r="A1640" t="s">
        <v>37</v>
      </c>
      <c r="B1640" t="s">
        <v>6843</v>
      </c>
      <c r="C1640" t="s">
        <v>102</v>
      </c>
      <c r="D1640" t="s">
        <v>568</v>
      </c>
      <c r="E1640" t="s">
        <v>569</v>
      </c>
      <c r="F1640" s="1">
        <v>46073.607164351852</v>
      </c>
      <c r="G1640" t="s">
        <v>105</v>
      </c>
      <c r="H1640" t="s">
        <v>106</v>
      </c>
      <c r="I1640" t="s">
        <v>6844</v>
      </c>
      <c r="J1640" t="s">
        <v>4445</v>
      </c>
      <c r="K1640" t="s">
        <v>2345</v>
      </c>
      <c r="M1640" t="s">
        <v>131</v>
      </c>
      <c r="O1640" t="s">
        <v>77</v>
      </c>
      <c r="P1640" t="s">
        <v>78</v>
      </c>
      <c r="Q1640" t="s">
        <v>448</v>
      </c>
      <c r="R1640" t="s">
        <v>51</v>
      </c>
      <c r="S1640" t="s">
        <v>2563</v>
      </c>
      <c r="T1640" t="s">
        <v>2563</v>
      </c>
      <c r="U1640" s="1">
        <v>46076.49114583333</v>
      </c>
      <c r="V1640" t="s">
        <v>54</v>
      </c>
      <c r="W1640" t="s">
        <v>55</v>
      </c>
      <c r="X1640" t="s">
        <v>134</v>
      </c>
      <c r="Y1640" t="s">
        <v>6845</v>
      </c>
      <c r="Z1640" t="s">
        <v>58</v>
      </c>
      <c r="AA1640" t="s">
        <v>54</v>
      </c>
      <c r="AB1640" t="s">
        <v>4447</v>
      </c>
      <c r="AC1640" t="s">
        <v>85</v>
      </c>
      <c r="AD1640" t="s">
        <v>51</v>
      </c>
      <c r="AE1640" t="s">
        <v>2563</v>
      </c>
      <c r="AF1640" t="s">
        <v>2563</v>
      </c>
      <c r="AG1640" t="s">
        <v>58</v>
      </c>
      <c r="AK1640">
        <v>0</v>
      </c>
      <c r="AL1640" t="s">
        <v>61</v>
      </c>
      <c r="AM1640" t="s">
        <v>576</v>
      </c>
      <c r="AN1640" t="s">
        <v>577</v>
      </c>
    </row>
    <row r="1641" spans="1:40" x14ac:dyDescent="0.35">
      <c r="A1641" t="s">
        <v>37</v>
      </c>
      <c r="B1641" t="s">
        <v>6846</v>
      </c>
      <c r="C1641" t="s">
        <v>39</v>
      </c>
      <c r="D1641" t="s">
        <v>2386</v>
      </c>
      <c r="E1641" t="s">
        <v>1316</v>
      </c>
      <c r="F1641" s="1">
        <v>46073.601412037038</v>
      </c>
      <c r="G1641" t="s">
        <v>355</v>
      </c>
      <c r="H1641" t="s">
        <v>356</v>
      </c>
      <c r="I1641" t="s">
        <v>6847</v>
      </c>
      <c r="J1641" t="s">
        <v>6631</v>
      </c>
      <c r="K1641" t="s">
        <v>6632</v>
      </c>
      <c r="M1641" t="s">
        <v>47</v>
      </c>
      <c r="O1641" t="s">
        <v>77</v>
      </c>
      <c r="P1641" t="s">
        <v>78</v>
      </c>
      <c r="Q1641" t="s">
        <v>50</v>
      </c>
      <c r="R1641" t="s">
        <v>51</v>
      </c>
      <c r="S1641" t="s">
        <v>52</v>
      </c>
      <c r="T1641" t="s">
        <v>773</v>
      </c>
      <c r="U1641" s="1">
        <v>46073.615173611113</v>
      </c>
      <c r="V1641" t="s">
        <v>54</v>
      </c>
      <c r="W1641" t="s">
        <v>55</v>
      </c>
      <c r="X1641" t="s">
        <v>134</v>
      </c>
      <c r="Y1641" t="s">
        <v>6833</v>
      </c>
      <c r="Z1641" t="s">
        <v>5594</v>
      </c>
      <c r="AA1641" t="s">
        <v>54</v>
      </c>
      <c r="AB1641" t="s">
        <v>2388</v>
      </c>
      <c r="AC1641" t="s">
        <v>85</v>
      </c>
      <c r="AD1641" t="s">
        <v>52</v>
      </c>
      <c r="AE1641" t="s">
        <v>967</v>
      </c>
      <c r="AF1641" t="s">
        <v>2563</v>
      </c>
      <c r="AG1641" t="s">
        <v>5594</v>
      </c>
      <c r="AK1641">
        <v>0</v>
      </c>
      <c r="AL1641" t="s">
        <v>61</v>
      </c>
      <c r="AM1641" t="s">
        <v>2388</v>
      </c>
      <c r="AN1641" t="s">
        <v>2389</v>
      </c>
    </row>
    <row r="1642" spans="1:40" x14ac:dyDescent="0.35">
      <c r="A1642" t="s">
        <v>37</v>
      </c>
      <c r="B1642" t="s">
        <v>6848</v>
      </c>
      <c r="C1642" t="s">
        <v>39</v>
      </c>
      <c r="D1642" t="s">
        <v>2386</v>
      </c>
      <c r="E1642" t="s">
        <v>1316</v>
      </c>
      <c r="F1642" s="1">
        <v>46073.601412037038</v>
      </c>
      <c r="G1642" t="s">
        <v>355</v>
      </c>
      <c r="H1642" t="s">
        <v>356</v>
      </c>
      <c r="I1642" t="s">
        <v>6816</v>
      </c>
      <c r="J1642" t="s">
        <v>6631</v>
      </c>
      <c r="K1642" t="s">
        <v>6632</v>
      </c>
      <c r="M1642" t="s">
        <v>47</v>
      </c>
      <c r="O1642" t="s">
        <v>77</v>
      </c>
      <c r="P1642" t="s">
        <v>78</v>
      </c>
      <c r="Q1642" t="s">
        <v>50</v>
      </c>
      <c r="R1642" t="s">
        <v>51</v>
      </c>
      <c r="S1642" t="s">
        <v>52</v>
      </c>
      <c r="T1642" t="s">
        <v>773</v>
      </c>
      <c r="U1642" s="1">
        <v>46073.614814814813</v>
      </c>
      <c r="V1642" t="s">
        <v>54</v>
      </c>
      <c r="W1642" t="s">
        <v>55</v>
      </c>
      <c r="X1642" t="s">
        <v>134</v>
      </c>
      <c r="Y1642" t="s">
        <v>6849</v>
      </c>
      <c r="Z1642" t="s">
        <v>5594</v>
      </c>
      <c r="AA1642" t="s">
        <v>54</v>
      </c>
      <c r="AB1642" t="s">
        <v>2388</v>
      </c>
      <c r="AC1642" t="s">
        <v>85</v>
      </c>
      <c r="AD1642" t="s">
        <v>52</v>
      </c>
      <c r="AE1642" t="s">
        <v>967</v>
      </c>
      <c r="AF1642" t="s">
        <v>2563</v>
      </c>
      <c r="AG1642" t="s">
        <v>5594</v>
      </c>
      <c r="AK1642">
        <v>0</v>
      </c>
      <c r="AL1642" t="s">
        <v>61</v>
      </c>
      <c r="AM1642" t="s">
        <v>2388</v>
      </c>
      <c r="AN1642" t="s">
        <v>2389</v>
      </c>
    </row>
    <row r="1643" spans="1:40" x14ac:dyDescent="0.35">
      <c r="A1643" t="s">
        <v>37</v>
      </c>
      <c r="B1643" t="s">
        <v>6850</v>
      </c>
      <c r="C1643" t="s">
        <v>39</v>
      </c>
      <c r="D1643" t="s">
        <v>2386</v>
      </c>
      <c r="E1643" t="s">
        <v>1316</v>
      </c>
      <c r="F1643" s="1">
        <v>46073.601412037038</v>
      </c>
      <c r="G1643" t="s">
        <v>355</v>
      </c>
      <c r="H1643" t="s">
        <v>356</v>
      </c>
      <c r="I1643" t="s">
        <v>6851</v>
      </c>
      <c r="J1643" t="s">
        <v>6631</v>
      </c>
      <c r="K1643" t="s">
        <v>6632</v>
      </c>
      <c r="M1643" t="s">
        <v>47</v>
      </c>
      <c r="O1643" t="s">
        <v>77</v>
      </c>
      <c r="P1643" t="s">
        <v>78</v>
      </c>
      <c r="Q1643" t="s">
        <v>50</v>
      </c>
      <c r="R1643" t="s">
        <v>51</v>
      </c>
      <c r="S1643" t="s">
        <v>52</v>
      </c>
      <c r="T1643" t="s">
        <v>773</v>
      </c>
      <c r="U1643" s="1">
        <v>46073.61451388889</v>
      </c>
      <c r="V1643" t="s">
        <v>54</v>
      </c>
      <c r="W1643" t="s">
        <v>55</v>
      </c>
      <c r="X1643" t="s">
        <v>134</v>
      </c>
      <c r="Y1643" t="s">
        <v>6852</v>
      </c>
      <c r="Z1643" t="s">
        <v>5594</v>
      </c>
      <c r="AA1643" t="s">
        <v>54</v>
      </c>
      <c r="AB1643" t="s">
        <v>2388</v>
      </c>
      <c r="AC1643" t="s">
        <v>85</v>
      </c>
      <c r="AD1643" t="s">
        <v>52</v>
      </c>
      <c r="AE1643" t="s">
        <v>6643</v>
      </c>
      <c r="AF1643" t="s">
        <v>6644</v>
      </c>
      <c r="AG1643" t="s">
        <v>5594</v>
      </c>
      <c r="AK1643">
        <v>0</v>
      </c>
      <c r="AL1643" t="s">
        <v>61</v>
      </c>
      <c r="AM1643" t="s">
        <v>2388</v>
      </c>
      <c r="AN1643" t="s">
        <v>2389</v>
      </c>
    </row>
    <row r="1644" spans="1:40" x14ac:dyDescent="0.35">
      <c r="A1644" t="s">
        <v>37</v>
      </c>
      <c r="B1644" t="s">
        <v>6853</v>
      </c>
      <c r="C1644" t="s">
        <v>39</v>
      </c>
      <c r="D1644" t="s">
        <v>277</v>
      </c>
      <c r="E1644" t="s">
        <v>2372</v>
      </c>
      <c r="F1644" s="1">
        <v>46073.601423611108</v>
      </c>
      <c r="G1644" t="s">
        <v>105</v>
      </c>
      <c r="H1644" t="s">
        <v>106</v>
      </c>
      <c r="I1644" t="s">
        <v>6854</v>
      </c>
      <c r="J1644" t="s">
        <v>2344</v>
      </c>
      <c r="K1644" t="s">
        <v>2345</v>
      </c>
      <c r="M1644" t="s">
        <v>47</v>
      </c>
      <c r="O1644" t="s">
        <v>237</v>
      </c>
      <c r="P1644" t="s">
        <v>238</v>
      </c>
      <c r="Q1644" t="s">
        <v>110</v>
      </c>
      <c r="R1644" t="s">
        <v>111</v>
      </c>
      <c r="S1644" t="s">
        <v>2346</v>
      </c>
      <c r="T1644" t="s">
        <v>2363</v>
      </c>
      <c r="U1644" s="1">
        <v>46073.601840277777</v>
      </c>
      <c r="V1644" t="s">
        <v>54</v>
      </c>
      <c r="W1644" t="s">
        <v>55</v>
      </c>
      <c r="X1644" t="s">
        <v>134</v>
      </c>
      <c r="Y1644" t="s">
        <v>6855</v>
      </c>
      <c r="Z1644" t="s">
        <v>5594</v>
      </c>
      <c r="AA1644" t="s">
        <v>54</v>
      </c>
      <c r="AB1644" t="s">
        <v>2349</v>
      </c>
      <c r="AC1644" t="s">
        <v>242</v>
      </c>
      <c r="AD1644" t="s">
        <v>2350</v>
      </c>
      <c r="AE1644" t="s">
        <v>2351</v>
      </c>
      <c r="AF1644" t="s">
        <v>2352</v>
      </c>
      <c r="AG1644" t="s">
        <v>5594</v>
      </c>
      <c r="AH1644">
        <v>10352</v>
      </c>
      <c r="AK1644">
        <v>0</v>
      </c>
      <c r="AL1644" t="s">
        <v>61</v>
      </c>
      <c r="AM1644" t="s">
        <v>2375</v>
      </c>
      <c r="AN1644" t="s">
        <v>2376</v>
      </c>
    </row>
    <row r="1645" spans="1:40" x14ac:dyDescent="0.35">
      <c r="A1645" t="s">
        <v>37</v>
      </c>
      <c r="B1645" t="s">
        <v>6856</v>
      </c>
      <c r="C1645" t="s">
        <v>39</v>
      </c>
      <c r="D1645" t="s">
        <v>2386</v>
      </c>
      <c r="E1645" t="s">
        <v>1316</v>
      </c>
      <c r="F1645" s="1">
        <v>46073.600590277776</v>
      </c>
      <c r="G1645" t="s">
        <v>355</v>
      </c>
      <c r="H1645" t="s">
        <v>356</v>
      </c>
      <c r="I1645" t="s">
        <v>6857</v>
      </c>
      <c r="J1645" t="s">
        <v>6631</v>
      </c>
      <c r="K1645" t="s">
        <v>6632</v>
      </c>
      <c r="M1645" t="s">
        <v>47</v>
      </c>
      <c r="O1645" t="s">
        <v>77</v>
      </c>
      <c r="P1645" t="s">
        <v>78</v>
      </c>
      <c r="Q1645" t="s">
        <v>50</v>
      </c>
      <c r="R1645" t="s">
        <v>51</v>
      </c>
      <c r="S1645" t="s">
        <v>52</v>
      </c>
      <c r="T1645" t="s">
        <v>773</v>
      </c>
      <c r="U1645" s="1">
        <v>46073.614270833335</v>
      </c>
      <c r="V1645" t="s">
        <v>54</v>
      </c>
      <c r="W1645" t="s">
        <v>55</v>
      </c>
      <c r="X1645" t="s">
        <v>134</v>
      </c>
      <c r="Y1645" t="s">
        <v>6858</v>
      </c>
      <c r="Z1645" t="s">
        <v>5594</v>
      </c>
      <c r="AA1645" t="s">
        <v>54</v>
      </c>
      <c r="AB1645" t="s">
        <v>2388</v>
      </c>
      <c r="AC1645" t="s">
        <v>85</v>
      </c>
      <c r="AD1645" t="s">
        <v>52</v>
      </c>
      <c r="AE1645" t="s">
        <v>999</v>
      </c>
      <c r="AF1645" t="s">
        <v>6634</v>
      </c>
      <c r="AG1645" t="s">
        <v>5594</v>
      </c>
      <c r="AK1645">
        <v>0</v>
      </c>
      <c r="AL1645" t="s">
        <v>61</v>
      </c>
      <c r="AM1645" t="s">
        <v>2388</v>
      </c>
      <c r="AN1645" t="s">
        <v>2389</v>
      </c>
    </row>
    <row r="1646" spans="1:40" x14ac:dyDescent="0.35">
      <c r="A1646" t="s">
        <v>37</v>
      </c>
      <c r="B1646" t="s">
        <v>6859</v>
      </c>
      <c r="C1646" t="s">
        <v>39</v>
      </c>
      <c r="D1646" t="s">
        <v>2386</v>
      </c>
      <c r="E1646" t="s">
        <v>1316</v>
      </c>
      <c r="F1646" s="1">
        <v>46073.600590277776</v>
      </c>
      <c r="G1646" t="s">
        <v>355</v>
      </c>
      <c r="H1646" t="s">
        <v>356</v>
      </c>
      <c r="I1646" t="s">
        <v>6860</v>
      </c>
      <c r="J1646" t="s">
        <v>6631</v>
      </c>
      <c r="K1646" t="s">
        <v>6632</v>
      </c>
      <c r="M1646" t="s">
        <v>47</v>
      </c>
      <c r="O1646" t="s">
        <v>77</v>
      </c>
      <c r="P1646" t="s">
        <v>78</v>
      </c>
      <c r="Q1646" t="s">
        <v>50</v>
      </c>
      <c r="R1646" t="s">
        <v>51</v>
      </c>
      <c r="S1646" t="s">
        <v>52</v>
      </c>
      <c r="T1646" t="s">
        <v>773</v>
      </c>
      <c r="U1646" s="1">
        <v>46073.613981481481</v>
      </c>
      <c r="V1646" t="s">
        <v>54</v>
      </c>
      <c r="W1646" t="s">
        <v>55</v>
      </c>
      <c r="X1646" t="s">
        <v>134</v>
      </c>
      <c r="Y1646" t="s">
        <v>6808</v>
      </c>
      <c r="Z1646" t="s">
        <v>5594</v>
      </c>
      <c r="AA1646" t="s">
        <v>54</v>
      </c>
      <c r="AB1646" t="s">
        <v>2388</v>
      </c>
      <c r="AC1646" t="s">
        <v>85</v>
      </c>
      <c r="AD1646" t="s">
        <v>52</v>
      </c>
      <c r="AE1646" t="s">
        <v>967</v>
      </c>
      <c r="AF1646" t="s">
        <v>2563</v>
      </c>
      <c r="AG1646" t="s">
        <v>5594</v>
      </c>
      <c r="AK1646">
        <v>0</v>
      </c>
      <c r="AL1646" t="s">
        <v>61</v>
      </c>
      <c r="AM1646" t="s">
        <v>2388</v>
      </c>
      <c r="AN1646" t="s">
        <v>2389</v>
      </c>
    </row>
    <row r="1647" spans="1:40" x14ac:dyDescent="0.35">
      <c r="A1647" t="s">
        <v>37</v>
      </c>
      <c r="B1647" t="s">
        <v>6861</v>
      </c>
      <c r="C1647" t="s">
        <v>39</v>
      </c>
      <c r="D1647" t="s">
        <v>2386</v>
      </c>
      <c r="E1647" t="s">
        <v>1316</v>
      </c>
      <c r="F1647" s="1">
        <v>46073.600590277776</v>
      </c>
      <c r="G1647" t="s">
        <v>355</v>
      </c>
      <c r="H1647" t="s">
        <v>356</v>
      </c>
      <c r="I1647" t="s">
        <v>6862</v>
      </c>
      <c r="J1647" t="s">
        <v>6631</v>
      </c>
      <c r="K1647" t="s">
        <v>6632</v>
      </c>
      <c r="M1647" t="s">
        <v>47</v>
      </c>
      <c r="O1647" t="s">
        <v>77</v>
      </c>
      <c r="P1647" t="s">
        <v>78</v>
      </c>
      <c r="Q1647" t="s">
        <v>50</v>
      </c>
      <c r="R1647" t="s">
        <v>51</v>
      </c>
      <c r="S1647" t="s">
        <v>52</v>
      </c>
      <c r="T1647" t="s">
        <v>773</v>
      </c>
      <c r="U1647" s="1">
        <v>46073.613634259258</v>
      </c>
      <c r="V1647" t="s">
        <v>54</v>
      </c>
      <c r="W1647" t="s">
        <v>55</v>
      </c>
      <c r="X1647" t="s">
        <v>134</v>
      </c>
      <c r="Y1647" t="s">
        <v>6863</v>
      </c>
      <c r="Z1647" t="s">
        <v>5594</v>
      </c>
      <c r="AA1647" t="s">
        <v>54</v>
      </c>
      <c r="AB1647" t="s">
        <v>2388</v>
      </c>
      <c r="AC1647" t="s">
        <v>85</v>
      </c>
      <c r="AD1647" t="s">
        <v>52</v>
      </c>
      <c r="AE1647" t="s">
        <v>999</v>
      </c>
      <c r="AF1647" t="s">
        <v>6634</v>
      </c>
      <c r="AG1647" t="s">
        <v>5594</v>
      </c>
      <c r="AK1647">
        <v>0</v>
      </c>
      <c r="AL1647" t="s">
        <v>61</v>
      </c>
      <c r="AM1647" t="s">
        <v>2388</v>
      </c>
      <c r="AN1647" t="s">
        <v>2389</v>
      </c>
    </row>
    <row r="1648" spans="1:40" x14ac:dyDescent="0.35">
      <c r="A1648" t="s">
        <v>37</v>
      </c>
      <c r="B1648" t="s">
        <v>6864</v>
      </c>
      <c r="C1648" t="s">
        <v>102</v>
      </c>
      <c r="D1648" t="s">
        <v>191</v>
      </c>
      <c r="E1648" t="s">
        <v>192</v>
      </c>
      <c r="F1648" s="1">
        <v>46073.601226851853</v>
      </c>
      <c r="G1648" t="s">
        <v>71</v>
      </c>
      <c r="H1648" t="s">
        <v>72</v>
      </c>
      <c r="I1648" t="s">
        <v>6865</v>
      </c>
      <c r="J1648" t="s">
        <v>194</v>
      </c>
      <c r="K1648" t="s">
        <v>565</v>
      </c>
      <c r="M1648" t="s">
        <v>76</v>
      </c>
      <c r="O1648" t="s">
        <v>77</v>
      </c>
      <c r="P1648" t="s">
        <v>78</v>
      </c>
      <c r="Q1648" t="s">
        <v>50</v>
      </c>
      <c r="R1648" t="s">
        <v>51</v>
      </c>
      <c r="S1648" t="s">
        <v>52</v>
      </c>
      <c r="T1648" t="s">
        <v>195</v>
      </c>
      <c r="U1648" s="1">
        <v>46076.42423611111</v>
      </c>
      <c r="V1648" t="s">
        <v>54</v>
      </c>
      <c r="W1648" t="s">
        <v>55</v>
      </c>
      <c r="X1648" t="s">
        <v>134</v>
      </c>
      <c r="Y1648" t="s">
        <v>6866</v>
      </c>
      <c r="Z1648" t="s">
        <v>58</v>
      </c>
      <c r="AA1648" t="s">
        <v>54</v>
      </c>
      <c r="AB1648" t="s">
        <v>198</v>
      </c>
      <c r="AC1648" t="s">
        <v>85</v>
      </c>
      <c r="AD1648" t="s">
        <v>51</v>
      </c>
      <c r="AE1648" t="s">
        <v>52</v>
      </c>
      <c r="AF1648" t="s">
        <v>195</v>
      </c>
      <c r="AG1648" t="s">
        <v>58</v>
      </c>
      <c r="AH1648" t="s">
        <v>199</v>
      </c>
      <c r="AK1648">
        <v>1</v>
      </c>
      <c r="AL1648" t="s">
        <v>61</v>
      </c>
      <c r="AM1648" t="s">
        <v>198</v>
      </c>
      <c r="AN1648" t="s">
        <v>200</v>
      </c>
    </row>
    <row r="1649" spans="1:40" x14ac:dyDescent="0.35">
      <c r="A1649" t="s">
        <v>37</v>
      </c>
      <c r="B1649" t="s">
        <v>6867</v>
      </c>
      <c r="C1649" t="s">
        <v>102</v>
      </c>
      <c r="D1649" t="s">
        <v>284</v>
      </c>
      <c r="E1649" t="s">
        <v>285</v>
      </c>
      <c r="F1649" s="1">
        <v>46073.602858796294</v>
      </c>
      <c r="G1649" t="s">
        <v>286</v>
      </c>
      <c r="H1649" t="s">
        <v>287</v>
      </c>
      <c r="I1649" t="s">
        <v>6868</v>
      </c>
      <c r="J1649" t="s">
        <v>6869</v>
      </c>
      <c r="K1649" t="s">
        <v>6870</v>
      </c>
      <c r="M1649" t="s">
        <v>47</v>
      </c>
      <c r="O1649" t="s">
        <v>77</v>
      </c>
      <c r="P1649" t="s">
        <v>78</v>
      </c>
      <c r="Q1649" t="s">
        <v>50</v>
      </c>
      <c r="R1649" t="s">
        <v>51</v>
      </c>
      <c r="S1649" t="s">
        <v>819</v>
      </c>
      <c r="T1649" t="s">
        <v>6871</v>
      </c>
      <c r="U1649" s="1">
        <v>46073.618425925924</v>
      </c>
      <c r="V1649" t="s">
        <v>54</v>
      </c>
      <c r="W1649" t="s">
        <v>55</v>
      </c>
      <c r="X1649" t="s">
        <v>134</v>
      </c>
      <c r="Y1649" t="s">
        <v>6872</v>
      </c>
      <c r="Z1649" t="s">
        <v>5594</v>
      </c>
      <c r="AA1649" t="s">
        <v>54</v>
      </c>
      <c r="AB1649" t="s">
        <v>291</v>
      </c>
      <c r="AC1649" t="s">
        <v>85</v>
      </c>
      <c r="AD1649" t="s">
        <v>51</v>
      </c>
      <c r="AE1649" t="s">
        <v>819</v>
      </c>
      <c r="AF1649" t="s">
        <v>6871</v>
      </c>
      <c r="AG1649" t="s">
        <v>5594</v>
      </c>
      <c r="AH1649" t="s">
        <v>292</v>
      </c>
      <c r="AK1649">
        <v>0</v>
      </c>
      <c r="AL1649" t="s">
        <v>61</v>
      </c>
      <c r="AM1649" t="s">
        <v>291</v>
      </c>
      <c r="AN1649" t="s">
        <v>293</v>
      </c>
    </row>
    <row r="1650" spans="1:40" x14ac:dyDescent="0.35">
      <c r="A1650" t="s">
        <v>37</v>
      </c>
      <c r="B1650" t="s">
        <v>6873</v>
      </c>
      <c r="C1650" t="s">
        <v>39</v>
      </c>
      <c r="D1650" t="s">
        <v>277</v>
      </c>
      <c r="E1650" t="s">
        <v>2372</v>
      </c>
      <c r="F1650" s="1">
        <v>46073.600405092591</v>
      </c>
      <c r="G1650" t="s">
        <v>105</v>
      </c>
      <c r="H1650" t="s">
        <v>106</v>
      </c>
      <c r="I1650" t="s">
        <v>6874</v>
      </c>
      <c r="J1650" t="s">
        <v>2344</v>
      </c>
      <c r="K1650" t="s">
        <v>2345</v>
      </c>
      <c r="M1650" t="s">
        <v>47</v>
      </c>
      <c r="O1650" t="s">
        <v>237</v>
      </c>
      <c r="P1650" t="s">
        <v>238</v>
      </c>
      <c r="Q1650" t="s">
        <v>110</v>
      </c>
      <c r="R1650" t="s">
        <v>111</v>
      </c>
      <c r="S1650" t="s">
        <v>2346</v>
      </c>
      <c r="T1650" t="s">
        <v>2363</v>
      </c>
      <c r="U1650" s="1">
        <v>46073.600763888891</v>
      </c>
      <c r="V1650" t="s">
        <v>54</v>
      </c>
      <c r="W1650" t="s">
        <v>55</v>
      </c>
      <c r="X1650" t="s">
        <v>134</v>
      </c>
      <c r="Y1650" t="s">
        <v>6875</v>
      </c>
      <c r="Z1650" t="s">
        <v>5594</v>
      </c>
      <c r="AA1650" t="s">
        <v>54</v>
      </c>
      <c r="AB1650" t="s">
        <v>2349</v>
      </c>
      <c r="AC1650" t="s">
        <v>242</v>
      </c>
      <c r="AD1650" t="s">
        <v>2350</v>
      </c>
      <c r="AE1650" t="s">
        <v>2351</v>
      </c>
      <c r="AF1650" t="s">
        <v>2352</v>
      </c>
      <c r="AG1650" t="s">
        <v>5594</v>
      </c>
      <c r="AH1650">
        <v>10352</v>
      </c>
      <c r="AK1650">
        <v>0</v>
      </c>
      <c r="AL1650" t="s">
        <v>61</v>
      </c>
      <c r="AM1650" t="s">
        <v>2375</v>
      </c>
      <c r="AN1650" t="s">
        <v>2376</v>
      </c>
    </row>
    <row r="1651" spans="1:40" x14ac:dyDescent="0.35">
      <c r="A1651" t="s">
        <v>37</v>
      </c>
      <c r="B1651" t="s">
        <v>6876</v>
      </c>
      <c r="C1651" t="s">
        <v>39</v>
      </c>
      <c r="D1651" t="s">
        <v>2386</v>
      </c>
      <c r="E1651" t="s">
        <v>1316</v>
      </c>
      <c r="F1651" s="1">
        <v>46073.599814814814</v>
      </c>
      <c r="G1651" t="s">
        <v>355</v>
      </c>
      <c r="H1651" t="s">
        <v>356</v>
      </c>
      <c r="I1651" t="s">
        <v>6877</v>
      </c>
      <c r="J1651" t="s">
        <v>6631</v>
      </c>
      <c r="K1651" t="s">
        <v>6632</v>
      </c>
      <c r="M1651" t="s">
        <v>47</v>
      </c>
      <c r="O1651" t="s">
        <v>77</v>
      </c>
      <c r="P1651" t="s">
        <v>78</v>
      </c>
      <c r="Q1651" t="s">
        <v>50</v>
      </c>
      <c r="R1651" t="s">
        <v>51</v>
      </c>
      <c r="S1651" t="s">
        <v>52</v>
      </c>
      <c r="T1651" t="s">
        <v>773</v>
      </c>
      <c r="U1651" s="1">
        <v>46073.613321759258</v>
      </c>
      <c r="V1651" t="s">
        <v>54</v>
      </c>
      <c r="W1651" t="s">
        <v>55</v>
      </c>
      <c r="X1651" t="s">
        <v>134</v>
      </c>
      <c r="Y1651" t="s">
        <v>6878</v>
      </c>
      <c r="Z1651" t="s">
        <v>5594</v>
      </c>
      <c r="AA1651" t="s">
        <v>54</v>
      </c>
      <c r="AB1651" t="s">
        <v>2388</v>
      </c>
      <c r="AC1651" t="s">
        <v>85</v>
      </c>
      <c r="AD1651" t="s">
        <v>52</v>
      </c>
      <c r="AE1651" t="s">
        <v>967</v>
      </c>
      <c r="AF1651" t="s">
        <v>2563</v>
      </c>
      <c r="AG1651" t="s">
        <v>5594</v>
      </c>
      <c r="AK1651">
        <v>0</v>
      </c>
      <c r="AL1651" t="s">
        <v>61</v>
      </c>
      <c r="AM1651" t="s">
        <v>2388</v>
      </c>
      <c r="AN1651" t="s">
        <v>2389</v>
      </c>
    </row>
    <row r="1652" spans="1:40" x14ac:dyDescent="0.35">
      <c r="A1652" t="s">
        <v>37</v>
      </c>
      <c r="B1652" t="s">
        <v>6879</v>
      </c>
      <c r="C1652" t="s">
        <v>39</v>
      </c>
      <c r="D1652" t="s">
        <v>2386</v>
      </c>
      <c r="E1652" t="s">
        <v>1316</v>
      </c>
      <c r="F1652" s="1">
        <v>46073.599814814814</v>
      </c>
      <c r="G1652" t="s">
        <v>355</v>
      </c>
      <c r="H1652" t="s">
        <v>356</v>
      </c>
      <c r="I1652" t="s">
        <v>6880</v>
      </c>
      <c r="J1652" t="s">
        <v>6631</v>
      </c>
      <c r="K1652" t="s">
        <v>6632</v>
      </c>
      <c r="M1652" t="s">
        <v>47</v>
      </c>
      <c r="O1652" t="s">
        <v>77</v>
      </c>
      <c r="P1652" t="s">
        <v>78</v>
      </c>
      <c r="Q1652" t="s">
        <v>50</v>
      </c>
      <c r="R1652" t="s">
        <v>51</v>
      </c>
      <c r="S1652" t="s">
        <v>52</v>
      </c>
      <c r="T1652" t="s">
        <v>773</v>
      </c>
      <c r="U1652" s="1">
        <v>46073.613043981481</v>
      </c>
      <c r="V1652" t="s">
        <v>54</v>
      </c>
      <c r="W1652" t="s">
        <v>55</v>
      </c>
      <c r="X1652" t="s">
        <v>134</v>
      </c>
      <c r="Y1652" t="s">
        <v>6881</v>
      </c>
      <c r="Z1652" t="s">
        <v>5594</v>
      </c>
      <c r="AA1652" t="s">
        <v>54</v>
      </c>
      <c r="AB1652" t="s">
        <v>2388</v>
      </c>
      <c r="AC1652" t="s">
        <v>85</v>
      </c>
      <c r="AD1652" t="s">
        <v>52</v>
      </c>
      <c r="AE1652" t="s">
        <v>967</v>
      </c>
      <c r="AF1652" t="s">
        <v>2563</v>
      </c>
      <c r="AG1652" t="s">
        <v>5594</v>
      </c>
      <c r="AK1652">
        <v>0</v>
      </c>
      <c r="AL1652" t="s">
        <v>61</v>
      </c>
      <c r="AM1652" t="s">
        <v>2388</v>
      </c>
      <c r="AN1652" t="s">
        <v>2389</v>
      </c>
    </row>
    <row r="1653" spans="1:40" x14ac:dyDescent="0.35">
      <c r="A1653" t="s">
        <v>37</v>
      </c>
      <c r="B1653" t="s">
        <v>6882</v>
      </c>
      <c r="C1653" t="s">
        <v>39</v>
      </c>
      <c r="D1653" t="s">
        <v>277</v>
      </c>
      <c r="E1653" t="s">
        <v>2372</v>
      </c>
      <c r="F1653" s="1">
        <v>46073.599583333336</v>
      </c>
      <c r="G1653" t="s">
        <v>105</v>
      </c>
      <c r="H1653" t="s">
        <v>106</v>
      </c>
      <c r="I1653" t="s">
        <v>6874</v>
      </c>
      <c r="J1653" t="s">
        <v>2344</v>
      </c>
      <c r="K1653" t="s">
        <v>2345</v>
      </c>
      <c r="M1653" t="s">
        <v>47</v>
      </c>
      <c r="O1653" t="s">
        <v>237</v>
      </c>
      <c r="P1653" t="s">
        <v>238</v>
      </c>
      <c r="Q1653" t="s">
        <v>110</v>
      </c>
      <c r="R1653" t="s">
        <v>111</v>
      </c>
      <c r="S1653" t="s">
        <v>2346</v>
      </c>
      <c r="T1653" t="s">
        <v>2363</v>
      </c>
      <c r="U1653" s="1">
        <v>46073.599930555552</v>
      </c>
      <c r="V1653" t="s">
        <v>54</v>
      </c>
      <c r="W1653" t="s">
        <v>55</v>
      </c>
      <c r="X1653" t="s">
        <v>134</v>
      </c>
      <c r="Y1653" t="s">
        <v>6883</v>
      </c>
      <c r="Z1653" t="s">
        <v>5594</v>
      </c>
      <c r="AA1653" t="s">
        <v>54</v>
      </c>
      <c r="AB1653" t="s">
        <v>2349</v>
      </c>
      <c r="AC1653" t="s">
        <v>242</v>
      </c>
      <c r="AD1653" t="s">
        <v>2350</v>
      </c>
      <c r="AE1653" t="s">
        <v>2351</v>
      </c>
      <c r="AF1653" t="s">
        <v>2352</v>
      </c>
      <c r="AG1653" t="s">
        <v>5594</v>
      </c>
      <c r="AH1653">
        <v>10352</v>
      </c>
      <c r="AK1653">
        <v>0</v>
      </c>
      <c r="AL1653" t="s">
        <v>61</v>
      </c>
      <c r="AM1653" t="s">
        <v>2375</v>
      </c>
      <c r="AN1653" t="s">
        <v>2376</v>
      </c>
    </row>
    <row r="1654" spans="1:40" x14ac:dyDescent="0.35">
      <c r="A1654" t="s">
        <v>37</v>
      </c>
      <c r="B1654" t="s">
        <v>6884</v>
      </c>
      <c r="C1654" t="s">
        <v>39</v>
      </c>
      <c r="D1654" t="s">
        <v>2386</v>
      </c>
      <c r="E1654" t="s">
        <v>1316</v>
      </c>
      <c r="F1654" s="1">
        <v>46073.598969907405</v>
      </c>
      <c r="G1654" t="s">
        <v>355</v>
      </c>
      <c r="H1654" t="s">
        <v>356</v>
      </c>
      <c r="I1654" t="s">
        <v>6885</v>
      </c>
      <c r="J1654" t="s">
        <v>6631</v>
      </c>
      <c r="K1654" t="s">
        <v>6632</v>
      </c>
      <c r="M1654" t="s">
        <v>47</v>
      </c>
      <c r="O1654" t="s">
        <v>77</v>
      </c>
      <c r="P1654" t="s">
        <v>78</v>
      </c>
      <c r="Q1654" t="s">
        <v>50</v>
      </c>
      <c r="R1654" t="s">
        <v>51</v>
      </c>
      <c r="S1654" t="s">
        <v>52</v>
      </c>
      <c r="T1654" t="s">
        <v>773</v>
      </c>
      <c r="U1654" s="1">
        <v>46073.61278935185</v>
      </c>
      <c r="V1654" t="s">
        <v>54</v>
      </c>
      <c r="W1654" t="s">
        <v>55</v>
      </c>
      <c r="X1654" t="s">
        <v>134</v>
      </c>
      <c r="Y1654" t="s">
        <v>6886</v>
      </c>
      <c r="Z1654" t="s">
        <v>5594</v>
      </c>
      <c r="AA1654" t="s">
        <v>54</v>
      </c>
      <c r="AB1654" t="s">
        <v>2388</v>
      </c>
      <c r="AC1654" t="s">
        <v>85</v>
      </c>
      <c r="AD1654" t="s">
        <v>52</v>
      </c>
      <c r="AE1654" t="s">
        <v>967</v>
      </c>
      <c r="AF1654" t="s">
        <v>2563</v>
      </c>
      <c r="AG1654" t="s">
        <v>5594</v>
      </c>
      <c r="AK1654">
        <v>0</v>
      </c>
      <c r="AL1654" t="s">
        <v>61</v>
      </c>
      <c r="AM1654" t="s">
        <v>2388</v>
      </c>
      <c r="AN1654" t="s">
        <v>2389</v>
      </c>
    </row>
    <row r="1655" spans="1:40" x14ac:dyDescent="0.35">
      <c r="A1655" t="s">
        <v>37</v>
      </c>
      <c r="B1655" t="s">
        <v>6887</v>
      </c>
      <c r="C1655" t="s">
        <v>39</v>
      </c>
      <c r="D1655" t="s">
        <v>2386</v>
      </c>
      <c r="E1655" t="s">
        <v>1316</v>
      </c>
      <c r="F1655" s="1">
        <v>46073.598969907405</v>
      </c>
      <c r="G1655" t="s">
        <v>355</v>
      </c>
      <c r="H1655" t="s">
        <v>356</v>
      </c>
      <c r="I1655" t="s">
        <v>6888</v>
      </c>
      <c r="J1655" t="s">
        <v>6631</v>
      </c>
      <c r="K1655" t="s">
        <v>6632</v>
      </c>
      <c r="M1655" t="s">
        <v>47</v>
      </c>
      <c r="O1655" t="s">
        <v>77</v>
      </c>
      <c r="P1655" t="s">
        <v>78</v>
      </c>
      <c r="Q1655" t="s">
        <v>50</v>
      </c>
      <c r="R1655" t="s">
        <v>51</v>
      </c>
      <c r="S1655" t="s">
        <v>52</v>
      </c>
      <c r="T1655" t="s">
        <v>773</v>
      </c>
      <c r="U1655" s="1">
        <v>46073.612500000003</v>
      </c>
      <c r="V1655" t="s">
        <v>54</v>
      </c>
      <c r="W1655" t="s">
        <v>55</v>
      </c>
      <c r="X1655" t="s">
        <v>134</v>
      </c>
      <c r="Y1655" t="s">
        <v>6889</v>
      </c>
      <c r="Z1655" t="s">
        <v>5594</v>
      </c>
      <c r="AA1655" t="s">
        <v>54</v>
      </c>
      <c r="AB1655" t="s">
        <v>2388</v>
      </c>
      <c r="AC1655" t="s">
        <v>85</v>
      </c>
      <c r="AD1655" t="s">
        <v>52</v>
      </c>
      <c r="AE1655" t="s">
        <v>2575</v>
      </c>
      <c r="AF1655" t="s">
        <v>2576</v>
      </c>
      <c r="AG1655" t="s">
        <v>5594</v>
      </c>
      <c r="AK1655">
        <v>0</v>
      </c>
      <c r="AL1655" t="s">
        <v>61</v>
      </c>
      <c r="AM1655" t="s">
        <v>2388</v>
      </c>
      <c r="AN1655" t="s">
        <v>2389</v>
      </c>
    </row>
    <row r="1656" spans="1:40" x14ac:dyDescent="0.35">
      <c r="A1656" t="s">
        <v>37</v>
      </c>
      <c r="B1656" t="s">
        <v>6890</v>
      </c>
      <c r="C1656" t="s">
        <v>39</v>
      </c>
      <c r="D1656" t="s">
        <v>2386</v>
      </c>
      <c r="E1656" t="s">
        <v>1316</v>
      </c>
      <c r="F1656" s="1">
        <v>46073.598969907405</v>
      </c>
      <c r="G1656" t="s">
        <v>355</v>
      </c>
      <c r="H1656" t="s">
        <v>356</v>
      </c>
      <c r="I1656" t="s">
        <v>6891</v>
      </c>
      <c r="J1656" t="s">
        <v>6631</v>
      </c>
      <c r="K1656" t="s">
        <v>6632</v>
      </c>
      <c r="M1656" t="s">
        <v>47</v>
      </c>
      <c r="O1656" t="s">
        <v>77</v>
      </c>
      <c r="P1656" t="s">
        <v>78</v>
      </c>
      <c r="Q1656" t="s">
        <v>50</v>
      </c>
      <c r="R1656" t="s">
        <v>51</v>
      </c>
      <c r="S1656" t="s">
        <v>52</v>
      </c>
      <c r="T1656" t="s">
        <v>773</v>
      </c>
      <c r="U1656" s="1">
        <v>46073.612245370372</v>
      </c>
      <c r="V1656" t="s">
        <v>54</v>
      </c>
      <c r="W1656" t="s">
        <v>55</v>
      </c>
      <c r="X1656" t="s">
        <v>134</v>
      </c>
      <c r="Y1656" t="s">
        <v>6892</v>
      </c>
      <c r="Z1656" t="s">
        <v>5594</v>
      </c>
      <c r="AA1656" t="s">
        <v>54</v>
      </c>
      <c r="AB1656" t="s">
        <v>2388</v>
      </c>
      <c r="AC1656" t="s">
        <v>85</v>
      </c>
      <c r="AD1656" t="s">
        <v>52</v>
      </c>
      <c r="AE1656" t="s">
        <v>6643</v>
      </c>
      <c r="AF1656" t="s">
        <v>6644</v>
      </c>
      <c r="AG1656" t="s">
        <v>5594</v>
      </c>
      <c r="AK1656">
        <v>0</v>
      </c>
      <c r="AL1656" t="s">
        <v>61</v>
      </c>
      <c r="AM1656" t="s">
        <v>2388</v>
      </c>
      <c r="AN1656" t="s">
        <v>2389</v>
      </c>
    </row>
    <row r="1657" spans="1:40" x14ac:dyDescent="0.35">
      <c r="A1657" t="s">
        <v>37</v>
      </c>
      <c r="B1657" t="s">
        <v>6893</v>
      </c>
      <c r="C1657" t="s">
        <v>39</v>
      </c>
      <c r="D1657" t="s">
        <v>2386</v>
      </c>
      <c r="E1657" t="s">
        <v>1316</v>
      </c>
      <c r="F1657" s="1">
        <v>46073.598067129627</v>
      </c>
      <c r="G1657" t="s">
        <v>355</v>
      </c>
      <c r="H1657" t="s">
        <v>356</v>
      </c>
      <c r="I1657" t="s">
        <v>6782</v>
      </c>
      <c r="J1657" t="s">
        <v>6631</v>
      </c>
      <c r="K1657" t="s">
        <v>6632</v>
      </c>
      <c r="M1657" t="s">
        <v>47</v>
      </c>
      <c r="O1657" t="s">
        <v>77</v>
      </c>
      <c r="P1657" t="s">
        <v>78</v>
      </c>
      <c r="Q1657" t="s">
        <v>50</v>
      </c>
      <c r="R1657" t="s">
        <v>51</v>
      </c>
      <c r="S1657" t="s">
        <v>52</v>
      </c>
      <c r="T1657" t="s">
        <v>773</v>
      </c>
      <c r="U1657" s="1">
        <v>46073.611979166664</v>
      </c>
      <c r="V1657" t="s">
        <v>54</v>
      </c>
      <c r="W1657" t="s">
        <v>55</v>
      </c>
      <c r="X1657" t="s">
        <v>134</v>
      </c>
      <c r="Y1657" t="s">
        <v>6894</v>
      </c>
      <c r="Z1657" t="s">
        <v>5594</v>
      </c>
      <c r="AA1657" t="s">
        <v>54</v>
      </c>
      <c r="AB1657" t="s">
        <v>2388</v>
      </c>
      <c r="AC1657" t="s">
        <v>85</v>
      </c>
      <c r="AD1657" t="s">
        <v>52</v>
      </c>
      <c r="AE1657" t="s">
        <v>967</v>
      </c>
      <c r="AF1657" t="s">
        <v>2563</v>
      </c>
      <c r="AG1657" t="s">
        <v>5594</v>
      </c>
      <c r="AK1657">
        <v>0</v>
      </c>
      <c r="AL1657" t="s">
        <v>61</v>
      </c>
      <c r="AM1657" t="s">
        <v>2388</v>
      </c>
      <c r="AN1657" t="s">
        <v>2389</v>
      </c>
    </row>
    <row r="1658" spans="1:40" x14ac:dyDescent="0.35">
      <c r="A1658" t="s">
        <v>37</v>
      </c>
      <c r="B1658" t="s">
        <v>6895</v>
      </c>
      <c r="C1658" t="s">
        <v>39</v>
      </c>
      <c r="D1658" t="s">
        <v>2386</v>
      </c>
      <c r="E1658" t="s">
        <v>1316</v>
      </c>
      <c r="F1658" s="1">
        <v>46073.598067129627</v>
      </c>
      <c r="G1658" t="s">
        <v>355</v>
      </c>
      <c r="H1658" t="s">
        <v>356</v>
      </c>
      <c r="I1658" t="s">
        <v>6810</v>
      </c>
      <c r="J1658" t="s">
        <v>6631</v>
      </c>
      <c r="K1658" t="s">
        <v>6632</v>
      </c>
      <c r="M1658" t="s">
        <v>47</v>
      </c>
      <c r="O1658" t="s">
        <v>77</v>
      </c>
      <c r="P1658" t="s">
        <v>78</v>
      </c>
      <c r="Q1658" t="s">
        <v>50</v>
      </c>
      <c r="R1658" t="s">
        <v>51</v>
      </c>
      <c r="S1658" t="s">
        <v>52</v>
      </c>
      <c r="T1658" t="s">
        <v>773</v>
      </c>
      <c r="U1658" s="1">
        <v>46073.611701388887</v>
      </c>
      <c r="V1658" t="s">
        <v>54</v>
      </c>
      <c r="W1658" t="s">
        <v>55</v>
      </c>
      <c r="X1658" t="s">
        <v>134</v>
      </c>
      <c r="Y1658" t="s">
        <v>6896</v>
      </c>
      <c r="Z1658" t="s">
        <v>5594</v>
      </c>
      <c r="AA1658" t="s">
        <v>54</v>
      </c>
      <c r="AB1658" t="s">
        <v>2388</v>
      </c>
      <c r="AC1658" t="s">
        <v>85</v>
      </c>
      <c r="AD1658" t="s">
        <v>52</v>
      </c>
      <c r="AE1658" t="s">
        <v>967</v>
      </c>
      <c r="AF1658" t="s">
        <v>2563</v>
      </c>
      <c r="AG1658" t="s">
        <v>5594</v>
      </c>
      <c r="AK1658">
        <v>0</v>
      </c>
      <c r="AL1658" t="s">
        <v>61</v>
      </c>
      <c r="AM1658" t="s">
        <v>2388</v>
      </c>
      <c r="AN1658" t="s">
        <v>2389</v>
      </c>
    </row>
    <row r="1659" spans="1:40" x14ac:dyDescent="0.35">
      <c r="A1659" t="s">
        <v>37</v>
      </c>
      <c r="B1659" t="s">
        <v>6897</v>
      </c>
      <c r="C1659" t="s">
        <v>39</v>
      </c>
      <c r="D1659" t="s">
        <v>2386</v>
      </c>
      <c r="E1659" t="s">
        <v>1316</v>
      </c>
      <c r="F1659" s="1">
        <v>46073.598067129627</v>
      </c>
      <c r="G1659" t="s">
        <v>355</v>
      </c>
      <c r="H1659" t="s">
        <v>356</v>
      </c>
      <c r="I1659" t="s">
        <v>6898</v>
      </c>
      <c r="J1659" t="s">
        <v>6631</v>
      </c>
      <c r="K1659" t="s">
        <v>6632</v>
      </c>
      <c r="M1659" t="s">
        <v>47</v>
      </c>
      <c r="O1659" t="s">
        <v>77</v>
      </c>
      <c r="P1659" t="s">
        <v>78</v>
      </c>
      <c r="Q1659" t="s">
        <v>50</v>
      </c>
      <c r="R1659" t="s">
        <v>51</v>
      </c>
      <c r="S1659" t="s">
        <v>52</v>
      </c>
      <c r="T1659" t="s">
        <v>773</v>
      </c>
      <c r="U1659" s="1">
        <v>46073.611377314817</v>
      </c>
      <c r="V1659" t="s">
        <v>54</v>
      </c>
      <c r="W1659" t="s">
        <v>55</v>
      </c>
      <c r="X1659" t="s">
        <v>134</v>
      </c>
      <c r="Y1659" t="s">
        <v>6899</v>
      </c>
      <c r="Z1659" t="s">
        <v>5594</v>
      </c>
      <c r="AA1659" t="s">
        <v>54</v>
      </c>
      <c r="AB1659" t="s">
        <v>2388</v>
      </c>
      <c r="AC1659" t="s">
        <v>85</v>
      </c>
      <c r="AD1659" t="s">
        <v>52</v>
      </c>
      <c r="AE1659" t="s">
        <v>967</v>
      </c>
      <c r="AF1659" t="s">
        <v>2563</v>
      </c>
      <c r="AG1659" t="s">
        <v>5594</v>
      </c>
      <c r="AK1659">
        <v>0</v>
      </c>
      <c r="AL1659" t="s">
        <v>61</v>
      </c>
      <c r="AM1659" t="s">
        <v>2388</v>
      </c>
      <c r="AN1659" t="s">
        <v>2389</v>
      </c>
    </row>
    <row r="1660" spans="1:40" x14ac:dyDescent="0.35">
      <c r="A1660" t="s">
        <v>37</v>
      </c>
      <c r="B1660" t="s">
        <v>6900</v>
      </c>
      <c r="C1660" t="s">
        <v>39</v>
      </c>
      <c r="D1660" t="s">
        <v>2386</v>
      </c>
      <c r="E1660" t="s">
        <v>1316</v>
      </c>
      <c r="F1660" s="1">
        <v>46073.598067129627</v>
      </c>
      <c r="G1660" t="s">
        <v>355</v>
      </c>
      <c r="H1660" t="s">
        <v>356</v>
      </c>
      <c r="I1660" t="s">
        <v>6901</v>
      </c>
      <c r="J1660" t="s">
        <v>6631</v>
      </c>
      <c r="K1660" t="s">
        <v>6632</v>
      </c>
      <c r="M1660" t="s">
        <v>47</v>
      </c>
      <c r="O1660" t="s">
        <v>77</v>
      </c>
      <c r="P1660" t="s">
        <v>78</v>
      </c>
      <c r="Q1660" t="s">
        <v>50</v>
      </c>
      <c r="R1660" t="s">
        <v>51</v>
      </c>
      <c r="S1660" t="s">
        <v>52</v>
      </c>
      <c r="T1660" t="s">
        <v>773</v>
      </c>
      <c r="U1660" s="1">
        <v>46073.611006944448</v>
      </c>
      <c r="V1660" t="s">
        <v>54</v>
      </c>
      <c r="W1660" t="s">
        <v>55</v>
      </c>
      <c r="X1660" t="s">
        <v>134</v>
      </c>
      <c r="Y1660" t="s">
        <v>6902</v>
      </c>
      <c r="Z1660" t="s">
        <v>5594</v>
      </c>
      <c r="AA1660" t="s">
        <v>54</v>
      </c>
      <c r="AB1660" t="s">
        <v>2388</v>
      </c>
      <c r="AC1660" t="s">
        <v>85</v>
      </c>
      <c r="AD1660" t="s">
        <v>52</v>
      </c>
      <c r="AE1660" t="s">
        <v>999</v>
      </c>
      <c r="AF1660" t="s">
        <v>6634</v>
      </c>
      <c r="AG1660" t="s">
        <v>5594</v>
      </c>
      <c r="AK1660">
        <v>0</v>
      </c>
      <c r="AL1660" t="s">
        <v>61</v>
      </c>
      <c r="AM1660" t="s">
        <v>2388</v>
      </c>
      <c r="AN1660" t="s">
        <v>2389</v>
      </c>
    </row>
    <row r="1661" spans="1:40" x14ac:dyDescent="0.35">
      <c r="A1661" t="s">
        <v>37</v>
      </c>
      <c r="B1661" t="s">
        <v>6903</v>
      </c>
      <c r="C1661" t="s">
        <v>39</v>
      </c>
      <c r="D1661" t="s">
        <v>2386</v>
      </c>
      <c r="E1661" t="s">
        <v>1316</v>
      </c>
      <c r="F1661" s="1">
        <v>46073.598067129627</v>
      </c>
      <c r="G1661" t="s">
        <v>355</v>
      </c>
      <c r="H1661" t="s">
        <v>356</v>
      </c>
      <c r="I1661" t="s">
        <v>6904</v>
      </c>
      <c r="J1661" t="s">
        <v>6631</v>
      </c>
      <c r="K1661" t="s">
        <v>6632</v>
      </c>
      <c r="M1661" t="s">
        <v>47</v>
      </c>
      <c r="O1661" t="s">
        <v>77</v>
      </c>
      <c r="P1661" t="s">
        <v>78</v>
      </c>
      <c r="Q1661" t="s">
        <v>50</v>
      </c>
      <c r="R1661" t="s">
        <v>51</v>
      </c>
      <c r="S1661" t="s">
        <v>52</v>
      </c>
      <c r="T1661" t="s">
        <v>773</v>
      </c>
      <c r="U1661" s="1">
        <v>46073.610671296294</v>
      </c>
      <c r="V1661" t="s">
        <v>54</v>
      </c>
      <c r="W1661" t="s">
        <v>55</v>
      </c>
      <c r="X1661" t="s">
        <v>134</v>
      </c>
      <c r="Y1661" t="s">
        <v>6905</v>
      </c>
      <c r="Z1661" t="s">
        <v>5594</v>
      </c>
      <c r="AA1661" t="s">
        <v>54</v>
      </c>
      <c r="AB1661" t="s">
        <v>2388</v>
      </c>
      <c r="AC1661" t="s">
        <v>85</v>
      </c>
      <c r="AD1661" t="s">
        <v>52</v>
      </c>
      <c r="AE1661" t="s">
        <v>967</v>
      </c>
      <c r="AF1661" t="s">
        <v>2563</v>
      </c>
      <c r="AG1661" t="s">
        <v>5594</v>
      </c>
      <c r="AK1661">
        <v>0</v>
      </c>
      <c r="AL1661" t="s">
        <v>61</v>
      </c>
      <c r="AM1661" t="s">
        <v>2388</v>
      </c>
      <c r="AN1661" t="s">
        <v>2389</v>
      </c>
    </row>
    <row r="1662" spans="1:40" x14ac:dyDescent="0.35">
      <c r="A1662" t="s">
        <v>37</v>
      </c>
      <c r="B1662" t="s">
        <v>6906</v>
      </c>
      <c r="C1662" t="s">
        <v>102</v>
      </c>
      <c r="D1662" t="s">
        <v>1698</v>
      </c>
      <c r="E1662" t="s">
        <v>584</v>
      </c>
      <c r="F1662" s="1">
        <v>46073.598865740743</v>
      </c>
      <c r="G1662" t="s">
        <v>105</v>
      </c>
      <c r="H1662" t="s">
        <v>106</v>
      </c>
      <c r="I1662" t="s">
        <v>6282</v>
      </c>
      <c r="J1662" t="s">
        <v>108</v>
      </c>
      <c r="K1662" t="s">
        <v>341</v>
      </c>
      <c r="M1662" t="s">
        <v>47</v>
      </c>
      <c r="O1662" t="s">
        <v>77</v>
      </c>
      <c r="P1662" t="s">
        <v>78</v>
      </c>
      <c r="Q1662" t="s">
        <v>50</v>
      </c>
      <c r="R1662" t="s">
        <v>111</v>
      </c>
      <c r="S1662" t="s">
        <v>51</v>
      </c>
      <c r="T1662" t="s">
        <v>112</v>
      </c>
      <c r="U1662" s="1">
        <v>46073.944537037038</v>
      </c>
      <c r="V1662" t="s">
        <v>54</v>
      </c>
      <c r="X1662" t="s">
        <v>56</v>
      </c>
      <c r="Y1662" t="s">
        <v>6907</v>
      </c>
      <c r="Z1662" t="s">
        <v>5594</v>
      </c>
      <c r="AA1662" t="s">
        <v>54</v>
      </c>
      <c r="AB1662" t="s">
        <v>115</v>
      </c>
      <c r="AC1662" t="s">
        <v>85</v>
      </c>
      <c r="AD1662" t="s">
        <v>116</v>
      </c>
      <c r="AE1662" t="s">
        <v>117</v>
      </c>
      <c r="AF1662" t="s">
        <v>343</v>
      </c>
      <c r="AG1662" t="s">
        <v>5594</v>
      </c>
      <c r="AK1662">
        <v>1</v>
      </c>
      <c r="AL1662" t="s">
        <v>61</v>
      </c>
      <c r="AM1662" t="s">
        <v>1701</v>
      </c>
      <c r="AN1662" t="s">
        <v>1702</v>
      </c>
    </row>
    <row r="1663" spans="1:40" x14ac:dyDescent="0.35">
      <c r="A1663" t="s">
        <v>37</v>
      </c>
      <c r="B1663" t="s">
        <v>6908</v>
      </c>
      <c r="C1663" t="s">
        <v>39</v>
      </c>
      <c r="D1663" t="s">
        <v>2386</v>
      </c>
      <c r="E1663" t="s">
        <v>1316</v>
      </c>
      <c r="F1663" s="1">
        <v>46073.596979166665</v>
      </c>
      <c r="G1663" t="s">
        <v>355</v>
      </c>
      <c r="H1663" t="s">
        <v>356</v>
      </c>
      <c r="I1663" t="s">
        <v>6909</v>
      </c>
      <c r="J1663" t="s">
        <v>6631</v>
      </c>
      <c r="K1663" t="s">
        <v>6632</v>
      </c>
      <c r="M1663" t="s">
        <v>47</v>
      </c>
      <c r="O1663" t="s">
        <v>77</v>
      </c>
      <c r="P1663" t="s">
        <v>78</v>
      </c>
      <c r="Q1663" t="s">
        <v>50</v>
      </c>
      <c r="R1663" t="s">
        <v>51</v>
      </c>
      <c r="S1663" t="s">
        <v>52</v>
      </c>
      <c r="T1663" t="s">
        <v>773</v>
      </c>
      <c r="U1663" s="1">
        <v>46073.610393518517</v>
      </c>
      <c r="V1663" t="s">
        <v>54</v>
      </c>
      <c r="W1663" t="s">
        <v>55</v>
      </c>
      <c r="X1663" t="s">
        <v>134</v>
      </c>
      <c r="Y1663" t="s">
        <v>6910</v>
      </c>
      <c r="Z1663" t="s">
        <v>5594</v>
      </c>
      <c r="AA1663" t="s">
        <v>54</v>
      </c>
      <c r="AB1663" t="s">
        <v>2388</v>
      </c>
      <c r="AC1663" t="s">
        <v>85</v>
      </c>
      <c r="AD1663" t="s">
        <v>52</v>
      </c>
      <c r="AE1663" t="s">
        <v>967</v>
      </c>
      <c r="AF1663" t="s">
        <v>2563</v>
      </c>
      <c r="AG1663" t="s">
        <v>5594</v>
      </c>
      <c r="AK1663">
        <v>0</v>
      </c>
      <c r="AL1663" t="s">
        <v>61</v>
      </c>
      <c r="AM1663" t="s">
        <v>2388</v>
      </c>
      <c r="AN1663" t="s">
        <v>2389</v>
      </c>
    </row>
    <row r="1664" spans="1:40" x14ac:dyDescent="0.35">
      <c r="A1664" t="s">
        <v>37</v>
      </c>
      <c r="B1664" t="s">
        <v>6911</v>
      </c>
      <c r="C1664" t="s">
        <v>39</v>
      </c>
      <c r="D1664" t="s">
        <v>2386</v>
      </c>
      <c r="E1664" t="s">
        <v>1316</v>
      </c>
      <c r="F1664" s="1">
        <v>46073.596979166665</v>
      </c>
      <c r="G1664" t="s">
        <v>355</v>
      </c>
      <c r="H1664" t="s">
        <v>356</v>
      </c>
      <c r="I1664" t="s">
        <v>6912</v>
      </c>
      <c r="J1664" t="s">
        <v>6631</v>
      </c>
      <c r="K1664" t="s">
        <v>6632</v>
      </c>
      <c r="M1664" t="s">
        <v>47</v>
      </c>
      <c r="O1664" t="s">
        <v>77</v>
      </c>
      <c r="P1664" t="s">
        <v>78</v>
      </c>
      <c r="Q1664" t="s">
        <v>50</v>
      </c>
      <c r="R1664" t="s">
        <v>51</v>
      </c>
      <c r="S1664" t="s">
        <v>52</v>
      </c>
      <c r="T1664" t="s">
        <v>773</v>
      </c>
      <c r="U1664" s="1">
        <v>46073.61010416667</v>
      </c>
      <c r="V1664" t="s">
        <v>54</v>
      </c>
      <c r="W1664" t="s">
        <v>55</v>
      </c>
      <c r="X1664" t="s">
        <v>134</v>
      </c>
      <c r="Y1664" t="s">
        <v>6913</v>
      </c>
      <c r="Z1664" t="s">
        <v>5594</v>
      </c>
      <c r="AA1664" t="s">
        <v>54</v>
      </c>
      <c r="AB1664" t="s">
        <v>2388</v>
      </c>
      <c r="AC1664" t="s">
        <v>85</v>
      </c>
      <c r="AD1664" t="s">
        <v>52</v>
      </c>
      <c r="AE1664" t="s">
        <v>967</v>
      </c>
      <c r="AF1664" t="s">
        <v>2563</v>
      </c>
      <c r="AG1664" t="s">
        <v>5594</v>
      </c>
      <c r="AK1664">
        <v>0</v>
      </c>
      <c r="AL1664" t="s">
        <v>61</v>
      </c>
      <c r="AM1664" t="s">
        <v>2388</v>
      </c>
      <c r="AN1664" t="s">
        <v>2389</v>
      </c>
    </row>
    <row r="1665" spans="1:40" x14ac:dyDescent="0.35">
      <c r="A1665" t="s">
        <v>37</v>
      </c>
      <c r="B1665" t="s">
        <v>6914</v>
      </c>
      <c r="C1665" t="s">
        <v>39</v>
      </c>
      <c r="D1665" t="s">
        <v>2386</v>
      </c>
      <c r="E1665" t="s">
        <v>1316</v>
      </c>
      <c r="F1665" s="1">
        <v>46073.596979166665</v>
      </c>
      <c r="G1665" t="s">
        <v>355</v>
      </c>
      <c r="H1665" t="s">
        <v>356</v>
      </c>
      <c r="I1665" t="s">
        <v>6915</v>
      </c>
      <c r="J1665" t="s">
        <v>6631</v>
      </c>
      <c r="K1665" t="s">
        <v>6632</v>
      </c>
      <c r="M1665" t="s">
        <v>47</v>
      </c>
      <c r="O1665" t="s">
        <v>77</v>
      </c>
      <c r="P1665" t="s">
        <v>78</v>
      </c>
      <c r="Q1665" t="s">
        <v>50</v>
      </c>
      <c r="R1665" t="s">
        <v>51</v>
      </c>
      <c r="S1665" t="s">
        <v>52</v>
      </c>
      <c r="T1665" t="s">
        <v>773</v>
      </c>
      <c r="U1665" s="1">
        <v>46073.609814814816</v>
      </c>
      <c r="V1665" t="s">
        <v>54</v>
      </c>
      <c r="W1665" t="s">
        <v>55</v>
      </c>
      <c r="X1665" t="s">
        <v>134</v>
      </c>
      <c r="Y1665" t="s">
        <v>6916</v>
      </c>
      <c r="Z1665" t="s">
        <v>5594</v>
      </c>
      <c r="AA1665" t="s">
        <v>54</v>
      </c>
      <c r="AB1665" t="s">
        <v>2388</v>
      </c>
      <c r="AC1665" t="s">
        <v>85</v>
      </c>
      <c r="AD1665" t="s">
        <v>52</v>
      </c>
      <c r="AE1665" t="s">
        <v>967</v>
      </c>
      <c r="AF1665" t="s">
        <v>2563</v>
      </c>
      <c r="AG1665" t="s">
        <v>5594</v>
      </c>
      <c r="AK1665">
        <v>0</v>
      </c>
      <c r="AL1665" t="s">
        <v>61</v>
      </c>
      <c r="AM1665" t="s">
        <v>2388</v>
      </c>
      <c r="AN1665" t="s">
        <v>2389</v>
      </c>
    </row>
    <row r="1666" spans="1:40" x14ac:dyDescent="0.35">
      <c r="A1666" t="s">
        <v>37</v>
      </c>
      <c r="B1666" t="s">
        <v>6917</v>
      </c>
      <c r="C1666" t="s">
        <v>39</v>
      </c>
      <c r="D1666" t="s">
        <v>2386</v>
      </c>
      <c r="E1666" t="s">
        <v>1316</v>
      </c>
      <c r="F1666" s="1">
        <v>46073.596979166665</v>
      </c>
      <c r="G1666" t="s">
        <v>355</v>
      </c>
      <c r="H1666" t="s">
        <v>356</v>
      </c>
      <c r="I1666" t="s">
        <v>6918</v>
      </c>
      <c r="J1666" t="s">
        <v>6631</v>
      </c>
      <c r="K1666" t="s">
        <v>6632</v>
      </c>
      <c r="M1666" t="s">
        <v>47</v>
      </c>
      <c r="O1666" t="s">
        <v>77</v>
      </c>
      <c r="P1666" t="s">
        <v>78</v>
      </c>
      <c r="Q1666" t="s">
        <v>50</v>
      </c>
      <c r="R1666" t="s">
        <v>51</v>
      </c>
      <c r="S1666" t="s">
        <v>52</v>
      </c>
      <c r="T1666" t="s">
        <v>773</v>
      </c>
      <c r="U1666" s="1">
        <v>46073.609548611108</v>
      </c>
      <c r="V1666" t="s">
        <v>54</v>
      </c>
      <c r="W1666" t="s">
        <v>55</v>
      </c>
      <c r="X1666" t="s">
        <v>134</v>
      </c>
      <c r="Y1666" t="s">
        <v>6833</v>
      </c>
      <c r="Z1666" t="s">
        <v>5594</v>
      </c>
      <c r="AA1666" t="s">
        <v>54</v>
      </c>
      <c r="AB1666" t="s">
        <v>2388</v>
      </c>
      <c r="AC1666" t="s">
        <v>85</v>
      </c>
      <c r="AD1666" t="s">
        <v>52</v>
      </c>
      <c r="AE1666" t="s">
        <v>967</v>
      </c>
      <c r="AF1666" t="s">
        <v>2563</v>
      </c>
      <c r="AG1666" t="s">
        <v>5594</v>
      </c>
      <c r="AK1666">
        <v>0</v>
      </c>
      <c r="AL1666" t="s">
        <v>61</v>
      </c>
      <c r="AM1666" t="s">
        <v>2388</v>
      </c>
      <c r="AN1666" t="s">
        <v>2389</v>
      </c>
    </row>
    <row r="1667" spans="1:40" x14ac:dyDescent="0.35">
      <c r="A1667" t="s">
        <v>37</v>
      </c>
      <c r="B1667" t="s">
        <v>6919</v>
      </c>
      <c r="C1667" t="s">
        <v>39</v>
      </c>
      <c r="D1667" t="s">
        <v>2386</v>
      </c>
      <c r="E1667" t="s">
        <v>1316</v>
      </c>
      <c r="F1667" s="1">
        <v>46073.596979166665</v>
      </c>
      <c r="G1667" t="s">
        <v>355</v>
      </c>
      <c r="H1667" t="s">
        <v>356</v>
      </c>
      <c r="I1667" t="s">
        <v>6920</v>
      </c>
      <c r="J1667" t="s">
        <v>6631</v>
      </c>
      <c r="K1667" t="s">
        <v>6632</v>
      </c>
      <c r="M1667" t="s">
        <v>47</v>
      </c>
      <c r="O1667" t="s">
        <v>77</v>
      </c>
      <c r="P1667" t="s">
        <v>78</v>
      </c>
      <c r="Q1667" t="s">
        <v>50</v>
      </c>
      <c r="R1667" t="s">
        <v>51</v>
      </c>
      <c r="S1667" t="s">
        <v>52</v>
      </c>
      <c r="T1667" t="s">
        <v>773</v>
      </c>
      <c r="U1667" s="1">
        <v>46073.609236111108</v>
      </c>
      <c r="V1667" t="s">
        <v>54</v>
      </c>
      <c r="W1667" t="s">
        <v>55</v>
      </c>
      <c r="X1667" t="s">
        <v>134</v>
      </c>
      <c r="Y1667" t="s">
        <v>6921</v>
      </c>
      <c r="Z1667" t="s">
        <v>5594</v>
      </c>
      <c r="AA1667" t="s">
        <v>54</v>
      </c>
      <c r="AB1667" t="s">
        <v>2388</v>
      </c>
      <c r="AC1667" t="s">
        <v>85</v>
      </c>
      <c r="AD1667" t="s">
        <v>52</v>
      </c>
      <c r="AE1667" t="s">
        <v>999</v>
      </c>
      <c r="AF1667" t="s">
        <v>6634</v>
      </c>
      <c r="AG1667" t="s">
        <v>5594</v>
      </c>
      <c r="AK1667">
        <v>0</v>
      </c>
      <c r="AL1667" t="s">
        <v>61</v>
      </c>
      <c r="AM1667" t="s">
        <v>2388</v>
      </c>
      <c r="AN1667" t="s">
        <v>2389</v>
      </c>
    </row>
    <row r="1668" spans="1:40" x14ac:dyDescent="0.35">
      <c r="A1668" t="s">
        <v>37</v>
      </c>
      <c r="B1668" t="s">
        <v>6922</v>
      </c>
      <c r="C1668" t="s">
        <v>39</v>
      </c>
      <c r="D1668" t="s">
        <v>2386</v>
      </c>
      <c r="E1668" t="s">
        <v>1316</v>
      </c>
      <c r="F1668" s="1">
        <v>46073.596979166665</v>
      </c>
      <c r="G1668" t="s">
        <v>355</v>
      </c>
      <c r="H1668" t="s">
        <v>356</v>
      </c>
      <c r="I1668" t="s">
        <v>6923</v>
      </c>
      <c r="J1668" t="s">
        <v>6631</v>
      </c>
      <c r="K1668" t="s">
        <v>6632</v>
      </c>
      <c r="M1668" t="s">
        <v>47</v>
      </c>
      <c r="O1668" t="s">
        <v>77</v>
      </c>
      <c r="P1668" t="s">
        <v>78</v>
      </c>
      <c r="Q1668" t="s">
        <v>50</v>
      </c>
      <c r="R1668" t="s">
        <v>51</v>
      </c>
      <c r="S1668" t="s">
        <v>52</v>
      </c>
      <c r="T1668" t="s">
        <v>773</v>
      </c>
      <c r="U1668" s="1">
        <v>46073.60869212963</v>
      </c>
      <c r="V1668" t="s">
        <v>54</v>
      </c>
      <c r="W1668" t="s">
        <v>55</v>
      </c>
      <c r="X1668" t="s">
        <v>134</v>
      </c>
      <c r="Y1668" t="s">
        <v>6924</v>
      </c>
      <c r="Z1668" t="s">
        <v>5594</v>
      </c>
      <c r="AA1668" t="s">
        <v>54</v>
      </c>
      <c r="AB1668" t="s">
        <v>2388</v>
      </c>
      <c r="AC1668" t="s">
        <v>85</v>
      </c>
      <c r="AD1668" t="s">
        <v>52</v>
      </c>
      <c r="AE1668" t="s">
        <v>967</v>
      </c>
      <c r="AF1668" t="s">
        <v>2563</v>
      </c>
      <c r="AG1668" t="s">
        <v>5594</v>
      </c>
      <c r="AK1668">
        <v>0</v>
      </c>
      <c r="AL1668" t="s">
        <v>61</v>
      </c>
      <c r="AM1668" t="s">
        <v>2388</v>
      </c>
      <c r="AN1668" t="s">
        <v>2389</v>
      </c>
    </row>
    <row r="1669" spans="1:40" x14ac:dyDescent="0.35">
      <c r="A1669" t="s">
        <v>37</v>
      </c>
      <c r="B1669" t="s">
        <v>6925</v>
      </c>
      <c r="C1669" t="s">
        <v>39</v>
      </c>
      <c r="D1669" t="s">
        <v>2386</v>
      </c>
      <c r="E1669" t="s">
        <v>1316</v>
      </c>
      <c r="F1669" s="1">
        <v>46073.596979166665</v>
      </c>
      <c r="G1669" t="s">
        <v>355</v>
      </c>
      <c r="H1669" t="s">
        <v>356</v>
      </c>
      <c r="I1669" t="s">
        <v>6926</v>
      </c>
      <c r="J1669" t="s">
        <v>6631</v>
      </c>
      <c r="K1669" t="s">
        <v>6632</v>
      </c>
      <c r="M1669" t="s">
        <v>47</v>
      </c>
      <c r="O1669" t="s">
        <v>77</v>
      </c>
      <c r="P1669" t="s">
        <v>78</v>
      </c>
      <c r="Q1669" t="s">
        <v>50</v>
      </c>
      <c r="R1669" t="s">
        <v>51</v>
      </c>
      <c r="S1669" t="s">
        <v>52</v>
      </c>
      <c r="T1669" t="s">
        <v>773</v>
      </c>
      <c r="U1669" s="1">
        <v>46073.608356481483</v>
      </c>
      <c r="V1669" t="s">
        <v>54</v>
      </c>
      <c r="W1669" t="s">
        <v>55</v>
      </c>
      <c r="X1669" t="s">
        <v>134</v>
      </c>
      <c r="Y1669" t="s">
        <v>6805</v>
      </c>
      <c r="Z1669" t="s">
        <v>5594</v>
      </c>
      <c r="AA1669" t="s">
        <v>54</v>
      </c>
      <c r="AB1669" t="s">
        <v>2388</v>
      </c>
      <c r="AC1669" t="s">
        <v>85</v>
      </c>
      <c r="AD1669" t="s">
        <v>52</v>
      </c>
      <c r="AE1669" t="s">
        <v>2575</v>
      </c>
      <c r="AF1669" t="s">
        <v>2576</v>
      </c>
      <c r="AG1669" t="s">
        <v>5594</v>
      </c>
      <c r="AK1669">
        <v>0</v>
      </c>
      <c r="AL1669" t="s">
        <v>61</v>
      </c>
      <c r="AM1669" t="s">
        <v>2388</v>
      </c>
      <c r="AN1669" t="s">
        <v>2389</v>
      </c>
    </row>
    <row r="1670" spans="1:40" x14ac:dyDescent="0.35">
      <c r="A1670" t="s">
        <v>37</v>
      </c>
      <c r="B1670" t="s">
        <v>6927</v>
      </c>
      <c r="C1670" t="s">
        <v>39</v>
      </c>
      <c r="D1670" t="s">
        <v>2386</v>
      </c>
      <c r="E1670" t="s">
        <v>1316</v>
      </c>
      <c r="F1670" s="1">
        <v>46073.596979166665</v>
      </c>
      <c r="G1670" t="s">
        <v>355</v>
      </c>
      <c r="H1670" t="s">
        <v>356</v>
      </c>
      <c r="I1670" t="s">
        <v>6928</v>
      </c>
      <c r="J1670" t="s">
        <v>6631</v>
      </c>
      <c r="K1670" t="s">
        <v>6632</v>
      </c>
      <c r="M1670" t="s">
        <v>47</v>
      </c>
      <c r="O1670" t="s">
        <v>77</v>
      </c>
      <c r="P1670" t="s">
        <v>78</v>
      </c>
      <c r="Q1670" t="s">
        <v>50</v>
      </c>
      <c r="R1670" t="s">
        <v>51</v>
      </c>
      <c r="S1670" t="s">
        <v>52</v>
      </c>
      <c r="T1670" t="s">
        <v>773</v>
      </c>
      <c r="U1670" s="1">
        <v>46073.608043981483</v>
      </c>
      <c r="V1670" t="s">
        <v>54</v>
      </c>
      <c r="W1670" t="s">
        <v>55</v>
      </c>
      <c r="X1670" t="s">
        <v>134</v>
      </c>
      <c r="Y1670" t="s">
        <v>6929</v>
      </c>
      <c r="Z1670" t="s">
        <v>5594</v>
      </c>
      <c r="AA1670" t="s">
        <v>54</v>
      </c>
      <c r="AB1670" t="s">
        <v>2388</v>
      </c>
      <c r="AC1670" t="s">
        <v>85</v>
      </c>
      <c r="AD1670" t="s">
        <v>52</v>
      </c>
      <c r="AE1670" t="s">
        <v>967</v>
      </c>
      <c r="AF1670" t="s">
        <v>2563</v>
      </c>
      <c r="AG1670" t="s">
        <v>5594</v>
      </c>
      <c r="AK1670">
        <v>0</v>
      </c>
      <c r="AL1670" t="s">
        <v>61</v>
      </c>
      <c r="AM1670" t="s">
        <v>2388</v>
      </c>
      <c r="AN1670" t="s">
        <v>2389</v>
      </c>
    </row>
    <row r="1671" spans="1:40" x14ac:dyDescent="0.35">
      <c r="A1671" t="s">
        <v>37</v>
      </c>
      <c r="B1671" t="s">
        <v>6930</v>
      </c>
      <c r="C1671" t="s">
        <v>39</v>
      </c>
      <c r="D1671" t="s">
        <v>2386</v>
      </c>
      <c r="E1671" t="s">
        <v>1316</v>
      </c>
      <c r="F1671" s="1">
        <v>46073.595972222225</v>
      </c>
      <c r="G1671" t="s">
        <v>355</v>
      </c>
      <c r="H1671" t="s">
        <v>356</v>
      </c>
      <c r="I1671" t="s">
        <v>6931</v>
      </c>
      <c r="J1671" t="s">
        <v>6631</v>
      </c>
      <c r="K1671" t="s">
        <v>6632</v>
      </c>
      <c r="M1671" t="s">
        <v>47</v>
      </c>
      <c r="O1671" t="s">
        <v>77</v>
      </c>
      <c r="P1671" t="s">
        <v>78</v>
      </c>
      <c r="Q1671" t="s">
        <v>50</v>
      </c>
      <c r="R1671" t="s">
        <v>51</v>
      </c>
      <c r="S1671" t="s">
        <v>52</v>
      </c>
      <c r="T1671" t="s">
        <v>773</v>
      </c>
      <c r="U1671" s="1">
        <v>46073.607754629629</v>
      </c>
      <c r="V1671" t="s">
        <v>54</v>
      </c>
      <c r="W1671" t="s">
        <v>55</v>
      </c>
      <c r="X1671" t="s">
        <v>134</v>
      </c>
      <c r="Y1671" t="s">
        <v>6932</v>
      </c>
      <c r="Z1671" t="s">
        <v>5594</v>
      </c>
      <c r="AA1671" t="s">
        <v>54</v>
      </c>
      <c r="AB1671" t="s">
        <v>2388</v>
      </c>
      <c r="AC1671" t="s">
        <v>85</v>
      </c>
      <c r="AD1671" t="s">
        <v>52</v>
      </c>
      <c r="AE1671" t="s">
        <v>2575</v>
      </c>
      <c r="AF1671" t="s">
        <v>2576</v>
      </c>
      <c r="AG1671" t="s">
        <v>5594</v>
      </c>
      <c r="AK1671">
        <v>0</v>
      </c>
      <c r="AL1671" t="s">
        <v>61</v>
      </c>
      <c r="AM1671" t="s">
        <v>2388</v>
      </c>
      <c r="AN1671" t="s">
        <v>2389</v>
      </c>
    </row>
    <row r="1672" spans="1:40" x14ac:dyDescent="0.35">
      <c r="A1672" t="s">
        <v>37</v>
      </c>
      <c r="B1672" t="s">
        <v>6933</v>
      </c>
      <c r="C1672" t="s">
        <v>39</v>
      </c>
      <c r="D1672" t="s">
        <v>2386</v>
      </c>
      <c r="E1672" t="s">
        <v>1316</v>
      </c>
      <c r="F1672" s="1">
        <v>46073.595972222225</v>
      </c>
      <c r="G1672" t="s">
        <v>355</v>
      </c>
      <c r="H1672" t="s">
        <v>356</v>
      </c>
      <c r="I1672" t="s">
        <v>6934</v>
      </c>
      <c r="J1672" t="s">
        <v>6631</v>
      </c>
      <c r="K1672" t="s">
        <v>6632</v>
      </c>
      <c r="M1672" t="s">
        <v>47</v>
      </c>
      <c r="O1672" t="s">
        <v>77</v>
      </c>
      <c r="P1672" t="s">
        <v>78</v>
      </c>
      <c r="Q1672" t="s">
        <v>50</v>
      </c>
      <c r="R1672" t="s">
        <v>51</v>
      </c>
      <c r="S1672" t="s">
        <v>52</v>
      </c>
      <c r="T1672" t="s">
        <v>773</v>
      </c>
      <c r="U1672" s="1">
        <v>46073.607476851852</v>
      </c>
      <c r="V1672" t="s">
        <v>54</v>
      </c>
      <c r="W1672" t="s">
        <v>55</v>
      </c>
      <c r="X1672" t="s">
        <v>134</v>
      </c>
      <c r="Y1672" t="s">
        <v>6935</v>
      </c>
      <c r="Z1672" t="s">
        <v>5594</v>
      </c>
      <c r="AA1672" t="s">
        <v>54</v>
      </c>
      <c r="AB1672" t="s">
        <v>2388</v>
      </c>
      <c r="AC1672" t="s">
        <v>85</v>
      </c>
      <c r="AD1672" t="s">
        <v>52</v>
      </c>
      <c r="AE1672" t="s">
        <v>967</v>
      </c>
      <c r="AF1672" t="s">
        <v>2563</v>
      </c>
      <c r="AG1672" t="s">
        <v>5594</v>
      </c>
      <c r="AK1672">
        <v>0</v>
      </c>
      <c r="AL1672" t="s">
        <v>61</v>
      </c>
      <c r="AM1672" t="s">
        <v>2388</v>
      </c>
      <c r="AN1672" t="s">
        <v>2389</v>
      </c>
    </row>
    <row r="1673" spans="1:40" x14ac:dyDescent="0.35">
      <c r="A1673" t="s">
        <v>37</v>
      </c>
      <c r="B1673" t="s">
        <v>6936</v>
      </c>
      <c r="C1673" t="s">
        <v>39</v>
      </c>
      <c r="D1673" t="s">
        <v>2386</v>
      </c>
      <c r="E1673" t="s">
        <v>1316</v>
      </c>
      <c r="F1673" s="1">
        <v>46073.595972222225</v>
      </c>
      <c r="G1673" t="s">
        <v>355</v>
      </c>
      <c r="H1673" t="s">
        <v>356</v>
      </c>
      <c r="I1673" t="s">
        <v>6804</v>
      </c>
      <c r="J1673" t="s">
        <v>6631</v>
      </c>
      <c r="K1673" t="s">
        <v>6632</v>
      </c>
      <c r="M1673" t="s">
        <v>47</v>
      </c>
      <c r="O1673" t="s">
        <v>77</v>
      </c>
      <c r="P1673" t="s">
        <v>78</v>
      </c>
      <c r="Q1673" t="s">
        <v>50</v>
      </c>
      <c r="R1673" t="s">
        <v>51</v>
      </c>
      <c r="S1673" t="s">
        <v>52</v>
      </c>
      <c r="T1673" t="s">
        <v>773</v>
      </c>
      <c r="U1673" s="1">
        <v>46073.607210648152</v>
      </c>
      <c r="V1673" t="s">
        <v>54</v>
      </c>
      <c r="W1673" t="s">
        <v>55</v>
      </c>
      <c r="X1673" t="s">
        <v>134</v>
      </c>
      <c r="Y1673" t="s">
        <v>6937</v>
      </c>
      <c r="Z1673" t="s">
        <v>5594</v>
      </c>
      <c r="AA1673" t="s">
        <v>54</v>
      </c>
      <c r="AB1673" t="s">
        <v>2388</v>
      </c>
      <c r="AC1673" t="s">
        <v>85</v>
      </c>
      <c r="AD1673" t="s">
        <v>52</v>
      </c>
      <c r="AE1673" t="s">
        <v>2575</v>
      </c>
      <c r="AF1673" t="s">
        <v>2576</v>
      </c>
      <c r="AG1673" t="s">
        <v>5594</v>
      </c>
      <c r="AK1673">
        <v>0</v>
      </c>
      <c r="AL1673" t="s">
        <v>61</v>
      </c>
      <c r="AM1673" t="s">
        <v>2388</v>
      </c>
      <c r="AN1673" t="s">
        <v>2389</v>
      </c>
    </row>
    <row r="1674" spans="1:40" x14ac:dyDescent="0.35">
      <c r="A1674" t="s">
        <v>37</v>
      </c>
      <c r="B1674" t="s">
        <v>6938</v>
      </c>
      <c r="C1674" t="s">
        <v>39</v>
      </c>
      <c r="D1674" t="s">
        <v>2386</v>
      </c>
      <c r="E1674" t="s">
        <v>1316</v>
      </c>
      <c r="F1674" s="1">
        <v>46073.595972222225</v>
      </c>
      <c r="G1674" t="s">
        <v>355</v>
      </c>
      <c r="H1674" t="s">
        <v>356</v>
      </c>
      <c r="I1674" t="s">
        <v>6804</v>
      </c>
      <c r="J1674" t="s">
        <v>6631</v>
      </c>
      <c r="K1674" t="s">
        <v>6632</v>
      </c>
      <c r="M1674" t="s">
        <v>47</v>
      </c>
      <c r="O1674" t="s">
        <v>77</v>
      </c>
      <c r="P1674" t="s">
        <v>78</v>
      </c>
      <c r="Q1674" t="s">
        <v>50</v>
      </c>
      <c r="R1674" t="s">
        <v>51</v>
      </c>
      <c r="S1674" t="s">
        <v>52</v>
      </c>
      <c r="T1674" t="s">
        <v>773</v>
      </c>
      <c r="U1674" s="1">
        <v>46073.606863425928</v>
      </c>
      <c r="V1674" t="s">
        <v>54</v>
      </c>
      <c r="W1674" t="s">
        <v>55</v>
      </c>
      <c r="X1674" t="s">
        <v>134</v>
      </c>
      <c r="Y1674" t="s">
        <v>6937</v>
      </c>
      <c r="Z1674" t="s">
        <v>5594</v>
      </c>
      <c r="AA1674" t="s">
        <v>54</v>
      </c>
      <c r="AB1674" t="s">
        <v>2388</v>
      </c>
      <c r="AC1674" t="s">
        <v>85</v>
      </c>
      <c r="AD1674" t="s">
        <v>52</v>
      </c>
      <c r="AE1674" t="s">
        <v>2575</v>
      </c>
      <c r="AF1674" t="s">
        <v>2576</v>
      </c>
      <c r="AG1674" t="s">
        <v>5594</v>
      </c>
      <c r="AK1674">
        <v>0</v>
      </c>
      <c r="AL1674" t="s">
        <v>61</v>
      </c>
      <c r="AM1674" t="s">
        <v>2388</v>
      </c>
      <c r="AN1674" t="s">
        <v>2389</v>
      </c>
    </row>
    <row r="1675" spans="1:40" x14ac:dyDescent="0.35">
      <c r="A1675" t="s">
        <v>37</v>
      </c>
      <c r="B1675" t="s">
        <v>6939</v>
      </c>
      <c r="C1675" t="s">
        <v>39</v>
      </c>
      <c r="D1675" t="s">
        <v>2386</v>
      </c>
      <c r="E1675" t="s">
        <v>1316</v>
      </c>
      <c r="F1675" s="1">
        <v>46073.595972222225</v>
      </c>
      <c r="G1675" t="s">
        <v>355</v>
      </c>
      <c r="H1675" t="s">
        <v>356</v>
      </c>
      <c r="I1675" t="s">
        <v>6940</v>
      </c>
      <c r="J1675" t="s">
        <v>6631</v>
      </c>
      <c r="K1675" t="s">
        <v>6632</v>
      </c>
      <c r="M1675" t="s">
        <v>47</v>
      </c>
      <c r="O1675" t="s">
        <v>77</v>
      </c>
      <c r="P1675" t="s">
        <v>78</v>
      </c>
      <c r="Q1675" t="s">
        <v>50</v>
      </c>
      <c r="R1675" t="s">
        <v>51</v>
      </c>
      <c r="S1675" t="s">
        <v>52</v>
      </c>
      <c r="T1675" t="s">
        <v>773</v>
      </c>
      <c r="U1675" s="1">
        <v>46073.606562499997</v>
      </c>
      <c r="V1675" t="s">
        <v>54</v>
      </c>
      <c r="W1675" t="s">
        <v>55</v>
      </c>
      <c r="X1675" t="s">
        <v>134</v>
      </c>
      <c r="Y1675" t="s">
        <v>6941</v>
      </c>
      <c r="Z1675" t="s">
        <v>5594</v>
      </c>
      <c r="AA1675" t="s">
        <v>54</v>
      </c>
      <c r="AB1675" t="s">
        <v>2388</v>
      </c>
      <c r="AC1675" t="s">
        <v>85</v>
      </c>
      <c r="AD1675" t="s">
        <v>52</v>
      </c>
      <c r="AE1675" t="s">
        <v>967</v>
      </c>
      <c r="AF1675" t="s">
        <v>2563</v>
      </c>
      <c r="AG1675" t="s">
        <v>5594</v>
      </c>
      <c r="AK1675">
        <v>0</v>
      </c>
      <c r="AL1675" t="s">
        <v>61</v>
      </c>
      <c r="AM1675" t="s">
        <v>2388</v>
      </c>
      <c r="AN1675" t="s">
        <v>2389</v>
      </c>
    </row>
    <row r="1676" spans="1:40" x14ac:dyDescent="0.35">
      <c r="A1676" t="s">
        <v>37</v>
      </c>
      <c r="B1676" t="s">
        <v>6942</v>
      </c>
      <c r="C1676" t="s">
        <v>39</v>
      </c>
      <c r="D1676" t="s">
        <v>2386</v>
      </c>
      <c r="E1676" t="s">
        <v>1316</v>
      </c>
      <c r="F1676" s="1">
        <v>46073.595972222225</v>
      </c>
      <c r="G1676" t="s">
        <v>355</v>
      </c>
      <c r="H1676" t="s">
        <v>356</v>
      </c>
      <c r="I1676" t="s">
        <v>6943</v>
      </c>
      <c r="J1676" t="s">
        <v>6631</v>
      </c>
      <c r="K1676" t="s">
        <v>6632</v>
      </c>
      <c r="M1676" t="s">
        <v>47</v>
      </c>
      <c r="O1676" t="s">
        <v>77</v>
      </c>
      <c r="P1676" t="s">
        <v>78</v>
      </c>
      <c r="Q1676" t="s">
        <v>50</v>
      </c>
      <c r="R1676" t="s">
        <v>51</v>
      </c>
      <c r="S1676" t="s">
        <v>52</v>
      </c>
      <c r="T1676" t="s">
        <v>773</v>
      </c>
      <c r="U1676" s="1">
        <v>46073.606261574074</v>
      </c>
      <c r="V1676" t="s">
        <v>54</v>
      </c>
      <c r="W1676" t="s">
        <v>55</v>
      </c>
      <c r="X1676" t="s">
        <v>134</v>
      </c>
      <c r="Y1676" t="s">
        <v>6944</v>
      </c>
      <c r="Z1676" t="s">
        <v>5594</v>
      </c>
      <c r="AA1676" t="s">
        <v>54</v>
      </c>
      <c r="AB1676" t="s">
        <v>2388</v>
      </c>
      <c r="AC1676" t="s">
        <v>85</v>
      </c>
      <c r="AD1676" t="s">
        <v>52</v>
      </c>
      <c r="AE1676" t="s">
        <v>967</v>
      </c>
      <c r="AF1676" t="s">
        <v>2563</v>
      </c>
      <c r="AG1676" t="s">
        <v>5594</v>
      </c>
      <c r="AK1676">
        <v>0</v>
      </c>
      <c r="AL1676" t="s">
        <v>61</v>
      </c>
      <c r="AM1676" t="s">
        <v>2388</v>
      </c>
      <c r="AN1676" t="s">
        <v>2389</v>
      </c>
    </row>
    <row r="1677" spans="1:40" x14ac:dyDescent="0.35">
      <c r="A1677" t="s">
        <v>37</v>
      </c>
      <c r="B1677" t="s">
        <v>6945</v>
      </c>
      <c r="C1677" t="s">
        <v>39</v>
      </c>
      <c r="D1677" t="s">
        <v>2386</v>
      </c>
      <c r="E1677" t="s">
        <v>1316</v>
      </c>
      <c r="F1677" s="1">
        <v>46073.595972222225</v>
      </c>
      <c r="G1677" t="s">
        <v>355</v>
      </c>
      <c r="H1677" t="s">
        <v>356</v>
      </c>
      <c r="I1677" t="s">
        <v>6912</v>
      </c>
      <c r="J1677" t="s">
        <v>6631</v>
      </c>
      <c r="K1677" t="s">
        <v>6632</v>
      </c>
      <c r="M1677" t="s">
        <v>47</v>
      </c>
      <c r="O1677" t="s">
        <v>77</v>
      </c>
      <c r="P1677" t="s">
        <v>78</v>
      </c>
      <c r="Q1677" t="s">
        <v>50</v>
      </c>
      <c r="R1677" t="s">
        <v>51</v>
      </c>
      <c r="S1677" t="s">
        <v>52</v>
      </c>
      <c r="T1677" t="s">
        <v>773</v>
      </c>
      <c r="U1677" s="1">
        <v>46073.60601851852</v>
      </c>
      <c r="V1677" t="s">
        <v>54</v>
      </c>
      <c r="W1677" t="s">
        <v>55</v>
      </c>
      <c r="X1677" t="s">
        <v>134</v>
      </c>
      <c r="Y1677" t="s">
        <v>6946</v>
      </c>
      <c r="Z1677" t="s">
        <v>5594</v>
      </c>
      <c r="AA1677" t="s">
        <v>54</v>
      </c>
      <c r="AB1677" t="s">
        <v>2388</v>
      </c>
      <c r="AC1677" t="s">
        <v>85</v>
      </c>
      <c r="AD1677" t="s">
        <v>52</v>
      </c>
      <c r="AE1677" t="s">
        <v>999</v>
      </c>
      <c r="AF1677" t="s">
        <v>6634</v>
      </c>
      <c r="AG1677" t="s">
        <v>5594</v>
      </c>
      <c r="AK1677">
        <v>0</v>
      </c>
      <c r="AL1677" t="s">
        <v>61</v>
      </c>
      <c r="AM1677" t="s">
        <v>2388</v>
      </c>
      <c r="AN1677" t="s">
        <v>2389</v>
      </c>
    </row>
    <row r="1678" spans="1:40" x14ac:dyDescent="0.35">
      <c r="A1678" t="s">
        <v>37</v>
      </c>
      <c r="B1678" t="s">
        <v>6947</v>
      </c>
      <c r="C1678" t="s">
        <v>39</v>
      </c>
      <c r="D1678" t="s">
        <v>2386</v>
      </c>
      <c r="E1678" t="s">
        <v>1316</v>
      </c>
      <c r="F1678" s="1">
        <v>46073.595127314817</v>
      </c>
      <c r="G1678" t="s">
        <v>355</v>
      </c>
      <c r="H1678" t="s">
        <v>356</v>
      </c>
      <c r="I1678" t="s">
        <v>6948</v>
      </c>
      <c r="J1678" t="s">
        <v>6631</v>
      </c>
      <c r="K1678" t="s">
        <v>6632</v>
      </c>
      <c r="M1678" t="s">
        <v>47</v>
      </c>
      <c r="O1678" t="s">
        <v>77</v>
      </c>
      <c r="P1678" t="s">
        <v>78</v>
      </c>
      <c r="Q1678" t="s">
        <v>50</v>
      </c>
      <c r="R1678" t="s">
        <v>51</v>
      </c>
      <c r="S1678" t="s">
        <v>52</v>
      </c>
      <c r="T1678" t="s">
        <v>773</v>
      </c>
      <c r="U1678" s="1">
        <v>46073.605694444443</v>
      </c>
      <c r="V1678" t="s">
        <v>54</v>
      </c>
      <c r="W1678" t="s">
        <v>55</v>
      </c>
      <c r="X1678" t="s">
        <v>134</v>
      </c>
      <c r="Y1678" t="s">
        <v>6949</v>
      </c>
      <c r="Z1678" t="s">
        <v>5594</v>
      </c>
      <c r="AA1678" t="s">
        <v>54</v>
      </c>
      <c r="AB1678" t="s">
        <v>2388</v>
      </c>
      <c r="AC1678" t="s">
        <v>85</v>
      </c>
      <c r="AD1678" t="s">
        <v>52</v>
      </c>
      <c r="AE1678" t="s">
        <v>6643</v>
      </c>
      <c r="AF1678" t="s">
        <v>6644</v>
      </c>
      <c r="AG1678" t="s">
        <v>5594</v>
      </c>
      <c r="AK1678">
        <v>0</v>
      </c>
      <c r="AL1678" t="s">
        <v>61</v>
      </c>
      <c r="AM1678" t="s">
        <v>2388</v>
      </c>
      <c r="AN1678" t="s">
        <v>2389</v>
      </c>
    </row>
    <row r="1679" spans="1:40" x14ac:dyDescent="0.35">
      <c r="A1679" t="s">
        <v>37</v>
      </c>
      <c r="B1679" t="s">
        <v>6950</v>
      </c>
      <c r="C1679" t="s">
        <v>39</v>
      </c>
      <c r="D1679" t="s">
        <v>2386</v>
      </c>
      <c r="E1679" t="s">
        <v>1316</v>
      </c>
      <c r="F1679" s="1">
        <v>46073.595127314817</v>
      </c>
      <c r="G1679" t="s">
        <v>355</v>
      </c>
      <c r="H1679" t="s">
        <v>356</v>
      </c>
      <c r="I1679" t="s">
        <v>6951</v>
      </c>
      <c r="J1679" t="s">
        <v>6631</v>
      </c>
      <c r="K1679" t="s">
        <v>6632</v>
      </c>
      <c r="M1679" t="s">
        <v>47</v>
      </c>
      <c r="O1679" t="s">
        <v>77</v>
      </c>
      <c r="P1679" t="s">
        <v>78</v>
      </c>
      <c r="Q1679" t="s">
        <v>50</v>
      </c>
      <c r="R1679" t="s">
        <v>51</v>
      </c>
      <c r="S1679" t="s">
        <v>52</v>
      </c>
      <c r="T1679" t="s">
        <v>773</v>
      </c>
      <c r="U1679" s="1">
        <v>46073.605405092596</v>
      </c>
      <c r="V1679" t="s">
        <v>54</v>
      </c>
      <c r="W1679" t="s">
        <v>55</v>
      </c>
      <c r="X1679" t="s">
        <v>134</v>
      </c>
      <c r="Y1679" t="s">
        <v>6952</v>
      </c>
      <c r="Z1679" t="s">
        <v>5594</v>
      </c>
      <c r="AA1679" t="s">
        <v>54</v>
      </c>
      <c r="AB1679" t="s">
        <v>2388</v>
      </c>
      <c r="AC1679" t="s">
        <v>85</v>
      </c>
      <c r="AD1679" t="s">
        <v>52</v>
      </c>
      <c r="AE1679" t="s">
        <v>6643</v>
      </c>
      <c r="AF1679" t="s">
        <v>6644</v>
      </c>
      <c r="AG1679" t="s">
        <v>5594</v>
      </c>
      <c r="AK1679">
        <v>0</v>
      </c>
      <c r="AL1679" t="s">
        <v>61</v>
      </c>
      <c r="AM1679" t="s">
        <v>2388</v>
      </c>
      <c r="AN1679" t="s">
        <v>2389</v>
      </c>
    </row>
    <row r="1680" spans="1:40" x14ac:dyDescent="0.35">
      <c r="A1680" t="s">
        <v>37</v>
      </c>
      <c r="B1680" t="s">
        <v>6953</v>
      </c>
      <c r="C1680" t="s">
        <v>39</v>
      </c>
      <c r="D1680" t="s">
        <v>2386</v>
      </c>
      <c r="E1680" t="s">
        <v>1316</v>
      </c>
      <c r="F1680" s="1">
        <v>46073.595127314817</v>
      </c>
      <c r="G1680" t="s">
        <v>355</v>
      </c>
      <c r="H1680" t="s">
        <v>356</v>
      </c>
      <c r="I1680" t="s">
        <v>6954</v>
      </c>
      <c r="J1680" t="s">
        <v>6631</v>
      </c>
      <c r="K1680" t="s">
        <v>6632</v>
      </c>
      <c r="M1680" t="s">
        <v>47</v>
      </c>
      <c r="O1680" t="s">
        <v>77</v>
      </c>
      <c r="P1680" t="s">
        <v>78</v>
      </c>
      <c r="Q1680" t="s">
        <v>50</v>
      </c>
      <c r="R1680" t="s">
        <v>51</v>
      </c>
      <c r="S1680" t="s">
        <v>52</v>
      </c>
      <c r="T1680" t="s">
        <v>773</v>
      </c>
      <c r="U1680" s="1">
        <v>46073.605057870373</v>
      </c>
      <c r="V1680" t="s">
        <v>54</v>
      </c>
      <c r="W1680" t="s">
        <v>55</v>
      </c>
      <c r="X1680" t="s">
        <v>134</v>
      </c>
      <c r="Y1680" t="s">
        <v>6955</v>
      </c>
      <c r="Z1680" t="s">
        <v>5594</v>
      </c>
      <c r="AA1680" t="s">
        <v>54</v>
      </c>
      <c r="AB1680" t="s">
        <v>2388</v>
      </c>
      <c r="AC1680" t="s">
        <v>85</v>
      </c>
      <c r="AD1680" t="s">
        <v>52</v>
      </c>
      <c r="AE1680" t="s">
        <v>6643</v>
      </c>
      <c r="AF1680" t="s">
        <v>6644</v>
      </c>
      <c r="AG1680" t="s">
        <v>5594</v>
      </c>
      <c r="AK1680">
        <v>0</v>
      </c>
      <c r="AL1680" t="s">
        <v>61</v>
      </c>
      <c r="AM1680" t="s">
        <v>2388</v>
      </c>
      <c r="AN1680" t="s">
        <v>2389</v>
      </c>
    </row>
    <row r="1681" spans="1:40" x14ac:dyDescent="0.35">
      <c r="A1681" t="s">
        <v>37</v>
      </c>
      <c r="B1681" t="s">
        <v>6956</v>
      </c>
      <c r="C1681" t="s">
        <v>102</v>
      </c>
      <c r="D1681" t="s">
        <v>1698</v>
      </c>
      <c r="E1681" t="s">
        <v>584</v>
      </c>
      <c r="F1681" s="1">
        <v>46073.593715277777</v>
      </c>
      <c r="G1681" t="s">
        <v>105</v>
      </c>
      <c r="H1681" t="s">
        <v>106</v>
      </c>
      <c r="I1681" t="s">
        <v>1679</v>
      </c>
      <c r="J1681" t="s">
        <v>108</v>
      </c>
      <c r="K1681" t="s">
        <v>571</v>
      </c>
      <c r="M1681" t="s">
        <v>47</v>
      </c>
      <c r="O1681" t="s">
        <v>77</v>
      </c>
      <c r="P1681" t="s">
        <v>78</v>
      </c>
      <c r="Q1681" t="s">
        <v>50</v>
      </c>
      <c r="R1681" t="s">
        <v>111</v>
      </c>
      <c r="S1681" t="s">
        <v>51</v>
      </c>
      <c r="T1681" t="s">
        <v>112</v>
      </c>
      <c r="U1681" s="1">
        <v>46073.625567129631</v>
      </c>
      <c r="V1681" t="s">
        <v>54</v>
      </c>
      <c r="W1681" t="s">
        <v>55</v>
      </c>
      <c r="X1681" t="s">
        <v>134</v>
      </c>
      <c r="Y1681" t="s">
        <v>6957</v>
      </c>
      <c r="Z1681" t="s">
        <v>5594</v>
      </c>
      <c r="AA1681" t="s">
        <v>54</v>
      </c>
      <c r="AB1681" t="s">
        <v>1701</v>
      </c>
      <c r="AC1681" t="s">
        <v>85</v>
      </c>
      <c r="AD1681" t="s">
        <v>116</v>
      </c>
      <c r="AE1681" t="s">
        <v>574</v>
      </c>
      <c r="AF1681" t="s">
        <v>144</v>
      </c>
      <c r="AG1681" t="s">
        <v>5594</v>
      </c>
      <c r="AK1681">
        <v>1</v>
      </c>
      <c r="AL1681" t="s">
        <v>61</v>
      </c>
      <c r="AM1681" t="s">
        <v>1701</v>
      </c>
      <c r="AN1681" t="s">
        <v>1702</v>
      </c>
    </row>
    <row r="1682" spans="1:40" x14ac:dyDescent="0.35">
      <c r="A1682" t="s">
        <v>37</v>
      </c>
      <c r="B1682" t="s">
        <v>6958</v>
      </c>
      <c r="C1682" t="s">
        <v>102</v>
      </c>
      <c r="D1682" t="s">
        <v>617</v>
      </c>
      <c r="E1682" t="s">
        <v>618</v>
      </c>
      <c r="F1682" s="1">
        <v>46073.594097222223</v>
      </c>
      <c r="G1682" t="s">
        <v>286</v>
      </c>
      <c r="H1682" t="s">
        <v>287</v>
      </c>
      <c r="I1682" t="s">
        <v>6959</v>
      </c>
      <c r="J1682" t="s">
        <v>620</v>
      </c>
      <c r="K1682" t="s">
        <v>130</v>
      </c>
      <c r="M1682" t="s">
        <v>131</v>
      </c>
      <c r="O1682" t="s">
        <v>77</v>
      </c>
      <c r="P1682" t="s">
        <v>78</v>
      </c>
      <c r="Q1682" t="s">
        <v>50</v>
      </c>
      <c r="R1682" t="s">
        <v>132</v>
      </c>
      <c r="S1682" t="s">
        <v>133</v>
      </c>
      <c r="T1682" t="s">
        <v>133</v>
      </c>
      <c r="U1682" s="1">
        <v>46076.346134259256</v>
      </c>
      <c r="V1682" t="s">
        <v>54</v>
      </c>
      <c r="W1682" t="s">
        <v>55</v>
      </c>
      <c r="X1682" t="s">
        <v>134</v>
      </c>
      <c r="Y1682" t="s">
        <v>6960</v>
      </c>
      <c r="Z1682" t="s">
        <v>58</v>
      </c>
      <c r="AA1682" t="s">
        <v>54</v>
      </c>
      <c r="AB1682" t="s">
        <v>622</v>
      </c>
      <c r="AC1682" t="s">
        <v>85</v>
      </c>
      <c r="AD1682" t="s">
        <v>132</v>
      </c>
      <c r="AE1682" t="s">
        <v>133</v>
      </c>
      <c r="AF1682" t="s">
        <v>133</v>
      </c>
      <c r="AG1682" t="s">
        <v>58</v>
      </c>
      <c r="AH1682" t="s">
        <v>623</v>
      </c>
      <c r="AK1682">
        <v>1</v>
      </c>
      <c r="AL1682" t="s">
        <v>61</v>
      </c>
      <c r="AM1682" t="s">
        <v>622</v>
      </c>
      <c r="AN1682" t="s">
        <v>624</v>
      </c>
    </row>
    <row r="1683" spans="1:40" x14ac:dyDescent="0.35">
      <c r="A1683" t="s">
        <v>37</v>
      </c>
      <c r="B1683" t="s">
        <v>6961</v>
      </c>
      <c r="C1683" t="s">
        <v>39</v>
      </c>
      <c r="D1683" t="s">
        <v>6962</v>
      </c>
      <c r="E1683" t="s">
        <v>6963</v>
      </c>
      <c r="F1683" s="1">
        <v>46073.591828703706</v>
      </c>
      <c r="G1683" t="s">
        <v>4078</v>
      </c>
      <c r="H1683" t="s">
        <v>356</v>
      </c>
      <c r="I1683" t="s">
        <v>6964</v>
      </c>
      <c r="J1683" t="s">
        <v>1865</v>
      </c>
      <c r="K1683" t="s">
        <v>1824</v>
      </c>
      <c r="M1683" t="s">
        <v>47</v>
      </c>
      <c r="O1683" t="s">
        <v>237</v>
      </c>
      <c r="P1683" t="s">
        <v>238</v>
      </c>
      <c r="Q1683" t="s">
        <v>50</v>
      </c>
      <c r="R1683" t="s">
        <v>51</v>
      </c>
      <c r="S1683" t="s">
        <v>52</v>
      </c>
      <c r="T1683" t="s">
        <v>773</v>
      </c>
      <c r="U1683" s="1">
        <v>46075.878240740742</v>
      </c>
      <c r="V1683" t="s">
        <v>54</v>
      </c>
      <c r="W1683" t="s">
        <v>55</v>
      </c>
      <c r="X1683" t="s">
        <v>211</v>
      </c>
      <c r="Y1683" t="s">
        <v>6965</v>
      </c>
      <c r="Z1683" t="s">
        <v>5594</v>
      </c>
      <c r="AA1683" t="s">
        <v>54</v>
      </c>
      <c r="AB1683" t="s">
        <v>213</v>
      </c>
      <c r="AC1683" t="s">
        <v>242</v>
      </c>
      <c r="AD1683" t="s">
        <v>52</v>
      </c>
      <c r="AE1683" t="s">
        <v>2575</v>
      </c>
      <c r="AF1683" t="s">
        <v>2576</v>
      </c>
      <c r="AG1683" t="s">
        <v>5594</v>
      </c>
      <c r="AH1683" t="s">
        <v>6966</v>
      </c>
      <c r="AK1683">
        <v>1</v>
      </c>
      <c r="AL1683" t="s">
        <v>61</v>
      </c>
      <c r="AM1683" t="s">
        <v>6967</v>
      </c>
      <c r="AN1683" t="s">
        <v>6968</v>
      </c>
    </row>
    <row r="1684" spans="1:40" x14ac:dyDescent="0.35">
      <c r="A1684" t="s">
        <v>37</v>
      </c>
      <c r="B1684" t="s">
        <v>6969</v>
      </c>
      <c r="C1684" t="s">
        <v>102</v>
      </c>
      <c r="D1684" t="s">
        <v>568</v>
      </c>
      <c r="E1684" t="s">
        <v>569</v>
      </c>
      <c r="F1684" s="1">
        <v>46073.599664351852</v>
      </c>
      <c r="G1684" t="s">
        <v>105</v>
      </c>
      <c r="H1684" t="s">
        <v>106</v>
      </c>
      <c r="I1684" t="s">
        <v>6970</v>
      </c>
      <c r="J1684" t="s">
        <v>4445</v>
      </c>
      <c r="K1684" t="s">
        <v>2345</v>
      </c>
      <c r="M1684" t="s">
        <v>131</v>
      </c>
      <c r="O1684" t="s">
        <v>77</v>
      </c>
      <c r="P1684" t="s">
        <v>78</v>
      </c>
      <c r="Q1684" t="s">
        <v>448</v>
      </c>
      <c r="R1684" t="s">
        <v>208</v>
      </c>
      <c r="S1684" t="s">
        <v>3119</v>
      </c>
      <c r="T1684" t="s">
        <v>967</v>
      </c>
      <c r="U1684" s="1">
        <v>46076.488263888888</v>
      </c>
      <c r="V1684" t="s">
        <v>54</v>
      </c>
      <c r="W1684" t="s">
        <v>55</v>
      </c>
      <c r="X1684" t="s">
        <v>134</v>
      </c>
      <c r="Y1684" t="s">
        <v>6971</v>
      </c>
      <c r="Z1684" t="s">
        <v>58</v>
      </c>
      <c r="AA1684" t="s">
        <v>54</v>
      </c>
      <c r="AB1684" t="s">
        <v>4447</v>
      </c>
      <c r="AC1684" t="s">
        <v>85</v>
      </c>
      <c r="AD1684" t="s">
        <v>208</v>
      </c>
      <c r="AE1684" t="s">
        <v>3119</v>
      </c>
      <c r="AF1684" t="s">
        <v>967</v>
      </c>
      <c r="AG1684" t="s">
        <v>58</v>
      </c>
      <c r="AK1684">
        <v>0</v>
      </c>
      <c r="AL1684" t="s">
        <v>61</v>
      </c>
      <c r="AM1684" t="s">
        <v>576</v>
      </c>
      <c r="AN1684" t="s">
        <v>577</v>
      </c>
    </row>
    <row r="1685" spans="1:40" x14ac:dyDescent="0.35">
      <c r="A1685" t="s">
        <v>37</v>
      </c>
      <c r="B1685" t="s">
        <v>6972</v>
      </c>
      <c r="C1685" t="s">
        <v>102</v>
      </c>
      <c r="D1685" t="s">
        <v>6285</v>
      </c>
      <c r="E1685" t="s">
        <v>6286</v>
      </c>
      <c r="F1685" s="1">
        <v>46073.59207175926</v>
      </c>
      <c r="G1685" t="s">
        <v>105</v>
      </c>
      <c r="H1685" t="s">
        <v>106</v>
      </c>
      <c r="I1685" t="s">
        <v>6973</v>
      </c>
      <c r="J1685" t="s">
        <v>108</v>
      </c>
      <c r="K1685" t="s">
        <v>341</v>
      </c>
      <c r="M1685" t="s">
        <v>47</v>
      </c>
      <c r="O1685" t="s">
        <v>77</v>
      </c>
      <c r="P1685" t="s">
        <v>78</v>
      </c>
      <c r="Q1685" t="s">
        <v>50</v>
      </c>
      <c r="R1685" t="s">
        <v>111</v>
      </c>
      <c r="S1685" t="s">
        <v>51</v>
      </c>
      <c r="T1685" t="s">
        <v>112</v>
      </c>
      <c r="U1685" s="1">
        <v>46073.625104166669</v>
      </c>
      <c r="V1685" t="s">
        <v>54</v>
      </c>
      <c r="X1685" t="s">
        <v>56</v>
      </c>
      <c r="Y1685" t="s">
        <v>6974</v>
      </c>
      <c r="Z1685" t="s">
        <v>5594</v>
      </c>
      <c r="AA1685" t="s">
        <v>54</v>
      </c>
      <c r="AB1685" t="s">
        <v>115</v>
      </c>
      <c r="AC1685" t="s">
        <v>85</v>
      </c>
      <c r="AD1685" t="s">
        <v>116</v>
      </c>
      <c r="AE1685" t="s">
        <v>334</v>
      </c>
      <c r="AF1685" t="s">
        <v>6316</v>
      </c>
      <c r="AG1685" t="s">
        <v>5594</v>
      </c>
      <c r="AH1685" t="s">
        <v>6288</v>
      </c>
      <c r="AK1685">
        <v>1</v>
      </c>
      <c r="AL1685" t="s">
        <v>61</v>
      </c>
      <c r="AM1685" t="s">
        <v>6289</v>
      </c>
      <c r="AN1685" t="s">
        <v>6290</v>
      </c>
    </row>
    <row r="1686" spans="1:40" x14ac:dyDescent="0.35">
      <c r="A1686" t="s">
        <v>37</v>
      </c>
      <c r="B1686" t="s">
        <v>6975</v>
      </c>
      <c r="C1686" t="s">
        <v>102</v>
      </c>
      <c r="D1686" t="s">
        <v>3786</v>
      </c>
      <c r="E1686" t="s">
        <v>469</v>
      </c>
      <c r="F1686" s="1">
        <v>46073.589166666665</v>
      </c>
      <c r="G1686" t="s">
        <v>105</v>
      </c>
      <c r="H1686" t="s">
        <v>106</v>
      </c>
      <c r="I1686" t="s">
        <v>1729</v>
      </c>
      <c r="J1686" t="s">
        <v>108</v>
      </c>
      <c r="K1686" t="s">
        <v>109</v>
      </c>
      <c r="M1686" t="s">
        <v>47</v>
      </c>
      <c r="O1686" t="s">
        <v>77</v>
      </c>
      <c r="P1686" t="s">
        <v>78</v>
      </c>
      <c r="Q1686" t="s">
        <v>541</v>
      </c>
      <c r="R1686" t="s">
        <v>111</v>
      </c>
      <c r="S1686" t="s">
        <v>51</v>
      </c>
      <c r="T1686" t="s">
        <v>112</v>
      </c>
      <c r="U1686" s="1">
        <v>46073.599409722221</v>
      </c>
      <c r="V1686" t="s">
        <v>54</v>
      </c>
      <c r="W1686" t="s">
        <v>55</v>
      </c>
      <c r="X1686" t="s">
        <v>113</v>
      </c>
      <c r="Y1686" t="s">
        <v>6976</v>
      </c>
      <c r="Z1686" t="s">
        <v>5594</v>
      </c>
      <c r="AA1686" t="s">
        <v>54</v>
      </c>
      <c r="AB1686" t="s">
        <v>115</v>
      </c>
      <c r="AC1686" t="s">
        <v>85</v>
      </c>
      <c r="AD1686" t="s">
        <v>116</v>
      </c>
      <c r="AE1686" t="s">
        <v>117</v>
      </c>
      <c r="AF1686" t="s">
        <v>118</v>
      </c>
      <c r="AG1686" t="s">
        <v>5594</v>
      </c>
      <c r="AH1686">
        <v>5935</v>
      </c>
      <c r="AK1686">
        <v>1</v>
      </c>
      <c r="AL1686" t="s">
        <v>61</v>
      </c>
      <c r="AM1686" t="s">
        <v>3789</v>
      </c>
      <c r="AN1686" t="s">
        <v>3790</v>
      </c>
    </row>
    <row r="1687" spans="1:40" x14ac:dyDescent="0.35">
      <c r="A1687" t="s">
        <v>37</v>
      </c>
      <c r="B1687" t="s">
        <v>6977</v>
      </c>
      <c r="C1687" t="s">
        <v>39</v>
      </c>
      <c r="D1687" t="s">
        <v>6978</v>
      </c>
      <c r="E1687" t="s">
        <v>6979</v>
      </c>
      <c r="F1687" s="1">
        <v>46073.584374999999</v>
      </c>
      <c r="G1687" t="s">
        <v>508</v>
      </c>
      <c r="H1687" t="s">
        <v>72</v>
      </c>
      <c r="I1687" t="s">
        <v>205</v>
      </c>
      <c r="J1687" t="s">
        <v>206</v>
      </c>
      <c r="K1687" t="s">
        <v>207</v>
      </c>
      <c r="M1687" t="s">
        <v>47</v>
      </c>
      <c r="O1687" t="s">
        <v>77</v>
      </c>
      <c r="P1687" t="s">
        <v>78</v>
      </c>
      <c r="Q1687" t="s">
        <v>50</v>
      </c>
      <c r="R1687" t="s">
        <v>208</v>
      </c>
      <c r="S1687" t="s">
        <v>209</v>
      </c>
      <c r="T1687" t="s">
        <v>210</v>
      </c>
      <c r="U1687" s="1">
        <v>46073.636122685188</v>
      </c>
      <c r="V1687" t="s">
        <v>54</v>
      </c>
      <c r="W1687" t="s">
        <v>55</v>
      </c>
      <c r="X1687" t="s">
        <v>211</v>
      </c>
      <c r="Y1687" t="s">
        <v>6980</v>
      </c>
      <c r="Z1687" t="s">
        <v>5594</v>
      </c>
      <c r="AA1687" t="s">
        <v>54</v>
      </c>
      <c r="AB1687" t="s">
        <v>213</v>
      </c>
      <c r="AC1687" t="s">
        <v>85</v>
      </c>
      <c r="AD1687" t="s">
        <v>214</v>
      </c>
      <c r="AE1687" t="s">
        <v>215</v>
      </c>
      <c r="AF1687" t="s">
        <v>216</v>
      </c>
      <c r="AG1687" t="s">
        <v>5594</v>
      </c>
      <c r="AH1687">
        <v>13538</v>
      </c>
      <c r="AK1687">
        <v>1</v>
      </c>
      <c r="AL1687" t="s">
        <v>61</v>
      </c>
      <c r="AM1687" t="s">
        <v>6981</v>
      </c>
      <c r="AN1687" t="s">
        <v>6982</v>
      </c>
    </row>
    <row r="1688" spans="1:40" x14ac:dyDescent="0.35">
      <c r="A1688" t="s">
        <v>37</v>
      </c>
      <c r="B1688" t="s">
        <v>6983</v>
      </c>
      <c r="C1688" t="s">
        <v>102</v>
      </c>
      <c r="D1688" t="s">
        <v>1698</v>
      </c>
      <c r="E1688" t="s">
        <v>584</v>
      </c>
      <c r="F1688" s="1">
        <v>46073.583252314813</v>
      </c>
      <c r="G1688" t="s">
        <v>105</v>
      </c>
      <c r="H1688" t="s">
        <v>106</v>
      </c>
      <c r="I1688" t="s">
        <v>6068</v>
      </c>
      <c r="J1688" t="s">
        <v>108</v>
      </c>
      <c r="K1688" t="s">
        <v>109</v>
      </c>
      <c r="M1688" t="s">
        <v>47</v>
      </c>
      <c r="O1688" t="s">
        <v>77</v>
      </c>
      <c r="P1688" t="s">
        <v>78</v>
      </c>
      <c r="Q1688" t="s">
        <v>50</v>
      </c>
      <c r="R1688" t="s">
        <v>111</v>
      </c>
      <c r="S1688" t="s">
        <v>51</v>
      </c>
      <c r="T1688" t="s">
        <v>112</v>
      </c>
      <c r="U1688" s="1">
        <v>46073.663645833331</v>
      </c>
      <c r="V1688" t="s">
        <v>54</v>
      </c>
      <c r="W1688" t="s">
        <v>55</v>
      </c>
      <c r="X1688" t="s">
        <v>134</v>
      </c>
      <c r="Y1688" t="s">
        <v>6984</v>
      </c>
      <c r="Z1688" t="s">
        <v>5594</v>
      </c>
      <c r="AA1688" t="s">
        <v>54</v>
      </c>
      <c r="AB1688" t="s">
        <v>1701</v>
      </c>
      <c r="AC1688" t="s">
        <v>85</v>
      </c>
      <c r="AD1688" t="s">
        <v>116</v>
      </c>
      <c r="AE1688" t="s">
        <v>117</v>
      </c>
      <c r="AF1688" t="s">
        <v>1706</v>
      </c>
      <c r="AG1688" t="s">
        <v>5594</v>
      </c>
      <c r="AK1688">
        <v>1</v>
      </c>
      <c r="AL1688" t="s">
        <v>61</v>
      </c>
      <c r="AM1688" t="s">
        <v>1701</v>
      </c>
      <c r="AN1688" t="s">
        <v>1702</v>
      </c>
    </row>
    <row r="1689" spans="1:40" x14ac:dyDescent="0.35">
      <c r="A1689" t="s">
        <v>37</v>
      </c>
      <c r="B1689" t="s">
        <v>6985</v>
      </c>
      <c r="C1689" t="s">
        <v>102</v>
      </c>
      <c r="D1689" t="s">
        <v>469</v>
      </c>
      <c r="E1689" t="s">
        <v>6986</v>
      </c>
      <c r="F1689" s="1">
        <v>46073.582974537036</v>
      </c>
      <c r="G1689" t="s">
        <v>250</v>
      </c>
      <c r="H1689" t="s">
        <v>106</v>
      </c>
      <c r="I1689" t="s">
        <v>6987</v>
      </c>
      <c r="J1689" t="s">
        <v>235</v>
      </c>
      <c r="K1689" t="s">
        <v>236</v>
      </c>
      <c r="M1689" t="s">
        <v>47</v>
      </c>
      <c r="O1689" t="s">
        <v>237</v>
      </c>
      <c r="P1689" t="s">
        <v>238</v>
      </c>
      <c r="Q1689" t="s">
        <v>50</v>
      </c>
      <c r="R1689" t="s">
        <v>51</v>
      </c>
      <c r="S1689" t="s">
        <v>52</v>
      </c>
      <c r="T1689" t="s">
        <v>240</v>
      </c>
      <c r="U1689" s="1">
        <v>46074.166377314818</v>
      </c>
      <c r="V1689" t="s">
        <v>54</v>
      </c>
      <c r="W1689" t="s">
        <v>55</v>
      </c>
      <c r="X1689" t="s">
        <v>211</v>
      </c>
      <c r="Y1689" t="s">
        <v>6988</v>
      </c>
      <c r="Z1689" t="s">
        <v>5594</v>
      </c>
      <c r="AA1689" t="s">
        <v>54</v>
      </c>
      <c r="AB1689" t="s">
        <v>213</v>
      </c>
      <c r="AC1689" t="s">
        <v>242</v>
      </c>
      <c r="AD1689" t="s">
        <v>52</v>
      </c>
      <c r="AE1689" t="s">
        <v>243</v>
      </c>
      <c r="AF1689" t="s">
        <v>244</v>
      </c>
      <c r="AG1689" t="s">
        <v>5594</v>
      </c>
      <c r="AH1689" t="s">
        <v>6989</v>
      </c>
      <c r="AK1689">
        <v>1</v>
      </c>
      <c r="AL1689" t="s">
        <v>61</v>
      </c>
      <c r="AM1689" t="s">
        <v>6990</v>
      </c>
      <c r="AN1689" t="s">
        <v>6991</v>
      </c>
    </row>
    <row r="1690" spans="1:40" x14ac:dyDescent="0.35">
      <c r="A1690" t="s">
        <v>37</v>
      </c>
      <c r="B1690" t="s">
        <v>6992</v>
      </c>
      <c r="C1690" t="s">
        <v>39</v>
      </c>
      <c r="D1690" t="s">
        <v>6993</v>
      </c>
      <c r="E1690" t="s">
        <v>6994</v>
      </c>
      <c r="F1690" s="1">
        <v>46073.582708333335</v>
      </c>
      <c r="G1690" t="s">
        <v>508</v>
      </c>
      <c r="H1690" t="s">
        <v>72</v>
      </c>
      <c r="I1690" t="s">
        <v>205</v>
      </c>
      <c r="J1690" t="s">
        <v>206</v>
      </c>
      <c r="K1690" t="s">
        <v>207</v>
      </c>
      <c r="M1690" t="s">
        <v>131</v>
      </c>
      <c r="O1690" t="s">
        <v>77</v>
      </c>
      <c r="P1690" t="s">
        <v>78</v>
      </c>
      <c r="Q1690" t="s">
        <v>50</v>
      </c>
      <c r="R1690" t="s">
        <v>305</v>
      </c>
      <c r="S1690" t="s">
        <v>306</v>
      </c>
      <c r="T1690" t="s">
        <v>307</v>
      </c>
      <c r="U1690" s="1">
        <v>46076.623530092591</v>
      </c>
      <c r="V1690" t="s">
        <v>54</v>
      </c>
      <c r="W1690" t="s">
        <v>55</v>
      </c>
      <c r="X1690" t="s">
        <v>211</v>
      </c>
      <c r="Y1690" t="s">
        <v>6995</v>
      </c>
      <c r="Z1690" t="s">
        <v>58</v>
      </c>
      <c r="AA1690" t="s">
        <v>54</v>
      </c>
      <c r="AB1690" t="s">
        <v>213</v>
      </c>
      <c r="AC1690" t="s">
        <v>85</v>
      </c>
      <c r="AD1690" t="s">
        <v>214</v>
      </c>
      <c r="AE1690" t="s">
        <v>215</v>
      </c>
      <c r="AF1690" t="s">
        <v>2083</v>
      </c>
      <c r="AG1690" t="s">
        <v>58</v>
      </c>
      <c r="AH1690">
        <v>15726</v>
      </c>
      <c r="AK1690">
        <v>2</v>
      </c>
      <c r="AL1690" t="s">
        <v>61</v>
      </c>
      <c r="AM1690" t="s">
        <v>6996</v>
      </c>
      <c r="AN1690" t="s">
        <v>6997</v>
      </c>
    </row>
    <row r="1691" spans="1:40" x14ac:dyDescent="0.35">
      <c r="A1691" t="s">
        <v>37</v>
      </c>
      <c r="B1691" t="s">
        <v>6998</v>
      </c>
      <c r="C1691" t="s">
        <v>102</v>
      </c>
      <c r="D1691" t="s">
        <v>1698</v>
      </c>
      <c r="E1691" t="s">
        <v>584</v>
      </c>
      <c r="F1691" s="1">
        <v>46073.58184027778</v>
      </c>
      <c r="G1691" t="s">
        <v>105</v>
      </c>
      <c r="H1691" t="s">
        <v>106</v>
      </c>
      <c r="I1691" t="s">
        <v>6282</v>
      </c>
      <c r="J1691" t="s">
        <v>108</v>
      </c>
      <c r="K1691" t="s">
        <v>109</v>
      </c>
      <c r="M1691" t="s">
        <v>47</v>
      </c>
      <c r="O1691" t="s">
        <v>77</v>
      </c>
      <c r="P1691" t="s">
        <v>78</v>
      </c>
      <c r="Q1691" t="s">
        <v>50</v>
      </c>
      <c r="R1691" t="s">
        <v>111</v>
      </c>
      <c r="S1691" t="s">
        <v>51</v>
      </c>
      <c r="T1691" t="s">
        <v>112</v>
      </c>
      <c r="U1691" s="1">
        <v>46073.597581018519</v>
      </c>
      <c r="V1691" t="s">
        <v>54</v>
      </c>
      <c r="W1691" t="s">
        <v>55</v>
      </c>
      <c r="X1691" t="s">
        <v>134</v>
      </c>
      <c r="Y1691" t="s">
        <v>6999</v>
      </c>
      <c r="Z1691" t="s">
        <v>5594</v>
      </c>
      <c r="AA1691" t="s">
        <v>54</v>
      </c>
      <c r="AB1691" t="s">
        <v>1701</v>
      </c>
      <c r="AC1691" t="s">
        <v>85</v>
      </c>
      <c r="AD1691" t="s">
        <v>116</v>
      </c>
      <c r="AE1691" t="s">
        <v>117</v>
      </c>
      <c r="AF1691" t="s">
        <v>1706</v>
      </c>
      <c r="AG1691" t="s">
        <v>5594</v>
      </c>
      <c r="AK1691">
        <v>1</v>
      </c>
      <c r="AL1691" t="s">
        <v>61</v>
      </c>
      <c r="AM1691" t="s">
        <v>1701</v>
      </c>
      <c r="AN1691" t="s">
        <v>1702</v>
      </c>
    </row>
    <row r="1692" spans="1:40" x14ac:dyDescent="0.35">
      <c r="A1692" t="s">
        <v>37</v>
      </c>
      <c r="B1692" t="s">
        <v>7000</v>
      </c>
      <c r="C1692" t="s">
        <v>39</v>
      </c>
      <c r="D1692" t="s">
        <v>555</v>
      </c>
      <c r="E1692" t="s">
        <v>7001</v>
      </c>
      <c r="F1692" s="1">
        <v>46073.581377314818</v>
      </c>
      <c r="G1692" t="s">
        <v>464</v>
      </c>
      <c r="H1692" t="s">
        <v>287</v>
      </c>
      <c r="I1692" t="s">
        <v>205</v>
      </c>
      <c r="J1692" t="s">
        <v>206</v>
      </c>
      <c r="K1692" t="s">
        <v>207</v>
      </c>
      <c r="M1692" t="s">
        <v>47</v>
      </c>
      <c r="O1692" t="s">
        <v>77</v>
      </c>
      <c r="P1692" t="s">
        <v>78</v>
      </c>
      <c r="Q1692" t="s">
        <v>4087</v>
      </c>
      <c r="R1692" t="s">
        <v>208</v>
      </c>
      <c r="S1692" t="s">
        <v>209</v>
      </c>
      <c r="T1692" t="s">
        <v>210</v>
      </c>
      <c r="U1692" s="1">
        <v>46073.636354166665</v>
      </c>
      <c r="V1692" t="s">
        <v>54</v>
      </c>
      <c r="W1692" t="s">
        <v>55</v>
      </c>
      <c r="X1692" t="s">
        <v>211</v>
      </c>
      <c r="Y1692" t="s">
        <v>6980</v>
      </c>
      <c r="Z1692" t="s">
        <v>5594</v>
      </c>
      <c r="AA1692" t="s">
        <v>54</v>
      </c>
      <c r="AB1692" t="s">
        <v>213</v>
      </c>
      <c r="AC1692" t="s">
        <v>85</v>
      </c>
      <c r="AD1692" t="s">
        <v>214</v>
      </c>
      <c r="AE1692" t="s">
        <v>215</v>
      </c>
      <c r="AF1692" t="s">
        <v>216</v>
      </c>
      <c r="AG1692" t="s">
        <v>5594</v>
      </c>
      <c r="AH1692">
        <v>5801</v>
      </c>
      <c r="AK1692">
        <v>1</v>
      </c>
      <c r="AL1692" t="s">
        <v>61</v>
      </c>
      <c r="AM1692" t="s">
        <v>7002</v>
      </c>
      <c r="AN1692" t="s">
        <v>7003</v>
      </c>
    </row>
    <row r="1693" spans="1:40" x14ac:dyDescent="0.35">
      <c r="A1693" t="s">
        <v>37</v>
      </c>
      <c r="B1693" t="s">
        <v>7004</v>
      </c>
      <c r="C1693" t="s">
        <v>39</v>
      </c>
      <c r="D1693" t="s">
        <v>7005</v>
      </c>
      <c r="E1693" t="s">
        <v>7006</v>
      </c>
      <c r="F1693" s="1">
        <v>46073.580578703702</v>
      </c>
      <c r="G1693" t="s">
        <v>464</v>
      </c>
      <c r="H1693" t="s">
        <v>287</v>
      </c>
      <c r="I1693" t="s">
        <v>205</v>
      </c>
      <c r="J1693" t="s">
        <v>206</v>
      </c>
      <c r="K1693" t="s">
        <v>207</v>
      </c>
      <c r="M1693" t="s">
        <v>47</v>
      </c>
      <c r="O1693" t="s">
        <v>77</v>
      </c>
      <c r="P1693" t="s">
        <v>78</v>
      </c>
      <c r="Q1693" t="s">
        <v>50</v>
      </c>
      <c r="R1693" t="s">
        <v>208</v>
      </c>
      <c r="S1693" t="s">
        <v>209</v>
      </c>
      <c r="T1693" t="s">
        <v>210</v>
      </c>
      <c r="U1693" s="1">
        <v>46073.636504629627</v>
      </c>
      <c r="V1693" t="s">
        <v>54</v>
      </c>
      <c r="W1693" t="s">
        <v>55</v>
      </c>
      <c r="X1693" t="s">
        <v>211</v>
      </c>
      <c r="Y1693" t="s">
        <v>6980</v>
      </c>
      <c r="Z1693" t="s">
        <v>5594</v>
      </c>
      <c r="AA1693" t="s">
        <v>54</v>
      </c>
      <c r="AB1693" t="s">
        <v>213</v>
      </c>
      <c r="AC1693" t="s">
        <v>85</v>
      </c>
      <c r="AD1693" t="s">
        <v>214</v>
      </c>
      <c r="AE1693" t="s">
        <v>215</v>
      </c>
      <c r="AF1693" t="s">
        <v>216</v>
      </c>
      <c r="AG1693" t="s">
        <v>5594</v>
      </c>
      <c r="AH1693">
        <v>12229</v>
      </c>
      <c r="AK1693">
        <v>1</v>
      </c>
      <c r="AL1693" t="s">
        <v>61</v>
      </c>
      <c r="AM1693" t="s">
        <v>7007</v>
      </c>
      <c r="AN1693" t="s">
        <v>7008</v>
      </c>
    </row>
    <row r="1694" spans="1:40" x14ac:dyDescent="0.35">
      <c r="A1694" t="s">
        <v>37</v>
      </c>
      <c r="B1694" t="s">
        <v>7009</v>
      </c>
      <c r="C1694" t="s">
        <v>102</v>
      </c>
      <c r="D1694" t="s">
        <v>220</v>
      </c>
      <c r="E1694" t="s">
        <v>7010</v>
      </c>
      <c r="F1694" s="1">
        <v>46073.573923611111</v>
      </c>
      <c r="G1694" t="s">
        <v>402</v>
      </c>
      <c r="H1694" t="s">
        <v>72</v>
      </c>
      <c r="I1694" t="s">
        <v>7011</v>
      </c>
      <c r="J1694" t="s">
        <v>4244</v>
      </c>
      <c r="K1694" t="s">
        <v>951</v>
      </c>
      <c r="M1694" t="s">
        <v>47</v>
      </c>
      <c r="O1694" t="s">
        <v>1501</v>
      </c>
      <c r="P1694" t="s">
        <v>1502</v>
      </c>
      <c r="Q1694" t="s">
        <v>3204</v>
      </c>
      <c r="R1694" t="s">
        <v>79</v>
      </c>
      <c r="S1694" t="s">
        <v>559</v>
      </c>
      <c r="T1694" t="s">
        <v>7012</v>
      </c>
      <c r="U1694" s="1">
        <v>46073.669305555559</v>
      </c>
      <c r="V1694" t="s">
        <v>54</v>
      </c>
      <c r="W1694" t="s">
        <v>55</v>
      </c>
      <c r="X1694" t="s">
        <v>82</v>
      </c>
      <c r="Y1694" t="s">
        <v>7013</v>
      </c>
      <c r="Z1694" t="s">
        <v>5594</v>
      </c>
      <c r="AA1694" t="s">
        <v>54</v>
      </c>
      <c r="AB1694" t="s">
        <v>1503</v>
      </c>
      <c r="AC1694" t="s">
        <v>1504</v>
      </c>
      <c r="AD1694" t="s">
        <v>79</v>
      </c>
      <c r="AE1694" t="s">
        <v>559</v>
      </c>
      <c r="AF1694" t="s">
        <v>7012</v>
      </c>
      <c r="AG1694" t="s">
        <v>5594</v>
      </c>
      <c r="AH1694">
        <v>6110</v>
      </c>
      <c r="AK1694">
        <v>1</v>
      </c>
      <c r="AL1694" t="s">
        <v>61</v>
      </c>
      <c r="AM1694" t="s">
        <v>7014</v>
      </c>
      <c r="AN1694" t="s">
        <v>7015</v>
      </c>
    </row>
    <row r="1695" spans="1:40" x14ac:dyDescent="0.35">
      <c r="A1695" t="s">
        <v>37</v>
      </c>
      <c r="B1695" t="s">
        <v>7016</v>
      </c>
      <c r="C1695" t="s">
        <v>102</v>
      </c>
      <c r="D1695" t="s">
        <v>1698</v>
      </c>
      <c r="E1695" t="s">
        <v>584</v>
      </c>
      <c r="F1695" s="1">
        <v>46073.566423611112</v>
      </c>
      <c r="G1695" t="s">
        <v>105</v>
      </c>
      <c r="H1695" t="s">
        <v>106</v>
      </c>
      <c r="I1695" t="s">
        <v>6282</v>
      </c>
      <c r="J1695" t="s">
        <v>108</v>
      </c>
      <c r="K1695" t="s">
        <v>109</v>
      </c>
      <c r="M1695" t="s">
        <v>47</v>
      </c>
      <c r="O1695" t="s">
        <v>77</v>
      </c>
      <c r="P1695" t="s">
        <v>78</v>
      </c>
      <c r="Q1695" t="s">
        <v>50</v>
      </c>
      <c r="R1695" t="s">
        <v>111</v>
      </c>
      <c r="S1695" t="s">
        <v>51</v>
      </c>
      <c r="T1695" t="s">
        <v>112</v>
      </c>
      <c r="U1695" s="1">
        <v>46073.596759259257</v>
      </c>
      <c r="V1695" t="s">
        <v>54</v>
      </c>
      <c r="W1695" t="s">
        <v>55</v>
      </c>
      <c r="X1695" t="s">
        <v>134</v>
      </c>
      <c r="Y1695" t="s">
        <v>7017</v>
      </c>
      <c r="Z1695" t="s">
        <v>5594</v>
      </c>
      <c r="AA1695" t="s">
        <v>54</v>
      </c>
      <c r="AB1695" t="s">
        <v>1701</v>
      </c>
      <c r="AC1695" t="s">
        <v>85</v>
      </c>
      <c r="AD1695" t="s">
        <v>116</v>
      </c>
      <c r="AE1695" t="s">
        <v>117</v>
      </c>
      <c r="AF1695" t="s">
        <v>1874</v>
      </c>
      <c r="AG1695" t="s">
        <v>5594</v>
      </c>
      <c r="AK1695">
        <v>1</v>
      </c>
      <c r="AL1695" t="s">
        <v>61</v>
      </c>
      <c r="AM1695" t="s">
        <v>1701</v>
      </c>
      <c r="AN1695" t="s">
        <v>1702</v>
      </c>
    </row>
    <row r="1696" spans="1:40" x14ac:dyDescent="0.35">
      <c r="A1696" t="s">
        <v>37</v>
      </c>
      <c r="B1696" t="s">
        <v>7018</v>
      </c>
      <c r="C1696" t="s">
        <v>39</v>
      </c>
      <c r="D1696" t="s">
        <v>40</v>
      </c>
      <c r="E1696" t="s">
        <v>41</v>
      </c>
      <c r="F1696" s="1">
        <v>46073.548888888887</v>
      </c>
      <c r="G1696" t="s">
        <v>42</v>
      </c>
      <c r="H1696" t="s">
        <v>43</v>
      </c>
      <c r="I1696" t="s">
        <v>7019</v>
      </c>
      <c r="J1696" t="s">
        <v>45</v>
      </c>
      <c r="K1696" t="s">
        <v>46</v>
      </c>
      <c r="M1696" t="s">
        <v>47</v>
      </c>
      <c r="O1696" t="s">
        <v>48</v>
      </c>
      <c r="P1696" t="s">
        <v>49</v>
      </c>
      <c r="Q1696" t="s">
        <v>50</v>
      </c>
      <c r="R1696" t="s">
        <v>51</v>
      </c>
      <c r="S1696" t="s">
        <v>52</v>
      </c>
      <c r="T1696" t="s">
        <v>53</v>
      </c>
      <c r="U1696" s="1">
        <v>46073.549942129626</v>
      </c>
      <c r="V1696" t="s">
        <v>54</v>
      </c>
      <c r="W1696" t="s">
        <v>55</v>
      </c>
      <c r="X1696" t="s">
        <v>56</v>
      </c>
      <c r="Y1696" t="s">
        <v>65</v>
      </c>
      <c r="Z1696" t="s">
        <v>5594</v>
      </c>
      <c r="AA1696" t="s">
        <v>54</v>
      </c>
      <c r="AB1696" t="s">
        <v>59</v>
      </c>
      <c r="AC1696" t="s">
        <v>60</v>
      </c>
      <c r="AD1696" t="s">
        <v>51</v>
      </c>
      <c r="AE1696" t="s">
        <v>52</v>
      </c>
      <c r="AF1696" t="s">
        <v>53</v>
      </c>
      <c r="AG1696" t="s">
        <v>5594</v>
      </c>
      <c r="AK1696">
        <v>0</v>
      </c>
      <c r="AL1696" t="s">
        <v>61</v>
      </c>
      <c r="AM1696" t="s">
        <v>59</v>
      </c>
      <c r="AN1696" t="s">
        <v>62</v>
      </c>
    </row>
    <row r="1697" spans="1:40" x14ac:dyDescent="0.35">
      <c r="A1697" t="s">
        <v>37</v>
      </c>
      <c r="B1697" t="s">
        <v>7020</v>
      </c>
      <c r="C1697" t="s">
        <v>39</v>
      </c>
      <c r="D1697" t="s">
        <v>353</v>
      </c>
      <c r="E1697" t="s">
        <v>354</v>
      </c>
      <c r="F1697" s="1">
        <v>46073.547905092593</v>
      </c>
      <c r="G1697" t="s">
        <v>355</v>
      </c>
      <c r="H1697" t="s">
        <v>356</v>
      </c>
      <c r="I1697" t="s">
        <v>7021</v>
      </c>
      <c r="J1697" t="s">
        <v>358</v>
      </c>
      <c r="K1697" t="s">
        <v>359</v>
      </c>
      <c r="M1697" t="s">
        <v>47</v>
      </c>
      <c r="O1697" t="s">
        <v>77</v>
      </c>
      <c r="P1697" t="s">
        <v>78</v>
      </c>
      <c r="Q1697" t="s">
        <v>50</v>
      </c>
      <c r="R1697" t="s">
        <v>51</v>
      </c>
      <c r="S1697" t="s">
        <v>52</v>
      </c>
      <c r="T1697" t="s">
        <v>53</v>
      </c>
      <c r="U1697" s="1">
        <v>46073.549375000002</v>
      </c>
      <c r="V1697" t="s">
        <v>54</v>
      </c>
      <c r="W1697" t="s">
        <v>55</v>
      </c>
      <c r="X1697" t="s">
        <v>113</v>
      </c>
      <c r="Y1697" t="s">
        <v>7022</v>
      </c>
      <c r="Z1697" t="s">
        <v>5594</v>
      </c>
      <c r="AA1697" t="s">
        <v>54</v>
      </c>
      <c r="AB1697" t="s">
        <v>361</v>
      </c>
      <c r="AC1697" t="s">
        <v>85</v>
      </c>
      <c r="AD1697" t="s">
        <v>52</v>
      </c>
      <c r="AE1697" t="s">
        <v>999</v>
      </c>
      <c r="AF1697" t="s">
        <v>1770</v>
      </c>
      <c r="AG1697" t="s">
        <v>5594</v>
      </c>
      <c r="AH1697" t="s">
        <v>364</v>
      </c>
      <c r="AK1697">
        <v>0</v>
      </c>
      <c r="AL1697" t="s">
        <v>61</v>
      </c>
      <c r="AM1697" t="s">
        <v>365</v>
      </c>
      <c r="AN1697" t="s">
        <v>366</v>
      </c>
    </row>
    <row r="1698" spans="1:40" x14ac:dyDescent="0.35">
      <c r="A1698" t="s">
        <v>37</v>
      </c>
      <c r="B1698" t="s">
        <v>7023</v>
      </c>
      <c r="C1698" t="s">
        <v>39</v>
      </c>
      <c r="D1698" t="s">
        <v>191</v>
      </c>
      <c r="E1698" t="s">
        <v>192</v>
      </c>
      <c r="F1698" s="1">
        <v>46073.54959490741</v>
      </c>
      <c r="G1698" t="s">
        <v>71</v>
      </c>
      <c r="H1698" t="s">
        <v>72</v>
      </c>
      <c r="I1698" t="s">
        <v>7024</v>
      </c>
      <c r="J1698" t="s">
        <v>194</v>
      </c>
      <c r="K1698" t="s">
        <v>565</v>
      </c>
      <c r="M1698" t="s">
        <v>47</v>
      </c>
      <c r="O1698" t="s">
        <v>77</v>
      </c>
      <c r="P1698" t="s">
        <v>78</v>
      </c>
      <c r="Q1698" t="s">
        <v>50</v>
      </c>
      <c r="R1698" t="s">
        <v>51</v>
      </c>
      <c r="S1698" t="s">
        <v>52</v>
      </c>
      <c r="T1698" t="s">
        <v>195</v>
      </c>
      <c r="U1698" s="1">
        <v>46073.568877314814</v>
      </c>
      <c r="V1698" t="s">
        <v>54</v>
      </c>
      <c r="W1698" t="s">
        <v>55</v>
      </c>
      <c r="X1698" t="s">
        <v>134</v>
      </c>
      <c r="Y1698" t="s">
        <v>7025</v>
      </c>
      <c r="Z1698" t="s">
        <v>5594</v>
      </c>
      <c r="AA1698" t="s">
        <v>54</v>
      </c>
      <c r="AB1698" t="s">
        <v>198</v>
      </c>
      <c r="AC1698" t="s">
        <v>85</v>
      </c>
      <c r="AD1698" t="s">
        <v>51</v>
      </c>
      <c r="AE1698" t="s">
        <v>52</v>
      </c>
      <c r="AF1698" t="s">
        <v>195</v>
      </c>
      <c r="AG1698" t="s">
        <v>5594</v>
      </c>
      <c r="AH1698" t="s">
        <v>199</v>
      </c>
      <c r="AK1698">
        <v>1</v>
      </c>
      <c r="AL1698" t="s">
        <v>61</v>
      </c>
      <c r="AM1698" t="s">
        <v>198</v>
      </c>
      <c r="AN1698" t="s">
        <v>200</v>
      </c>
    </row>
    <row r="1699" spans="1:40" x14ac:dyDescent="0.35">
      <c r="A1699" t="s">
        <v>37</v>
      </c>
      <c r="B1699" t="s">
        <v>7026</v>
      </c>
      <c r="C1699" t="s">
        <v>39</v>
      </c>
      <c r="D1699" t="s">
        <v>3318</v>
      </c>
      <c r="E1699" t="s">
        <v>3319</v>
      </c>
      <c r="F1699" s="1">
        <v>46073.538564814815</v>
      </c>
      <c r="G1699" t="s">
        <v>515</v>
      </c>
      <c r="H1699" t="s">
        <v>92</v>
      </c>
      <c r="I1699" t="s">
        <v>7027</v>
      </c>
      <c r="J1699" t="s">
        <v>3257</v>
      </c>
      <c r="K1699" t="s">
        <v>1834</v>
      </c>
      <c r="M1699" t="s">
        <v>76</v>
      </c>
      <c r="O1699" t="s">
        <v>77</v>
      </c>
      <c r="P1699" t="s">
        <v>78</v>
      </c>
      <c r="Q1699" t="s">
        <v>1174</v>
      </c>
      <c r="R1699" t="s">
        <v>51</v>
      </c>
      <c r="S1699" t="s">
        <v>52</v>
      </c>
      <c r="T1699" t="s">
        <v>240</v>
      </c>
      <c r="U1699" s="1">
        <v>46076.316562499997</v>
      </c>
      <c r="V1699" t="s">
        <v>54</v>
      </c>
      <c r="W1699" t="s">
        <v>55</v>
      </c>
      <c r="X1699" t="s">
        <v>134</v>
      </c>
      <c r="Y1699" t="s">
        <v>3258</v>
      </c>
      <c r="Z1699" t="s">
        <v>58</v>
      </c>
      <c r="AA1699" t="s">
        <v>54</v>
      </c>
      <c r="AB1699" t="s">
        <v>3259</v>
      </c>
      <c r="AC1699" t="s">
        <v>85</v>
      </c>
      <c r="AD1699" t="s">
        <v>52</v>
      </c>
      <c r="AE1699" t="s">
        <v>243</v>
      </c>
      <c r="AF1699" t="s">
        <v>1470</v>
      </c>
      <c r="AG1699" t="s">
        <v>58</v>
      </c>
      <c r="AH1699" t="s">
        <v>3321</v>
      </c>
      <c r="AK1699">
        <v>0</v>
      </c>
      <c r="AL1699" t="s">
        <v>61</v>
      </c>
      <c r="AM1699" t="s">
        <v>3259</v>
      </c>
      <c r="AN1699" t="s">
        <v>3322</v>
      </c>
    </row>
    <row r="1700" spans="1:40" x14ac:dyDescent="0.35">
      <c r="A1700" t="s">
        <v>37</v>
      </c>
      <c r="B1700" t="s">
        <v>7028</v>
      </c>
      <c r="C1700" t="s">
        <v>102</v>
      </c>
      <c r="D1700" t="s">
        <v>1698</v>
      </c>
      <c r="E1700" t="s">
        <v>584</v>
      </c>
      <c r="F1700" s="1">
        <v>46073.537118055552</v>
      </c>
      <c r="G1700" t="s">
        <v>105</v>
      </c>
      <c r="H1700" t="s">
        <v>106</v>
      </c>
      <c r="I1700" t="s">
        <v>5516</v>
      </c>
      <c r="J1700" t="s">
        <v>108</v>
      </c>
      <c r="K1700" t="s">
        <v>571</v>
      </c>
      <c r="M1700" t="s">
        <v>47</v>
      </c>
      <c r="O1700" t="s">
        <v>77</v>
      </c>
      <c r="P1700" t="s">
        <v>78</v>
      </c>
      <c r="Q1700" t="s">
        <v>50</v>
      </c>
      <c r="R1700" t="s">
        <v>111</v>
      </c>
      <c r="S1700" t="s">
        <v>51</v>
      </c>
      <c r="T1700" t="s">
        <v>112</v>
      </c>
      <c r="U1700" s="1">
        <v>46073.584803240738</v>
      </c>
      <c r="V1700" t="s">
        <v>54</v>
      </c>
      <c r="W1700" t="s">
        <v>55</v>
      </c>
      <c r="X1700" t="s">
        <v>134</v>
      </c>
      <c r="Y1700" t="s">
        <v>7029</v>
      </c>
      <c r="Z1700" t="s">
        <v>5594</v>
      </c>
      <c r="AA1700" t="s">
        <v>54</v>
      </c>
      <c r="AB1700" t="s">
        <v>1701</v>
      </c>
      <c r="AC1700" t="s">
        <v>85</v>
      </c>
      <c r="AD1700" t="s">
        <v>116</v>
      </c>
      <c r="AE1700" t="s">
        <v>574</v>
      </c>
      <c r="AF1700" t="s">
        <v>144</v>
      </c>
      <c r="AG1700" t="s">
        <v>5594</v>
      </c>
      <c r="AK1700">
        <v>1</v>
      </c>
      <c r="AL1700" t="s">
        <v>61</v>
      </c>
      <c r="AM1700" t="s">
        <v>1701</v>
      </c>
      <c r="AN1700" t="s">
        <v>1702</v>
      </c>
    </row>
    <row r="1701" spans="1:40" x14ac:dyDescent="0.35">
      <c r="A1701" t="s">
        <v>37</v>
      </c>
      <c r="B1701" t="s">
        <v>7030</v>
      </c>
      <c r="C1701" t="s">
        <v>102</v>
      </c>
      <c r="D1701" t="s">
        <v>1698</v>
      </c>
      <c r="E1701" t="s">
        <v>584</v>
      </c>
      <c r="F1701" s="1">
        <v>46073.537118055552</v>
      </c>
      <c r="G1701" t="s">
        <v>105</v>
      </c>
      <c r="H1701" t="s">
        <v>106</v>
      </c>
      <c r="I1701" t="s">
        <v>5516</v>
      </c>
      <c r="J1701" t="s">
        <v>108</v>
      </c>
      <c r="K1701" t="s">
        <v>571</v>
      </c>
      <c r="M1701" t="s">
        <v>47</v>
      </c>
      <c r="O1701" t="s">
        <v>77</v>
      </c>
      <c r="P1701" t="s">
        <v>78</v>
      </c>
      <c r="Q1701" t="s">
        <v>50</v>
      </c>
      <c r="R1701" t="s">
        <v>111</v>
      </c>
      <c r="S1701" t="s">
        <v>51</v>
      </c>
      <c r="T1701" t="s">
        <v>112</v>
      </c>
      <c r="U1701" s="1">
        <v>46073.585960648146</v>
      </c>
      <c r="V1701" t="s">
        <v>54</v>
      </c>
      <c r="W1701" t="s">
        <v>55</v>
      </c>
      <c r="X1701" t="s">
        <v>134</v>
      </c>
      <c r="Y1701" t="s">
        <v>7029</v>
      </c>
      <c r="Z1701" t="s">
        <v>5594</v>
      </c>
      <c r="AA1701" t="s">
        <v>54</v>
      </c>
      <c r="AB1701" t="s">
        <v>1701</v>
      </c>
      <c r="AC1701" t="s">
        <v>85</v>
      </c>
      <c r="AD1701" t="s">
        <v>116</v>
      </c>
      <c r="AE1701" t="s">
        <v>574</v>
      </c>
      <c r="AF1701" t="s">
        <v>144</v>
      </c>
      <c r="AG1701" t="s">
        <v>5594</v>
      </c>
      <c r="AK1701">
        <v>1</v>
      </c>
      <c r="AL1701" t="s">
        <v>61</v>
      </c>
      <c r="AM1701" t="s">
        <v>1701</v>
      </c>
      <c r="AN1701" t="s">
        <v>1702</v>
      </c>
    </row>
    <row r="1702" spans="1:40" x14ac:dyDescent="0.35">
      <c r="A1702" t="s">
        <v>37</v>
      </c>
      <c r="B1702" t="s">
        <v>7031</v>
      </c>
      <c r="C1702" t="s">
        <v>39</v>
      </c>
      <c r="D1702" t="s">
        <v>40</v>
      </c>
      <c r="E1702" t="s">
        <v>41</v>
      </c>
      <c r="F1702" s="1">
        <v>46073.53634259259</v>
      </c>
      <c r="G1702" t="s">
        <v>42</v>
      </c>
      <c r="H1702" t="s">
        <v>43</v>
      </c>
      <c r="I1702" t="s">
        <v>7032</v>
      </c>
      <c r="J1702" t="s">
        <v>45</v>
      </c>
      <c r="K1702" t="s">
        <v>46</v>
      </c>
      <c r="M1702" t="s">
        <v>47</v>
      </c>
      <c r="O1702" t="s">
        <v>48</v>
      </c>
      <c r="P1702" t="s">
        <v>49</v>
      </c>
      <c r="Q1702" t="s">
        <v>50</v>
      </c>
      <c r="R1702" t="s">
        <v>51</v>
      </c>
      <c r="S1702" t="s">
        <v>52</v>
      </c>
      <c r="T1702" t="s">
        <v>53</v>
      </c>
      <c r="U1702" s="1">
        <v>46073.537164351852</v>
      </c>
      <c r="V1702" t="s">
        <v>54</v>
      </c>
      <c r="W1702" t="s">
        <v>55</v>
      </c>
      <c r="X1702" t="s">
        <v>56</v>
      </c>
      <c r="Y1702" t="s">
        <v>57</v>
      </c>
      <c r="Z1702" t="s">
        <v>5594</v>
      </c>
      <c r="AA1702" t="s">
        <v>54</v>
      </c>
      <c r="AB1702" t="s">
        <v>59</v>
      </c>
      <c r="AC1702" t="s">
        <v>60</v>
      </c>
      <c r="AD1702" t="s">
        <v>51</v>
      </c>
      <c r="AE1702" t="s">
        <v>52</v>
      </c>
      <c r="AF1702" t="s">
        <v>53</v>
      </c>
      <c r="AG1702" t="s">
        <v>5594</v>
      </c>
      <c r="AK1702">
        <v>0</v>
      </c>
      <c r="AL1702" t="s">
        <v>61</v>
      </c>
      <c r="AM1702" t="s">
        <v>59</v>
      </c>
      <c r="AN1702" t="s">
        <v>62</v>
      </c>
    </row>
    <row r="1703" spans="1:40" x14ac:dyDescent="0.35">
      <c r="A1703" t="s">
        <v>37</v>
      </c>
      <c r="B1703" t="s">
        <v>7033</v>
      </c>
      <c r="C1703" t="s">
        <v>102</v>
      </c>
      <c r="D1703" t="s">
        <v>1698</v>
      </c>
      <c r="E1703" t="s">
        <v>584</v>
      </c>
      <c r="F1703" s="1">
        <v>46073.529340277775</v>
      </c>
      <c r="G1703" t="s">
        <v>105</v>
      </c>
      <c r="H1703" t="s">
        <v>106</v>
      </c>
      <c r="I1703" t="s">
        <v>1851</v>
      </c>
      <c r="J1703" t="s">
        <v>108</v>
      </c>
      <c r="K1703" t="s">
        <v>341</v>
      </c>
      <c r="M1703" t="s">
        <v>47</v>
      </c>
      <c r="O1703" t="s">
        <v>77</v>
      </c>
      <c r="P1703" t="s">
        <v>78</v>
      </c>
      <c r="Q1703" t="s">
        <v>50</v>
      </c>
      <c r="R1703" t="s">
        <v>111</v>
      </c>
      <c r="S1703" t="s">
        <v>51</v>
      </c>
      <c r="T1703" t="s">
        <v>112</v>
      </c>
      <c r="U1703" s="1">
        <v>46073.943078703705</v>
      </c>
      <c r="V1703" t="s">
        <v>54</v>
      </c>
      <c r="X1703" t="s">
        <v>134</v>
      </c>
      <c r="Y1703" t="s">
        <v>7034</v>
      </c>
      <c r="Z1703" t="s">
        <v>5594</v>
      </c>
      <c r="AA1703" t="s">
        <v>54</v>
      </c>
      <c r="AB1703" t="s">
        <v>1701</v>
      </c>
      <c r="AC1703" t="s">
        <v>85</v>
      </c>
      <c r="AD1703" t="s">
        <v>116</v>
      </c>
      <c r="AE1703" t="s">
        <v>117</v>
      </c>
      <c r="AF1703" t="s">
        <v>1740</v>
      </c>
      <c r="AG1703" t="s">
        <v>5594</v>
      </c>
      <c r="AK1703">
        <v>1</v>
      </c>
      <c r="AL1703" t="s">
        <v>61</v>
      </c>
      <c r="AM1703" t="s">
        <v>1701</v>
      </c>
      <c r="AN1703" t="s">
        <v>1702</v>
      </c>
    </row>
    <row r="1704" spans="1:40" x14ac:dyDescent="0.35">
      <c r="A1704" t="s">
        <v>37</v>
      </c>
      <c r="B1704" t="s">
        <v>7035</v>
      </c>
      <c r="C1704" t="s">
        <v>39</v>
      </c>
      <c r="D1704" t="s">
        <v>2849</v>
      </c>
      <c r="E1704" t="s">
        <v>2850</v>
      </c>
      <c r="F1704" s="1">
        <v>46073.519421296296</v>
      </c>
      <c r="G1704" t="s">
        <v>688</v>
      </c>
      <c r="H1704" t="s">
        <v>106</v>
      </c>
      <c r="I1704" t="s">
        <v>7036</v>
      </c>
      <c r="J1704" t="s">
        <v>2333</v>
      </c>
      <c r="K1704" t="s">
        <v>1187</v>
      </c>
      <c r="M1704" t="s">
        <v>76</v>
      </c>
      <c r="O1704" t="s">
        <v>77</v>
      </c>
      <c r="P1704" t="s">
        <v>78</v>
      </c>
      <c r="Q1704" t="s">
        <v>50</v>
      </c>
      <c r="R1704" t="s">
        <v>79</v>
      </c>
      <c r="S1704" t="s">
        <v>172</v>
      </c>
      <c r="T1704" t="s">
        <v>725</v>
      </c>
      <c r="U1704" s="1">
        <v>46078.315451388888</v>
      </c>
      <c r="V1704" t="s">
        <v>54</v>
      </c>
      <c r="W1704" t="s">
        <v>55</v>
      </c>
      <c r="X1704" t="s">
        <v>134</v>
      </c>
      <c r="Y1704" t="s">
        <v>7037</v>
      </c>
      <c r="Z1704" t="s">
        <v>58</v>
      </c>
      <c r="AA1704" t="s">
        <v>54</v>
      </c>
      <c r="AB1704" t="s">
        <v>458</v>
      </c>
      <c r="AC1704" t="s">
        <v>85</v>
      </c>
      <c r="AD1704" t="s">
        <v>1189</v>
      </c>
      <c r="AE1704" t="s">
        <v>3746</v>
      </c>
      <c r="AF1704" t="s">
        <v>7038</v>
      </c>
      <c r="AG1704" t="s">
        <v>58</v>
      </c>
      <c r="AH1704">
        <v>14755</v>
      </c>
      <c r="AK1704">
        <v>1</v>
      </c>
      <c r="AL1704" t="s">
        <v>61</v>
      </c>
      <c r="AM1704" t="s">
        <v>2852</v>
      </c>
      <c r="AN1704" t="s">
        <v>2853</v>
      </c>
    </row>
    <row r="1705" spans="1:40" x14ac:dyDescent="0.35">
      <c r="A1705" t="s">
        <v>37</v>
      </c>
      <c r="B1705" t="s">
        <v>7039</v>
      </c>
      <c r="C1705" t="s">
        <v>102</v>
      </c>
      <c r="D1705" t="s">
        <v>676</v>
      </c>
      <c r="E1705" t="s">
        <v>677</v>
      </c>
      <c r="F1705" s="1">
        <v>46073.519895833335</v>
      </c>
      <c r="G1705" t="s">
        <v>71</v>
      </c>
      <c r="H1705" t="s">
        <v>72</v>
      </c>
      <c r="I1705" t="s">
        <v>7040</v>
      </c>
      <c r="J1705" t="s">
        <v>679</v>
      </c>
      <c r="K1705" t="s">
        <v>130</v>
      </c>
      <c r="M1705" t="s">
        <v>150</v>
      </c>
      <c r="O1705" t="s">
        <v>77</v>
      </c>
      <c r="P1705" t="s">
        <v>78</v>
      </c>
      <c r="Q1705" t="s">
        <v>50</v>
      </c>
      <c r="R1705" t="s">
        <v>51</v>
      </c>
      <c r="S1705" t="s">
        <v>195</v>
      </c>
      <c r="T1705" t="s">
        <v>680</v>
      </c>
      <c r="U1705" s="1">
        <v>46076.366377314815</v>
      </c>
      <c r="V1705" t="s">
        <v>54</v>
      </c>
      <c r="W1705" t="s">
        <v>55</v>
      </c>
      <c r="X1705" t="s">
        <v>134</v>
      </c>
      <c r="Y1705" t="s">
        <v>7041</v>
      </c>
      <c r="Z1705" t="s">
        <v>58</v>
      </c>
      <c r="AA1705" t="s">
        <v>54</v>
      </c>
      <c r="AB1705" t="s">
        <v>682</v>
      </c>
      <c r="AC1705" t="s">
        <v>85</v>
      </c>
      <c r="AD1705" t="s">
        <v>51</v>
      </c>
      <c r="AE1705" t="s">
        <v>195</v>
      </c>
      <c r="AF1705" t="s">
        <v>680</v>
      </c>
      <c r="AG1705" t="s">
        <v>58</v>
      </c>
      <c r="AH1705" t="s">
        <v>683</v>
      </c>
      <c r="AK1705">
        <v>1</v>
      </c>
      <c r="AL1705" t="s">
        <v>61</v>
      </c>
      <c r="AM1705" t="s">
        <v>682</v>
      </c>
      <c r="AN1705" t="s">
        <v>684</v>
      </c>
    </row>
    <row r="1706" spans="1:40" x14ac:dyDescent="0.35">
      <c r="A1706" t="s">
        <v>37</v>
      </c>
      <c r="B1706" t="s">
        <v>7042</v>
      </c>
      <c r="C1706" t="s">
        <v>102</v>
      </c>
      <c r="D1706" t="s">
        <v>3786</v>
      </c>
      <c r="E1706" t="s">
        <v>469</v>
      </c>
      <c r="F1706" s="1">
        <v>46073.517835648148</v>
      </c>
      <c r="G1706" t="s">
        <v>105</v>
      </c>
      <c r="H1706" t="s">
        <v>106</v>
      </c>
      <c r="I1706" t="s">
        <v>7043</v>
      </c>
      <c r="J1706" t="s">
        <v>108</v>
      </c>
      <c r="K1706" t="s">
        <v>341</v>
      </c>
      <c r="M1706" t="s">
        <v>47</v>
      </c>
      <c r="O1706" t="s">
        <v>77</v>
      </c>
      <c r="P1706" t="s">
        <v>78</v>
      </c>
      <c r="Q1706" t="s">
        <v>541</v>
      </c>
      <c r="R1706" t="s">
        <v>111</v>
      </c>
      <c r="S1706" t="s">
        <v>51</v>
      </c>
      <c r="T1706" t="s">
        <v>112</v>
      </c>
      <c r="U1706" s="1">
        <v>46073.942488425928</v>
      </c>
      <c r="V1706" t="s">
        <v>54</v>
      </c>
      <c r="X1706" t="s">
        <v>82</v>
      </c>
      <c r="Y1706" t="s">
        <v>7044</v>
      </c>
      <c r="Z1706" t="s">
        <v>5594</v>
      </c>
      <c r="AA1706" t="s">
        <v>54</v>
      </c>
      <c r="AB1706" t="s">
        <v>115</v>
      </c>
      <c r="AC1706" t="s">
        <v>85</v>
      </c>
      <c r="AD1706" t="s">
        <v>116</v>
      </c>
      <c r="AE1706" t="s">
        <v>117</v>
      </c>
      <c r="AF1706" t="s">
        <v>343</v>
      </c>
      <c r="AG1706" t="s">
        <v>5594</v>
      </c>
      <c r="AH1706">
        <v>5935</v>
      </c>
      <c r="AK1706">
        <v>1</v>
      </c>
      <c r="AL1706" t="s">
        <v>61</v>
      </c>
      <c r="AM1706" t="s">
        <v>3789</v>
      </c>
      <c r="AN1706" t="s">
        <v>3790</v>
      </c>
    </row>
    <row r="1707" spans="1:40" x14ac:dyDescent="0.35">
      <c r="A1707" t="s">
        <v>37</v>
      </c>
      <c r="B1707" t="s">
        <v>7045</v>
      </c>
      <c r="C1707" t="s">
        <v>39</v>
      </c>
      <c r="D1707" t="s">
        <v>89</v>
      </c>
      <c r="E1707" t="s">
        <v>5979</v>
      </c>
      <c r="F1707" s="1">
        <v>46073.516388888886</v>
      </c>
      <c r="G1707" t="s">
        <v>71</v>
      </c>
      <c r="H1707" t="s">
        <v>72</v>
      </c>
      <c r="I1707" t="s">
        <v>7046</v>
      </c>
      <c r="J1707" t="s">
        <v>679</v>
      </c>
      <c r="K1707" t="s">
        <v>130</v>
      </c>
      <c r="M1707" t="s">
        <v>150</v>
      </c>
      <c r="O1707" t="s">
        <v>77</v>
      </c>
      <c r="P1707" t="s">
        <v>78</v>
      </c>
      <c r="Q1707" t="s">
        <v>50</v>
      </c>
      <c r="R1707" t="s">
        <v>132</v>
      </c>
      <c r="S1707" t="s">
        <v>133</v>
      </c>
      <c r="T1707" t="s">
        <v>133</v>
      </c>
      <c r="U1707" s="1">
        <v>46077.624780092592</v>
      </c>
      <c r="V1707" t="s">
        <v>54</v>
      </c>
      <c r="W1707" t="s">
        <v>55</v>
      </c>
      <c r="X1707" t="s">
        <v>134</v>
      </c>
      <c r="Y1707" t="s">
        <v>7047</v>
      </c>
      <c r="Z1707" t="s">
        <v>58</v>
      </c>
      <c r="AA1707" t="s">
        <v>54</v>
      </c>
      <c r="AB1707" t="s">
        <v>612</v>
      </c>
      <c r="AC1707" t="s">
        <v>85</v>
      </c>
      <c r="AD1707" t="s">
        <v>51</v>
      </c>
      <c r="AE1707" t="s">
        <v>195</v>
      </c>
      <c r="AF1707" t="s">
        <v>680</v>
      </c>
      <c r="AG1707" t="s">
        <v>58</v>
      </c>
      <c r="AH1707">
        <v>12001</v>
      </c>
      <c r="AK1707">
        <v>2</v>
      </c>
      <c r="AL1707" t="s">
        <v>61</v>
      </c>
      <c r="AM1707" t="s">
        <v>7048</v>
      </c>
      <c r="AN1707" t="s">
        <v>7049</v>
      </c>
    </row>
    <row r="1708" spans="1:40" x14ac:dyDescent="0.35">
      <c r="A1708" t="s">
        <v>37</v>
      </c>
      <c r="B1708" t="s">
        <v>7050</v>
      </c>
      <c r="C1708" t="s">
        <v>102</v>
      </c>
      <c r="D1708" t="s">
        <v>320</v>
      </c>
      <c r="E1708" t="s">
        <v>7051</v>
      </c>
      <c r="F1708" s="1">
        <v>46073.514803240738</v>
      </c>
      <c r="G1708" t="s">
        <v>261</v>
      </c>
      <c r="H1708" t="s">
        <v>72</v>
      </c>
      <c r="I1708" t="s">
        <v>7052</v>
      </c>
      <c r="J1708" t="s">
        <v>724</v>
      </c>
      <c r="K1708" t="s">
        <v>75</v>
      </c>
      <c r="M1708" t="s">
        <v>47</v>
      </c>
      <c r="O1708" t="s">
        <v>237</v>
      </c>
      <c r="P1708" t="s">
        <v>238</v>
      </c>
      <c r="Q1708" t="s">
        <v>50</v>
      </c>
      <c r="R1708" t="s">
        <v>79</v>
      </c>
      <c r="S1708" t="s">
        <v>1124</v>
      </c>
      <c r="T1708" t="s">
        <v>81</v>
      </c>
      <c r="U1708" s="1">
        <v>46073.51934027778</v>
      </c>
      <c r="V1708" t="s">
        <v>54</v>
      </c>
      <c r="W1708" t="s">
        <v>55</v>
      </c>
      <c r="X1708" t="s">
        <v>82</v>
      </c>
      <c r="Y1708" t="s">
        <v>7053</v>
      </c>
      <c r="Z1708" t="s">
        <v>5594</v>
      </c>
      <c r="AA1708" t="s">
        <v>54</v>
      </c>
      <c r="AB1708" t="s">
        <v>727</v>
      </c>
      <c r="AC1708" t="s">
        <v>242</v>
      </c>
      <c r="AD1708" t="s">
        <v>79</v>
      </c>
      <c r="AE1708" t="s">
        <v>1124</v>
      </c>
      <c r="AF1708" t="s">
        <v>81</v>
      </c>
      <c r="AG1708" t="s">
        <v>5594</v>
      </c>
      <c r="AH1708">
        <v>12556</v>
      </c>
      <c r="AK1708">
        <v>0</v>
      </c>
      <c r="AL1708" t="s">
        <v>61</v>
      </c>
      <c r="AM1708" t="s">
        <v>7054</v>
      </c>
      <c r="AN1708" t="s">
        <v>7055</v>
      </c>
    </row>
    <row r="1709" spans="1:40" x14ac:dyDescent="0.35">
      <c r="A1709" t="s">
        <v>37</v>
      </c>
      <c r="B1709" t="s">
        <v>7056</v>
      </c>
      <c r="C1709" t="s">
        <v>102</v>
      </c>
      <c r="D1709" t="s">
        <v>676</v>
      </c>
      <c r="E1709" t="s">
        <v>677</v>
      </c>
      <c r="F1709" s="1">
        <v>46073.509375000001</v>
      </c>
      <c r="G1709" t="s">
        <v>71</v>
      </c>
      <c r="H1709" t="s">
        <v>72</v>
      </c>
      <c r="I1709" t="s">
        <v>7057</v>
      </c>
      <c r="J1709" t="s">
        <v>679</v>
      </c>
      <c r="K1709" t="s">
        <v>130</v>
      </c>
      <c r="M1709" t="s">
        <v>131</v>
      </c>
      <c r="O1709" t="s">
        <v>77</v>
      </c>
      <c r="P1709" t="s">
        <v>78</v>
      </c>
      <c r="Q1709" t="s">
        <v>50</v>
      </c>
      <c r="R1709" t="s">
        <v>51</v>
      </c>
      <c r="S1709" t="s">
        <v>195</v>
      </c>
      <c r="T1709" t="s">
        <v>680</v>
      </c>
      <c r="U1709" s="1">
        <v>46076.365636574075</v>
      </c>
      <c r="V1709" t="s">
        <v>54</v>
      </c>
      <c r="W1709" t="s">
        <v>55</v>
      </c>
      <c r="X1709" t="s">
        <v>134</v>
      </c>
      <c r="Y1709" t="s">
        <v>7058</v>
      </c>
      <c r="Z1709" t="s">
        <v>58</v>
      </c>
      <c r="AA1709" t="s">
        <v>54</v>
      </c>
      <c r="AB1709" t="s">
        <v>682</v>
      </c>
      <c r="AC1709" t="s">
        <v>85</v>
      </c>
      <c r="AD1709" t="s">
        <v>51</v>
      </c>
      <c r="AE1709" t="s">
        <v>195</v>
      </c>
      <c r="AF1709" t="s">
        <v>680</v>
      </c>
      <c r="AG1709" t="s">
        <v>58</v>
      </c>
      <c r="AH1709" t="s">
        <v>683</v>
      </c>
      <c r="AK1709">
        <v>1</v>
      </c>
      <c r="AL1709" t="s">
        <v>61</v>
      </c>
      <c r="AM1709" t="s">
        <v>682</v>
      </c>
      <c r="AN1709" t="s">
        <v>684</v>
      </c>
    </row>
    <row r="1710" spans="1:40" x14ac:dyDescent="0.35">
      <c r="A1710" t="s">
        <v>37</v>
      </c>
      <c r="B1710" t="s">
        <v>7059</v>
      </c>
      <c r="C1710" t="s">
        <v>39</v>
      </c>
      <c r="D1710" t="s">
        <v>40</v>
      </c>
      <c r="E1710" t="s">
        <v>41</v>
      </c>
      <c r="F1710" s="1">
        <v>46073.507951388892</v>
      </c>
      <c r="G1710" t="s">
        <v>42</v>
      </c>
      <c r="H1710" t="s">
        <v>43</v>
      </c>
      <c r="I1710" t="s">
        <v>7060</v>
      </c>
      <c r="J1710" t="s">
        <v>45</v>
      </c>
      <c r="K1710" t="s">
        <v>46</v>
      </c>
      <c r="M1710" t="s">
        <v>47</v>
      </c>
      <c r="O1710" t="s">
        <v>48</v>
      </c>
      <c r="P1710" t="s">
        <v>49</v>
      </c>
      <c r="Q1710" t="s">
        <v>50</v>
      </c>
      <c r="R1710" t="s">
        <v>51</v>
      </c>
      <c r="S1710" t="s">
        <v>52</v>
      </c>
      <c r="T1710" t="s">
        <v>53</v>
      </c>
      <c r="U1710" s="1">
        <v>46073.508935185186</v>
      </c>
      <c r="V1710" t="s">
        <v>54</v>
      </c>
      <c r="W1710" t="s">
        <v>55</v>
      </c>
      <c r="X1710" t="s">
        <v>56</v>
      </c>
      <c r="Y1710" t="s">
        <v>65</v>
      </c>
      <c r="Z1710" t="s">
        <v>5594</v>
      </c>
      <c r="AA1710" t="s">
        <v>54</v>
      </c>
      <c r="AB1710" t="s">
        <v>59</v>
      </c>
      <c r="AC1710" t="s">
        <v>60</v>
      </c>
      <c r="AD1710" t="s">
        <v>51</v>
      </c>
      <c r="AE1710" t="s">
        <v>52</v>
      </c>
      <c r="AF1710" t="s">
        <v>53</v>
      </c>
      <c r="AG1710" t="s">
        <v>5594</v>
      </c>
      <c r="AK1710">
        <v>0</v>
      </c>
      <c r="AL1710" t="s">
        <v>61</v>
      </c>
      <c r="AM1710" t="s">
        <v>59</v>
      </c>
      <c r="AN1710" t="s">
        <v>62</v>
      </c>
    </row>
    <row r="1711" spans="1:40" x14ac:dyDescent="0.35">
      <c r="A1711" t="s">
        <v>37</v>
      </c>
      <c r="B1711" t="s">
        <v>7061</v>
      </c>
      <c r="C1711" t="s">
        <v>102</v>
      </c>
      <c r="D1711" t="s">
        <v>6285</v>
      </c>
      <c r="E1711" t="s">
        <v>6286</v>
      </c>
      <c r="F1711" s="1">
        <v>46073.508009259262</v>
      </c>
      <c r="G1711" t="s">
        <v>105</v>
      </c>
      <c r="H1711" t="s">
        <v>106</v>
      </c>
      <c r="I1711" t="s">
        <v>6973</v>
      </c>
      <c r="J1711" t="s">
        <v>108</v>
      </c>
      <c r="K1711" t="s">
        <v>109</v>
      </c>
      <c r="M1711" t="s">
        <v>47</v>
      </c>
      <c r="O1711" t="s">
        <v>77</v>
      </c>
      <c r="P1711" t="s">
        <v>78</v>
      </c>
      <c r="Q1711" t="s">
        <v>50</v>
      </c>
      <c r="R1711" t="s">
        <v>111</v>
      </c>
      <c r="S1711" t="s">
        <v>51</v>
      </c>
      <c r="T1711" t="s">
        <v>112</v>
      </c>
      <c r="U1711" s="1">
        <v>46073.591331018521</v>
      </c>
      <c r="V1711" t="s">
        <v>54</v>
      </c>
      <c r="W1711" t="s">
        <v>55</v>
      </c>
      <c r="X1711" t="s">
        <v>113</v>
      </c>
      <c r="Y1711" t="s">
        <v>7062</v>
      </c>
      <c r="Z1711" t="s">
        <v>5594</v>
      </c>
      <c r="AA1711" t="s">
        <v>54</v>
      </c>
      <c r="AB1711" t="s">
        <v>115</v>
      </c>
      <c r="AC1711" t="s">
        <v>85</v>
      </c>
      <c r="AD1711" t="s">
        <v>116</v>
      </c>
      <c r="AE1711" t="s">
        <v>334</v>
      </c>
      <c r="AF1711" t="s">
        <v>6316</v>
      </c>
      <c r="AG1711" t="s">
        <v>5594</v>
      </c>
      <c r="AH1711" t="s">
        <v>6288</v>
      </c>
      <c r="AK1711">
        <v>1</v>
      </c>
      <c r="AL1711" t="s">
        <v>61</v>
      </c>
      <c r="AM1711" t="s">
        <v>6289</v>
      </c>
      <c r="AN1711" t="s">
        <v>6290</v>
      </c>
    </row>
    <row r="1712" spans="1:40" x14ac:dyDescent="0.35">
      <c r="A1712" t="s">
        <v>37</v>
      </c>
      <c r="B1712" t="s">
        <v>7063</v>
      </c>
      <c r="C1712" t="s">
        <v>39</v>
      </c>
      <c r="D1712" t="s">
        <v>960</v>
      </c>
      <c r="E1712" t="s">
        <v>961</v>
      </c>
      <c r="F1712" s="1">
        <v>46073.507847222223</v>
      </c>
      <c r="G1712" t="s">
        <v>355</v>
      </c>
      <c r="H1712" t="s">
        <v>356</v>
      </c>
      <c r="I1712" t="s">
        <v>7064</v>
      </c>
      <c r="J1712" t="s">
        <v>435</v>
      </c>
      <c r="K1712" t="s">
        <v>436</v>
      </c>
      <c r="M1712" t="s">
        <v>76</v>
      </c>
      <c r="O1712" t="s">
        <v>77</v>
      </c>
      <c r="P1712" t="s">
        <v>78</v>
      </c>
      <c r="Q1712" t="s">
        <v>50</v>
      </c>
      <c r="R1712" t="s">
        <v>51</v>
      </c>
      <c r="S1712" t="s">
        <v>52</v>
      </c>
      <c r="T1712" t="s">
        <v>773</v>
      </c>
      <c r="U1712" s="1">
        <v>46076.491631944446</v>
      </c>
      <c r="V1712" t="s">
        <v>54</v>
      </c>
      <c r="W1712" t="s">
        <v>55</v>
      </c>
      <c r="X1712" t="s">
        <v>134</v>
      </c>
      <c r="Y1712" t="s">
        <v>7065</v>
      </c>
      <c r="Z1712" t="s">
        <v>58</v>
      </c>
      <c r="AA1712" t="s">
        <v>54</v>
      </c>
      <c r="AB1712" t="s">
        <v>612</v>
      </c>
      <c r="AC1712" t="s">
        <v>85</v>
      </c>
      <c r="AD1712" t="s">
        <v>52</v>
      </c>
      <c r="AE1712" t="s">
        <v>438</v>
      </c>
      <c r="AF1712" t="s">
        <v>775</v>
      </c>
      <c r="AG1712" t="s">
        <v>58</v>
      </c>
      <c r="AH1712" t="s">
        <v>969</v>
      </c>
      <c r="AK1712">
        <v>1</v>
      </c>
      <c r="AL1712" t="s">
        <v>61</v>
      </c>
      <c r="AM1712" t="s">
        <v>966</v>
      </c>
      <c r="AN1712" t="s">
        <v>970</v>
      </c>
    </row>
    <row r="1713" spans="1:40" x14ac:dyDescent="0.35">
      <c r="A1713" t="s">
        <v>37</v>
      </c>
      <c r="B1713" t="s">
        <v>7066</v>
      </c>
      <c r="C1713" t="s">
        <v>102</v>
      </c>
      <c r="D1713" t="s">
        <v>7067</v>
      </c>
      <c r="E1713" t="s">
        <v>513</v>
      </c>
      <c r="F1713" s="1">
        <v>46073.506284722222</v>
      </c>
      <c r="G1713" t="s">
        <v>446</v>
      </c>
      <c r="H1713" t="s">
        <v>447</v>
      </c>
      <c r="I1713" t="s">
        <v>7068</v>
      </c>
      <c r="J1713" t="s">
        <v>1454</v>
      </c>
      <c r="K1713" t="s">
        <v>75</v>
      </c>
      <c r="M1713" t="s">
        <v>47</v>
      </c>
      <c r="O1713" t="s">
        <v>237</v>
      </c>
      <c r="P1713" t="s">
        <v>238</v>
      </c>
      <c r="Q1713" t="s">
        <v>448</v>
      </c>
      <c r="R1713" t="s">
        <v>79</v>
      </c>
      <c r="S1713" t="s">
        <v>936</v>
      </c>
      <c r="T1713" t="s">
        <v>7069</v>
      </c>
      <c r="U1713" s="1">
        <v>46073.507245370369</v>
      </c>
      <c r="V1713" t="s">
        <v>54</v>
      </c>
      <c r="W1713" t="s">
        <v>55</v>
      </c>
      <c r="X1713" t="s">
        <v>82</v>
      </c>
      <c r="Y1713" t="s">
        <v>7070</v>
      </c>
      <c r="Z1713" t="s">
        <v>5594</v>
      </c>
      <c r="AA1713" t="s">
        <v>54</v>
      </c>
      <c r="AB1713" t="s">
        <v>2721</v>
      </c>
      <c r="AC1713" t="s">
        <v>242</v>
      </c>
      <c r="AD1713" t="s">
        <v>79</v>
      </c>
      <c r="AE1713" t="s">
        <v>936</v>
      </c>
      <c r="AF1713" t="s">
        <v>7071</v>
      </c>
      <c r="AG1713" t="s">
        <v>5594</v>
      </c>
      <c r="AH1713">
        <v>13248</v>
      </c>
      <c r="AK1713">
        <v>0</v>
      </c>
      <c r="AL1713" t="s">
        <v>61</v>
      </c>
      <c r="AM1713" t="s">
        <v>7072</v>
      </c>
      <c r="AN1713" t="s">
        <v>7073</v>
      </c>
    </row>
    <row r="1714" spans="1:40" x14ac:dyDescent="0.35">
      <c r="A1714" t="s">
        <v>37</v>
      </c>
      <c r="B1714" t="s">
        <v>7074</v>
      </c>
      <c r="C1714" t="s">
        <v>102</v>
      </c>
      <c r="D1714" t="s">
        <v>191</v>
      </c>
      <c r="E1714" t="s">
        <v>192</v>
      </c>
      <c r="F1714" s="1">
        <v>46073.505601851852</v>
      </c>
      <c r="G1714" t="s">
        <v>71</v>
      </c>
      <c r="H1714" t="s">
        <v>72</v>
      </c>
      <c r="I1714" t="s">
        <v>7075</v>
      </c>
      <c r="J1714" t="s">
        <v>194</v>
      </c>
      <c r="K1714" t="s">
        <v>130</v>
      </c>
      <c r="M1714" t="s">
        <v>131</v>
      </c>
      <c r="O1714" t="s">
        <v>77</v>
      </c>
      <c r="P1714" t="s">
        <v>78</v>
      </c>
      <c r="Q1714" t="s">
        <v>50</v>
      </c>
      <c r="R1714" t="s">
        <v>51</v>
      </c>
      <c r="S1714" t="s">
        <v>52</v>
      </c>
      <c r="T1714" t="s">
        <v>195</v>
      </c>
      <c r="U1714" s="1">
        <v>46076.362210648149</v>
      </c>
      <c r="V1714" t="s">
        <v>54</v>
      </c>
      <c r="W1714" t="s">
        <v>55</v>
      </c>
      <c r="X1714" t="s">
        <v>196</v>
      </c>
      <c r="Y1714" t="s">
        <v>7076</v>
      </c>
      <c r="Z1714" t="s">
        <v>58</v>
      </c>
      <c r="AA1714" t="s">
        <v>54</v>
      </c>
      <c r="AB1714" t="s">
        <v>198</v>
      </c>
      <c r="AC1714" t="s">
        <v>85</v>
      </c>
      <c r="AD1714" t="s">
        <v>51</v>
      </c>
      <c r="AE1714" t="s">
        <v>52</v>
      </c>
      <c r="AF1714" t="s">
        <v>195</v>
      </c>
      <c r="AG1714" t="s">
        <v>58</v>
      </c>
      <c r="AH1714" t="s">
        <v>199</v>
      </c>
      <c r="AK1714">
        <v>1</v>
      </c>
      <c r="AL1714" t="s">
        <v>61</v>
      </c>
      <c r="AM1714" t="s">
        <v>198</v>
      </c>
      <c r="AN1714" t="s">
        <v>200</v>
      </c>
    </row>
    <row r="1715" spans="1:40" x14ac:dyDescent="0.35">
      <c r="A1715" t="s">
        <v>37</v>
      </c>
      <c r="B1715" t="s">
        <v>7077</v>
      </c>
      <c r="C1715" t="s">
        <v>39</v>
      </c>
      <c r="D1715" t="s">
        <v>391</v>
      </c>
      <c r="E1715" t="s">
        <v>147</v>
      </c>
      <c r="F1715" s="1">
        <v>46073.502245370371</v>
      </c>
      <c r="G1715" t="s">
        <v>204</v>
      </c>
      <c r="H1715" t="s">
        <v>92</v>
      </c>
      <c r="I1715" t="s">
        <v>1185</v>
      </c>
      <c r="J1715" t="s">
        <v>7078</v>
      </c>
      <c r="K1715" t="s">
        <v>75</v>
      </c>
      <c r="M1715" t="s">
        <v>76</v>
      </c>
      <c r="O1715" t="s">
        <v>77</v>
      </c>
      <c r="P1715" t="s">
        <v>78</v>
      </c>
      <c r="Q1715" t="s">
        <v>2054</v>
      </c>
      <c r="R1715" t="s">
        <v>305</v>
      </c>
      <c r="S1715" t="s">
        <v>306</v>
      </c>
      <c r="T1715" t="s">
        <v>307</v>
      </c>
      <c r="U1715" s="1">
        <v>46077.44431712963</v>
      </c>
      <c r="V1715" t="s">
        <v>54</v>
      </c>
      <c r="W1715" t="s">
        <v>55</v>
      </c>
      <c r="X1715" t="s">
        <v>211</v>
      </c>
      <c r="Y1715" t="s">
        <v>7079</v>
      </c>
      <c r="Z1715" t="s">
        <v>58</v>
      </c>
      <c r="AA1715" t="s">
        <v>54</v>
      </c>
      <c r="AB1715" t="s">
        <v>213</v>
      </c>
      <c r="AC1715" t="s">
        <v>85</v>
      </c>
      <c r="AD1715" t="s">
        <v>79</v>
      </c>
      <c r="AE1715" t="s">
        <v>172</v>
      </c>
      <c r="AF1715" t="s">
        <v>7080</v>
      </c>
      <c r="AG1715" t="s">
        <v>58</v>
      </c>
      <c r="AH1715">
        <v>2850</v>
      </c>
      <c r="AK1715">
        <v>7</v>
      </c>
      <c r="AL1715" t="s">
        <v>61</v>
      </c>
      <c r="AM1715" t="s">
        <v>3933</v>
      </c>
      <c r="AN1715" t="s">
        <v>3934</v>
      </c>
    </row>
    <row r="1716" spans="1:40" x14ac:dyDescent="0.35">
      <c r="A1716" t="s">
        <v>37</v>
      </c>
      <c r="B1716" t="s">
        <v>7081</v>
      </c>
      <c r="C1716" t="s">
        <v>39</v>
      </c>
      <c r="D1716" t="s">
        <v>7082</v>
      </c>
      <c r="E1716" t="s">
        <v>7083</v>
      </c>
      <c r="F1716" s="1">
        <v>46073.500949074078</v>
      </c>
      <c r="G1716" t="s">
        <v>286</v>
      </c>
      <c r="H1716" t="s">
        <v>287</v>
      </c>
      <c r="I1716" t="s">
        <v>205</v>
      </c>
      <c r="J1716" t="s">
        <v>206</v>
      </c>
      <c r="K1716" t="s">
        <v>207</v>
      </c>
      <c r="M1716" t="s">
        <v>131</v>
      </c>
      <c r="O1716" t="s">
        <v>77</v>
      </c>
      <c r="P1716" t="s">
        <v>78</v>
      </c>
      <c r="Q1716" t="s">
        <v>50</v>
      </c>
      <c r="R1716" t="s">
        <v>305</v>
      </c>
      <c r="S1716" t="s">
        <v>306</v>
      </c>
      <c r="T1716" t="s">
        <v>307</v>
      </c>
      <c r="U1716" s="1">
        <v>46076.676192129627</v>
      </c>
      <c r="V1716" t="s">
        <v>54</v>
      </c>
      <c r="W1716" t="s">
        <v>55</v>
      </c>
      <c r="X1716" t="s">
        <v>211</v>
      </c>
      <c r="Y1716" t="s">
        <v>7084</v>
      </c>
      <c r="Z1716" t="s">
        <v>58</v>
      </c>
      <c r="AA1716" t="s">
        <v>54</v>
      </c>
      <c r="AB1716" t="s">
        <v>213</v>
      </c>
      <c r="AC1716" t="s">
        <v>85</v>
      </c>
      <c r="AD1716" t="s">
        <v>214</v>
      </c>
      <c r="AE1716" t="s">
        <v>215</v>
      </c>
      <c r="AF1716" t="s">
        <v>216</v>
      </c>
      <c r="AG1716" t="s">
        <v>58</v>
      </c>
      <c r="AH1716" t="s">
        <v>7085</v>
      </c>
      <c r="AK1716">
        <v>3</v>
      </c>
      <c r="AL1716" t="s">
        <v>61</v>
      </c>
      <c r="AM1716" t="s">
        <v>7086</v>
      </c>
      <c r="AN1716" t="s">
        <v>7087</v>
      </c>
    </row>
    <row r="1717" spans="1:40" x14ac:dyDescent="0.35">
      <c r="A1717" t="s">
        <v>37</v>
      </c>
      <c r="B1717" t="s">
        <v>7088</v>
      </c>
      <c r="C1717" t="s">
        <v>39</v>
      </c>
      <c r="D1717" t="s">
        <v>302</v>
      </c>
      <c r="E1717" t="s">
        <v>303</v>
      </c>
      <c r="F1717" s="1">
        <v>46073.499050925922</v>
      </c>
      <c r="G1717" t="s">
        <v>304</v>
      </c>
      <c r="H1717" t="s">
        <v>106</v>
      </c>
      <c r="I1717" t="s">
        <v>205</v>
      </c>
      <c r="J1717" t="s">
        <v>7089</v>
      </c>
      <c r="K1717" t="s">
        <v>207</v>
      </c>
      <c r="M1717" t="s">
        <v>47</v>
      </c>
      <c r="O1717" t="s">
        <v>77</v>
      </c>
      <c r="P1717" t="s">
        <v>78</v>
      </c>
      <c r="R1717" t="s">
        <v>208</v>
      </c>
      <c r="S1717" t="s">
        <v>209</v>
      </c>
      <c r="T1717" t="s">
        <v>210</v>
      </c>
      <c r="U1717" s="1">
        <v>46073.501273148147</v>
      </c>
      <c r="V1717" t="s">
        <v>54</v>
      </c>
      <c r="W1717" t="s">
        <v>55</v>
      </c>
      <c r="X1717" t="s">
        <v>211</v>
      </c>
      <c r="Y1717" t="s">
        <v>7090</v>
      </c>
      <c r="Z1717" t="s">
        <v>5594</v>
      </c>
      <c r="AA1717" t="s">
        <v>54</v>
      </c>
      <c r="AB1717" t="s">
        <v>213</v>
      </c>
      <c r="AC1717" t="s">
        <v>85</v>
      </c>
      <c r="AD1717" t="s">
        <v>214</v>
      </c>
      <c r="AE1717" t="s">
        <v>215</v>
      </c>
      <c r="AF1717" t="s">
        <v>216</v>
      </c>
      <c r="AG1717" t="s">
        <v>5594</v>
      </c>
      <c r="AH1717" t="s">
        <v>309</v>
      </c>
      <c r="AK1717">
        <v>1</v>
      </c>
      <c r="AL1717" t="s">
        <v>61</v>
      </c>
      <c r="AM1717" t="s">
        <v>310</v>
      </c>
      <c r="AN1717" t="s">
        <v>311</v>
      </c>
    </row>
    <row r="1718" spans="1:40" x14ac:dyDescent="0.35">
      <c r="A1718" t="s">
        <v>37</v>
      </c>
      <c r="B1718" t="s">
        <v>7091</v>
      </c>
      <c r="C1718" t="s">
        <v>39</v>
      </c>
      <c r="D1718" t="s">
        <v>7092</v>
      </c>
      <c r="E1718" t="s">
        <v>7093</v>
      </c>
      <c r="F1718" s="1">
        <v>46073.498368055552</v>
      </c>
      <c r="G1718" t="s">
        <v>304</v>
      </c>
      <c r="H1718" t="s">
        <v>106</v>
      </c>
      <c r="I1718" t="s">
        <v>205</v>
      </c>
      <c r="J1718" t="s">
        <v>7089</v>
      </c>
      <c r="K1718" t="s">
        <v>207</v>
      </c>
      <c r="M1718" t="s">
        <v>47</v>
      </c>
      <c r="O1718" t="s">
        <v>77</v>
      </c>
      <c r="P1718" t="s">
        <v>78</v>
      </c>
      <c r="Q1718" t="s">
        <v>541</v>
      </c>
      <c r="R1718" t="s">
        <v>208</v>
      </c>
      <c r="S1718" t="s">
        <v>209</v>
      </c>
      <c r="T1718" t="s">
        <v>210</v>
      </c>
      <c r="U1718" s="1">
        <v>46073.501597222225</v>
      </c>
      <c r="V1718" t="s">
        <v>54</v>
      </c>
      <c r="W1718" t="s">
        <v>55</v>
      </c>
      <c r="X1718" t="s">
        <v>211</v>
      </c>
      <c r="Y1718" t="s">
        <v>7090</v>
      </c>
      <c r="Z1718" t="s">
        <v>5594</v>
      </c>
      <c r="AA1718" t="s">
        <v>54</v>
      </c>
      <c r="AB1718" t="s">
        <v>213</v>
      </c>
      <c r="AC1718" t="s">
        <v>85</v>
      </c>
      <c r="AD1718" t="s">
        <v>214</v>
      </c>
      <c r="AE1718" t="s">
        <v>215</v>
      </c>
      <c r="AF1718" t="s">
        <v>216</v>
      </c>
      <c r="AG1718" t="s">
        <v>5594</v>
      </c>
      <c r="AH1718">
        <v>5977</v>
      </c>
      <c r="AK1718">
        <v>1</v>
      </c>
      <c r="AL1718" t="s">
        <v>61</v>
      </c>
      <c r="AM1718" t="s">
        <v>7094</v>
      </c>
      <c r="AN1718" t="s">
        <v>7095</v>
      </c>
    </row>
    <row r="1719" spans="1:40" x14ac:dyDescent="0.35">
      <c r="A1719" t="s">
        <v>37</v>
      </c>
      <c r="B1719" t="s">
        <v>7096</v>
      </c>
      <c r="C1719" t="s">
        <v>39</v>
      </c>
      <c r="D1719" t="s">
        <v>391</v>
      </c>
      <c r="E1719" t="s">
        <v>147</v>
      </c>
      <c r="F1719" s="1">
        <v>46073.498217592591</v>
      </c>
      <c r="G1719" t="s">
        <v>204</v>
      </c>
      <c r="H1719" t="s">
        <v>92</v>
      </c>
      <c r="I1719" t="s">
        <v>1185</v>
      </c>
      <c r="J1719" t="s">
        <v>557</v>
      </c>
      <c r="K1719" t="s">
        <v>75</v>
      </c>
      <c r="M1719" t="s">
        <v>76</v>
      </c>
      <c r="O1719" t="s">
        <v>77</v>
      </c>
      <c r="P1719" t="s">
        <v>78</v>
      </c>
      <c r="Q1719" t="s">
        <v>2054</v>
      </c>
      <c r="R1719" t="s">
        <v>305</v>
      </c>
      <c r="S1719" t="s">
        <v>306</v>
      </c>
      <c r="T1719" t="s">
        <v>307</v>
      </c>
      <c r="U1719" s="1">
        <v>46077.504930555559</v>
      </c>
      <c r="V1719" t="s">
        <v>54</v>
      </c>
      <c r="W1719" t="s">
        <v>55</v>
      </c>
      <c r="X1719" t="s">
        <v>211</v>
      </c>
      <c r="Y1719" t="s">
        <v>7097</v>
      </c>
      <c r="Z1719" t="s">
        <v>58</v>
      </c>
      <c r="AA1719" t="s">
        <v>54</v>
      </c>
      <c r="AB1719" t="s">
        <v>213</v>
      </c>
      <c r="AC1719" t="s">
        <v>85</v>
      </c>
      <c r="AD1719" t="s">
        <v>79</v>
      </c>
      <c r="AE1719" t="s">
        <v>172</v>
      </c>
      <c r="AF1719" t="s">
        <v>728</v>
      </c>
      <c r="AG1719" t="s">
        <v>58</v>
      </c>
      <c r="AH1719">
        <v>2850</v>
      </c>
      <c r="AK1719">
        <v>4</v>
      </c>
      <c r="AL1719" t="s">
        <v>61</v>
      </c>
      <c r="AM1719" t="s">
        <v>3933</v>
      </c>
      <c r="AN1719" t="s">
        <v>3934</v>
      </c>
    </row>
    <row r="1720" spans="1:40" x14ac:dyDescent="0.35">
      <c r="A1720" t="s">
        <v>37</v>
      </c>
      <c r="B1720" t="s">
        <v>7098</v>
      </c>
      <c r="C1720" t="s">
        <v>102</v>
      </c>
      <c r="D1720" t="s">
        <v>617</v>
      </c>
      <c r="E1720" t="s">
        <v>618</v>
      </c>
      <c r="F1720" s="1">
        <v>46073.500763888886</v>
      </c>
      <c r="G1720" t="s">
        <v>286</v>
      </c>
      <c r="H1720" t="s">
        <v>287</v>
      </c>
      <c r="I1720" t="s">
        <v>7099</v>
      </c>
      <c r="J1720" t="s">
        <v>620</v>
      </c>
      <c r="K1720" t="s">
        <v>130</v>
      </c>
      <c r="M1720" t="s">
        <v>131</v>
      </c>
      <c r="O1720" t="s">
        <v>77</v>
      </c>
      <c r="P1720" t="s">
        <v>78</v>
      </c>
      <c r="Q1720" t="s">
        <v>50</v>
      </c>
      <c r="R1720" t="s">
        <v>132</v>
      </c>
      <c r="S1720" t="s">
        <v>133</v>
      </c>
      <c r="T1720" t="s">
        <v>133</v>
      </c>
      <c r="U1720" s="1">
        <v>46076.524861111109</v>
      </c>
      <c r="V1720" t="s">
        <v>54</v>
      </c>
      <c r="W1720" t="s">
        <v>55</v>
      </c>
      <c r="X1720" t="s">
        <v>134</v>
      </c>
      <c r="Y1720" t="s">
        <v>7100</v>
      </c>
      <c r="Z1720" t="s">
        <v>58</v>
      </c>
      <c r="AA1720" t="s">
        <v>54</v>
      </c>
      <c r="AB1720" t="s">
        <v>622</v>
      </c>
      <c r="AC1720" t="s">
        <v>85</v>
      </c>
      <c r="AD1720" t="s">
        <v>132</v>
      </c>
      <c r="AE1720" t="s">
        <v>133</v>
      </c>
      <c r="AF1720" t="s">
        <v>133</v>
      </c>
      <c r="AG1720" t="s">
        <v>58</v>
      </c>
      <c r="AH1720" t="s">
        <v>623</v>
      </c>
      <c r="AK1720">
        <v>1</v>
      </c>
      <c r="AL1720" t="s">
        <v>61</v>
      </c>
      <c r="AM1720" t="s">
        <v>622</v>
      </c>
      <c r="AN1720" t="s">
        <v>624</v>
      </c>
    </row>
    <row r="1721" spans="1:40" x14ac:dyDescent="0.35">
      <c r="A1721" t="s">
        <v>37</v>
      </c>
      <c r="B1721" t="s">
        <v>7101</v>
      </c>
      <c r="C1721" t="s">
        <v>102</v>
      </c>
      <c r="D1721" t="s">
        <v>635</v>
      </c>
      <c r="E1721" t="s">
        <v>7102</v>
      </c>
      <c r="F1721" s="1">
        <v>46073.499606481484</v>
      </c>
      <c r="G1721" t="s">
        <v>71</v>
      </c>
      <c r="H1721" t="s">
        <v>72</v>
      </c>
      <c r="I1721" t="s">
        <v>2651</v>
      </c>
      <c r="J1721" t="s">
        <v>289</v>
      </c>
      <c r="K1721" t="s">
        <v>130</v>
      </c>
      <c r="M1721" t="s">
        <v>47</v>
      </c>
      <c r="O1721" t="s">
        <v>237</v>
      </c>
      <c r="P1721" t="s">
        <v>238</v>
      </c>
      <c r="Q1721" t="s">
        <v>2423</v>
      </c>
      <c r="R1721" t="s">
        <v>132</v>
      </c>
      <c r="S1721" t="s">
        <v>133</v>
      </c>
      <c r="T1721" t="s">
        <v>133</v>
      </c>
      <c r="U1721" s="1">
        <v>46073.599791666667</v>
      </c>
      <c r="V1721" t="s">
        <v>54</v>
      </c>
      <c r="W1721" t="s">
        <v>55</v>
      </c>
      <c r="X1721" t="s">
        <v>134</v>
      </c>
      <c r="Y1721" t="s">
        <v>7103</v>
      </c>
      <c r="Z1721" t="s">
        <v>5594</v>
      </c>
      <c r="AA1721" t="s">
        <v>54</v>
      </c>
      <c r="AB1721" t="s">
        <v>612</v>
      </c>
      <c r="AC1721" t="s">
        <v>242</v>
      </c>
      <c r="AD1721" t="s">
        <v>132</v>
      </c>
      <c r="AE1721" t="s">
        <v>133</v>
      </c>
      <c r="AF1721" t="s">
        <v>133</v>
      </c>
      <c r="AG1721" t="s">
        <v>5594</v>
      </c>
      <c r="AH1721">
        <v>2932</v>
      </c>
      <c r="AK1721">
        <v>1</v>
      </c>
      <c r="AL1721" t="s">
        <v>61</v>
      </c>
      <c r="AM1721" t="s">
        <v>7104</v>
      </c>
      <c r="AN1721" t="s">
        <v>7105</v>
      </c>
    </row>
    <row r="1722" spans="1:40" x14ac:dyDescent="0.35">
      <c r="A1722" t="s">
        <v>37</v>
      </c>
      <c r="B1722" t="s">
        <v>7106</v>
      </c>
      <c r="C1722" t="s">
        <v>39</v>
      </c>
      <c r="D1722" t="s">
        <v>7107</v>
      </c>
      <c r="E1722" t="s">
        <v>7108</v>
      </c>
      <c r="F1722" s="1">
        <v>46073.497025462966</v>
      </c>
      <c r="G1722" t="s">
        <v>304</v>
      </c>
      <c r="H1722" t="s">
        <v>106</v>
      </c>
      <c r="I1722" t="s">
        <v>205</v>
      </c>
      <c r="J1722" t="s">
        <v>7089</v>
      </c>
      <c r="K1722" t="s">
        <v>207</v>
      </c>
      <c r="M1722" t="s">
        <v>47</v>
      </c>
      <c r="O1722" t="s">
        <v>77</v>
      </c>
      <c r="P1722" t="s">
        <v>78</v>
      </c>
      <c r="Q1722" t="s">
        <v>50</v>
      </c>
      <c r="R1722" t="s">
        <v>208</v>
      </c>
      <c r="S1722" t="s">
        <v>209</v>
      </c>
      <c r="T1722" t="s">
        <v>210</v>
      </c>
      <c r="U1722" s="1">
        <v>46073.501840277779</v>
      </c>
      <c r="V1722" t="s">
        <v>54</v>
      </c>
      <c r="W1722" t="s">
        <v>55</v>
      </c>
      <c r="X1722" t="s">
        <v>211</v>
      </c>
      <c r="Y1722" t="s">
        <v>7090</v>
      </c>
      <c r="Z1722" t="s">
        <v>5594</v>
      </c>
      <c r="AA1722" t="s">
        <v>54</v>
      </c>
      <c r="AB1722" t="s">
        <v>213</v>
      </c>
      <c r="AC1722" t="s">
        <v>85</v>
      </c>
      <c r="AD1722" t="s">
        <v>214</v>
      </c>
      <c r="AE1722" t="s">
        <v>215</v>
      </c>
      <c r="AF1722" t="s">
        <v>216</v>
      </c>
      <c r="AG1722" t="s">
        <v>5594</v>
      </c>
      <c r="AH1722">
        <v>15916</v>
      </c>
      <c r="AK1722">
        <v>1</v>
      </c>
      <c r="AL1722" t="s">
        <v>61</v>
      </c>
      <c r="AM1722" t="s">
        <v>7109</v>
      </c>
      <c r="AN1722" t="s">
        <v>7110</v>
      </c>
    </row>
    <row r="1723" spans="1:40" x14ac:dyDescent="0.35">
      <c r="A1723" t="s">
        <v>37</v>
      </c>
      <c r="B1723" t="s">
        <v>7111</v>
      </c>
      <c r="C1723" t="s">
        <v>39</v>
      </c>
      <c r="D1723" t="s">
        <v>7112</v>
      </c>
      <c r="E1723" t="s">
        <v>7113</v>
      </c>
      <c r="F1723" s="1">
        <v>46073.496099537035</v>
      </c>
      <c r="G1723" t="s">
        <v>1217</v>
      </c>
      <c r="H1723" t="s">
        <v>92</v>
      </c>
      <c r="I1723" t="s">
        <v>205</v>
      </c>
      <c r="J1723" t="s">
        <v>7089</v>
      </c>
      <c r="K1723" t="s">
        <v>207</v>
      </c>
      <c r="M1723" t="s">
        <v>47</v>
      </c>
      <c r="O1723" t="s">
        <v>77</v>
      </c>
      <c r="P1723" t="s">
        <v>78</v>
      </c>
      <c r="R1723" t="s">
        <v>208</v>
      </c>
      <c r="S1723" t="s">
        <v>209</v>
      </c>
      <c r="T1723" t="s">
        <v>210</v>
      </c>
      <c r="U1723" s="1">
        <v>46073.50204861111</v>
      </c>
      <c r="V1723" t="s">
        <v>54</v>
      </c>
      <c r="W1723" t="s">
        <v>55</v>
      </c>
      <c r="X1723" t="s">
        <v>211</v>
      </c>
      <c r="Y1723" t="s">
        <v>7090</v>
      </c>
      <c r="Z1723" t="s">
        <v>5594</v>
      </c>
      <c r="AA1723" t="s">
        <v>54</v>
      </c>
      <c r="AB1723" t="s">
        <v>213</v>
      </c>
      <c r="AC1723" t="s">
        <v>85</v>
      </c>
      <c r="AD1723" t="s">
        <v>214</v>
      </c>
      <c r="AE1723" t="s">
        <v>215</v>
      </c>
      <c r="AF1723" t="s">
        <v>216</v>
      </c>
      <c r="AG1723" t="s">
        <v>5594</v>
      </c>
      <c r="AH1723">
        <v>15031</v>
      </c>
      <c r="AK1723">
        <v>1</v>
      </c>
      <c r="AL1723" t="s">
        <v>61</v>
      </c>
      <c r="AM1723" t="s">
        <v>7114</v>
      </c>
      <c r="AN1723" t="s">
        <v>7115</v>
      </c>
    </row>
    <row r="1724" spans="1:40" x14ac:dyDescent="0.35">
      <c r="A1724" t="s">
        <v>37</v>
      </c>
      <c r="B1724" t="s">
        <v>7116</v>
      </c>
      <c r="C1724" t="s">
        <v>39</v>
      </c>
      <c r="D1724" t="s">
        <v>391</v>
      </c>
      <c r="E1724" t="s">
        <v>147</v>
      </c>
      <c r="F1724" s="1">
        <v>46073.495509259257</v>
      </c>
      <c r="G1724" t="s">
        <v>204</v>
      </c>
      <c r="H1724" t="s">
        <v>92</v>
      </c>
      <c r="I1724" t="s">
        <v>1185</v>
      </c>
      <c r="J1724" t="s">
        <v>7078</v>
      </c>
      <c r="K1724" t="s">
        <v>75</v>
      </c>
      <c r="M1724" t="s">
        <v>76</v>
      </c>
      <c r="O1724" t="s">
        <v>77</v>
      </c>
      <c r="P1724" t="s">
        <v>78</v>
      </c>
      <c r="Q1724" t="s">
        <v>2054</v>
      </c>
      <c r="R1724" t="s">
        <v>305</v>
      </c>
      <c r="S1724" t="s">
        <v>306</v>
      </c>
      <c r="T1724" t="s">
        <v>307</v>
      </c>
      <c r="U1724" s="1">
        <v>46077.442256944443</v>
      </c>
      <c r="V1724" t="s">
        <v>54</v>
      </c>
      <c r="W1724" t="s">
        <v>55</v>
      </c>
      <c r="X1724" t="s">
        <v>211</v>
      </c>
      <c r="Y1724" t="s">
        <v>7117</v>
      </c>
      <c r="Z1724" t="s">
        <v>58</v>
      </c>
      <c r="AA1724" t="s">
        <v>54</v>
      </c>
      <c r="AB1724" t="s">
        <v>213</v>
      </c>
      <c r="AC1724" t="s">
        <v>85</v>
      </c>
      <c r="AD1724" t="s">
        <v>79</v>
      </c>
      <c r="AE1724" t="s">
        <v>172</v>
      </c>
      <c r="AF1724" t="s">
        <v>7080</v>
      </c>
      <c r="AG1724" t="s">
        <v>58</v>
      </c>
      <c r="AH1724">
        <v>2850</v>
      </c>
      <c r="AK1724">
        <v>7</v>
      </c>
      <c r="AL1724" t="s">
        <v>61</v>
      </c>
      <c r="AM1724" t="s">
        <v>3933</v>
      </c>
      <c r="AN1724" t="s">
        <v>3934</v>
      </c>
    </row>
    <row r="1725" spans="1:40" x14ac:dyDescent="0.35">
      <c r="A1725" t="s">
        <v>37</v>
      </c>
      <c r="B1725" t="s">
        <v>7118</v>
      </c>
      <c r="C1725" t="s">
        <v>39</v>
      </c>
      <c r="D1725" t="s">
        <v>7119</v>
      </c>
      <c r="E1725" t="s">
        <v>7120</v>
      </c>
      <c r="F1725" s="1">
        <v>46073.495127314818</v>
      </c>
      <c r="G1725" t="s">
        <v>71</v>
      </c>
      <c r="H1725" t="s">
        <v>72</v>
      </c>
      <c r="I1725" t="s">
        <v>7121</v>
      </c>
      <c r="J1725" t="s">
        <v>1555</v>
      </c>
      <c r="K1725" t="s">
        <v>951</v>
      </c>
      <c r="M1725" t="s">
        <v>76</v>
      </c>
      <c r="O1725" t="s">
        <v>77</v>
      </c>
      <c r="P1725" t="s">
        <v>78</v>
      </c>
      <c r="Q1725" t="s">
        <v>50</v>
      </c>
      <c r="R1725" t="s">
        <v>305</v>
      </c>
      <c r="S1725" t="s">
        <v>306</v>
      </c>
      <c r="T1725" t="s">
        <v>307</v>
      </c>
      <c r="U1725" s="1">
        <v>46078.366712962961</v>
      </c>
      <c r="V1725" t="s">
        <v>54</v>
      </c>
      <c r="W1725" t="s">
        <v>55</v>
      </c>
      <c r="X1725" t="s">
        <v>211</v>
      </c>
      <c r="Y1725" t="e">
        <f>- after troubleshooting the issue, found it is hardware issue. - Escalated to AMC support team - they visited and replaced the Faulty keyboards.</f>
        <v>#NAME?</v>
      </c>
      <c r="Z1725" t="s">
        <v>58</v>
      </c>
      <c r="AA1725" t="s">
        <v>54</v>
      </c>
      <c r="AB1725" t="s">
        <v>213</v>
      </c>
      <c r="AC1725" t="s">
        <v>85</v>
      </c>
      <c r="AD1725" t="s">
        <v>79</v>
      </c>
      <c r="AE1725" t="s">
        <v>1339</v>
      </c>
      <c r="AF1725" t="s">
        <v>7122</v>
      </c>
      <c r="AG1725" t="s">
        <v>58</v>
      </c>
      <c r="AH1725" t="s">
        <v>7123</v>
      </c>
      <c r="AK1725">
        <v>6</v>
      </c>
      <c r="AL1725" t="s">
        <v>61</v>
      </c>
      <c r="AM1725" t="s">
        <v>7124</v>
      </c>
      <c r="AN1725" t="s">
        <v>7125</v>
      </c>
    </row>
    <row r="1726" spans="1:40" x14ac:dyDescent="0.35">
      <c r="A1726" t="s">
        <v>37</v>
      </c>
      <c r="B1726" t="s">
        <v>7126</v>
      </c>
      <c r="C1726" t="s">
        <v>39</v>
      </c>
      <c r="D1726" t="s">
        <v>1751</v>
      </c>
      <c r="E1726" t="s">
        <v>1316</v>
      </c>
      <c r="F1726" s="1">
        <v>46073.495185185187</v>
      </c>
      <c r="G1726" t="s">
        <v>1752</v>
      </c>
      <c r="H1726" t="s">
        <v>447</v>
      </c>
      <c r="I1726" t="s">
        <v>7127</v>
      </c>
      <c r="J1726" t="s">
        <v>1754</v>
      </c>
      <c r="K1726" t="s">
        <v>1755</v>
      </c>
      <c r="M1726" t="s">
        <v>47</v>
      </c>
      <c r="O1726" t="s">
        <v>77</v>
      </c>
      <c r="P1726" t="s">
        <v>78</v>
      </c>
      <c r="Q1726" t="s">
        <v>50</v>
      </c>
      <c r="R1726" t="s">
        <v>51</v>
      </c>
      <c r="S1726" t="s">
        <v>52</v>
      </c>
      <c r="T1726" t="s">
        <v>773</v>
      </c>
      <c r="U1726" s="1">
        <v>46074.980462962965</v>
      </c>
      <c r="V1726" t="s">
        <v>54</v>
      </c>
      <c r="W1726" t="s">
        <v>55</v>
      </c>
      <c r="X1726" t="s">
        <v>134</v>
      </c>
      <c r="Y1726" t="s">
        <v>7128</v>
      </c>
      <c r="Z1726" t="s">
        <v>5594</v>
      </c>
      <c r="AA1726" t="s">
        <v>54</v>
      </c>
      <c r="AB1726" t="s">
        <v>1757</v>
      </c>
      <c r="AC1726" t="s">
        <v>85</v>
      </c>
      <c r="AD1726" t="s">
        <v>52</v>
      </c>
      <c r="AE1726" t="s">
        <v>243</v>
      </c>
      <c r="AF1726" t="s">
        <v>409</v>
      </c>
      <c r="AG1726" t="s">
        <v>5594</v>
      </c>
      <c r="AK1726">
        <v>1</v>
      </c>
      <c r="AL1726" t="s">
        <v>61</v>
      </c>
      <c r="AM1726" t="s">
        <v>1757</v>
      </c>
      <c r="AN1726" t="s">
        <v>1758</v>
      </c>
    </row>
    <row r="1727" spans="1:40" x14ac:dyDescent="0.35">
      <c r="A1727" t="s">
        <v>37</v>
      </c>
      <c r="B1727" t="s">
        <v>7129</v>
      </c>
      <c r="C1727" t="s">
        <v>39</v>
      </c>
      <c r="D1727" t="s">
        <v>555</v>
      </c>
      <c r="E1727" t="s">
        <v>3071</v>
      </c>
      <c r="F1727" s="1">
        <v>46073.494826388887</v>
      </c>
      <c r="G1727" t="s">
        <v>1217</v>
      </c>
      <c r="H1727" t="s">
        <v>92</v>
      </c>
      <c r="I1727" t="s">
        <v>205</v>
      </c>
      <c r="J1727" t="s">
        <v>7089</v>
      </c>
      <c r="K1727" t="s">
        <v>207</v>
      </c>
      <c r="M1727" t="s">
        <v>47</v>
      </c>
      <c r="O1727" t="s">
        <v>77</v>
      </c>
      <c r="P1727" t="s">
        <v>78</v>
      </c>
      <c r="R1727" t="s">
        <v>208</v>
      </c>
      <c r="S1727" t="s">
        <v>209</v>
      </c>
      <c r="T1727" t="s">
        <v>210</v>
      </c>
      <c r="U1727" s="1">
        <v>46073.502314814818</v>
      </c>
      <c r="V1727" t="s">
        <v>54</v>
      </c>
      <c r="W1727" t="s">
        <v>55</v>
      </c>
      <c r="X1727" t="s">
        <v>211</v>
      </c>
      <c r="Y1727" t="s">
        <v>7090</v>
      </c>
      <c r="Z1727" t="s">
        <v>5594</v>
      </c>
      <c r="AA1727" t="s">
        <v>54</v>
      </c>
      <c r="AB1727" t="s">
        <v>213</v>
      </c>
      <c r="AC1727" t="s">
        <v>85</v>
      </c>
      <c r="AD1727" t="s">
        <v>214</v>
      </c>
      <c r="AE1727" t="s">
        <v>215</v>
      </c>
      <c r="AF1727" t="s">
        <v>216</v>
      </c>
      <c r="AG1727" t="s">
        <v>5594</v>
      </c>
      <c r="AH1727">
        <v>14947</v>
      </c>
      <c r="AK1727">
        <v>1</v>
      </c>
      <c r="AL1727" t="s">
        <v>61</v>
      </c>
      <c r="AM1727" t="s">
        <v>7130</v>
      </c>
      <c r="AN1727" t="s">
        <v>7131</v>
      </c>
    </row>
    <row r="1728" spans="1:40" x14ac:dyDescent="0.35">
      <c r="A1728" t="s">
        <v>37</v>
      </c>
      <c r="B1728" t="s">
        <v>7132</v>
      </c>
      <c r="C1728" t="s">
        <v>39</v>
      </c>
      <c r="D1728" t="s">
        <v>191</v>
      </c>
      <c r="E1728" t="s">
        <v>192</v>
      </c>
      <c r="F1728" s="1">
        <v>46073.49496527778</v>
      </c>
      <c r="G1728" t="s">
        <v>71</v>
      </c>
      <c r="H1728" t="s">
        <v>72</v>
      </c>
      <c r="I1728" t="s">
        <v>7133</v>
      </c>
      <c r="J1728" t="s">
        <v>194</v>
      </c>
      <c r="K1728" t="s">
        <v>565</v>
      </c>
      <c r="M1728" t="s">
        <v>47</v>
      </c>
      <c r="O1728" t="s">
        <v>77</v>
      </c>
      <c r="P1728" t="s">
        <v>78</v>
      </c>
      <c r="Q1728" t="s">
        <v>50</v>
      </c>
      <c r="R1728" t="s">
        <v>51</v>
      </c>
      <c r="S1728" t="s">
        <v>52</v>
      </c>
      <c r="T1728" t="s">
        <v>195</v>
      </c>
      <c r="U1728" s="1">
        <v>46073.559386574074</v>
      </c>
      <c r="V1728" t="s">
        <v>54</v>
      </c>
      <c r="W1728" t="s">
        <v>55</v>
      </c>
      <c r="X1728" t="s">
        <v>196</v>
      </c>
      <c r="Y1728" t="s">
        <v>7134</v>
      </c>
      <c r="Z1728" t="s">
        <v>5594</v>
      </c>
      <c r="AA1728" t="s">
        <v>54</v>
      </c>
      <c r="AB1728" t="s">
        <v>198</v>
      </c>
      <c r="AC1728" t="s">
        <v>85</v>
      </c>
      <c r="AD1728" t="s">
        <v>51</v>
      </c>
      <c r="AE1728" t="s">
        <v>52</v>
      </c>
      <c r="AF1728" t="s">
        <v>195</v>
      </c>
      <c r="AG1728" t="s">
        <v>5594</v>
      </c>
      <c r="AH1728" t="s">
        <v>199</v>
      </c>
      <c r="AK1728">
        <v>1</v>
      </c>
      <c r="AL1728" t="s">
        <v>61</v>
      </c>
      <c r="AM1728" t="s">
        <v>198</v>
      </c>
      <c r="AN1728" t="s">
        <v>200</v>
      </c>
    </row>
    <row r="1729" spans="1:40" x14ac:dyDescent="0.35">
      <c r="A1729" t="s">
        <v>37</v>
      </c>
      <c r="B1729" t="s">
        <v>7135</v>
      </c>
      <c r="C1729" t="s">
        <v>39</v>
      </c>
      <c r="D1729" t="s">
        <v>1121</v>
      </c>
      <c r="E1729" t="s">
        <v>296</v>
      </c>
      <c r="F1729" s="1">
        <v>46073.493402777778</v>
      </c>
      <c r="G1729" t="s">
        <v>1217</v>
      </c>
      <c r="H1729" t="s">
        <v>92</v>
      </c>
      <c r="I1729" t="s">
        <v>205</v>
      </c>
      <c r="J1729" t="s">
        <v>7089</v>
      </c>
      <c r="K1729" t="s">
        <v>207</v>
      </c>
      <c r="M1729" t="s">
        <v>47</v>
      </c>
      <c r="O1729" t="s">
        <v>77</v>
      </c>
      <c r="P1729" t="s">
        <v>78</v>
      </c>
      <c r="Q1729" t="s">
        <v>50</v>
      </c>
      <c r="R1729" t="s">
        <v>208</v>
      </c>
      <c r="S1729" t="s">
        <v>209</v>
      </c>
      <c r="T1729" t="s">
        <v>210</v>
      </c>
      <c r="U1729" s="1">
        <v>46073.502534722225</v>
      </c>
      <c r="V1729" t="s">
        <v>54</v>
      </c>
      <c r="W1729" t="s">
        <v>55</v>
      </c>
      <c r="X1729" t="s">
        <v>211</v>
      </c>
      <c r="Y1729" t="s">
        <v>7090</v>
      </c>
      <c r="Z1729" t="s">
        <v>5594</v>
      </c>
      <c r="AA1729" t="s">
        <v>54</v>
      </c>
      <c r="AB1729" t="s">
        <v>213</v>
      </c>
      <c r="AC1729" t="s">
        <v>85</v>
      </c>
      <c r="AD1729" t="s">
        <v>214</v>
      </c>
      <c r="AE1729" t="s">
        <v>215</v>
      </c>
      <c r="AF1729" t="s">
        <v>216</v>
      </c>
      <c r="AG1729" t="s">
        <v>5594</v>
      </c>
      <c r="AH1729">
        <v>15871</v>
      </c>
      <c r="AK1729">
        <v>1</v>
      </c>
      <c r="AL1729" t="s">
        <v>61</v>
      </c>
      <c r="AM1729" t="s">
        <v>7136</v>
      </c>
      <c r="AN1729" t="s">
        <v>7137</v>
      </c>
    </row>
    <row r="1730" spans="1:40" x14ac:dyDescent="0.35">
      <c r="A1730" t="s">
        <v>37</v>
      </c>
      <c r="B1730" t="s">
        <v>7138</v>
      </c>
      <c r="C1730" t="s">
        <v>102</v>
      </c>
      <c r="D1730" t="s">
        <v>303</v>
      </c>
      <c r="E1730" t="s">
        <v>7139</v>
      </c>
      <c r="F1730" s="1">
        <v>46073.492430555554</v>
      </c>
      <c r="G1730" t="s">
        <v>250</v>
      </c>
      <c r="H1730" t="s">
        <v>106</v>
      </c>
      <c r="I1730" t="s">
        <v>7140</v>
      </c>
      <c r="J1730" t="s">
        <v>3763</v>
      </c>
      <c r="K1730" t="s">
        <v>4359</v>
      </c>
      <c r="M1730" t="s">
        <v>131</v>
      </c>
      <c r="O1730" t="s">
        <v>237</v>
      </c>
      <c r="P1730" t="s">
        <v>238</v>
      </c>
      <c r="Q1730" t="s">
        <v>50</v>
      </c>
      <c r="R1730" t="s">
        <v>51</v>
      </c>
      <c r="S1730" t="s">
        <v>52</v>
      </c>
      <c r="T1730" t="s">
        <v>240</v>
      </c>
      <c r="U1730" s="1">
        <v>46077.426180555558</v>
      </c>
      <c r="V1730" t="s">
        <v>54</v>
      </c>
      <c r="W1730" t="s">
        <v>55</v>
      </c>
      <c r="X1730" t="s">
        <v>211</v>
      </c>
      <c r="Y1730" t="s">
        <v>7141</v>
      </c>
      <c r="Z1730" t="s">
        <v>58</v>
      </c>
      <c r="AA1730" t="s">
        <v>54</v>
      </c>
      <c r="AB1730" t="s">
        <v>213</v>
      </c>
      <c r="AC1730" t="s">
        <v>242</v>
      </c>
      <c r="AD1730" t="s">
        <v>51</v>
      </c>
      <c r="AE1730" t="s">
        <v>819</v>
      </c>
      <c r="AF1730" t="s">
        <v>4362</v>
      </c>
      <c r="AG1730" t="s">
        <v>58</v>
      </c>
      <c r="AH1730" t="s">
        <v>7142</v>
      </c>
      <c r="AK1730">
        <v>4</v>
      </c>
      <c r="AL1730" t="s">
        <v>61</v>
      </c>
      <c r="AM1730" t="s">
        <v>7143</v>
      </c>
      <c r="AN1730" t="s">
        <v>7144</v>
      </c>
    </row>
    <row r="1731" spans="1:40" x14ac:dyDescent="0.35">
      <c r="A1731" t="s">
        <v>37</v>
      </c>
      <c r="B1731" t="s">
        <v>7145</v>
      </c>
      <c r="C1731" t="s">
        <v>39</v>
      </c>
      <c r="D1731" t="s">
        <v>671</v>
      </c>
      <c r="E1731" t="s">
        <v>7146</v>
      </c>
      <c r="F1731" s="1">
        <v>46073.490266203706</v>
      </c>
      <c r="G1731" t="s">
        <v>446</v>
      </c>
      <c r="H1731" t="s">
        <v>447</v>
      </c>
      <c r="I1731" t="s">
        <v>205</v>
      </c>
      <c r="J1731" t="s">
        <v>7089</v>
      </c>
      <c r="K1731" t="s">
        <v>207</v>
      </c>
      <c r="M1731" t="s">
        <v>47</v>
      </c>
      <c r="O1731" t="s">
        <v>77</v>
      </c>
      <c r="P1731" t="s">
        <v>78</v>
      </c>
      <c r="Q1731" t="s">
        <v>50</v>
      </c>
      <c r="R1731" t="s">
        <v>208</v>
      </c>
      <c r="S1731" t="s">
        <v>209</v>
      </c>
      <c r="T1731" t="s">
        <v>210</v>
      </c>
      <c r="U1731" s="1">
        <v>46073.502893518518</v>
      </c>
      <c r="V1731" t="s">
        <v>54</v>
      </c>
      <c r="W1731" t="s">
        <v>55</v>
      </c>
      <c r="X1731" t="s">
        <v>211</v>
      </c>
      <c r="Y1731" t="s">
        <v>7090</v>
      </c>
      <c r="Z1731" t="s">
        <v>5594</v>
      </c>
      <c r="AA1731" t="s">
        <v>54</v>
      </c>
      <c r="AB1731" t="s">
        <v>213</v>
      </c>
      <c r="AC1731" t="s">
        <v>85</v>
      </c>
      <c r="AD1731" t="s">
        <v>214</v>
      </c>
      <c r="AE1731" t="s">
        <v>215</v>
      </c>
      <c r="AF1731" t="s">
        <v>216</v>
      </c>
      <c r="AG1731" t="s">
        <v>5594</v>
      </c>
      <c r="AH1731">
        <v>13613</v>
      </c>
      <c r="AK1731">
        <v>1</v>
      </c>
      <c r="AL1731" t="s">
        <v>61</v>
      </c>
      <c r="AM1731" t="s">
        <v>7147</v>
      </c>
      <c r="AN1731" t="s">
        <v>7148</v>
      </c>
    </row>
    <row r="1732" spans="1:40" x14ac:dyDescent="0.35">
      <c r="A1732" t="s">
        <v>37</v>
      </c>
      <c r="B1732" t="s">
        <v>7149</v>
      </c>
      <c r="C1732" t="s">
        <v>39</v>
      </c>
      <c r="D1732" t="s">
        <v>5679</v>
      </c>
      <c r="E1732" t="s">
        <v>5680</v>
      </c>
      <c r="F1732" s="1">
        <v>46073.489537037036</v>
      </c>
      <c r="G1732" t="s">
        <v>71</v>
      </c>
      <c r="H1732" t="s">
        <v>72</v>
      </c>
      <c r="I1732" t="s">
        <v>1185</v>
      </c>
      <c r="J1732" t="s">
        <v>2406</v>
      </c>
      <c r="K1732" t="s">
        <v>1187</v>
      </c>
      <c r="M1732" t="s">
        <v>131</v>
      </c>
      <c r="O1732" t="s">
        <v>77</v>
      </c>
      <c r="P1732" t="s">
        <v>78</v>
      </c>
      <c r="Q1732" t="s">
        <v>50</v>
      </c>
      <c r="R1732" t="s">
        <v>305</v>
      </c>
      <c r="S1732" t="s">
        <v>306</v>
      </c>
      <c r="T1732" t="s">
        <v>307</v>
      </c>
      <c r="U1732" s="1">
        <v>46076.657222222224</v>
      </c>
      <c r="V1732" t="s">
        <v>54</v>
      </c>
      <c r="W1732" t="s">
        <v>55</v>
      </c>
      <c r="X1732" t="s">
        <v>211</v>
      </c>
      <c r="Y1732" t="s">
        <v>7150</v>
      </c>
      <c r="Z1732" t="s">
        <v>58</v>
      </c>
      <c r="AA1732" t="s">
        <v>54</v>
      </c>
      <c r="AB1732" t="s">
        <v>213</v>
      </c>
      <c r="AC1732" t="s">
        <v>85</v>
      </c>
      <c r="AD1732" t="s">
        <v>1189</v>
      </c>
      <c r="AE1732" t="s">
        <v>1190</v>
      </c>
      <c r="AF1732" t="s">
        <v>1191</v>
      </c>
      <c r="AG1732" t="s">
        <v>58</v>
      </c>
      <c r="AH1732" t="s">
        <v>5682</v>
      </c>
      <c r="AK1732">
        <v>3</v>
      </c>
      <c r="AL1732" t="s">
        <v>61</v>
      </c>
      <c r="AM1732" t="s">
        <v>5683</v>
      </c>
      <c r="AN1732" t="s">
        <v>5684</v>
      </c>
    </row>
    <row r="1733" spans="1:40" x14ac:dyDescent="0.35">
      <c r="A1733" t="s">
        <v>37</v>
      </c>
      <c r="B1733" t="s">
        <v>7151</v>
      </c>
      <c r="C1733" t="s">
        <v>39</v>
      </c>
      <c r="D1733" t="s">
        <v>5679</v>
      </c>
      <c r="E1733" t="s">
        <v>5680</v>
      </c>
      <c r="F1733" s="1">
        <v>46073.488645833335</v>
      </c>
      <c r="G1733" t="s">
        <v>71</v>
      </c>
      <c r="H1733" t="s">
        <v>72</v>
      </c>
      <c r="I1733" t="s">
        <v>1185</v>
      </c>
      <c r="J1733" t="s">
        <v>2333</v>
      </c>
      <c r="K1733" t="s">
        <v>1187</v>
      </c>
      <c r="M1733" t="s">
        <v>76</v>
      </c>
      <c r="O1733" t="s">
        <v>77</v>
      </c>
      <c r="P1733" t="s">
        <v>78</v>
      </c>
      <c r="Q1733" t="s">
        <v>50</v>
      </c>
      <c r="R1733" t="s">
        <v>305</v>
      </c>
      <c r="S1733" t="s">
        <v>306</v>
      </c>
      <c r="T1733" t="s">
        <v>307</v>
      </c>
      <c r="U1733" s="1">
        <v>46076.336284722223</v>
      </c>
      <c r="V1733" t="s">
        <v>54</v>
      </c>
      <c r="W1733" t="s">
        <v>55</v>
      </c>
      <c r="X1733" t="s">
        <v>211</v>
      </c>
      <c r="Y1733" t="s">
        <v>7152</v>
      </c>
      <c r="Z1733" t="s">
        <v>58</v>
      </c>
      <c r="AA1733" t="s">
        <v>54</v>
      </c>
      <c r="AB1733" t="s">
        <v>213</v>
      </c>
      <c r="AC1733" t="s">
        <v>85</v>
      </c>
      <c r="AD1733" t="s">
        <v>1189</v>
      </c>
      <c r="AE1733" t="s">
        <v>1190</v>
      </c>
      <c r="AF1733" t="s">
        <v>1191</v>
      </c>
      <c r="AG1733" t="s">
        <v>58</v>
      </c>
      <c r="AH1733" t="s">
        <v>5682</v>
      </c>
      <c r="AK1733">
        <v>3</v>
      </c>
      <c r="AL1733" t="s">
        <v>61</v>
      </c>
      <c r="AM1733" t="s">
        <v>5683</v>
      </c>
      <c r="AN1733" t="s">
        <v>5684</v>
      </c>
    </row>
    <row r="1734" spans="1:40" x14ac:dyDescent="0.35">
      <c r="A1734" t="s">
        <v>37</v>
      </c>
      <c r="B1734" t="s">
        <v>7153</v>
      </c>
      <c r="C1734" t="s">
        <v>39</v>
      </c>
      <c r="D1734" t="s">
        <v>320</v>
      </c>
      <c r="E1734" t="s">
        <v>501</v>
      </c>
      <c r="F1734" s="1">
        <v>46073.489560185182</v>
      </c>
      <c r="G1734" t="s">
        <v>355</v>
      </c>
      <c r="H1734" t="s">
        <v>356</v>
      </c>
      <c r="I1734" t="s">
        <v>1071</v>
      </c>
      <c r="J1734" t="s">
        <v>724</v>
      </c>
      <c r="K1734" t="s">
        <v>75</v>
      </c>
      <c r="M1734" t="s">
        <v>47</v>
      </c>
      <c r="O1734" t="s">
        <v>77</v>
      </c>
      <c r="P1734" t="s">
        <v>78</v>
      </c>
      <c r="Q1734" t="s">
        <v>502</v>
      </c>
      <c r="R1734" t="s">
        <v>79</v>
      </c>
      <c r="S1734" t="s">
        <v>967</v>
      </c>
      <c r="T1734" t="s">
        <v>1072</v>
      </c>
      <c r="U1734" s="1">
        <v>46073.49</v>
      </c>
      <c r="V1734" t="s">
        <v>54</v>
      </c>
      <c r="W1734" t="s">
        <v>55</v>
      </c>
      <c r="X1734" t="s">
        <v>82</v>
      </c>
      <c r="Y1734" t="s">
        <v>7154</v>
      </c>
      <c r="Z1734" t="s">
        <v>5594</v>
      </c>
      <c r="AA1734" t="s">
        <v>54</v>
      </c>
      <c r="AB1734" t="s">
        <v>727</v>
      </c>
      <c r="AC1734" t="s">
        <v>85</v>
      </c>
      <c r="AD1734" t="s">
        <v>79</v>
      </c>
      <c r="AE1734" t="s">
        <v>967</v>
      </c>
      <c r="AF1734" t="s">
        <v>1072</v>
      </c>
      <c r="AG1734" t="s">
        <v>5594</v>
      </c>
      <c r="AH1734">
        <v>12173</v>
      </c>
      <c r="AK1734">
        <v>0</v>
      </c>
      <c r="AL1734" t="s">
        <v>61</v>
      </c>
      <c r="AM1734" t="s">
        <v>503</v>
      </c>
      <c r="AN1734" t="s">
        <v>504</v>
      </c>
    </row>
    <row r="1735" spans="1:40" x14ac:dyDescent="0.35">
      <c r="A1735" t="s">
        <v>37</v>
      </c>
      <c r="B1735" t="s">
        <v>7155</v>
      </c>
      <c r="C1735" t="s">
        <v>352</v>
      </c>
      <c r="D1735" t="s">
        <v>353</v>
      </c>
      <c r="E1735" t="s">
        <v>354</v>
      </c>
      <c r="F1735" s="1">
        <v>46073.489606481482</v>
      </c>
      <c r="G1735" t="s">
        <v>355</v>
      </c>
      <c r="H1735" t="s">
        <v>356</v>
      </c>
      <c r="I1735" t="s">
        <v>7156</v>
      </c>
      <c r="J1735" t="s">
        <v>358</v>
      </c>
      <c r="K1735" t="s">
        <v>359</v>
      </c>
      <c r="M1735" t="s">
        <v>47</v>
      </c>
      <c r="O1735" t="s">
        <v>77</v>
      </c>
      <c r="P1735" t="s">
        <v>78</v>
      </c>
      <c r="Q1735" t="s">
        <v>50</v>
      </c>
      <c r="R1735" t="s">
        <v>51</v>
      </c>
      <c r="S1735" t="s">
        <v>52</v>
      </c>
      <c r="T1735" t="s">
        <v>53</v>
      </c>
      <c r="U1735" s="1">
        <v>46073.549189814818</v>
      </c>
      <c r="V1735" t="s">
        <v>54</v>
      </c>
      <c r="W1735" t="s">
        <v>55</v>
      </c>
      <c r="X1735" t="s">
        <v>134</v>
      </c>
      <c r="Y1735" t="s">
        <v>7157</v>
      </c>
      <c r="Z1735" t="s">
        <v>5594</v>
      </c>
      <c r="AA1735" t="s">
        <v>54</v>
      </c>
      <c r="AB1735" t="s">
        <v>361</v>
      </c>
      <c r="AC1735" t="s">
        <v>85</v>
      </c>
      <c r="AD1735" t="s">
        <v>52</v>
      </c>
      <c r="AE1735" t="s">
        <v>362</v>
      </c>
      <c r="AF1735" t="s">
        <v>363</v>
      </c>
      <c r="AG1735" t="s">
        <v>5594</v>
      </c>
      <c r="AH1735" t="s">
        <v>364</v>
      </c>
      <c r="AK1735">
        <v>1</v>
      </c>
      <c r="AL1735" t="s">
        <v>61</v>
      </c>
      <c r="AM1735" t="s">
        <v>365</v>
      </c>
      <c r="AN1735" t="s">
        <v>366</v>
      </c>
    </row>
    <row r="1736" spans="1:40" x14ac:dyDescent="0.35">
      <c r="A1736" t="s">
        <v>37</v>
      </c>
      <c r="B1736" t="s">
        <v>7158</v>
      </c>
      <c r="C1736" t="s">
        <v>39</v>
      </c>
      <c r="D1736" t="s">
        <v>5679</v>
      </c>
      <c r="E1736" t="s">
        <v>5680</v>
      </c>
      <c r="F1736" s="1">
        <v>46073.487291666665</v>
      </c>
      <c r="G1736" t="s">
        <v>71</v>
      </c>
      <c r="H1736" t="s">
        <v>72</v>
      </c>
      <c r="I1736" t="s">
        <v>1185</v>
      </c>
      <c r="J1736" t="s">
        <v>2333</v>
      </c>
      <c r="K1736" t="s">
        <v>1187</v>
      </c>
      <c r="M1736" t="s">
        <v>47</v>
      </c>
      <c r="O1736" t="s">
        <v>77</v>
      </c>
      <c r="P1736" t="s">
        <v>78</v>
      </c>
      <c r="Q1736" t="s">
        <v>50</v>
      </c>
      <c r="R1736" t="s">
        <v>305</v>
      </c>
      <c r="S1736" t="s">
        <v>306</v>
      </c>
      <c r="T1736" t="s">
        <v>307</v>
      </c>
      <c r="U1736" s="1">
        <v>46075.642870370371</v>
      </c>
      <c r="V1736" t="s">
        <v>54</v>
      </c>
      <c r="W1736" t="s">
        <v>55</v>
      </c>
      <c r="X1736" t="s">
        <v>211</v>
      </c>
      <c r="Y1736" t="s">
        <v>7159</v>
      </c>
      <c r="Z1736" t="s">
        <v>5594</v>
      </c>
      <c r="AA1736" t="s">
        <v>54</v>
      </c>
      <c r="AB1736" t="s">
        <v>213</v>
      </c>
      <c r="AC1736" t="s">
        <v>85</v>
      </c>
      <c r="AD1736" t="s">
        <v>1189</v>
      </c>
      <c r="AE1736" t="s">
        <v>1190</v>
      </c>
      <c r="AF1736" t="s">
        <v>1191</v>
      </c>
      <c r="AG1736" t="s">
        <v>5594</v>
      </c>
      <c r="AH1736" t="s">
        <v>5682</v>
      </c>
      <c r="AK1736">
        <v>3</v>
      </c>
      <c r="AL1736" t="s">
        <v>61</v>
      </c>
      <c r="AM1736" t="s">
        <v>5683</v>
      </c>
      <c r="AN1736" t="s">
        <v>5684</v>
      </c>
    </row>
    <row r="1737" spans="1:40" x14ac:dyDescent="0.35">
      <c r="A1737" t="s">
        <v>37</v>
      </c>
      <c r="B1737" t="s">
        <v>7160</v>
      </c>
      <c r="C1737" t="s">
        <v>656</v>
      </c>
      <c r="D1737" t="s">
        <v>2490</v>
      </c>
      <c r="E1737" t="s">
        <v>2491</v>
      </c>
      <c r="F1737" s="1">
        <v>46073.49015046296</v>
      </c>
      <c r="G1737" t="s">
        <v>497</v>
      </c>
      <c r="H1737" t="s">
        <v>72</v>
      </c>
      <c r="I1737" t="s">
        <v>7161</v>
      </c>
      <c r="J1737" t="s">
        <v>2987</v>
      </c>
      <c r="K1737" t="s">
        <v>2988</v>
      </c>
      <c r="M1737" t="s">
        <v>76</v>
      </c>
      <c r="O1737" t="s">
        <v>77</v>
      </c>
      <c r="P1737" t="s">
        <v>78</v>
      </c>
      <c r="Q1737" t="s">
        <v>50</v>
      </c>
      <c r="R1737" t="s">
        <v>2989</v>
      </c>
      <c r="S1737" t="s">
        <v>2990</v>
      </c>
      <c r="T1737" t="s">
        <v>3187</v>
      </c>
      <c r="U1737" s="1">
        <v>46076.351030092592</v>
      </c>
      <c r="V1737" t="s">
        <v>54</v>
      </c>
      <c r="W1737" t="s">
        <v>55</v>
      </c>
      <c r="X1737" t="s">
        <v>134</v>
      </c>
      <c r="Y1737" t="s">
        <v>7162</v>
      </c>
      <c r="Z1737" t="s">
        <v>58</v>
      </c>
      <c r="AA1737" t="s">
        <v>54</v>
      </c>
      <c r="AB1737" t="s">
        <v>612</v>
      </c>
      <c r="AC1737" t="s">
        <v>85</v>
      </c>
      <c r="AD1737" t="s">
        <v>2989</v>
      </c>
      <c r="AE1737" t="s">
        <v>2990</v>
      </c>
      <c r="AF1737" t="s">
        <v>3187</v>
      </c>
      <c r="AG1737" t="s">
        <v>58</v>
      </c>
      <c r="AH1737" t="s">
        <v>2494</v>
      </c>
      <c r="AK1737">
        <v>1</v>
      </c>
      <c r="AL1737" t="s">
        <v>61</v>
      </c>
      <c r="AM1737" t="s">
        <v>2495</v>
      </c>
      <c r="AN1737" t="s">
        <v>2496</v>
      </c>
    </row>
    <row r="1738" spans="1:40" x14ac:dyDescent="0.35">
      <c r="A1738" t="s">
        <v>37</v>
      </c>
      <c r="B1738" t="s">
        <v>7163</v>
      </c>
      <c r="C1738" t="s">
        <v>39</v>
      </c>
      <c r="D1738" t="s">
        <v>7164</v>
      </c>
      <c r="E1738" t="s">
        <v>7165</v>
      </c>
      <c r="F1738" s="1">
        <v>46073.48678240741</v>
      </c>
      <c r="G1738" t="s">
        <v>170</v>
      </c>
      <c r="H1738" t="s">
        <v>92</v>
      </c>
      <c r="I1738" t="s">
        <v>7166</v>
      </c>
      <c r="J1738" t="s">
        <v>1833</v>
      </c>
      <c r="K1738" t="s">
        <v>1834</v>
      </c>
      <c r="M1738" t="s">
        <v>76</v>
      </c>
      <c r="O1738" t="s">
        <v>77</v>
      </c>
      <c r="P1738" t="s">
        <v>78</v>
      </c>
      <c r="Q1738" t="s">
        <v>50</v>
      </c>
      <c r="R1738" t="s">
        <v>51</v>
      </c>
      <c r="S1738" t="s">
        <v>52</v>
      </c>
      <c r="T1738" t="s">
        <v>240</v>
      </c>
      <c r="U1738" s="1">
        <v>46078.940081018518</v>
      </c>
      <c r="V1738" t="s">
        <v>54</v>
      </c>
      <c r="W1738" t="s">
        <v>55</v>
      </c>
      <c r="X1738" t="s">
        <v>134</v>
      </c>
      <c r="Y1738" t="s">
        <v>7167</v>
      </c>
      <c r="Z1738" t="s">
        <v>58</v>
      </c>
      <c r="AA1738" t="s">
        <v>54</v>
      </c>
      <c r="AB1738" t="s">
        <v>1836</v>
      </c>
      <c r="AC1738" t="s">
        <v>85</v>
      </c>
      <c r="AD1738" t="s">
        <v>52</v>
      </c>
      <c r="AE1738" t="s">
        <v>243</v>
      </c>
      <c r="AF1738" t="s">
        <v>1470</v>
      </c>
      <c r="AG1738" t="s">
        <v>58</v>
      </c>
      <c r="AH1738">
        <v>15131</v>
      </c>
      <c r="AK1738">
        <v>0</v>
      </c>
      <c r="AL1738" t="s">
        <v>61</v>
      </c>
      <c r="AM1738" t="s">
        <v>7168</v>
      </c>
      <c r="AN1738" t="s">
        <v>7169</v>
      </c>
    </row>
    <row r="1739" spans="1:40" x14ac:dyDescent="0.35">
      <c r="A1739" t="s">
        <v>37</v>
      </c>
      <c r="B1739" t="s">
        <v>7170</v>
      </c>
      <c r="C1739" t="s">
        <v>102</v>
      </c>
      <c r="D1739" t="s">
        <v>1537</v>
      </c>
      <c r="E1739" t="s">
        <v>1538</v>
      </c>
      <c r="F1739" s="1">
        <v>46073.487291666665</v>
      </c>
      <c r="G1739" t="s">
        <v>105</v>
      </c>
      <c r="H1739" t="s">
        <v>106</v>
      </c>
      <c r="I1739" t="s">
        <v>7171</v>
      </c>
      <c r="J1739" t="s">
        <v>108</v>
      </c>
      <c r="K1739" t="s">
        <v>571</v>
      </c>
      <c r="M1739" t="s">
        <v>47</v>
      </c>
      <c r="O1739" t="s">
        <v>77</v>
      </c>
      <c r="P1739" t="s">
        <v>78</v>
      </c>
      <c r="Q1739" t="s">
        <v>50</v>
      </c>
      <c r="R1739" t="s">
        <v>111</v>
      </c>
      <c r="S1739" t="s">
        <v>51</v>
      </c>
      <c r="T1739" t="s">
        <v>112</v>
      </c>
      <c r="U1739" s="1">
        <v>46074.087175925924</v>
      </c>
      <c r="V1739" t="s">
        <v>54</v>
      </c>
      <c r="W1739" t="s">
        <v>55</v>
      </c>
      <c r="X1739" t="s">
        <v>113</v>
      </c>
      <c r="Y1739" t="s">
        <v>7172</v>
      </c>
      <c r="Z1739" t="s">
        <v>5594</v>
      </c>
      <c r="AA1739" t="s">
        <v>54</v>
      </c>
      <c r="AB1739" t="s">
        <v>115</v>
      </c>
      <c r="AC1739" t="s">
        <v>85</v>
      </c>
      <c r="AD1739" t="s">
        <v>116</v>
      </c>
      <c r="AE1739" t="s">
        <v>1541</v>
      </c>
      <c r="AF1739" t="s">
        <v>144</v>
      </c>
      <c r="AG1739" t="s">
        <v>5594</v>
      </c>
      <c r="AH1739">
        <v>14840</v>
      </c>
      <c r="AK1739">
        <v>1</v>
      </c>
      <c r="AL1739" t="s">
        <v>61</v>
      </c>
      <c r="AM1739" t="s">
        <v>1542</v>
      </c>
      <c r="AN1739" t="s">
        <v>1543</v>
      </c>
    </row>
    <row r="1740" spans="1:40" x14ac:dyDescent="0.35">
      <c r="A1740" t="s">
        <v>37</v>
      </c>
      <c r="B1740" t="s">
        <v>7173</v>
      </c>
      <c r="C1740" t="s">
        <v>39</v>
      </c>
      <c r="D1740" t="s">
        <v>127</v>
      </c>
      <c r="E1740" t="s">
        <v>2745</v>
      </c>
      <c r="F1740" s="1">
        <v>46073.486111111109</v>
      </c>
      <c r="G1740" t="s">
        <v>71</v>
      </c>
      <c r="H1740" t="s">
        <v>72</v>
      </c>
      <c r="I1740" t="s">
        <v>7174</v>
      </c>
      <c r="J1740" t="s">
        <v>1015</v>
      </c>
      <c r="K1740" t="s">
        <v>75</v>
      </c>
      <c r="M1740" t="s">
        <v>76</v>
      </c>
      <c r="O1740" t="s">
        <v>77</v>
      </c>
      <c r="P1740" t="s">
        <v>78</v>
      </c>
      <c r="R1740" t="s">
        <v>305</v>
      </c>
      <c r="S1740" t="s">
        <v>306</v>
      </c>
      <c r="T1740" t="s">
        <v>307</v>
      </c>
      <c r="U1740" s="1">
        <v>46077.532951388886</v>
      </c>
      <c r="V1740" t="s">
        <v>54</v>
      </c>
      <c r="W1740" t="s">
        <v>55</v>
      </c>
      <c r="X1740" t="s">
        <v>211</v>
      </c>
      <c r="Y1740" t="s">
        <v>2747</v>
      </c>
      <c r="Z1740" t="s">
        <v>58</v>
      </c>
      <c r="AA1740" t="s">
        <v>54</v>
      </c>
      <c r="AB1740" t="s">
        <v>213</v>
      </c>
      <c r="AC1740" t="s">
        <v>85</v>
      </c>
      <c r="AD1740" t="s">
        <v>79</v>
      </c>
      <c r="AE1740" t="s">
        <v>2748</v>
      </c>
      <c r="AF1740" t="s">
        <v>2746</v>
      </c>
      <c r="AG1740" t="s">
        <v>58</v>
      </c>
      <c r="AH1740" t="s">
        <v>2749</v>
      </c>
      <c r="AK1740">
        <v>5</v>
      </c>
      <c r="AL1740" t="s">
        <v>61</v>
      </c>
      <c r="AM1740" t="s">
        <v>2750</v>
      </c>
      <c r="AN1740" t="s">
        <v>2751</v>
      </c>
    </row>
    <row r="1741" spans="1:40" x14ac:dyDescent="0.35">
      <c r="A1741" t="s">
        <v>37</v>
      </c>
      <c r="B1741" t="s">
        <v>7175</v>
      </c>
      <c r="C1741" t="s">
        <v>352</v>
      </c>
      <c r="D1741" t="s">
        <v>422</v>
      </c>
      <c r="E1741" t="s">
        <v>423</v>
      </c>
      <c r="F1741" s="1">
        <v>46073.48746527778</v>
      </c>
      <c r="G1741" t="s">
        <v>355</v>
      </c>
      <c r="H1741" t="s">
        <v>356</v>
      </c>
      <c r="I1741" t="s">
        <v>7176</v>
      </c>
      <c r="J1741" t="s">
        <v>358</v>
      </c>
      <c r="K1741" t="s">
        <v>359</v>
      </c>
      <c r="M1741" t="s">
        <v>47</v>
      </c>
      <c r="O1741" t="s">
        <v>77</v>
      </c>
      <c r="P1741" t="s">
        <v>78</v>
      </c>
      <c r="Q1741" t="s">
        <v>50</v>
      </c>
      <c r="R1741" t="s">
        <v>51</v>
      </c>
      <c r="S1741" t="s">
        <v>52</v>
      </c>
      <c r="T1741" t="s">
        <v>53</v>
      </c>
      <c r="U1741" s="1">
        <v>46073.549027777779</v>
      </c>
      <c r="V1741" t="s">
        <v>54</v>
      </c>
      <c r="W1741" t="s">
        <v>55</v>
      </c>
      <c r="X1741" t="s">
        <v>134</v>
      </c>
      <c r="Y1741" t="s">
        <v>7177</v>
      </c>
      <c r="Z1741" t="s">
        <v>5594</v>
      </c>
      <c r="AA1741" t="s">
        <v>54</v>
      </c>
      <c r="AB1741" t="s">
        <v>361</v>
      </c>
      <c r="AC1741" t="s">
        <v>85</v>
      </c>
      <c r="AD1741" t="s">
        <v>52</v>
      </c>
      <c r="AE1741" t="s">
        <v>362</v>
      </c>
      <c r="AF1741" t="s">
        <v>363</v>
      </c>
      <c r="AG1741" t="s">
        <v>5594</v>
      </c>
      <c r="AH1741" t="s">
        <v>426</v>
      </c>
      <c r="AK1741">
        <v>1</v>
      </c>
      <c r="AL1741" t="s">
        <v>61</v>
      </c>
      <c r="AM1741" t="s">
        <v>427</v>
      </c>
      <c r="AN1741" t="s">
        <v>428</v>
      </c>
    </row>
    <row r="1742" spans="1:40" x14ac:dyDescent="0.35">
      <c r="A1742" t="s">
        <v>37</v>
      </c>
      <c r="B1742" t="s">
        <v>7178</v>
      </c>
      <c r="C1742" t="s">
        <v>656</v>
      </c>
      <c r="D1742" t="s">
        <v>3184</v>
      </c>
      <c r="E1742" t="s">
        <v>3185</v>
      </c>
      <c r="F1742" s="1">
        <v>46073.485983796294</v>
      </c>
      <c r="G1742" t="s">
        <v>355</v>
      </c>
      <c r="H1742" t="s">
        <v>356</v>
      </c>
      <c r="I1742" t="s">
        <v>7179</v>
      </c>
      <c r="J1742" t="s">
        <v>2987</v>
      </c>
      <c r="K1742" t="s">
        <v>2988</v>
      </c>
      <c r="M1742" t="s">
        <v>76</v>
      </c>
      <c r="O1742" t="s">
        <v>77</v>
      </c>
      <c r="P1742" t="s">
        <v>78</v>
      </c>
      <c r="Q1742" t="s">
        <v>1174</v>
      </c>
      <c r="R1742" t="s">
        <v>2989</v>
      </c>
      <c r="S1742" t="s">
        <v>2990</v>
      </c>
      <c r="T1742" t="s">
        <v>3187</v>
      </c>
      <c r="U1742" s="1">
        <v>46076.343912037039</v>
      </c>
      <c r="V1742" t="s">
        <v>54</v>
      </c>
      <c r="W1742" t="s">
        <v>55</v>
      </c>
      <c r="X1742" t="s">
        <v>134</v>
      </c>
      <c r="Y1742" t="s">
        <v>5279</v>
      </c>
      <c r="Z1742" t="s">
        <v>58</v>
      </c>
      <c r="AA1742" t="s">
        <v>54</v>
      </c>
      <c r="AB1742" t="s">
        <v>1836</v>
      </c>
      <c r="AC1742" t="s">
        <v>85</v>
      </c>
      <c r="AD1742" t="s">
        <v>2989</v>
      </c>
      <c r="AE1742" t="s">
        <v>2990</v>
      </c>
      <c r="AF1742" t="s">
        <v>3187</v>
      </c>
      <c r="AG1742" t="s">
        <v>58</v>
      </c>
      <c r="AH1742" t="s">
        <v>3189</v>
      </c>
      <c r="AK1742">
        <v>0</v>
      </c>
      <c r="AL1742" t="s">
        <v>61</v>
      </c>
      <c r="AM1742" t="s">
        <v>1836</v>
      </c>
      <c r="AN1742" t="s">
        <v>3190</v>
      </c>
    </row>
    <row r="1743" spans="1:40" x14ac:dyDescent="0.35">
      <c r="A1743" t="s">
        <v>37</v>
      </c>
      <c r="B1743" t="s">
        <v>7180</v>
      </c>
      <c r="C1743" t="s">
        <v>102</v>
      </c>
      <c r="D1743" t="s">
        <v>1698</v>
      </c>
      <c r="E1743" t="s">
        <v>584</v>
      </c>
      <c r="F1743" s="1">
        <v>46073.485983796294</v>
      </c>
      <c r="G1743" t="s">
        <v>105</v>
      </c>
      <c r="H1743" t="s">
        <v>106</v>
      </c>
      <c r="I1743" t="s">
        <v>7181</v>
      </c>
      <c r="J1743" t="s">
        <v>108</v>
      </c>
      <c r="K1743" t="s">
        <v>109</v>
      </c>
      <c r="M1743" t="s">
        <v>47</v>
      </c>
      <c r="O1743" t="s">
        <v>77</v>
      </c>
      <c r="P1743" t="s">
        <v>78</v>
      </c>
      <c r="Q1743" t="s">
        <v>50</v>
      </c>
      <c r="R1743" t="s">
        <v>111</v>
      </c>
      <c r="S1743" t="s">
        <v>51</v>
      </c>
      <c r="T1743" t="s">
        <v>112</v>
      </c>
      <c r="U1743" s="1">
        <v>46073.593113425923</v>
      </c>
      <c r="V1743" t="s">
        <v>54</v>
      </c>
      <c r="W1743" t="s">
        <v>55</v>
      </c>
      <c r="X1743" t="s">
        <v>134</v>
      </c>
      <c r="Y1743" t="s">
        <v>7182</v>
      </c>
      <c r="Z1743" t="s">
        <v>5594</v>
      </c>
      <c r="AA1743" t="s">
        <v>54</v>
      </c>
      <c r="AB1743" t="s">
        <v>1701</v>
      </c>
      <c r="AC1743" t="s">
        <v>85</v>
      </c>
      <c r="AD1743" t="s">
        <v>116</v>
      </c>
      <c r="AE1743" t="s">
        <v>117</v>
      </c>
      <c r="AF1743" t="s">
        <v>1874</v>
      </c>
      <c r="AG1743" t="s">
        <v>5594</v>
      </c>
      <c r="AK1743">
        <v>1</v>
      </c>
      <c r="AL1743" t="s">
        <v>61</v>
      </c>
      <c r="AM1743" t="s">
        <v>1701</v>
      </c>
      <c r="AN1743" t="s">
        <v>1702</v>
      </c>
    </row>
    <row r="1744" spans="1:40" x14ac:dyDescent="0.35">
      <c r="A1744" t="s">
        <v>37</v>
      </c>
      <c r="B1744" t="s">
        <v>7183</v>
      </c>
      <c r="C1744" t="s">
        <v>39</v>
      </c>
      <c r="D1744" t="s">
        <v>7184</v>
      </c>
      <c r="E1744" t="s">
        <v>7185</v>
      </c>
      <c r="F1744" s="1">
        <v>46073.486701388887</v>
      </c>
      <c r="G1744" t="s">
        <v>631</v>
      </c>
      <c r="H1744" t="s">
        <v>447</v>
      </c>
      <c r="I1744" t="s">
        <v>7186</v>
      </c>
      <c r="J1744" t="s">
        <v>557</v>
      </c>
      <c r="K1744" t="s">
        <v>75</v>
      </c>
      <c r="M1744" t="s">
        <v>47</v>
      </c>
      <c r="O1744" t="s">
        <v>77</v>
      </c>
      <c r="P1744" t="s">
        <v>78</v>
      </c>
      <c r="R1744" t="s">
        <v>208</v>
      </c>
      <c r="S1744" t="s">
        <v>209</v>
      </c>
      <c r="T1744" t="s">
        <v>210</v>
      </c>
      <c r="U1744" s="1">
        <v>46073.491527777776</v>
      </c>
      <c r="V1744" t="s">
        <v>54</v>
      </c>
      <c r="W1744" t="s">
        <v>55</v>
      </c>
      <c r="X1744" t="s">
        <v>82</v>
      </c>
      <c r="Y1744" t="s">
        <v>7187</v>
      </c>
      <c r="Z1744" t="s">
        <v>5594</v>
      </c>
      <c r="AA1744" t="s">
        <v>54</v>
      </c>
      <c r="AB1744" t="s">
        <v>645</v>
      </c>
      <c r="AC1744" t="s">
        <v>85</v>
      </c>
      <c r="AD1744" t="s">
        <v>79</v>
      </c>
      <c r="AE1744" t="s">
        <v>967</v>
      </c>
      <c r="AF1744" t="s">
        <v>1072</v>
      </c>
      <c r="AG1744" t="s">
        <v>5594</v>
      </c>
      <c r="AH1744">
        <v>15648</v>
      </c>
      <c r="AK1744">
        <v>0</v>
      </c>
      <c r="AL1744" t="s">
        <v>61</v>
      </c>
      <c r="AM1744" t="s">
        <v>7188</v>
      </c>
      <c r="AN1744" t="s">
        <v>7189</v>
      </c>
    </row>
    <row r="1745" spans="1:40" x14ac:dyDescent="0.35">
      <c r="A1745" t="s">
        <v>37</v>
      </c>
      <c r="B1745" t="s">
        <v>7190</v>
      </c>
      <c r="C1745" t="s">
        <v>656</v>
      </c>
      <c r="D1745" t="s">
        <v>2490</v>
      </c>
      <c r="E1745" t="s">
        <v>2491</v>
      </c>
      <c r="F1745" s="1">
        <v>46073.485925925925</v>
      </c>
      <c r="G1745" t="s">
        <v>497</v>
      </c>
      <c r="H1745" t="s">
        <v>72</v>
      </c>
      <c r="I1745" t="s">
        <v>7191</v>
      </c>
      <c r="J1745" t="s">
        <v>2987</v>
      </c>
      <c r="K1745" t="s">
        <v>2988</v>
      </c>
      <c r="M1745" t="s">
        <v>76</v>
      </c>
      <c r="O1745" t="s">
        <v>77</v>
      </c>
      <c r="P1745" t="s">
        <v>78</v>
      </c>
      <c r="Q1745" t="s">
        <v>50</v>
      </c>
      <c r="R1745" t="s">
        <v>2989</v>
      </c>
      <c r="S1745" t="s">
        <v>2990</v>
      </c>
      <c r="T1745" t="s">
        <v>3187</v>
      </c>
      <c r="U1745" s="1">
        <v>46076.346585648149</v>
      </c>
      <c r="V1745" t="s">
        <v>54</v>
      </c>
      <c r="W1745" t="s">
        <v>55</v>
      </c>
      <c r="X1745" t="s">
        <v>134</v>
      </c>
      <c r="Y1745" t="s">
        <v>7162</v>
      </c>
      <c r="Z1745" t="s">
        <v>58</v>
      </c>
      <c r="AA1745" t="s">
        <v>54</v>
      </c>
      <c r="AB1745" t="s">
        <v>612</v>
      </c>
      <c r="AC1745" t="s">
        <v>85</v>
      </c>
      <c r="AD1745" t="s">
        <v>2989</v>
      </c>
      <c r="AE1745" t="s">
        <v>2990</v>
      </c>
      <c r="AF1745" t="s">
        <v>3187</v>
      </c>
      <c r="AG1745" t="s">
        <v>58</v>
      </c>
      <c r="AH1745" t="s">
        <v>2494</v>
      </c>
      <c r="AK1745">
        <v>1</v>
      </c>
      <c r="AL1745" t="s">
        <v>61</v>
      </c>
      <c r="AM1745" t="s">
        <v>2495</v>
      </c>
      <c r="AN1745" t="s">
        <v>2496</v>
      </c>
    </row>
    <row r="1746" spans="1:40" x14ac:dyDescent="0.35">
      <c r="A1746" t="s">
        <v>37</v>
      </c>
      <c r="B1746" t="s">
        <v>7192</v>
      </c>
      <c r="C1746" t="s">
        <v>352</v>
      </c>
      <c r="D1746" t="s">
        <v>383</v>
      </c>
      <c r="E1746" t="s">
        <v>384</v>
      </c>
      <c r="F1746" s="1">
        <v>46073.485324074078</v>
      </c>
      <c r="G1746" t="s">
        <v>355</v>
      </c>
      <c r="H1746" t="s">
        <v>356</v>
      </c>
      <c r="I1746" t="s">
        <v>7193</v>
      </c>
      <c r="J1746" t="s">
        <v>358</v>
      </c>
      <c r="K1746" t="s">
        <v>359</v>
      </c>
      <c r="M1746" t="s">
        <v>47</v>
      </c>
      <c r="O1746" t="s">
        <v>77</v>
      </c>
      <c r="P1746" t="s">
        <v>78</v>
      </c>
      <c r="Q1746" t="s">
        <v>50</v>
      </c>
      <c r="R1746" t="s">
        <v>51</v>
      </c>
      <c r="S1746" t="s">
        <v>52</v>
      </c>
      <c r="T1746" t="s">
        <v>53</v>
      </c>
      <c r="U1746" s="1">
        <v>46073.54886574074</v>
      </c>
      <c r="V1746" t="s">
        <v>54</v>
      </c>
      <c r="W1746" t="s">
        <v>55</v>
      </c>
      <c r="X1746" t="s">
        <v>134</v>
      </c>
      <c r="Y1746" t="s">
        <v>7194</v>
      </c>
      <c r="Z1746" t="s">
        <v>5594</v>
      </c>
      <c r="AA1746" t="s">
        <v>54</v>
      </c>
      <c r="AB1746" t="s">
        <v>361</v>
      </c>
      <c r="AC1746" t="s">
        <v>85</v>
      </c>
      <c r="AD1746" t="s">
        <v>52</v>
      </c>
      <c r="AE1746" t="s">
        <v>362</v>
      </c>
      <c r="AF1746" t="s">
        <v>363</v>
      </c>
      <c r="AG1746" t="s">
        <v>5594</v>
      </c>
      <c r="AH1746" t="s">
        <v>387</v>
      </c>
      <c r="AK1746">
        <v>1</v>
      </c>
      <c r="AL1746" t="s">
        <v>61</v>
      </c>
      <c r="AM1746" t="s">
        <v>388</v>
      </c>
      <c r="AN1746" t="s">
        <v>389</v>
      </c>
    </row>
    <row r="1747" spans="1:40" x14ac:dyDescent="0.35">
      <c r="A1747" t="s">
        <v>37</v>
      </c>
      <c r="B1747" t="s">
        <v>7195</v>
      </c>
      <c r="C1747" t="s">
        <v>39</v>
      </c>
      <c r="D1747" t="s">
        <v>353</v>
      </c>
      <c r="E1747" t="s">
        <v>354</v>
      </c>
      <c r="F1747" s="1">
        <v>46073.482303240744</v>
      </c>
      <c r="G1747" t="s">
        <v>355</v>
      </c>
      <c r="H1747" t="s">
        <v>356</v>
      </c>
      <c r="I1747" t="s">
        <v>7196</v>
      </c>
      <c r="J1747" t="s">
        <v>358</v>
      </c>
      <c r="K1747" t="s">
        <v>359</v>
      </c>
      <c r="M1747" t="s">
        <v>47</v>
      </c>
      <c r="O1747" t="s">
        <v>77</v>
      </c>
      <c r="P1747" t="s">
        <v>78</v>
      </c>
      <c r="Q1747" t="s">
        <v>50</v>
      </c>
      <c r="R1747" t="s">
        <v>51</v>
      </c>
      <c r="S1747" t="s">
        <v>52</v>
      </c>
      <c r="T1747" t="s">
        <v>53</v>
      </c>
      <c r="U1747" s="1">
        <v>46073.497627314813</v>
      </c>
      <c r="V1747" t="s">
        <v>54</v>
      </c>
      <c r="W1747" t="s">
        <v>55</v>
      </c>
      <c r="X1747" t="s">
        <v>113</v>
      </c>
      <c r="Y1747" t="s">
        <v>7197</v>
      </c>
      <c r="Z1747" t="s">
        <v>5594</v>
      </c>
      <c r="AA1747" t="s">
        <v>54</v>
      </c>
      <c r="AB1747" t="s">
        <v>361</v>
      </c>
      <c r="AC1747" t="s">
        <v>85</v>
      </c>
      <c r="AD1747" t="s">
        <v>52</v>
      </c>
      <c r="AE1747" t="s">
        <v>999</v>
      </c>
      <c r="AF1747" t="s">
        <v>1770</v>
      </c>
      <c r="AG1747" t="s">
        <v>5594</v>
      </c>
      <c r="AH1747" t="s">
        <v>364</v>
      </c>
      <c r="AK1747">
        <v>0</v>
      </c>
      <c r="AL1747" t="s">
        <v>61</v>
      </c>
      <c r="AM1747" t="s">
        <v>365</v>
      </c>
      <c r="AN1747" t="s">
        <v>366</v>
      </c>
    </row>
    <row r="1748" spans="1:40" x14ac:dyDescent="0.35">
      <c r="A1748" t="s">
        <v>37</v>
      </c>
      <c r="B1748" t="s">
        <v>7198</v>
      </c>
      <c r="C1748" t="s">
        <v>39</v>
      </c>
      <c r="D1748" t="s">
        <v>7067</v>
      </c>
      <c r="E1748" t="s">
        <v>948</v>
      </c>
      <c r="F1748" s="1">
        <v>46073.483090277776</v>
      </c>
      <c r="G1748" t="s">
        <v>402</v>
      </c>
      <c r="H1748" t="s">
        <v>72</v>
      </c>
      <c r="I1748" t="s">
        <v>7199</v>
      </c>
      <c r="J1748" t="s">
        <v>4812</v>
      </c>
      <c r="K1748" t="s">
        <v>4813</v>
      </c>
      <c r="M1748" t="s">
        <v>131</v>
      </c>
      <c r="O1748" t="s">
        <v>77</v>
      </c>
      <c r="P1748" t="s">
        <v>78</v>
      </c>
      <c r="Q1748" t="s">
        <v>50</v>
      </c>
      <c r="R1748" t="s">
        <v>51</v>
      </c>
      <c r="S1748" t="s">
        <v>52</v>
      </c>
      <c r="T1748" t="s">
        <v>240</v>
      </c>
      <c r="U1748" s="1">
        <v>46076.430243055554</v>
      </c>
      <c r="V1748" t="s">
        <v>54</v>
      </c>
      <c r="W1748" t="s">
        <v>55</v>
      </c>
      <c r="X1748" t="s">
        <v>134</v>
      </c>
      <c r="Y1748" t="s">
        <v>7200</v>
      </c>
      <c r="Z1748" t="s">
        <v>58</v>
      </c>
      <c r="AA1748" t="s">
        <v>54</v>
      </c>
      <c r="AB1748" t="s">
        <v>612</v>
      </c>
      <c r="AC1748" t="s">
        <v>85</v>
      </c>
      <c r="AD1748" t="s">
        <v>52</v>
      </c>
      <c r="AE1748" t="s">
        <v>243</v>
      </c>
      <c r="AF1748" t="s">
        <v>1470</v>
      </c>
      <c r="AG1748" t="s">
        <v>58</v>
      </c>
      <c r="AH1748">
        <v>12025</v>
      </c>
      <c r="AK1748">
        <v>1</v>
      </c>
      <c r="AL1748" t="s">
        <v>61</v>
      </c>
      <c r="AM1748" t="s">
        <v>7201</v>
      </c>
      <c r="AN1748" t="s">
        <v>7202</v>
      </c>
    </row>
    <row r="1749" spans="1:40" x14ac:dyDescent="0.35">
      <c r="A1749" t="s">
        <v>37</v>
      </c>
      <c r="B1749" t="s">
        <v>7203</v>
      </c>
      <c r="C1749" t="s">
        <v>39</v>
      </c>
      <c r="D1749" t="s">
        <v>7204</v>
      </c>
      <c r="E1749" t="s">
        <v>4431</v>
      </c>
      <c r="F1749" s="1">
        <v>46073.484224537038</v>
      </c>
      <c r="G1749" t="s">
        <v>170</v>
      </c>
      <c r="H1749" t="s">
        <v>92</v>
      </c>
      <c r="I1749" t="s">
        <v>1078</v>
      </c>
      <c r="J1749" t="s">
        <v>557</v>
      </c>
      <c r="K1749" t="s">
        <v>75</v>
      </c>
      <c r="M1749" t="s">
        <v>47</v>
      </c>
      <c r="O1749" t="s">
        <v>77</v>
      </c>
      <c r="P1749" t="s">
        <v>78</v>
      </c>
      <c r="Q1749" t="s">
        <v>50</v>
      </c>
      <c r="R1749" t="s">
        <v>79</v>
      </c>
      <c r="S1749" t="s">
        <v>1078</v>
      </c>
      <c r="T1749" t="s">
        <v>1078</v>
      </c>
      <c r="U1749" s="1">
        <v>46073.494143518517</v>
      </c>
      <c r="V1749" t="s">
        <v>54</v>
      </c>
      <c r="W1749" t="s">
        <v>55</v>
      </c>
      <c r="X1749" t="s">
        <v>82</v>
      </c>
      <c r="Y1749" t="s">
        <v>7205</v>
      </c>
      <c r="Z1749" t="s">
        <v>5594</v>
      </c>
      <c r="AA1749" t="s">
        <v>54</v>
      </c>
      <c r="AB1749" t="s">
        <v>645</v>
      </c>
      <c r="AC1749" t="s">
        <v>85</v>
      </c>
      <c r="AD1749" t="s">
        <v>79</v>
      </c>
      <c r="AE1749" t="s">
        <v>1078</v>
      </c>
      <c r="AF1749" t="s">
        <v>1078</v>
      </c>
      <c r="AG1749" t="s">
        <v>5594</v>
      </c>
      <c r="AH1749">
        <v>13289</v>
      </c>
      <c r="AK1749">
        <v>0</v>
      </c>
      <c r="AL1749" t="s">
        <v>61</v>
      </c>
      <c r="AM1749" t="s">
        <v>7206</v>
      </c>
      <c r="AN1749" t="s">
        <v>7207</v>
      </c>
    </row>
    <row r="1750" spans="1:40" x14ac:dyDescent="0.35">
      <c r="A1750" t="s">
        <v>37</v>
      </c>
      <c r="B1750" t="s">
        <v>7208</v>
      </c>
      <c r="C1750" t="s">
        <v>102</v>
      </c>
      <c r="D1750" t="s">
        <v>2230</v>
      </c>
      <c r="E1750" t="s">
        <v>2231</v>
      </c>
      <c r="F1750" s="1">
        <v>46073.481469907405</v>
      </c>
      <c r="G1750" t="s">
        <v>71</v>
      </c>
      <c r="H1750" t="s">
        <v>72</v>
      </c>
      <c r="I1750" t="s">
        <v>7209</v>
      </c>
      <c r="J1750" t="s">
        <v>235</v>
      </c>
      <c r="K1750" t="s">
        <v>236</v>
      </c>
      <c r="M1750" t="s">
        <v>47</v>
      </c>
      <c r="O1750" t="s">
        <v>237</v>
      </c>
      <c r="P1750" t="s">
        <v>238</v>
      </c>
      <c r="Q1750" t="s">
        <v>1027</v>
      </c>
      <c r="R1750" t="s">
        <v>51</v>
      </c>
      <c r="S1750" t="s">
        <v>52</v>
      </c>
      <c r="T1750" t="s">
        <v>240</v>
      </c>
      <c r="U1750" s="1">
        <v>46074.804398148146</v>
      </c>
      <c r="V1750" t="s">
        <v>54</v>
      </c>
      <c r="W1750" t="s">
        <v>55</v>
      </c>
      <c r="X1750" t="s">
        <v>211</v>
      </c>
      <c r="Y1750" t="s">
        <v>7210</v>
      </c>
      <c r="Z1750" t="s">
        <v>5594</v>
      </c>
      <c r="AA1750" t="s">
        <v>54</v>
      </c>
      <c r="AB1750" t="s">
        <v>213</v>
      </c>
      <c r="AC1750" t="s">
        <v>242</v>
      </c>
      <c r="AD1750" t="s">
        <v>52</v>
      </c>
      <c r="AE1750" t="s">
        <v>243</v>
      </c>
      <c r="AF1750" t="s">
        <v>244</v>
      </c>
      <c r="AG1750" t="s">
        <v>5594</v>
      </c>
      <c r="AH1750">
        <v>5392</v>
      </c>
      <c r="AK1750">
        <v>1</v>
      </c>
      <c r="AL1750" t="s">
        <v>410</v>
      </c>
      <c r="AM1750" t="s">
        <v>2234</v>
      </c>
      <c r="AN1750" t="s">
        <v>2235</v>
      </c>
    </row>
    <row r="1751" spans="1:40" x14ac:dyDescent="0.35">
      <c r="A1751" t="s">
        <v>37</v>
      </c>
      <c r="B1751" t="s">
        <v>7211</v>
      </c>
      <c r="C1751" t="s">
        <v>102</v>
      </c>
      <c r="D1751" t="s">
        <v>1698</v>
      </c>
      <c r="E1751" t="s">
        <v>584</v>
      </c>
      <c r="F1751" s="1">
        <v>46073.481041666666</v>
      </c>
      <c r="G1751" t="s">
        <v>105</v>
      </c>
      <c r="H1751" t="s">
        <v>106</v>
      </c>
      <c r="I1751" t="s">
        <v>2905</v>
      </c>
      <c r="J1751" t="s">
        <v>108</v>
      </c>
      <c r="K1751" t="s">
        <v>571</v>
      </c>
      <c r="M1751" t="s">
        <v>47</v>
      </c>
      <c r="O1751" t="s">
        <v>77</v>
      </c>
      <c r="P1751" t="s">
        <v>78</v>
      </c>
      <c r="Q1751" t="s">
        <v>50</v>
      </c>
      <c r="R1751" t="s">
        <v>111</v>
      </c>
      <c r="S1751" t="s">
        <v>51</v>
      </c>
      <c r="T1751" t="s">
        <v>112</v>
      </c>
      <c r="U1751" s="1">
        <v>46073.586805555555</v>
      </c>
      <c r="V1751" t="s">
        <v>54</v>
      </c>
      <c r="W1751" t="s">
        <v>55</v>
      </c>
      <c r="X1751" t="s">
        <v>134</v>
      </c>
      <c r="Y1751" t="s">
        <v>7212</v>
      </c>
      <c r="Z1751" t="s">
        <v>5594</v>
      </c>
      <c r="AA1751" t="s">
        <v>54</v>
      </c>
      <c r="AB1751" t="s">
        <v>1701</v>
      </c>
      <c r="AC1751" t="s">
        <v>85</v>
      </c>
      <c r="AD1751" t="s">
        <v>116</v>
      </c>
      <c r="AE1751" t="s">
        <v>574</v>
      </c>
      <c r="AF1751" t="s">
        <v>144</v>
      </c>
      <c r="AG1751" t="s">
        <v>5594</v>
      </c>
      <c r="AK1751">
        <v>1</v>
      </c>
      <c r="AL1751" t="s">
        <v>61</v>
      </c>
      <c r="AM1751" t="s">
        <v>1701</v>
      </c>
      <c r="AN1751" t="s">
        <v>1702</v>
      </c>
    </row>
    <row r="1752" spans="1:40" x14ac:dyDescent="0.35">
      <c r="A1752" t="s">
        <v>37</v>
      </c>
      <c r="B1752" t="s">
        <v>7213</v>
      </c>
      <c r="C1752" t="s">
        <v>39</v>
      </c>
      <c r="D1752" t="s">
        <v>2931</v>
      </c>
      <c r="E1752" t="s">
        <v>2932</v>
      </c>
      <c r="F1752" s="1">
        <v>46073.481168981481</v>
      </c>
      <c r="G1752" t="s">
        <v>631</v>
      </c>
      <c r="H1752" t="s">
        <v>447</v>
      </c>
      <c r="I1752" t="s">
        <v>2152</v>
      </c>
      <c r="J1752" t="s">
        <v>557</v>
      </c>
      <c r="K1752" t="s">
        <v>75</v>
      </c>
      <c r="M1752" t="s">
        <v>76</v>
      </c>
      <c r="O1752" t="s">
        <v>77</v>
      </c>
      <c r="P1752" t="s">
        <v>78</v>
      </c>
      <c r="R1752" t="s">
        <v>79</v>
      </c>
      <c r="S1752" t="s">
        <v>967</v>
      </c>
      <c r="T1752" t="s">
        <v>1072</v>
      </c>
      <c r="U1752" s="1">
        <v>46076.462465277778</v>
      </c>
      <c r="V1752" t="s">
        <v>54</v>
      </c>
      <c r="W1752" t="s">
        <v>55</v>
      </c>
      <c r="X1752" t="s">
        <v>82</v>
      </c>
      <c r="Y1752" t="s">
        <v>7214</v>
      </c>
      <c r="Z1752" t="s">
        <v>58</v>
      </c>
      <c r="AA1752" t="s">
        <v>54</v>
      </c>
      <c r="AB1752" t="s">
        <v>645</v>
      </c>
      <c r="AC1752" t="s">
        <v>85</v>
      </c>
      <c r="AD1752" t="s">
        <v>79</v>
      </c>
      <c r="AE1752" t="s">
        <v>967</v>
      </c>
      <c r="AF1752" t="s">
        <v>1072</v>
      </c>
      <c r="AG1752" t="s">
        <v>58</v>
      </c>
      <c r="AH1752">
        <v>15874</v>
      </c>
      <c r="AK1752">
        <v>0</v>
      </c>
      <c r="AL1752" t="s">
        <v>61</v>
      </c>
      <c r="AM1752" t="s">
        <v>2935</v>
      </c>
      <c r="AN1752" t="s">
        <v>2936</v>
      </c>
    </row>
    <row r="1753" spans="1:40" x14ac:dyDescent="0.35">
      <c r="A1753" t="s">
        <v>37</v>
      </c>
      <c r="B1753" t="s">
        <v>7215</v>
      </c>
      <c r="C1753" t="s">
        <v>102</v>
      </c>
      <c r="D1753" t="s">
        <v>1698</v>
      </c>
      <c r="E1753" t="s">
        <v>584</v>
      </c>
      <c r="F1753" s="1">
        <v>46073.480300925927</v>
      </c>
      <c r="G1753" t="s">
        <v>105</v>
      </c>
      <c r="H1753" t="s">
        <v>106</v>
      </c>
      <c r="I1753" t="s">
        <v>2876</v>
      </c>
      <c r="J1753" t="s">
        <v>108</v>
      </c>
      <c r="K1753" t="s">
        <v>109</v>
      </c>
      <c r="M1753" t="s">
        <v>47</v>
      </c>
      <c r="O1753" t="s">
        <v>77</v>
      </c>
      <c r="P1753" t="s">
        <v>78</v>
      </c>
      <c r="Q1753" t="s">
        <v>50</v>
      </c>
      <c r="R1753" t="s">
        <v>111</v>
      </c>
      <c r="S1753" t="s">
        <v>51</v>
      </c>
      <c r="T1753" t="s">
        <v>112</v>
      </c>
      <c r="U1753" s="1">
        <v>46073.590104166666</v>
      </c>
      <c r="V1753" t="s">
        <v>54</v>
      </c>
      <c r="W1753" t="s">
        <v>55</v>
      </c>
      <c r="X1753" t="s">
        <v>134</v>
      </c>
      <c r="Y1753" t="s">
        <v>7216</v>
      </c>
      <c r="Z1753" t="s">
        <v>5594</v>
      </c>
      <c r="AA1753" t="s">
        <v>54</v>
      </c>
      <c r="AB1753" t="s">
        <v>1701</v>
      </c>
      <c r="AC1753" t="s">
        <v>85</v>
      </c>
      <c r="AD1753" t="s">
        <v>116</v>
      </c>
      <c r="AE1753" t="s">
        <v>117</v>
      </c>
      <c r="AF1753" t="s">
        <v>1706</v>
      </c>
      <c r="AG1753" t="s">
        <v>5594</v>
      </c>
      <c r="AK1753">
        <v>1</v>
      </c>
      <c r="AL1753" t="s">
        <v>61</v>
      </c>
      <c r="AM1753" t="s">
        <v>1701</v>
      </c>
      <c r="AN1753" t="s">
        <v>1702</v>
      </c>
    </row>
    <row r="1754" spans="1:40" x14ac:dyDescent="0.35">
      <c r="A1754" t="s">
        <v>37</v>
      </c>
      <c r="B1754" t="s">
        <v>7217</v>
      </c>
      <c r="C1754" t="s">
        <v>39</v>
      </c>
      <c r="D1754" t="s">
        <v>7067</v>
      </c>
      <c r="E1754" t="s">
        <v>948</v>
      </c>
      <c r="F1754" s="1">
        <v>46073.479826388888</v>
      </c>
      <c r="G1754" t="s">
        <v>402</v>
      </c>
      <c r="H1754" t="s">
        <v>72</v>
      </c>
      <c r="I1754" t="s">
        <v>7218</v>
      </c>
      <c r="J1754" t="s">
        <v>4812</v>
      </c>
      <c r="K1754" t="s">
        <v>4813</v>
      </c>
      <c r="M1754" t="s">
        <v>131</v>
      </c>
      <c r="O1754" t="s">
        <v>77</v>
      </c>
      <c r="P1754" t="s">
        <v>78</v>
      </c>
      <c r="Q1754" t="s">
        <v>50</v>
      </c>
      <c r="R1754" t="s">
        <v>51</v>
      </c>
      <c r="S1754" t="s">
        <v>52</v>
      </c>
      <c r="T1754" t="s">
        <v>240</v>
      </c>
      <c r="U1754" s="1">
        <v>46076.429594907408</v>
      </c>
      <c r="V1754" t="s">
        <v>54</v>
      </c>
      <c r="W1754" t="s">
        <v>55</v>
      </c>
      <c r="X1754" t="s">
        <v>134</v>
      </c>
      <c r="Y1754" t="s">
        <v>7219</v>
      </c>
      <c r="Z1754" t="s">
        <v>58</v>
      </c>
      <c r="AA1754" t="s">
        <v>54</v>
      </c>
      <c r="AB1754" t="s">
        <v>612</v>
      </c>
      <c r="AC1754" t="s">
        <v>85</v>
      </c>
      <c r="AD1754" t="s">
        <v>52</v>
      </c>
      <c r="AE1754" t="s">
        <v>243</v>
      </c>
      <c r="AF1754" t="s">
        <v>1470</v>
      </c>
      <c r="AG1754" t="s">
        <v>58</v>
      </c>
      <c r="AH1754">
        <v>12025</v>
      </c>
      <c r="AK1754">
        <v>1</v>
      </c>
      <c r="AL1754" t="s">
        <v>61</v>
      </c>
      <c r="AM1754" t="s">
        <v>7201</v>
      </c>
      <c r="AN1754" t="s">
        <v>7202</v>
      </c>
    </row>
    <row r="1755" spans="1:40" x14ac:dyDescent="0.35">
      <c r="A1755" t="s">
        <v>37</v>
      </c>
      <c r="B1755" t="s">
        <v>7220</v>
      </c>
      <c r="C1755" t="s">
        <v>39</v>
      </c>
      <c r="D1755" t="s">
        <v>6251</v>
      </c>
      <c r="E1755" t="s">
        <v>6252</v>
      </c>
      <c r="F1755" s="1">
        <v>46073.478159722225</v>
      </c>
      <c r="G1755" t="s">
        <v>2053</v>
      </c>
      <c r="H1755" t="s">
        <v>106</v>
      </c>
      <c r="I1755" t="s">
        <v>6253</v>
      </c>
      <c r="J1755" t="s">
        <v>455</v>
      </c>
      <c r="K1755" t="s">
        <v>436</v>
      </c>
      <c r="M1755" t="s">
        <v>47</v>
      </c>
      <c r="O1755" t="s">
        <v>237</v>
      </c>
      <c r="P1755" t="s">
        <v>238</v>
      </c>
      <c r="Q1755" t="s">
        <v>50</v>
      </c>
      <c r="R1755" t="s">
        <v>51</v>
      </c>
      <c r="S1755" t="s">
        <v>52</v>
      </c>
      <c r="T1755" t="s">
        <v>240</v>
      </c>
      <c r="U1755" s="1">
        <v>46073.661215277774</v>
      </c>
      <c r="V1755" t="s">
        <v>54</v>
      </c>
      <c r="W1755" t="s">
        <v>55</v>
      </c>
      <c r="X1755" t="s">
        <v>211</v>
      </c>
      <c r="Y1755" t="s">
        <v>7221</v>
      </c>
      <c r="Z1755" t="s">
        <v>5594</v>
      </c>
      <c r="AA1755" t="s">
        <v>54</v>
      </c>
      <c r="AB1755" t="s">
        <v>213</v>
      </c>
      <c r="AC1755" t="s">
        <v>242</v>
      </c>
      <c r="AD1755" t="s">
        <v>52</v>
      </c>
      <c r="AE1755" t="s">
        <v>438</v>
      </c>
      <c r="AF1755" t="s">
        <v>439</v>
      </c>
      <c r="AG1755" t="s">
        <v>5594</v>
      </c>
      <c r="AH1755" t="s">
        <v>6255</v>
      </c>
      <c r="AK1755">
        <v>1</v>
      </c>
      <c r="AL1755" t="s">
        <v>61</v>
      </c>
      <c r="AM1755" t="s">
        <v>6256</v>
      </c>
      <c r="AN1755" t="s">
        <v>6257</v>
      </c>
    </row>
    <row r="1756" spans="1:40" x14ac:dyDescent="0.35">
      <c r="A1756" t="s">
        <v>37</v>
      </c>
      <c r="B1756" t="s">
        <v>7222</v>
      </c>
      <c r="C1756" t="s">
        <v>39</v>
      </c>
      <c r="D1756" t="s">
        <v>527</v>
      </c>
      <c r="E1756" t="s">
        <v>4588</v>
      </c>
      <c r="F1756" s="1">
        <v>46073.476493055554</v>
      </c>
      <c r="G1756" t="s">
        <v>2053</v>
      </c>
      <c r="H1756" t="s">
        <v>106</v>
      </c>
      <c r="I1756" t="s">
        <v>7223</v>
      </c>
      <c r="J1756" t="s">
        <v>4338</v>
      </c>
      <c r="K1756" t="s">
        <v>405</v>
      </c>
      <c r="M1756" t="s">
        <v>76</v>
      </c>
      <c r="O1756" t="s">
        <v>237</v>
      </c>
      <c r="P1756" t="s">
        <v>238</v>
      </c>
      <c r="Q1756" t="s">
        <v>50</v>
      </c>
      <c r="R1756" t="s">
        <v>51</v>
      </c>
      <c r="S1756" t="s">
        <v>52</v>
      </c>
      <c r="T1756" t="s">
        <v>240</v>
      </c>
      <c r="U1756" s="1">
        <v>46078.307141203702</v>
      </c>
      <c r="V1756" t="s">
        <v>54</v>
      </c>
      <c r="W1756" t="s">
        <v>55</v>
      </c>
      <c r="X1756" t="s">
        <v>211</v>
      </c>
      <c r="Y1756" t="s">
        <v>7224</v>
      </c>
      <c r="Z1756" t="s">
        <v>58</v>
      </c>
      <c r="AA1756" t="s">
        <v>54</v>
      </c>
      <c r="AB1756" t="s">
        <v>213</v>
      </c>
      <c r="AC1756" t="s">
        <v>242</v>
      </c>
      <c r="AD1756" t="s">
        <v>52</v>
      </c>
      <c r="AE1756" t="s">
        <v>243</v>
      </c>
      <c r="AF1756" t="s">
        <v>409</v>
      </c>
      <c r="AG1756" t="s">
        <v>58</v>
      </c>
      <c r="AH1756" t="s">
        <v>4591</v>
      </c>
      <c r="AK1756">
        <v>1</v>
      </c>
      <c r="AL1756" t="s">
        <v>61</v>
      </c>
      <c r="AM1756" t="s">
        <v>4592</v>
      </c>
      <c r="AN1756" t="s">
        <v>4593</v>
      </c>
    </row>
    <row r="1757" spans="1:40" x14ac:dyDescent="0.35">
      <c r="A1757" t="s">
        <v>37</v>
      </c>
      <c r="B1757" t="s">
        <v>7225</v>
      </c>
      <c r="C1757" t="s">
        <v>39</v>
      </c>
      <c r="D1757" t="s">
        <v>7226</v>
      </c>
      <c r="E1757" t="s">
        <v>7227</v>
      </c>
      <c r="F1757" s="1">
        <v>46073.475937499999</v>
      </c>
      <c r="G1757" t="s">
        <v>734</v>
      </c>
      <c r="H1757" t="s">
        <v>356</v>
      </c>
      <c r="I1757" t="s">
        <v>7228</v>
      </c>
      <c r="J1757" t="s">
        <v>557</v>
      </c>
      <c r="K1757" t="s">
        <v>75</v>
      </c>
      <c r="M1757" t="s">
        <v>47</v>
      </c>
      <c r="O1757" t="s">
        <v>77</v>
      </c>
      <c r="P1757" t="s">
        <v>78</v>
      </c>
      <c r="R1757" t="s">
        <v>79</v>
      </c>
      <c r="S1757" t="s">
        <v>975</v>
      </c>
      <c r="T1757" t="s">
        <v>976</v>
      </c>
      <c r="U1757" s="1">
        <v>46073.478900462964</v>
      </c>
      <c r="V1757" t="s">
        <v>54</v>
      </c>
      <c r="W1757" t="s">
        <v>55</v>
      </c>
      <c r="X1757" t="s">
        <v>82</v>
      </c>
      <c r="Y1757" t="s">
        <v>7229</v>
      </c>
      <c r="Z1757" t="s">
        <v>5594</v>
      </c>
      <c r="AA1757" t="s">
        <v>54</v>
      </c>
      <c r="AB1757" t="s">
        <v>645</v>
      </c>
      <c r="AC1757" t="s">
        <v>85</v>
      </c>
      <c r="AD1757" t="s">
        <v>79</v>
      </c>
      <c r="AE1757" t="s">
        <v>975</v>
      </c>
      <c r="AF1757" t="s">
        <v>976</v>
      </c>
      <c r="AG1757" t="s">
        <v>5594</v>
      </c>
      <c r="AH1757">
        <v>3128</v>
      </c>
      <c r="AK1757">
        <v>0</v>
      </c>
      <c r="AL1757" t="s">
        <v>410</v>
      </c>
      <c r="AM1757" t="s">
        <v>7230</v>
      </c>
      <c r="AN1757" t="s">
        <v>7231</v>
      </c>
    </row>
    <row r="1758" spans="1:40" x14ac:dyDescent="0.35">
      <c r="A1758" t="s">
        <v>37</v>
      </c>
      <c r="B1758" t="s">
        <v>7232</v>
      </c>
      <c r="C1758" t="s">
        <v>39</v>
      </c>
      <c r="D1758" t="s">
        <v>2490</v>
      </c>
      <c r="E1758" t="s">
        <v>7233</v>
      </c>
      <c r="F1758" s="1">
        <v>46073.473796296297</v>
      </c>
      <c r="G1758" t="s">
        <v>1040</v>
      </c>
      <c r="H1758" t="s">
        <v>72</v>
      </c>
      <c r="I1758" t="s">
        <v>205</v>
      </c>
      <c r="J1758" t="s">
        <v>7089</v>
      </c>
      <c r="K1758" t="s">
        <v>207</v>
      </c>
      <c r="M1758" t="s">
        <v>47</v>
      </c>
      <c r="O1758" t="s">
        <v>77</v>
      </c>
      <c r="P1758" t="s">
        <v>78</v>
      </c>
      <c r="Q1758" t="s">
        <v>7234</v>
      </c>
      <c r="R1758" t="s">
        <v>208</v>
      </c>
      <c r="S1758" t="s">
        <v>209</v>
      </c>
      <c r="T1758" t="s">
        <v>210</v>
      </c>
      <c r="U1758" s="1">
        <v>46073.493726851855</v>
      </c>
      <c r="V1758" t="s">
        <v>54</v>
      </c>
      <c r="W1758" t="s">
        <v>55</v>
      </c>
      <c r="X1758" t="s">
        <v>211</v>
      </c>
      <c r="Y1758" t="s">
        <v>7090</v>
      </c>
      <c r="Z1758" t="s">
        <v>5594</v>
      </c>
      <c r="AA1758" t="s">
        <v>54</v>
      </c>
      <c r="AB1758" t="s">
        <v>213</v>
      </c>
      <c r="AC1758" t="s">
        <v>85</v>
      </c>
      <c r="AD1758" t="s">
        <v>214</v>
      </c>
      <c r="AE1758" t="s">
        <v>215</v>
      </c>
      <c r="AF1758" t="s">
        <v>216</v>
      </c>
      <c r="AG1758" t="s">
        <v>5594</v>
      </c>
      <c r="AH1758">
        <v>11018</v>
      </c>
      <c r="AK1758">
        <v>1</v>
      </c>
      <c r="AL1758" t="s">
        <v>410</v>
      </c>
      <c r="AM1758" t="s">
        <v>7235</v>
      </c>
      <c r="AN1758" t="s">
        <v>7236</v>
      </c>
    </row>
    <row r="1759" spans="1:40" x14ac:dyDescent="0.35">
      <c r="A1759" t="s">
        <v>37</v>
      </c>
      <c r="B1759" t="s">
        <v>7237</v>
      </c>
      <c r="C1759" t="s">
        <v>39</v>
      </c>
      <c r="D1759" t="s">
        <v>7238</v>
      </c>
      <c r="E1759" t="s">
        <v>7239</v>
      </c>
      <c r="F1759" s="1">
        <v>46073.472916666666</v>
      </c>
      <c r="G1759" t="s">
        <v>170</v>
      </c>
      <c r="H1759" t="s">
        <v>92</v>
      </c>
      <c r="I1759" t="s">
        <v>205</v>
      </c>
      <c r="J1759" t="s">
        <v>206</v>
      </c>
      <c r="K1759" t="s">
        <v>207</v>
      </c>
      <c r="M1759" t="s">
        <v>131</v>
      </c>
      <c r="O1759" t="s">
        <v>77</v>
      </c>
      <c r="P1759" t="s">
        <v>78</v>
      </c>
      <c r="Q1759" t="s">
        <v>50</v>
      </c>
      <c r="R1759" t="s">
        <v>305</v>
      </c>
      <c r="S1759" t="s">
        <v>306</v>
      </c>
      <c r="T1759" t="s">
        <v>307</v>
      </c>
      <c r="U1759" s="1">
        <v>46076.597534722219</v>
      </c>
      <c r="V1759" t="s">
        <v>54</v>
      </c>
      <c r="W1759" t="s">
        <v>55</v>
      </c>
      <c r="X1759" t="s">
        <v>211</v>
      </c>
      <c r="Y1759" t="s">
        <v>7240</v>
      </c>
      <c r="Z1759" t="s">
        <v>58</v>
      </c>
      <c r="AA1759" t="s">
        <v>54</v>
      </c>
      <c r="AB1759" t="s">
        <v>213</v>
      </c>
      <c r="AC1759" t="s">
        <v>85</v>
      </c>
      <c r="AD1759" t="s">
        <v>214</v>
      </c>
      <c r="AE1759" t="s">
        <v>215</v>
      </c>
      <c r="AF1759" t="s">
        <v>2083</v>
      </c>
      <c r="AG1759" t="s">
        <v>58</v>
      </c>
      <c r="AH1759">
        <v>15870</v>
      </c>
      <c r="AK1759">
        <v>3</v>
      </c>
      <c r="AL1759" t="s">
        <v>61</v>
      </c>
      <c r="AM1759" t="s">
        <v>7241</v>
      </c>
      <c r="AN1759" t="s">
        <v>7242</v>
      </c>
    </row>
    <row r="1760" spans="1:40" x14ac:dyDescent="0.35">
      <c r="A1760" t="s">
        <v>37</v>
      </c>
      <c r="B1760" t="s">
        <v>7243</v>
      </c>
      <c r="C1760" t="s">
        <v>102</v>
      </c>
      <c r="D1760" t="s">
        <v>1698</v>
      </c>
      <c r="E1760" t="s">
        <v>584</v>
      </c>
      <c r="F1760" s="1">
        <v>46073.472581018519</v>
      </c>
      <c r="G1760" t="s">
        <v>105</v>
      </c>
      <c r="H1760" t="s">
        <v>106</v>
      </c>
      <c r="I1760" t="s">
        <v>7244</v>
      </c>
      <c r="J1760" t="s">
        <v>108</v>
      </c>
      <c r="K1760" t="s">
        <v>341</v>
      </c>
      <c r="M1760" t="s">
        <v>47</v>
      </c>
      <c r="O1760" t="s">
        <v>77</v>
      </c>
      <c r="P1760" t="s">
        <v>78</v>
      </c>
      <c r="Q1760" t="s">
        <v>50</v>
      </c>
      <c r="R1760" t="s">
        <v>111</v>
      </c>
      <c r="S1760" t="s">
        <v>51</v>
      </c>
      <c r="T1760" t="s">
        <v>112</v>
      </c>
      <c r="U1760" s="1">
        <v>46073.941377314812</v>
      </c>
      <c r="V1760" t="s">
        <v>54</v>
      </c>
      <c r="X1760" t="s">
        <v>134</v>
      </c>
      <c r="Y1760" t="s">
        <v>7245</v>
      </c>
      <c r="Z1760" t="s">
        <v>5594</v>
      </c>
      <c r="AA1760" t="s">
        <v>54</v>
      </c>
      <c r="AB1760" t="s">
        <v>1701</v>
      </c>
      <c r="AC1760" t="s">
        <v>85</v>
      </c>
      <c r="AD1760" t="s">
        <v>116</v>
      </c>
      <c r="AE1760" t="s">
        <v>117</v>
      </c>
      <c r="AF1760" t="s">
        <v>1740</v>
      </c>
      <c r="AG1760" t="s">
        <v>5594</v>
      </c>
      <c r="AK1760">
        <v>1</v>
      </c>
      <c r="AL1760" t="s">
        <v>61</v>
      </c>
      <c r="AM1760" t="s">
        <v>1701</v>
      </c>
      <c r="AN1760" t="s">
        <v>1702</v>
      </c>
    </row>
    <row r="1761" spans="1:40" x14ac:dyDescent="0.35">
      <c r="A1761" t="s">
        <v>37</v>
      </c>
      <c r="B1761" t="s">
        <v>7246</v>
      </c>
      <c r="C1761" t="s">
        <v>102</v>
      </c>
      <c r="D1761" t="s">
        <v>7247</v>
      </c>
      <c r="E1761" t="s">
        <v>7248</v>
      </c>
      <c r="F1761" s="1">
        <v>46073.471701388888</v>
      </c>
      <c r="G1761" t="s">
        <v>71</v>
      </c>
      <c r="H1761" t="s">
        <v>72</v>
      </c>
      <c r="I1761" t="s">
        <v>7249</v>
      </c>
      <c r="J1761" t="s">
        <v>235</v>
      </c>
      <c r="K1761" t="s">
        <v>236</v>
      </c>
      <c r="M1761" t="s">
        <v>47</v>
      </c>
      <c r="O1761" t="s">
        <v>237</v>
      </c>
      <c r="P1761" t="s">
        <v>238</v>
      </c>
      <c r="Q1761" t="s">
        <v>1027</v>
      </c>
      <c r="R1761" t="s">
        <v>51</v>
      </c>
      <c r="S1761" t="s">
        <v>52</v>
      </c>
      <c r="T1761" t="s">
        <v>240</v>
      </c>
      <c r="U1761" s="1">
        <v>46074.807175925926</v>
      </c>
      <c r="V1761" t="s">
        <v>54</v>
      </c>
      <c r="W1761" t="s">
        <v>55</v>
      </c>
      <c r="X1761" t="s">
        <v>211</v>
      </c>
      <c r="Y1761" t="s">
        <v>7250</v>
      </c>
      <c r="Z1761" t="s">
        <v>5594</v>
      </c>
      <c r="AA1761" t="s">
        <v>54</v>
      </c>
      <c r="AB1761" t="s">
        <v>213</v>
      </c>
      <c r="AC1761" t="s">
        <v>242</v>
      </c>
      <c r="AD1761" t="s">
        <v>52</v>
      </c>
      <c r="AE1761" t="s">
        <v>243</v>
      </c>
      <c r="AF1761" t="s">
        <v>244</v>
      </c>
      <c r="AG1761" t="s">
        <v>5594</v>
      </c>
      <c r="AH1761">
        <v>4165</v>
      </c>
      <c r="AK1761">
        <v>1</v>
      </c>
      <c r="AL1761" t="s">
        <v>410</v>
      </c>
      <c r="AM1761" t="s">
        <v>7251</v>
      </c>
      <c r="AN1761" t="s">
        <v>7252</v>
      </c>
    </row>
    <row r="1762" spans="1:40" x14ac:dyDescent="0.35">
      <c r="A1762" t="s">
        <v>37</v>
      </c>
      <c r="B1762" t="s">
        <v>7253</v>
      </c>
      <c r="C1762" t="s">
        <v>102</v>
      </c>
      <c r="D1762" t="s">
        <v>1698</v>
      </c>
      <c r="E1762" t="s">
        <v>584</v>
      </c>
      <c r="F1762" s="1">
        <v>46073.465543981481</v>
      </c>
      <c r="G1762" t="s">
        <v>105</v>
      </c>
      <c r="H1762" t="s">
        <v>106</v>
      </c>
      <c r="I1762" t="s">
        <v>1851</v>
      </c>
      <c r="J1762" t="s">
        <v>108</v>
      </c>
      <c r="K1762" t="s">
        <v>109</v>
      </c>
      <c r="M1762" t="s">
        <v>47</v>
      </c>
      <c r="O1762" t="s">
        <v>77</v>
      </c>
      <c r="P1762" t="s">
        <v>78</v>
      </c>
      <c r="Q1762" t="s">
        <v>50</v>
      </c>
      <c r="R1762" t="s">
        <v>111</v>
      </c>
      <c r="S1762" t="s">
        <v>51</v>
      </c>
      <c r="T1762" t="s">
        <v>112</v>
      </c>
      <c r="U1762" s="1">
        <v>46073.593946759262</v>
      </c>
      <c r="V1762" t="s">
        <v>54</v>
      </c>
      <c r="W1762" t="s">
        <v>55</v>
      </c>
      <c r="X1762" t="s">
        <v>134</v>
      </c>
      <c r="Y1762" t="s">
        <v>7254</v>
      </c>
      <c r="Z1762" t="s">
        <v>5594</v>
      </c>
      <c r="AA1762" t="s">
        <v>54</v>
      </c>
      <c r="AB1762" t="s">
        <v>1701</v>
      </c>
      <c r="AC1762" t="s">
        <v>85</v>
      </c>
      <c r="AD1762" t="s">
        <v>116</v>
      </c>
      <c r="AE1762" t="s">
        <v>117</v>
      </c>
      <c r="AF1762" t="s">
        <v>6316</v>
      </c>
      <c r="AG1762" t="s">
        <v>5594</v>
      </c>
      <c r="AK1762">
        <v>1</v>
      </c>
      <c r="AL1762" t="s">
        <v>61</v>
      </c>
      <c r="AM1762" t="s">
        <v>1701</v>
      </c>
      <c r="AN1762" t="s">
        <v>1702</v>
      </c>
    </row>
    <row r="1763" spans="1:40" x14ac:dyDescent="0.35">
      <c r="A1763" t="s">
        <v>37</v>
      </c>
      <c r="B1763" t="s">
        <v>7255</v>
      </c>
      <c r="C1763" t="s">
        <v>102</v>
      </c>
      <c r="D1763" t="s">
        <v>7256</v>
      </c>
      <c r="E1763" t="s">
        <v>7257</v>
      </c>
      <c r="F1763" s="1">
        <v>46073.462847222225</v>
      </c>
      <c r="G1763" t="s">
        <v>913</v>
      </c>
      <c r="H1763" t="s">
        <v>72</v>
      </c>
      <c r="I1763" t="s">
        <v>7258</v>
      </c>
      <c r="J1763" t="s">
        <v>557</v>
      </c>
      <c r="K1763" t="s">
        <v>75</v>
      </c>
      <c r="M1763" t="s">
        <v>47</v>
      </c>
      <c r="O1763" t="s">
        <v>237</v>
      </c>
      <c r="P1763" t="s">
        <v>238</v>
      </c>
      <c r="Q1763" t="s">
        <v>50</v>
      </c>
      <c r="R1763" t="s">
        <v>305</v>
      </c>
      <c r="S1763" t="s">
        <v>306</v>
      </c>
      <c r="T1763" t="s">
        <v>307</v>
      </c>
      <c r="U1763" s="1">
        <v>46073.516111111108</v>
      </c>
      <c r="V1763" t="s">
        <v>54</v>
      </c>
      <c r="W1763" t="s">
        <v>55</v>
      </c>
      <c r="X1763" t="s">
        <v>211</v>
      </c>
      <c r="Y1763" t="s">
        <v>7259</v>
      </c>
      <c r="Z1763" t="s">
        <v>5594</v>
      </c>
      <c r="AA1763" t="s">
        <v>54</v>
      </c>
      <c r="AB1763" t="s">
        <v>213</v>
      </c>
      <c r="AC1763" t="s">
        <v>242</v>
      </c>
      <c r="AD1763" t="s">
        <v>79</v>
      </c>
      <c r="AE1763" t="s">
        <v>696</v>
      </c>
      <c r="AF1763" t="s">
        <v>1266</v>
      </c>
      <c r="AG1763" t="s">
        <v>5594</v>
      </c>
      <c r="AH1763">
        <v>15868</v>
      </c>
      <c r="AK1763">
        <v>2</v>
      </c>
      <c r="AL1763" t="s">
        <v>61</v>
      </c>
      <c r="AM1763" t="s">
        <v>7260</v>
      </c>
      <c r="AN1763" t="s">
        <v>7261</v>
      </c>
    </row>
    <row r="1764" spans="1:40" x14ac:dyDescent="0.35">
      <c r="A1764" t="s">
        <v>37</v>
      </c>
      <c r="B1764" t="s">
        <v>7262</v>
      </c>
      <c r="C1764" t="s">
        <v>102</v>
      </c>
      <c r="D1764" t="s">
        <v>1537</v>
      </c>
      <c r="E1764" t="s">
        <v>1538</v>
      </c>
      <c r="F1764" s="1">
        <v>46073.461527777778</v>
      </c>
      <c r="G1764" t="s">
        <v>105</v>
      </c>
      <c r="H1764" t="s">
        <v>106</v>
      </c>
      <c r="I1764" t="s">
        <v>5892</v>
      </c>
      <c r="J1764" t="s">
        <v>108</v>
      </c>
      <c r="K1764" t="s">
        <v>109</v>
      </c>
      <c r="M1764" t="s">
        <v>47</v>
      </c>
      <c r="O1764" t="s">
        <v>77</v>
      </c>
      <c r="P1764" t="s">
        <v>78</v>
      </c>
      <c r="Q1764" t="s">
        <v>50</v>
      </c>
      <c r="R1764" t="s">
        <v>111</v>
      </c>
      <c r="S1764" t="s">
        <v>51</v>
      </c>
      <c r="T1764" t="s">
        <v>112</v>
      </c>
      <c r="U1764" s="1">
        <v>46073.488715277781</v>
      </c>
      <c r="V1764" t="s">
        <v>54</v>
      </c>
      <c r="W1764" t="s">
        <v>55</v>
      </c>
      <c r="X1764" t="s">
        <v>113</v>
      </c>
      <c r="Y1764" t="s">
        <v>7263</v>
      </c>
      <c r="Z1764" t="s">
        <v>5594</v>
      </c>
      <c r="AA1764" t="s">
        <v>54</v>
      </c>
      <c r="AB1764" t="s">
        <v>115</v>
      </c>
      <c r="AC1764" t="s">
        <v>85</v>
      </c>
      <c r="AD1764" t="s">
        <v>116</v>
      </c>
      <c r="AE1764" t="s">
        <v>117</v>
      </c>
      <c r="AF1764" t="s">
        <v>1706</v>
      </c>
      <c r="AG1764" t="s">
        <v>5594</v>
      </c>
      <c r="AH1764">
        <v>14840</v>
      </c>
      <c r="AK1764">
        <v>1</v>
      </c>
      <c r="AL1764" t="s">
        <v>61</v>
      </c>
      <c r="AM1764" t="s">
        <v>1542</v>
      </c>
      <c r="AN1764" t="s">
        <v>1543</v>
      </c>
    </row>
    <row r="1765" spans="1:40" x14ac:dyDescent="0.35">
      <c r="A1765" t="s">
        <v>37</v>
      </c>
      <c r="B1765" t="s">
        <v>7264</v>
      </c>
      <c r="C1765" t="s">
        <v>656</v>
      </c>
      <c r="D1765" t="s">
        <v>3318</v>
      </c>
      <c r="E1765" t="s">
        <v>3319</v>
      </c>
      <c r="F1765" s="1">
        <v>46073.460590277777</v>
      </c>
      <c r="G1765" t="s">
        <v>515</v>
      </c>
      <c r="H1765" t="s">
        <v>92</v>
      </c>
      <c r="I1765" t="s">
        <v>7265</v>
      </c>
      <c r="J1765" t="s">
        <v>2987</v>
      </c>
      <c r="K1765" t="s">
        <v>2988</v>
      </c>
      <c r="M1765" t="s">
        <v>76</v>
      </c>
      <c r="O1765" t="s">
        <v>77</v>
      </c>
      <c r="P1765" t="s">
        <v>78</v>
      </c>
      <c r="Q1765" t="s">
        <v>1174</v>
      </c>
      <c r="R1765" t="s">
        <v>2989</v>
      </c>
      <c r="S1765" t="s">
        <v>2990</v>
      </c>
      <c r="T1765" t="s">
        <v>3187</v>
      </c>
      <c r="U1765" s="1">
        <v>46076.3437962963</v>
      </c>
      <c r="V1765" t="s">
        <v>54</v>
      </c>
      <c r="W1765" t="s">
        <v>55</v>
      </c>
      <c r="X1765" t="s">
        <v>134</v>
      </c>
      <c r="Y1765" t="s">
        <v>5279</v>
      </c>
      <c r="Z1765" t="s">
        <v>58</v>
      </c>
      <c r="AA1765" t="s">
        <v>54</v>
      </c>
      <c r="AB1765" t="s">
        <v>3259</v>
      </c>
      <c r="AC1765" t="s">
        <v>85</v>
      </c>
      <c r="AD1765" t="s">
        <v>2989</v>
      </c>
      <c r="AE1765" t="s">
        <v>2990</v>
      </c>
      <c r="AF1765" t="s">
        <v>3187</v>
      </c>
      <c r="AG1765" t="s">
        <v>58</v>
      </c>
      <c r="AH1765" t="s">
        <v>3321</v>
      </c>
      <c r="AK1765">
        <v>0</v>
      </c>
      <c r="AL1765" t="s">
        <v>61</v>
      </c>
      <c r="AM1765" t="s">
        <v>3259</v>
      </c>
      <c r="AN1765" t="s">
        <v>3322</v>
      </c>
    </row>
    <row r="1766" spans="1:40" x14ac:dyDescent="0.35">
      <c r="A1766" t="s">
        <v>37</v>
      </c>
      <c r="B1766" t="s">
        <v>7266</v>
      </c>
      <c r="C1766" t="s">
        <v>102</v>
      </c>
      <c r="D1766" t="s">
        <v>824</v>
      </c>
      <c r="E1766" t="s">
        <v>825</v>
      </c>
      <c r="F1766" s="1">
        <v>46073.455578703702</v>
      </c>
      <c r="G1766" t="s">
        <v>826</v>
      </c>
      <c r="H1766" t="s">
        <v>356</v>
      </c>
      <c r="I1766" t="s">
        <v>7267</v>
      </c>
      <c r="J1766" t="s">
        <v>828</v>
      </c>
      <c r="K1766" t="s">
        <v>829</v>
      </c>
      <c r="M1766" t="s">
        <v>47</v>
      </c>
      <c r="O1766" t="s">
        <v>237</v>
      </c>
      <c r="P1766" t="s">
        <v>238</v>
      </c>
      <c r="Q1766" t="s">
        <v>50</v>
      </c>
      <c r="R1766" t="s">
        <v>51</v>
      </c>
      <c r="S1766" t="s">
        <v>831</v>
      </c>
      <c r="T1766" t="s">
        <v>829</v>
      </c>
      <c r="U1766" s="1">
        <v>46073.554386574076</v>
      </c>
      <c r="V1766" t="s">
        <v>54</v>
      </c>
      <c r="W1766" t="s">
        <v>55</v>
      </c>
      <c r="X1766" t="s">
        <v>196</v>
      </c>
      <c r="Y1766" t="s">
        <v>7268</v>
      </c>
      <c r="Z1766" t="s">
        <v>5594</v>
      </c>
      <c r="AA1766" t="s">
        <v>54</v>
      </c>
      <c r="AB1766" t="s">
        <v>833</v>
      </c>
      <c r="AC1766" t="s">
        <v>242</v>
      </c>
      <c r="AD1766" t="s">
        <v>51</v>
      </c>
      <c r="AE1766" t="s">
        <v>834</v>
      </c>
      <c r="AF1766" t="s">
        <v>834</v>
      </c>
      <c r="AG1766" t="s">
        <v>5594</v>
      </c>
      <c r="AH1766">
        <v>12697</v>
      </c>
      <c r="AK1766">
        <v>0</v>
      </c>
      <c r="AL1766" t="s">
        <v>61</v>
      </c>
      <c r="AM1766" t="s">
        <v>833</v>
      </c>
      <c r="AN1766" t="s">
        <v>835</v>
      </c>
    </row>
    <row r="1767" spans="1:40" x14ac:dyDescent="0.35">
      <c r="A1767" t="s">
        <v>37</v>
      </c>
      <c r="B1767" t="s">
        <v>7269</v>
      </c>
      <c r="C1767" t="s">
        <v>39</v>
      </c>
      <c r="D1767" t="s">
        <v>40</v>
      </c>
      <c r="E1767" t="s">
        <v>41</v>
      </c>
      <c r="F1767" s="1">
        <v>46073.453449074077</v>
      </c>
      <c r="G1767" t="s">
        <v>42</v>
      </c>
      <c r="H1767" t="s">
        <v>43</v>
      </c>
      <c r="I1767" t="s">
        <v>7270</v>
      </c>
      <c r="J1767" t="s">
        <v>45</v>
      </c>
      <c r="K1767" t="s">
        <v>46</v>
      </c>
      <c r="M1767" t="s">
        <v>47</v>
      </c>
      <c r="O1767" t="s">
        <v>48</v>
      </c>
      <c r="P1767" t="s">
        <v>49</v>
      </c>
      <c r="Q1767" t="s">
        <v>50</v>
      </c>
      <c r="R1767" t="s">
        <v>51</v>
      </c>
      <c r="S1767" t="s">
        <v>52</v>
      </c>
      <c r="T1767" t="s">
        <v>53</v>
      </c>
      <c r="U1767" s="1">
        <v>46073.454398148147</v>
      </c>
      <c r="V1767" t="s">
        <v>54</v>
      </c>
      <c r="W1767" t="s">
        <v>55</v>
      </c>
      <c r="X1767" t="s">
        <v>56</v>
      </c>
      <c r="Y1767" t="s">
        <v>57</v>
      </c>
      <c r="Z1767" t="s">
        <v>5594</v>
      </c>
      <c r="AA1767" t="s">
        <v>54</v>
      </c>
      <c r="AB1767" t="s">
        <v>59</v>
      </c>
      <c r="AC1767" t="s">
        <v>60</v>
      </c>
      <c r="AD1767" t="s">
        <v>51</v>
      </c>
      <c r="AE1767" t="s">
        <v>52</v>
      </c>
      <c r="AF1767" t="s">
        <v>53</v>
      </c>
      <c r="AG1767" t="s">
        <v>5594</v>
      </c>
      <c r="AK1767">
        <v>0</v>
      </c>
      <c r="AL1767" t="s">
        <v>61</v>
      </c>
      <c r="AM1767" t="s">
        <v>59</v>
      </c>
      <c r="AN1767" t="s">
        <v>62</v>
      </c>
    </row>
    <row r="1768" spans="1:40" x14ac:dyDescent="0.35">
      <c r="A1768" t="s">
        <v>37</v>
      </c>
      <c r="B1768" t="s">
        <v>7271</v>
      </c>
      <c r="C1768" t="s">
        <v>39</v>
      </c>
      <c r="D1768" t="s">
        <v>40</v>
      </c>
      <c r="E1768" t="s">
        <v>41</v>
      </c>
      <c r="F1768" s="1">
        <v>46073.453321759262</v>
      </c>
      <c r="G1768" t="s">
        <v>42</v>
      </c>
      <c r="H1768" t="s">
        <v>43</v>
      </c>
      <c r="I1768" t="s">
        <v>7272</v>
      </c>
      <c r="J1768" t="s">
        <v>45</v>
      </c>
      <c r="K1768" t="s">
        <v>46</v>
      </c>
      <c r="M1768" t="s">
        <v>47</v>
      </c>
      <c r="O1768" t="s">
        <v>48</v>
      </c>
      <c r="P1768" t="s">
        <v>49</v>
      </c>
      <c r="Q1768" t="s">
        <v>50</v>
      </c>
      <c r="R1768" t="s">
        <v>51</v>
      </c>
      <c r="S1768" t="s">
        <v>52</v>
      </c>
      <c r="T1768" t="s">
        <v>53</v>
      </c>
      <c r="U1768" s="1">
        <v>46073.454212962963</v>
      </c>
      <c r="V1768" t="s">
        <v>54</v>
      </c>
      <c r="W1768" t="s">
        <v>55</v>
      </c>
      <c r="X1768" t="s">
        <v>56</v>
      </c>
      <c r="Y1768" t="s">
        <v>57</v>
      </c>
      <c r="Z1768" t="s">
        <v>5594</v>
      </c>
      <c r="AA1768" t="s">
        <v>54</v>
      </c>
      <c r="AB1768" t="s">
        <v>59</v>
      </c>
      <c r="AC1768" t="s">
        <v>60</v>
      </c>
      <c r="AD1768" t="s">
        <v>51</v>
      </c>
      <c r="AE1768" t="s">
        <v>52</v>
      </c>
      <c r="AF1768" t="s">
        <v>53</v>
      </c>
      <c r="AG1768" t="s">
        <v>5594</v>
      </c>
      <c r="AK1768">
        <v>0</v>
      </c>
      <c r="AL1768" t="s">
        <v>61</v>
      </c>
      <c r="AM1768" t="s">
        <v>59</v>
      </c>
      <c r="AN1768" t="s">
        <v>62</v>
      </c>
    </row>
    <row r="1769" spans="1:40" x14ac:dyDescent="0.35">
      <c r="A1769" t="s">
        <v>37</v>
      </c>
      <c r="B1769" t="s">
        <v>7273</v>
      </c>
      <c r="C1769" t="s">
        <v>39</v>
      </c>
      <c r="D1769" t="s">
        <v>40</v>
      </c>
      <c r="E1769" t="s">
        <v>41</v>
      </c>
      <c r="F1769" s="1">
        <v>46073.453194444446</v>
      </c>
      <c r="G1769" t="s">
        <v>42</v>
      </c>
      <c r="H1769" t="s">
        <v>43</v>
      </c>
      <c r="I1769" t="s">
        <v>7274</v>
      </c>
      <c r="J1769" t="s">
        <v>45</v>
      </c>
      <c r="K1769" t="s">
        <v>46</v>
      </c>
      <c r="M1769" t="s">
        <v>47</v>
      </c>
      <c r="O1769" t="s">
        <v>48</v>
      </c>
      <c r="P1769" t="s">
        <v>49</v>
      </c>
      <c r="Q1769" t="s">
        <v>50</v>
      </c>
      <c r="R1769" t="s">
        <v>51</v>
      </c>
      <c r="S1769" t="s">
        <v>52</v>
      </c>
      <c r="T1769" t="s">
        <v>53</v>
      </c>
      <c r="U1769" s="1">
        <v>46073.454143518517</v>
      </c>
      <c r="V1769" t="s">
        <v>54</v>
      </c>
      <c r="W1769" t="s">
        <v>55</v>
      </c>
      <c r="X1769" t="s">
        <v>56</v>
      </c>
      <c r="Y1769" t="s">
        <v>57</v>
      </c>
      <c r="Z1769" t="s">
        <v>5594</v>
      </c>
      <c r="AA1769" t="s">
        <v>54</v>
      </c>
      <c r="AB1769" t="s">
        <v>59</v>
      </c>
      <c r="AC1769" t="s">
        <v>60</v>
      </c>
      <c r="AD1769" t="s">
        <v>51</v>
      </c>
      <c r="AE1769" t="s">
        <v>52</v>
      </c>
      <c r="AF1769" t="s">
        <v>53</v>
      </c>
      <c r="AG1769" t="s">
        <v>5594</v>
      </c>
      <c r="AK1769">
        <v>0</v>
      </c>
      <c r="AL1769" t="s">
        <v>61</v>
      </c>
      <c r="AM1769" t="s">
        <v>59</v>
      </c>
      <c r="AN1769" t="s">
        <v>62</v>
      </c>
    </row>
    <row r="1770" spans="1:40" x14ac:dyDescent="0.35">
      <c r="A1770" t="s">
        <v>37</v>
      </c>
      <c r="B1770" t="s">
        <v>7275</v>
      </c>
      <c r="C1770" t="s">
        <v>39</v>
      </c>
      <c r="D1770" t="s">
        <v>40</v>
      </c>
      <c r="E1770" t="s">
        <v>41</v>
      </c>
      <c r="F1770" s="1">
        <v>46073.452986111108</v>
      </c>
      <c r="G1770" t="s">
        <v>42</v>
      </c>
      <c r="H1770" t="s">
        <v>43</v>
      </c>
      <c r="I1770" t="s">
        <v>7276</v>
      </c>
      <c r="J1770" t="s">
        <v>45</v>
      </c>
      <c r="K1770" t="s">
        <v>46</v>
      </c>
      <c r="M1770" t="s">
        <v>47</v>
      </c>
      <c r="O1770" t="s">
        <v>48</v>
      </c>
      <c r="P1770" t="s">
        <v>49</v>
      </c>
      <c r="Q1770" t="s">
        <v>50</v>
      </c>
      <c r="R1770" t="s">
        <v>51</v>
      </c>
      <c r="S1770" t="s">
        <v>52</v>
      </c>
      <c r="T1770" t="s">
        <v>53</v>
      </c>
      <c r="U1770" s="1">
        <v>46073.45385416667</v>
      </c>
      <c r="V1770" t="s">
        <v>54</v>
      </c>
      <c r="W1770" t="s">
        <v>55</v>
      </c>
      <c r="X1770" t="s">
        <v>56</v>
      </c>
      <c r="Y1770" t="s">
        <v>57</v>
      </c>
      <c r="Z1770" t="s">
        <v>5594</v>
      </c>
      <c r="AA1770" t="s">
        <v>54</v>
      </c>
      <c r="AB1770" t="s">
        <v>59</v>
      </c>
      <c r="AC1770" t="s">
        <v>60</v>
      </c>
      <c r="AD1770" t="s">
        <v>51</v>
      </c>
      <c r="AE1770" t="s">
        <v>52</v>
      </c>
      <c r="AF1770" t="s">
        <v>53</v>
      </c>
      <c r="AG1770" t="s">
        <v>5594</v>
      </c>
      <c r="AK1770">
        <v>0</v>
      </c>
      <c r="AL1770" t="s">
        <v>61</v>
      </c>
      <c r="AM1770" t="s">
        <v>59</v>
      </c>
      <c r="AN1770" t="s">
        <v>62</v>
      </c>
    </row>
    <row r="1771" spans="1:40" x14ac:dyDescent="0.35">
      <c r="A1771" t="s">
        <v>37</v>
      </c>
      <c r="B1771" t="s">
        <v>7277</v>
      </c>
      <c r="C1771" t="s">
        <v>39</v>
      </c>
      <c r="D1771" t="s">
        <v>2688</v>
      </c>
      <c r="E1771" t="s">
        <v>7278</v>
      </c>
      <c r="F1771" s="1">
        <v>46073.452835648146</v>
      </c>
      <c r="G1771" t="s">
        <v>2031</v>
      </c>
      <c r="H1771" t="s">
        <v>106</v>
      </c>
      <c r="I1771" t="s">
        <v>7279</v>
      </c>
      <c r="J1771" t="s">
        <v>3257</v>
      </c>
      <c r="K1771" t="s">
        <v>1834</v>
      </c>
      <c r="M1771" t="s">
        <v>47</v>
      </c>
      <c r="O1771" t="s">
        <v>77</v>
      </c>
      <c r="P1771" t="s">
        <v>78</v>
      </c>
      <c r="Q1771" t="s">
        <v>50</v>
      </c>
      <c r="R1771" t="s">
        <v>51</v>
      </c>
      <c r="S1771" t="s">
        <v>52</v>
      </c>
      <c r="T1771" t="s">
        <v>240</v>
      </c>
      <c r="U1771" s="1">
        <v>46073.530682870369</v>
      </c>
      <c r="V1771" t="s">
        <v>54</v>
      </c>
      <c r="W1771" t="s">
        <v>55</v>
      </c>
      <c r="X1771" t="s">
        <v>134</v>
      </c>
      <c r="Y1771" t="s">
        <v>3258</v>
      </c>
      <c r="Z1771" t="s">
        <v>5594</v>
      </c>
      <c r="AA1771" t="s">
        <v>54</v>
      </c>
      <c r="AB1771" t="s">
        <v>3259</v>
      </c>
      <c r="AC1771" t="s">
        <v>85</v>
      </c>
      <c r="AD1771" t="s">
        <v>52</v>
      </c>
      <c r="AE1771" t="s">
        <v>243</v>
      </c>
      <c r="AF1771" t="s">
        <v>1470</v>
      </c>
      <c r="AG1771" t="s">
        <v>5594</v>
      </c>
      <c r="AH1771">
        <v>12701</v>
      </c>
      <c r="AK1771">
        <v>0</v>
      </c>
      <c r="AL1771" t="s">
        <v>61</v>
      </c>
      <c r="AM1771" t="s">
        <v>7280</v>
      </c>
      <c r="AN1771" t="s">
        <v>7281</v>
      </c>
    </row>
    <row r="1772" spans="1:40" x14ac:dyDescent="0.35">
      <c r="A1772" t="s">
        <v>37</v>
      </c>
      <c r="B1772" t="s">
        <v>7282</v>
      </c>
      <c r="C1772" t="s">
        <v>656</v>
      </c>
      <c r="D1772" t="s">
        <v>7283</v>
      </c>
      <c r="E1772" t="s">
        <v>7284</v>
      </c>
      <c r="F1772" s="1">
        <v>46073.453946759262</v>
      </c>
      <c r="G1772" t="s">
        <v>355</v>
      </c>
      <c r="H1772" t="s">
        <v>356</v>
      </c>
      <c r="I1772" t="s">
        <v>7285</v>
      </c>
      <c r="J1772" t="s">
        <v>7286</v>
      </c>
      <c r="K1772" t="s">
        <v>7287</v>
      </c>
      <c r="M1772" t="s">
        <v>76</v>
      </c>
      <c r="O1772" t="s">
        <v>77</v>
      </c>
      <c r="P1772" t="s">
        <v>78</v>
      </c>
      <c r="Q1772" t="s">
        <v>7288</v>
      </c>
      <c r="R1772" t="s">
        <v>1321</v>
      </c>
      <c r="S1772" t="s">
        <v>1718</v>
      </c>
      <c r="T1772" t="s">
        <v>7289</v>
      </c>
      <c r="U1772" s="1">
        <v>46077.461192129631</v>
      </c>
      <c r="V1772" t="s">
        <v>54</v>
      </c>
      <c r="W1772" t="s">
        <v>55</v>
      </c>
      <c r="X1772" t="s">
        <v>134</v>
      </c>
      <c r="Y1772" t="s">
        <v>7290</v>
      </c>
      <c r="Z1772" t="s">
        <v>58</v>
      </c>
      <c r="AA1772" t="s">
        <v>54</v>
      </c>
      <c r="AB1772" t="s">
        <v>408</v>
      </c>
      <c r="AC1772" t="s">
        <v>85</v>
      </c>
      <c r="AD1772" t="s">
        <v>7291</v>
      </c>
      <c r="AE1772" t="s">
        <v>7292</v>
      </c>
      <c r="AF1772" t="s">
        <v>7293</v>
      </c>
      <c r="AG1772" t="s">
        <v>58</v>
      </c>
      <c r="AH1772" t="s">
        <v>7294</v>
      </c>
      <c r="AK1772">
        <v>1</v>
      </c>
      <c r="AL1772" t="s">
        <v>61</v>
      </c>
      <c r="AM1772" t="s">
        <v>7295</v>
      </c>
      <c r="AN1772" t="s">
        <v>7296</v>
      </c>
    </row>
    <row r="1773" spans="1:40" x14ac:dyDescent="0.35">
      <c r="A1773" t="s">
        <v>37</v>
      </c>
      <c r="B1773" t="s">
        <v>7297</v>
      </c>
      <c r="C1773" t="s">
        <v>39</v>
      </c>
      <c r="D1773" t="s">
        <v>7067</v>
      </c>
      <c r="E1773" t="s">
        <v>948</v>
      </c>
      <c r="F1773" s="1">
        <v>46073.45412037037</v>
      </c>
      <c r="G1773" t="s">
        <v>402</v>
      </c>
      <c r="H1773" t="s">
        <v>72</v>
      </c>
      <c r="I1773" t="s">
        <v>7199</v>
      </c>
      <c r="J1773" t="s">
        <v>4812</v>
      </c>
      <c r="K1773" t="s">
        <v>4813</v>
      </c>
      <c r="M1773" t="s">
        <v>131</v>
      </c>
      <c r="O1773" t="s">
        <v>77</v>
      </c>
      <c r="P1773" t="s">
        <v>78</v>
      </c>
      <c r="Q1773" t="s">
        <v>50</v>
      </c>
      <c r="R1773" t="s">
        <v>51</v>
      </c>
      <c r="S1773" t="s">
        <v>52</v>
      </c>
      <c r="T1773" t="s">
        <v>240</v>
      </c>
      <c r="U1773" s="1">
        <v>46076.428854166668</v>
      </c>
      <c r="V1773" t="s">
        <v>54</v>
      </c>
      <c r="W1773" t="s">
        <v>55</v>
      </c>
      <c r="X1773" t="s">
        <v>134</v>
      </c>
      <c r="Y1773" t="s">
        <v>7298</v>
      </c>
      <c r="Z1773" t="s">
        <v>58</v>
      </c>
      <c r="AA1773" t="s">
        <v>54</v>
      </c>
      <c r="AB1773" t="s">
        <v>612</v>
      </c>
      <c r="AC1773" t="s">
        <v>85</v>
      </c>
      <c r="AD1773" t="s">
        <v>52</v>
      </c>
      <c r="AE1773" t="s">
        <v>243</v>
      </c>
      <c r="AF1773" t="s">
        <v>1470</v>
      </c>
      <c r="AG1773" t="s">
        <v>58</v>
      </c>
      <c r="AH1773">
        <v>12025</v>
      </c>
      <c r="AK1773">
        <v>1</v>
      </c>
      <c r="AL1773" t="s">
        <v>61</v>
      </c>
      <c r="AM1773" t="s">
        <v>7201</v>
      </c>
      <c r="AN1773" t="s">
        <v>7202</v>
      </c>
    </row>
    <row r="1774" spans="1:40" x14ac:dyDescent="0.35">
      <c r="A1774" t="s">
        <v>37</v>
      </c>
      <c r="B1774" t="s">
        <v>7299</v>
      </c>
      <c r="C1774" t="s">
        <v>39</v>
      </c>
      <c r="D1774" t="s">
        <v>2667</v>
      </c>
      <c r="E1774" t="s">
        <v>7300</v>
      </c>
      <c r="F1774" s="1">
        <v>46073.451226851852</v>
      </c>
      <c r="G1774" t="s">
        <v>771</v>
      </c>
      <c r="H1774" t="s">
        <v>92</v>
      </c>
      <c r="I1774" t="s">
        <v>171</v>
      </c>
      <c r="J1774" t="s">
        <v>3423</v>
      </c>
      <c r="K1774" t="s">
        <v>75</v>
      </c>
      <c r="M1774" t="s">
        <v>47</v>
      </c>
      <c r="O1774" t="s">
        <v>77</v>
      </c>
      <c r="P1774" t="s">
        <v>78</v>
      </c>
      <c r="Q1774" t="s">
        <v>50</v>
      </c>
      <c r="R1774" t="s">
        <v>79</v>
      </c>
      <c r="S1774" t="s">
        <v>172</v>
      </c>
      <c r="T1774" t="s">
        <v>173</v>
      </c>
      <c r="U1774" s="1">
        <v>46073.45244212963</v>
      </c>
      <c r="V1774" t="s">
        <v>54</v>
      </c>
      <c r="W1774" t="s">
        <v>55</v>
      </c>
      <c r="X1774" t="s">
        <v>82</v>
      </c>
      <c r="Y1774" t="s">
        <v>3424</v>
      </c>
      <c r="Z1774" t="s">
        <v>5594</v>
      </c>
      <c r="AA1774" t="s">
        <v>54</v>
      </c>
      <c r="AB1774" t="s">
        <v>3425</v>
      </c>
      <c r="AC1774" t="s">
        <v>85</v>
      </c>
      <c r="AD1774" t="s">
        <v>79</v>
      </c>
      <c r="AE1774" t="s">
        <v>172</v>
      </c>
      <c r="AF1774" t="s">
        <v>173</v>
      </c>
      <c r="AG1774" t="s">
        <v>5594</v>
      </c>
      <c r="AH1774">
        <v>12898</v>
      </c>
      <c r="AK1774">
        <v>0</v>
      </c>
      <c r="AL1774" t="s">
        <v>61</v>
      </c>
      <c r="AM1774" t="s">
        <v>7301</v>
      </c>
      <c r="AN1774" t="s">
        <v>7302</v>
      </c>
    </row>
    <row r="1775" spans="1:40" x14ac:dyDescent="0.35">
      <c r="A1775" t="s">
        <v>37</v>
      </c>
      <c r="B1775" t="s">
        <v>7303</v>
      </c>
      <c r="C1775" t="s">
        <v>39</v>
      </c>
      <c r="D1775" t="s">
        <v>2688</v>
      </c>
      <c r="E1775" t="s">
        <v>7278</v>
      </c>
      <c r="F1775" s="1">
        <v>46073.450682870367</v>
      </c>
      <c r="G1775" t="s">
        <v>2031</v>
      </c>
      <c r="H1775" t="s">
        <v>106</v>
      </c>
      <c r="I1775" t="s">
        <v>7304</v>
      </c>
      <c r="J1775" t="s">
        <v>3257</v>
      </c>
      <c r="K1775" t="s">
        <v>1834</v>
      </c>
      <c r="M1775" t="s">
        <v>47</v>
      </c>
      <c r="O1775" t="s">
        <v>77</v>
      </c>
      <c r="P1775" t="s">
        <v>78</v>
      </c>
      <c r="Q1775" t="s">
        <v>50</v>
      </c>
      <c r="R1775" t="s">
        <v>51</v>
      </c>
      <c r="S1775" t="s">
        <v>52</v>
      </c>
      <c r="T1775" t="s">
        <v>240</v>
      </c>
      <c r="U1775" s="1">
        <v>46073.530706018515</v>
      </c>
      <c r="V1775" t="s">
        <v>54</v>
      </c>
      <c r="W1775" t="s">
        <v>55</v>
      </c>
      <c r="X1775" t="s">
        <v>134</v>
      </c>
      <c r="Y1775" t="s">
        <v>3258</v>
      </c>
      <c r="Z1775" t="s">
        <v>5594</v>
      </c>
      <c r="AA1775" t="s">
        <v>54</v>
      </c>
      <c r="AB1775" t="s">
        <v>3259</v>
      </c>
      <c r="AC1775" t="s">
        <v>85</v>
      </c>
      <c r="AD1775" t="s">
        <v>52</v>
      </c>
      <c r="AE1775" t="s">
        <v>243</v>
      </c>
      <c r="AF1775" t="s">
        <v>1470</v>
      </c>
      <c r="AG1775" t="s">
        <v>5594</v>
      </c>
      <c r="AH1775">
        <v>12701</v>
      </c>
      <c r="AK1775">
        <v>0</v>
      </c>
      <c r="AL1775" t="s">
        <v>61</v>
      </c>
      <c r="AM1775" t="s">
        <v>7280</v>
      </c>
      <c r="AN1775" t="s">
        <v>7281</v>
      </c>
    </row>
    <row r="1776" spans="1:40" x14ac:dyDescent="0.35">
      <c r="A1776" t="s">
        <v>37</v>
      </c>
      <c r="B1776" t="s">
        <v>7305</v>
      </c>
      <c r="C1776" t="s">
        <v>102</v>
      </c>
      <c r="D1776" t="s">
        <v>824</v>
      </c>
      <c r="E1776" t="s">
        <v>825</v>
      </c>
      <c r="F1776" s="1">
        <v>46073.45045138889</v>
      </c>
      <c r="G1776" t="s">
        <v>826</v>
      </c>
      <c r="H1776" t="s">
        <v>356</v>
      </c>
      <c r="I1776" t="s">
        <v>7306</v>
      </c>
      <c r="J1776" t="s">
        <v>828</v>
      </c>
      <c r="K1776" t="s">
        <v>829</v>
      </c>
      <c r="M1776" t="s">
        <v>131</v>
      </c>
      <c r="O1776" t="s">
        <v>237</v>
      </c>
      <c r="P1776" t="s">
        <v>238</v>
      </c>
      <c r="Q1776" t="s">
        <v>50</v>
      </c>
      <c r="R1776" t="s">
        <v>51</v>
      </c>
      <c r="S1776" t="s">
        <v>831</v>
      </c>
      <c r="T1776" t="s">
        <v>829</v>
      </c>
      <c r="U1776" s="1">
        <v>46076.472638888888</v>
      </c>
      <c r="V1776" t="s">
        <v>54</v>
      </c>
      <c r="W1776" t="s">
        <v>55</v>
      </c>
      <c r="X1776" t="s">
        <v>196</v>
      </c>
      <c r="Y1776" t="s">
        <v>7307</v>
      </c>
      <c r="Z1776" t="s">
        <v>58</v>
      </c>
      <c r="AA1776" t="s">
        <v>54</v>
      </c>
      <c r="AB1776" t="s">
        <v>833</v>
      </c>
      <c r="AC1776" t="s">
        <v>242</v>
      </c>
      <c r="AD1776" t="s">
        <v>51</v>
      </c>
      <c r="AE1776" t="s">
        <v>834</v>
      </c>
      <c r="AF1776" t="s">
        <v>834</v>
      </c>
      <c r="AG1776" t="s">
        <v>58</v>
      </c>
      <c r="AH1776">
        <v>12697</v>
      </c>
      <c r="AK1776">
        <v>0</v>
      </c>
      <c r="AL1776" t="s">
        <v>61</v>
      </c>
      <c r="AM1776" t="s">
        <v>833</v>
      </c>
      <c r="AN1776" t="s">
        <v>835</v>
      </c>
    </row>
    <row r="1777" spans="1:40" x14ac:dyDescent="0.35">
      <c r="A1777" t="s">
        <v>37</v>
      </c>
      <c r="B1777" t="s">
        <v>7308</v>
      </c>
      <c r="C1777" t="s">
        <v>102</v>
      </c>
      <c r="D1777" t="s">
        <v>6285</v>
      </c>
      <c r="E1777" t="s">
        <v>6286</v>
      </c>
      <c r="F1777" s="1">
        <v>46073.449016203704</v>
      </c>
      <c r="G1777" t="s">
        <v>105</v>
      </c>
      <c r="H1777" t="s">
        <v>106</v>
      </c>
      <c r="I1777" t="s">
        <v>5463</v>
      </c>
      <c r="J1777" t="s">
        <v>108</v>
      </c>
      <c r="K1777" t="s">
        <v>109</v>
      </c>
      <c r="M1777" t="s">
        <v>76</v>
      </c>
      <c r="O1777" t="s">
        <v>77</v>
      </c>
      <c r="P1777" t="s">
        <v>78</v>
      </c>
      <c r="Q1777" t="s">
        <v>50</v>
      </c>
      <c r="R1777" t="s">
        <v>111</v>
      </c>
      <c r="S1777" t="s">
        <v>51</v>
      </c>
      <c r="T1777" t="s">
        <v>112</v>
      </c>
      <c r="U1777" s="1">
        <v>46077.513854166667</v>
      </c>
      <c r="V1777" t="s">
        <v>54</v>
      </c>
      <c r="W1777" t="s">
        <v>55</v>
      </c>
      <c r="X1777" t="s">
        <v>113</v>
      </c>
      <c r="Y1777" t="s">
        <v>7309</v>
      </c>
      <c r="Z1777" t="s">
        <v>58</v>
      </c>
      <c r="AA1777" t="s">
        <v>54</v>
      </c>
      <c r="AB1777" t="s">
        <v>115</v>
      </c>
      <c r="AC1777" t="s">
        <v>85</v>
      </c>
      <c r="AD1777" t="s">
        <v>116</v>
      </c>
      <c r="AE1777" t="s">
        <v>334</v>
      </c>
      <c r="AF1777" t="s">
        <v>7310</v>
      </c>
      <c r="AG1777" t="s">
        <v>58</v>
      </c>
      <c r="AH1777" t="s">
        <v>6288</v>
      </c>
      <c r="AK1777">
        <v>0</v>
      </c>
      <c r="AL1777" t="s">
        <v>61</v>
      </c>
      <c r="AM1777" t="s">
        <v>6289</v>
      </c>
      <c r="AN1777" t="s">
        <v>6290</v>
      </c>
    </row>
    <row r="1778" spans="1:40" x14ac:dyDescent="0.35">
      <c r="A1778" t="s">
        <v>37</v>
      </c>
      <c r="B1778" t="s">
        <v>7311</v>
      </c>
      <c r="C1778" t="s">
        <v>39</v>
      </c>
      <c r="D1778" t="s">
        <v>430</v>
      </c>
      <c r="E1778" t="s">
        <v>7312</v>
      </c>
      <c r="F1778" s="1">
        <v>46073.448148148149</v>
      </c>
      <c r="G1778" t="s">
        <v>432</v>
      </c>
      <c r="H1778" t="s">
        <v>433</v>
      </c>
      <c r="I1778" t="s">
        <v>815</v>
      </c>
      <c r="J1778" t="s">
        <v>816</v>
      </c>
      <c r="K1778" t="s">
        <v>817</v>
      </c>
      <c r="M1778" t="s">
        <v>47</v>
      </c>
      <c r="O1778" t="s">
        <v>77</v>
      </c>
      <c r="P1778" t="s">
        <v>78</v>
      </c>
      <c r="Q1778" t="s">
        <v>50</v>
      </c>
      <c r="R1778" t="s">
        <v>51</v>
      </c>
      <c r="S1778" t="s">
        <v>819</v>
      </c>
      <c r="T1778" t="s">
        <v>817</v>
      </c>
      <c r="U1778" s="1">
        <v>46073.459016203706</v>
      </c>
      <c r="V1778" t="s">
        <v>54</v>
      </c>
      <c r="W1778" t="s">
        <v>55</v>
      </c>
      <c r="X1778" t="s">
        <v>134</v>
      </c>
      <c r="Y1778" t="s">
        <v>2387</v>
      </c>
      <c r="Z1778" t="s">
        <v>5594</v>
      </c>
      <c r="AA1778" t="s">
        <v>54</v>
      </c>
      <c r="AB1778" t="s">
        <v>408</v>
      </c>
      <c r="AC1778" t="s">
        <v>85</v>
      </c>
      <c r="AD1778" t="s">
        <v>51</v>
      </c>
      <c r="AE1778" t="s">
        <v>819</v>
      </c>
      <c r="AF1778" t="s">
        <v>817</v>
      </c>
      <c r="AG1778" t="s">
        <v>5594</v>
      </c>
      <c r="AH1778">
        <v>8882</v>
      </c>
      <c r="AK1778">
        <v>1</v>
      </c>
      <c r="AL1778" t="s">
        <v>61</v>
      </c>
      <c r="AM1778" t="s">
        <v>7313</v>
      </c>
      <c r="AN1778" t="s">
        <v>7314</v>
      </c>
    </row>
    <row r="1779" spans="1:40" x14ac:dyDescent="0.35">
      <c r="A1779" t="s">
        <v>37</v>
      </c>
      <c r="B1779" t="s">
        <v>7315</v>
      </c>
      <c r="C1779" t="s">
        <v>39</v>
      </c>
      <c r="D1779" t="s">
        <v>325</v>
      </c>
      <c r="E1779" t="s">
        <v>325</v>
      </c>
      <c r="F1779" s="1">
        <v>46073.451168981483</v>
      </c>
      <c r="G1779" t="s">
        <v>2015</v>
      </c>
      <c r="H1779" t="s">
        <v>447</v>
      </c>
      <c r="I1779" t="s">
        <v>7316</v>
      </c>
      <c r="J1779" t="s">
        <v>455</v>
      </c>
      <c r="K1779" t="s">
        <v>436</v>
      </c>
      <c r="M1779" t="s">
        <v>47</v>
      </c>
      <c r="O1779" t="s">
        <v>77</v>
      </c>
      <c r="P1779" t="s">
        <v>78</v>
      </c>
      <c r="Q1779" t="s">
        <v>50</v>
      </c>
      <c r="R1779" t="s">
        <v>51</v>
      </c>
      <c r="S1779" t="s">
        <v>52</v>
      </c>
      <c r="T1779" t="s">
        <v>240</v>
      </c>
      <c r="U1779" s="1">
        <v>46073.52065972222</v>
      </c>
      <c r="V1779" t="s">
        <v>54</v>
      </c>
      <c r="W1779" t="s">
        <v>55</v>
      </c>
      <c r="X1779" t="s">
        <v>82</v>
      </c>
      <c r="Y1779" t="s">
        <v>7317</v>
      </c>
      <c r="Z1779" t="s">
        <v>5594</v>
      </c>
      <c r="AA1779" t="s">
        <v>54</v>
      </c>
      <c r="AB1779" t="s">
        <v>1503</v>
      </c>
      <c r="AC1779" t="s">
        <v>85</v>
      </c>
      <c r="AD1779" t="s">
        <v>52</v>
      </c>
      <c r="AE1779" t="s">
        <v>438</v>
      </c>
      <c r="AF1779" t="s">
        <v>775</v>
      </c>
      <c r="AG1779" t="s">
        <v>5594</v>
      </c>
      <c r="AH1779">
        <v>2320</v>
      </c>
      <c r="AK1779">
        <v>1</v>
      </c>
      <c r="AL1779" t="s">
        <v>61</v>
      </c>
      <c r="AM1779" t="s">
        <v>7318</v>
      </c>
      <c r="AN1779" t="s">
        <v>7319</v>
      </c>
    </row>
    <row r="1780" spans="1:40" x14ac:dyDescent="0.35">
      <c r="A1780" t="s">
        <v>37</v>
      </c>
      <c r="B1780" t="s">
        <v>7320</v>
      </c>
      <c r="C1780" t="s">
        <v>102</v>
      </c>
      <c r="D1780" t="s">
        <v>824</v>
      </c>
      <c r="E1780" t="s">
        <v>825</v>
      </c>
      <c r="F1780" s="1">
        <v>46073.44803240741</v>
      </c>
      <c r="G1780" t="s">
        <v>826</v>
      </c>
      <c r="H1780" t="s">
        <v>356</v>
      </c>
      <c r="I1780" t="s">
        <v>7321</v>
      </c>
      <c r="J1780" t="s">
        <v>828</v>
      </c>
      <c r="K1780" t="s">
        <v>829</v>
      </c>
      <c r="M1780" t="s">
        <v>830</v>
      </c>
      <c r="O1780" t="s">
        <v>237</v>
      </c>
      <c r="P1780" t="s">
        <v>238</v>
      </c>
      <c r="Q1780" t="s">
        <v>50</v>
      </c>
      <c r="R1780" t="s">
        <v>51</v>
      </c>
      <c r="S1780" t="s">
        <v>831</v>
      </c>
      <c r="T1780" t="s">
        <v>829</v>
      </c>
      <c r="U1780" s="1">
        <v>46076.460810185185</v>
      </c>
      <c r="V1780" t="s">
        <v>54</v>
      </c>
      <c r="W1780" t="s">
        <v>55</v>
      </c>
      <c r="X1780" t="s">
        <v>196</v>
      </c>
      <c r="Y1780" t="s">
        <v>7322</v>
      </c>
      <c r="Z1780" t="s">
        <v>58</v>
      </c>
      <c r="AA1780" t="s">
        <v>54</v>
      </c>
      <c r="AB1780" t="s">
        <v>833</v>
      </c>
      <c r="AC1780" t="s">
        <v>242</v>
      </c>
      <c r="AD1780" t="s">
        <v>51</v>
      </c>
      <c r="AE1780" t="s">
        <v>834</v>
      </c>
      <c r="AF1780" t="s">
        <v>834</v>
      </c>
      <c r="AG1780" t="s">
        <v>58</v>
      </c>
      <c r="AH1780">
        <v>12697</v>
      </c>
      <c r="AK1780">
        <v>0</v>
      </c>
      <c r="AL1780" t="s">
        <v>61</v>
      </c>
      <c r="AM1780" t="s">
        <v>833</v>
      </c>
      <c r="AN1780" t="s">
        <v>835</v>
      </c>
    </row>
    <row r="1781" spans="1:40" x14ac:dyDescent="0.35">
      <c r="A1781" t="s">
        <v>37</v>
      </c>
      <c r="B1781" t="s">
        <v>7323</v>
      </c>
      <c r="C1781" t="s">
        <v>102</v>
      </c>
      <c r="D1781" t="s">
        <v>824</v>
      </c>
      <c r="E1781" t="s">
        <v>825</v>
      </c>
      <c r="F1781" s="1">
        <v>46073.443379629629</v>
      </c>
      <c r="G1781" t="s">
        <v>826</v>
      </c>
      <c r="H1781" t="s">
        <v>356</v>
      </c>
      <c r="I1781" t="s">
        <v>7324</v>
      </c>
      <c r="J1781" t="s">
        <v>828</v>
      </c>
      <c r="K1781" t="s">
        <v>829</v>
      </c>
      <c r="M1781" t="s">
        <v>131</v>
      </c>
      <c r="O1781" t="s">
        <v>237</v>
      </c>
      <c r="P1781" t="s">
        <v>238</v>
      </c>
      <c r="Q1781" t="s">
        <v>50</v>
      </c>
      <c r="R1781" t="s">
        <v>51</v>
      </c>
      <c r="S1781" t="s">
        <v>831</v>
      </c>
      <c r="T1781" t="s">
        <v>829</v>
      </c>
      <c r="U1781" s="1">
        <v>46076.450844907406</v>
      </c>
      <c r="V1781" t="s">
        <v>54</v>
      </c>
      <c r="W1781" t="s">
        <v>55</v>
      </c>
      <c r="X1781" t="s">
        <v>196</v>
      </c>
      <c r="Y1781" t="s">
        <v>7325</v>
      </c>
      <c r="Z1781" t="s">
        <v>58</v>
      </c>
      <c r="AA1781" t="s">
        <v>54</v>
      </c>
      <c r="AB1781" t="s">
        <v>833</v>
      </c>
      <c r="AC1781" t="s">
        <v>242</v>
      </c>
      <c r="AD1781" t="s">
        <v>51</v>
      </c>
      <c r="AE1781" t="s">
        <v>834</v>
      </c>
      <c r="AF1781" t="s">
        <v>834</v>
      </c>
      <c r="AG1781" t="s">
        <v>58</v>
      </c>
      <c r="AH1781">
        <v>12697</v>
      </c>
      <c r="AK1781">
        <v>0</v>
      </c>
      <c r="AL1781" t="s">
        <v>61</v>
      </c>
      <c r="AM1781" t="s">
        <v>833</v>
      </c>
      <c r="AN1781" t="s">
        <v>835</v>
      </c>
    </row>
    <row r="1782" spans="1:40" x14ac:dyDescent="0.35">
      <c r="A1782" t="s">
        <v>37</v>
      </c>
      <c r="B1782" t="s">
        <v>7326</v>
      </c>
      <c r="C1782" t="s">
        <v>39</v>
      </c>
      <c r="D1782" t="s">
        <v>191</v>
      </c>
      <c r="E1782" t="s">
        <v>192</v>
      </c>
      <c r="F1782" s="1">
        <v>46073.442060185182</v>
      </c>
      <c r="G1782" t="s">
        <v>71</v>
      </c>
      <c r="H1782" t="s">
        <v>72</v>
      </c>
      <c r="I1782" t="s">
        <v>7327</v>
      </c>
      <c r="J1782" t="s">
        <v>194</v>
      </c>
      <c r="K1782" t="s">
        <v>565</v>
      </c>
      <c r="M1782" t="s">
        <v>47</v>
      </c>
      <c r="O1782" t="s">
        <v>77</v>
      </c>
      <c r="P1782" t="s">
        <v>78</v>
      </c>
      <c r="Q1782" t="s">
        <v>50</v>
      </c>
      <c r="R1782" t="s">
        <v>51</v>
      </c>
      <c r="S1782" t="s">
        <v>52</v>
      </c>
      <c r="T1782" t="s">
        <v>195</v>
      </c>
      <c r="U1782" s="1">
        <v>46073.561956018515</v>
      </c>
      <c r="V1782" t="s">
        <v>54</v>
      </c>
      <c r="W1782" t="s">
        <v>55</v>
      </c>
      <c r="X1782" t="s">
        <v>134</v>
      </c>
      <c r="Y1782" t="s">
        <v>7328</v>
      </c>
      <c r="Z1782" t="s">
        <v>5594</v>
      </c>
      <c r="AA1782" t="s">
        <v>54</v>
      </c>
      <c r="AB1782" t="s">
        <v>198</v>
      </c>
      <c r="AC1782" t="s">
        <v>85</v>
      </c>
      <c r="AD1782" t="s">
        <v>51</v>
      </c>
      <c r="AE1782" t="s">
        <v>52</v>
      </c>
      <c r="AF1782" t="s">
        <v>195</v>
      </c>
      <c r="AG1782" t="s">
        <v>5594</v>
      </c>
      <c r="AH1782" t="s">
        <v>199</v>
      </c>
      <c r="AK1782">
        <v>1</v>
      </c>
      <c r="AL1782" t="s">
        <v>61</v>
      </c>
      <c r="AM1782" t="s">
        <v>198</v>
      </c>
      <c r="AN1782" t="s">
        <v>200</v>
      </c>
    </row>
    <row r="1783" spans="1:40" x14ac:dyDescent="0.35">
      <c r="A1783" t="s">
        <v>37</v>
      </c>
      <c r="B1783" t="s">
        <v>7329</v>
      </c>
      <c r="C1783" t="s">
        <v>102</v>
      </c>
      <c r="D1783" t="s">
        <v>1146</v>
      </c>
      <c r="E1783" t="s">
        <v>401</v>
      </c>
      <c r="F1783" s="1">
        <v>46073.444918981484</v>
      </c>
      <c r="G1783" t="s">
        <v>464</v>
      </c>
      <c r="H1783" t="s">
        <v>287</v>
      </c>
      <c r="I1783" t="s">
        <v>7330</v>
      </c>
      <c r="J1783" t="s">
        <v>235</v>
      </c>
      <c r="K1783" t="s">
        <v>236</v>
      </c>
      <c r="M1783" t="s">
        <v>47</v>
      </c>
      <c r="O1783" t="s">
        <v>237</v>
      </c>
      <c r="P1783" t="s">
        <v>238</v>
      </c>
      <c r="Q1783" t="s">
        <v>50</v>
      </c>
      <c r="R1783" t="s">
        <v>51</v>
      </c>
      <c r="S1783" t="s">
        <v>52</v>
      </c>
      <c r="T1783" t="s">
        <v>240</v>
      </c>
      <c r="U1783" s="1">
        <v>46074.805219907408</v>
      </c>
      <c r="V1783" t="s">
        <v>54</v>
      </c>
      <c r="W1783" t="s">
        <v>55</v>
      </c>
      <c r="X1783" t="s">
        <v>82</v>
      </c>
      <c r="Y1783" t="s">
        <v>7331</v>
      </c>
      <c r="Z1783" t="s">
        <v>5594</v>
      </c>
      <c r="AA1783" t="s">
        <v>54</v>
      </c>
      <c r="AB1783" t="s">
        <v>1503</v>
      </c>
      <c r="AC1783" t="s">
        <v>242</v>
      </c>
      <c r="AD1783" t="s">
        <v>52</v>
      </c>
      <c r="AE1783" t="s">
        <v>243</v>
      </c>
      <c r="AF1783" t="s">
        <v>244</v>
      </c>
      <c r="AG1783" t="s">
        <v>5594</v>
      </c>
      <c r="AH1783">
        <v>11631</v>
      </c>
      <c r="AK1783">
        <v>1</v>
      </c>
      <c r="AL1783" t="s">
        <v>61</v>
      </c>
      <c r="AM1783" t="s">
        <v>7332</v>
      </c>
      <c r="AN1783" t="s">
        <v>7333</v>
      </c>
    </row>
    <row r="1784" spans="1:40" x14ac:dyDescent="0.35">
      <c r="A1784" t="s">
        <v>37</v>
      </c>
      <c r="B1784" t="s">
        <v>7334</v>
      </c>
      <c r="C1784" t="s">
        <v>102</v>
      </c>
      <c r="D1784" t="s">
        <v>1698</v>
      </c>
      <c r="E1784" t="s">
        <v>584</v>
      </c>
      <c r="F1784" s="1">
        <v>46073.439444444448</v>
      </c>
      <c r="G1784" t="s">
        <v>105</v>
      </c>
      <c r="H1784" t="s">
        <v>106</v>
      </c>
      <c r="I1784" t="s">
        <v>1851</v>
      </c>
      <c r="J1784" t="s">
        <v>108</v>
      </c>
      <c r="K1784" t="s">
        <v>109</v>
      </c>
      <c r="M1784" t="s">
        <v>47</v>
      </c>
      <c r="O1784" t="s">
        <v>77</v>
      </c>
      <c r="P1784" t="s">
        <v>78</v>
      </c>
      <c r="Q1784" t="s">
        <v>50</v>
      </c>
      <c r="R1784" t="s">
        <v>111</v>
      </c>
      <c r="S1784" t="s">
        <v>51</v>
      </c>
      <c r="T1784" t="s">
        <v>112</v>
      </c>
      <c r="U1784" s="1">
        <v>46073.594918981478</v>
      </c>
      <c r="V1784" t="s">
        <v>54</v>
      </c>
      <c r="W1784" t="s">
        <v>55</v>
      </c>
      <c r="X1784" t="s">
        <v>134</v>
      </c>
      <c r="Y1784" t="s">
        <v>7335</v>
      </c>
      <c r="Z1784" t="s">
        <v>5594</v>
      </c>
      <c r="AA1784" t="s">
        <v>54</v>
      </c>
      <c r="AB1784" t="s">
        <v>1701</v>
      </c>
      <c r="AC1784" t="s">
        <v>85</v>
      </c>
      <c r="AD1784" t="s">
        <v>116</v>
      </c>
      <c r="AE1784" t="s">
        <v>117</v>
      </c>
      <c r="AF1784" t="s">
        <v>144</v>
      </c>
      <c r="AG1784" t="s">
        <v>5594</v>
      </c>
      <c r="AK1784">
        <v>1</v>
      </c>
      <c r="AL1784" t="s">
        <v>61</v>
      </c>
      <c r="AM1784" t="s">
        <v>1701</v>
      </c>
      <c r="AN1784" t="s">
        <v>1702</v>
      </c>
    </row>
    <row r="1785" spans="1:40" x14ac:dyDescent="0.35">
      <c r="A1785" t="s">
        <v>37</v>
      </c>
      <c r="B1785" t="s">
        <v>7336</v>
      </c>
      <c r="C1785" t="s">
        <v>102</v>
      </c>
      <c r="D1785" t="s">
        <v>191</v>
      </c>
      <c r="E1785" t="s">
        <v>192</v>
      </c>
      <c r="F1785" s="1">
        <v>46073.439895833333</v>
      </c>
      <c r="G1785" t="s">
        <v>71</v>
      </c>
      <c r="H1785" t="s">
        <v>72</v>
      </c>
      <c r="I1785" t="s">
        <v>7337</v>
      </c>
      <c r="J1785" t="s">
        <v>194</v>
      </c>
      <c r="K1785" t="s">
        <v>130</v>
      </c>
      <c r="M1785" t="s">
        <v>47</v>
      </c>
      <c r="O1785" t="s">
        <v>77</v>
      </c>
      <c r="P1785" t="s">
        <v>78</v>
      </c>
      <c r="Q1785" t="s">
        <v>50</v>
      </c>
      <c r="R1785" t="s">
        <v>51</v>
      </c>
      <c r="S1785" t="s">
        <v>52</v>
      </c>
      <c r="T1785" t="s">
        <v>195</v>
      </c>
      <c r="U1785" s="1">
        <v>46073.461400462962</v>
      </c>
      <c r="V1785" t="s">
        <v>54</v>
      </c>
      <c r="W1785" t="s">
        <v>55</v>
      </c>
      <c r="X1785" t="s">
        <v>196</v>
      </c>
      <c r="Y1785" t="s">
        <v>7338</v>
      </c>
      <c r="Z1785" t="s">
        <v>5594</v>
      </c>
      <c r="AA1785" t="s">
        <v>54</v>
      </c>
      <c r="AB1785" t="s">
        <v>198</v>
      </c>
      <c r="AC1785" t="s">
        <v>85</v>
      </c>
      <c r="AD1785" t="s">
        <v>51</v>
      </c>
      <c r="AE1785" t="s">
        <v>52</v>
      </c>
      <c r="AF1785" t="s">
        <v>195</v>
      </c>
      <c r="AG1785" t="s">
        <v>5594</v>
      </c>
      <c r="AH1785" t="s">
        <v>199</v>
      </c>
      <c r="AK1785">
        <v>1</v>
      </c>
      <c r="AL1785" t="s">
        <v>61</v>
      </c>
      <c r="AM1785" t="s">
        <v>198</v>
      </c>
      <c r="AN1785" t="s">
        <v>200</v>
      </c>
    </row>
    <row r="1786" spans="1:40" x14ac:dyDescent="0.35">
      <c r="A1786" t="s">
        <v>37</v>
      </c>
      <c r="B1786" t="s">
        <v>7339</v>
      </c>
      <c r="C1786" t="s">
        <v>102</v>
      </c>
      <c r="D1786" t="s">
        <v>568</v>
      </c>
      <c r="E1786" t="s">
        <v>569</v>
      </c>
      <c r="F1786" s="1">
        <v>46073.441018518519</v>
      </c>
      <c r="G1786" t="s">
        <v>105</v>
      </c>
      <c r="H1786" t="s">
        <v>106</v>
      </c>
      <c r="I1786" t="s">
        <v>7340</v>
      </c>
      <c r="J1786" t="s">
        <v>108</v>
      </c>
      <c r="K1786" t="s">
        <v>571</v>
      </c>
      <c r="M1786" t="s">
        <v>47</v>
      </c>
      <c r="O1786" t="s">
        <v>77</v>
      </c>
      <c r="P1786" t="s">
        <v>78</v>
      </c>
      <c r="Q1786" t="s">
        <v>448</v>
      </c>
      <c r="R1786" t="s">
        <v>111</v>
      </c>
      <c r="S1786" t="s">
        <v>51</v>
      </c>
      <c r="T1786" t="s">
        <v>112</v>
      </c>
      <c r="U1786" s="1">
        <v>46073.459756944445</v>
      </c>
      <c r="V1786" t="s">
        <v>54</v>
      </c>
      <c r="W1786" t="s">
        <v>55</v>
      </c>
      <c r="X1786" t="s">
        <v>113</v>
      </c>
      <c r="Y1786" t="s">
        <v>7341</v>
      </c>
      <c r="Z1786" t="s">
        <v>5594</v>
      </c>
      <c r="AA1786" t="s">
        <v>54</v>
      </c>
      <c r="AB1786" t="s">
        <v>1212</v>
      </c>
      <c r="AC1786" t="s">
        <v>85</v>
      </c>
      <c r="AD1786" t="s">
        <v>116</v>
      </c>
      <c r="AE1786" t="s">
        <v>574</v>
      </c>
      <c r="AF1786" t="s">
        <v>161</v>
      </c>
      <c r="AG1786" t="s">
        <v>5594</v>
      </c>
      <c r="AK1786">
        <v>1</v>
      </c>
      <c r="AL1786" t="s">
        <v>61</v>
      </c>
      <c r="AM1786" t="s">
        <v>576</v>
      </c>
      <c r="AN1786" t="s">
        <v>577</v>
      </c>
    </row>
    <row r="1787" spans="1:40" x14ac:dyDescent="0.35">
      <c r="A1787" t="s">
        <v>37</v>
      </c>
      <c r="B1787" t="s">
        <v>7342</v>
      </c>
      <c r="C1787" t="s">
        <v>102</v>
      </c>
      <c r="D1787" t="s">
        <v>824</v>
      </c>
      <c r="E1787" t="s">
        <v>825</v>
      </c>
      <c r="F1787" s="1">
        <v>46073.440439814818</v>
      </c>
      <c r="G1787" t="s">
        <v>826</v>
      </c>
      <c r="H1787" t="s">
        <v>356</v>
      </c>
      <c r="I1787" t="s">
        <v>7343</v>
      </c>
      <c r="J1787" t="s">
        <v>828</v>
      </c>
      <c r="K1787" t="s">
        <v>829</v>
      </c>
      <c r="M1787" t="s">
        <v>131</v>
      </c>
      <c r="O1787" t="s">
        <v>237</v>
      </c>
      <c r="P1787" t="s">
        <v>238</v>
      </c>
      <c r="Q1787" t="s">
        <v>50</v>
      </c>
      <c r="R1787" t="s">
        <v>51</v>
      </c>
      <c r="S1787" t="s">
        <v>831</v>
      </c>
      <c r="T1787" t="s">
        <v>829</v>
      </c>
      <c r="U1787" s="1">
        <v>46076.44390046296</v>
      </c>
      <c r="V1787" t="s">
        <v>54</v>
      </c>
      <c r="W1787" t="s">
        <v>55</v>
      </c>
      <c r="X1787" t="s">
        <v>196</v>
      </c>
      <c r="Y1787" t="s">
        <v>7344</v>
      </c>
      <c r="Z1787" t="s">
        <v>58</v>
      </c>
      <c r="AA1787" t="s">
        <v>54</v>
      </c>
      <c r="AB1787" t="s">
        <v>833</v>
      </c>
      <c r="AC1787" t="s">
        <v>242</v>
      </c>
      <c r="AD1787" t="s">
        <v>51</v>
      </c>
      <c r="AE1787" t="s">
        <v>834</v>
      </c>
      <c r="AF1787" t="s">
        <v>834</v>
      </c>
      <c r="AG1787" t="s">
        <v>58</v>
      </c>
      <c r="AH1787">
        <v>12697</v>
      </c>
      <c r="AK1787">
        <v>0</v>
      </c>
      <c r="AL1787" t="s">
        <v>61</v>
      </c>
      <c r="AM1787" t="s">
        <v>833</v>
      </c>
      <c r="AN1787" t="s">
        <v>835</v>
      </c>
    </row>
    <row r="1788" spans="1:40" x14ac:dyDescent="0.35">
      <c r="A1788" t="s">
        <v>37</v>
      </c>
      <c r="B1788" t="s">
        <v>7345</v>
      </c>
      <c r="C1788" t="s">
        <v>39</v>
      </c>
      <c r="D1788" t="s">
        <v>640</v>
      </c>
      <c r="E1788" t="s">
        <v>7346</v>
      </c>
      <c r="F1788" s="1">
        <v>46073.451122685183</v>
      </c>
      <c r="G1788" t="s">
        <v>286</v>
      </c>
      <c r="H1788" t="s">
        <v>287</v>
      </c>
      <c r="I1788" t="s">
        <v>7347</v>
      </c>
      <c r="J1788" t="s">
        <v>695</v>
      </c>
      <c r="K1788" t="s">
        <v>75</v>
      </c>
      <c r="M1788" t="s">
        <v>47</v>
      </c>
      <c r="O1788" t="s">
        <v>77</v>
      </c>
      <c r="P1788" t="s">
        <v>78</v>
      </c>
      <c r="Q1788" t="s">
        <v>50</v>
      </c>
      <c r="R1788" t="s">
        <v>79</v>
      </c>
      <c r="S1788" t="s">
        <v>1078</v>
      </c>
      <c r="T1788" t="s">
        <v>1078</v>
      </c>
      <c r="U1788" s="1">
        <v>46073.451226851852</v>
      </c>
      <c r="V1788" t="s">
        <v>54</v>
      </c>
      <c r="W1788" t="s">
        <v>55</v>
      </c>
      <c r="X1788" t="s">
        <v>82</v>
      </c>
      <c r="Y1788" t="s">
        <v>7348</v>
      </c>
      <c r="Z1788" t="s">
        <v>5594</v>
      </c>
      <c r="AA1788" t="s">
        <v>54</v>
      </c>
      <c r="AB1788" t="s">
        <v>698</v>
      </c>
      <c r="AC1788" t="s">
        <v>85</v>
      </c>
      <c r="AD1788" t="s">
        <v>79</v>
      </c>
      <c r="AE1788" t="s">
        <v>1078</v>
      </c>
      <c r="AF1788" t="s">
        <v>1078</v>
      </c>
      <c r="AG1788" t="s">
        <v>5594</v>
      </c>
      <c r="AH1788" t="s">
        <v>7349</v>
      </c>
      <c r="AK1788">
        <v>0</v>
      </c>
      <c r="AL1788" t="s">
        <v>61</v>
      </c>
      <c r="AM1788" t="s">
        <v>7350</v>
      </c>
      <c r="AN1788" t="s">
        <v>7351</v>
      </c>
    </row>
    <row r="1789" spans="1:40" x14ac:dyDescent="0.35">
      <c r="A1789" t="s">
        <v>37</v>
      </c>
      <c r="B1789" t="s">
        <v>7352</v>
      </c>
      <c r="C1789" t="s">
        <v>102</v>
      </c>
      <c r="D1789" t="s">
        <v>824</v>
      </c>
      <c r="E1789" t="s">
        <v>825</v>
      </c>
      <c r="F1789" s="1">
        <v>46073.438819444447</v>
      </c>
      <c r="G1789" t="s">
        <v>826</v>
      </c>
      <c r="H1789" t="s">
        <v>356</v>
      </c>
      <c r="I1789" t="s">
        <v>7353</v>
      </c>
      <c r="J1789" t="s">
        <v>828</v>
      </c>
      <c r="K1789" t="s">
        <v>829</v>
      </c>
      <c r="M1789" t="s">
        <v>131</v>
      </c>
      <c r="O1789" t="s">
        <v>237</v>
      </c>
      <c r="P1789" t="s">
        <v>238</v>
      </c>
      <c r="Q1789" t="s">
        <v>50</v>
      </c>
      <c r="R1789" t="s">
        <v>51</v>
      </c>
      <c r="S1789" t="s">
        <v>831</v>
      </c>
      <c r="T1789" t="s">
        <v>829</v>
      </c>
      <c r="U1789" s="1">
        <v>46076.427731481483</v>
      </c>
      <c r="V1789" t="s">
        <v>54</v>
      </c>
      <c r="W1789" t="s">
        <v>55</v>
      </c>
      <c r="X1789" t="s">
        <v>196</v>
      </c>
      <c r="Y1789" t="s">
        <v>7354</v>
      </c>
      <c r="Z1789" t="s">
        <v>58</v>
      </c>
      <c r="AA1789" t="s">
        <v>54</v>
      </c>
      <c r="AB1789" t="s">
        <v>833</v>
      </c>
      <c r="AC1789" t="s">
        <v>242</v>
      </c>
      <c r="AD1789" t="s">
        <v>51</v>
      </c>
      <c r="AE1789" t="s">
        <v>834</v>
      </c>
      <c r="AF1789" t="s">
        <v>834</v>
      </c>
      <c r="AG1789" t="s">
        <v>58</v>
      </c>
      <c r="AH1789">
        <v>12697</v>
      </c>
      <c r="AK1789">
        <v>0</v>
      </c>
      <c r="AL1789" t="s">
        <v>61</v>
      </c>
      <c r="AM1789" t="s">
        <v>833</v>
      </c>
      <c r="AN1789" t="s">
        <v>835</v>
      </c>
    </row>
    <row r="1790" spans="1:40" x14ac:dyDescent="0.35">
      <c r="A1790" t="s">
        <v>37</v>
      </c>
      <c r="B1790" t="s">
        <v>7355</v>
      </c>
      <c r="C1790" t="s">
        <v>102</v>
      </c>
      <c r="D1790" t="s">
        <v>568</v>
      </c>
      <c r="E1790" t="s">
        <v>569</v>
      </c>
      <c r="F1790" s="1">
        <v>46073.438668981478</v>
      </c>
      <c r="G1790" t="s">
        <v>105</v>
      </c>
      <c r="H1790" t="s">
        <v>106</v>
      </c>
      <c r="I1790" t="s">
        <v>7356</v>
      </c>
      <c r="J1790" t="s">
        <v>108</v>
      </c>
      <c r="K1790" t="s">
        <v>571</v>
      </c>
      <c r="M1790" t="s">
        <v>47</v>
      </c>
      <c r="O1790" t="s">
        <v>77</v>
      </c>
      <c r="P1790" t="s">
        <v>78</v>
      </c>
      <c r="Q1790" t="s">
        <v>448</v>
      </c>
      <c r="R1790" t="s">
        <v>111</v>
      </c>
      <c r="S1790" t="s">
        <v>51</v>
      </c>
      <c r="T1790" t="s">
        <v>112</v>
      </c>
      <c r="U1790" s="1">
        <v>46073.584039351852</v>
      </c>
      <c r="V1790" t="s">
        <v>54</v>
      </c>
      <c r="W1790" t="s">
        <v>55</v>
      </c>
      <c r="X1790" t="s">
        <v>113</v>
      </c>
      <c r="Y1790" t="s">
        <v>7357</v>
      </c>
      <c r="Z1790" t="s">
        <v>5594</v>
      </c>
      <c r="AA1790" t="s">
        <v>54</v>
      </c>
      <c r="AB1790" t="s">
        <v>1212</v>
      </c>
      <c r="AC1790" t="s">
        <v>85</v>
      </c>
      <c r="AD1790" t="s">
        <v>116</v>
      </c>
      <c r="AE1790" t="s">
        <v>574</v>
      </c>
      <c r="AF1790" t="s">
        <v>2466</v>
      </c>
      <c r="AG1790" t="s">
        <v>5594</v>
      </c>
      <c r="AK1790">
        <v>1</v>
      </c>
      <c r="AL1790" t="s">
        <v>61</v>
      </c>
      <c r="AM1790" t="s">
        <v>576</v>
      </c>
      <c r="AN1790" t="s">
        <v>577</v>
      </c>
    </row>
    <row r="1791" spans="1:40" x14ac:dyDescent="0.35">
      <c r="A1791" t="s">
        <v>37</v>
      </c>
      <c r="B1791" t="s">
        <v>7358</v>
      </c>
      <c r="C1791" t="s">
        <v>102</v>
      </c>
      <c r="D1791" t="s">
        <v>1698</v>
      </c>
      <c r="E1791" t="s">
        <v>584</v>
      </c>
      <c r="F1791" s="1">
        <v>46073.435902777775</v>
      </c>
      <c r="G1791" t="s">
        <v>105</v>
      </c>
      <c r="H1791" t="s">
        <v>106</v>
      </c>
      <c r="I1791" t="s">
        <v>5624</v>
      </c>
      <c r="J1791" t="s">
        <v>108</v>
      </c>
      <c r="K1791" t="s">
        <v>571</v>
      </c>
      <c r="M1791" t="s">
        <v>47</v>
      </c>
      <c r="O1791" t="s">
        <v>77</v>
      </c>
      <c r="P1791" t="s">
        <v>78</v>
      </c>
      <c r="Q1791" t="s">
        <v>50</v>
      </c>
      <c r="R1791" t="s">
        <v>111</v>
      </c>
      <c r="S1791" t="s">
        <v>51</v>
      </c>
      <c r="T1791" t="s">
        <v>112</v>
      </c>
      <c r="U1791" s="1">
        <v>46073.487986111111</v>
      </c>
      <c r="V1791" t="s">
        <v>54</v>
      </c>
      <c r="W1791" t="s">
        <v>55</v>
      </c>
      <c r="X1791" t="s">
        <v>134</v>
      </c>
      <c r="Y1791" t="s">
        <v>3381</v>
      </c>
      <c r="Z1791" t="s">
        <v>5594</v>
      </c>
      <c r="AA1791" t="s">
        <v>54</v>
      </c>
      <c r="AB1791" t="s">
        <v>1701</v>
      </c>
      <c r="AC1791" t="s">
        <v>85</v>
      </c>
      <c r="AD1791" t="s">
        <v>116</v>
      </c>
      <c r="AE1791" t="s">
        <v>574</v>
      </c>
      <c r="AF1791" t="s">
        <v>1874</v>
      </c>
      <c r="AG1791" t="s">
        <v>5594</v>
      </c>
      <c r="AK1791">
        <v>1</v>
      </c>
      <c r="AL1791" t="s">
        <v>61</v>
      </c>
      <c r="AM1791" t="s">
        <v>1701</v>
      </c>
      <c r="AN1791" t="s">
        <v>1702</v>
      </c>
    </row>
    <row r="1792" spans="1:40" x14ac:dyDescent="0.35">
      <c r="A1792" t="s">
        <v>37</v>
      </c>
      <c r="B1792" t="s">
        <v>7359</v>
      </c>
      <c r="C1792" t="s">
        <v>39</v>
      </c>
      <c r="D1792" t="s">
        <v>640</v>
      </c>
      <c r="E1792" t="s">
        <v>7346</v>
      </c>
      <c r="F1792" s="1">
        <v>46073.436192129629</v>
      </c>
      <c r="G1792" t="s">
        <v>286</v>
      </c>
      <c r="H1792" t="s">
        <v>287</v>
      </c>
      <c r="I1792" t="s">
        <v>403</v>
      </c>
      <c r="J1792" t="s">
        <v>404</v>
      </c>
      <c r="K1792" t="s">
        <v>405</v>
      </c>
      <c r="M1792" t="s">
        <v>47</v>
      </c>
      <c r="O1792" t="s">
        <v>77</v>
      </c>
      <c r="P1792" t="s">
        <v>78</v>
      </c>
      <c r="Q1792" t="s">
        <v>50</v>
      </c>
      <c r="R1792" t="s">
        <v>51</v>
      </c>
      <c r="S1792" t="s">
        <v>52</v>
      </c>
      <c r="T1792" t="s">
        <v>240</v>
      </c>
      <c r="U1792" s="1">
        <v>46073.487372685187</v>
      </c>
      <c r="V1792" t="s">
        <v>54</v>
      </c>
      <c r="W1792" t="s">
        <v>55</v>
      </c>
      <c r="X1792" t="s">
        <v>134</v>
      </c>
      <c r="Y1792" t="s">
        <v>7360</v>
      </c>
      <c r="Z1792" t="s">
        <v>5594</v>
      </c>
      <c r="AA1792" t="s">
        <v>54</v>
      </c>
      <c r="AB1792" t="s">
        <v>458</v>
      </c>
      <c r="AC1792" t="s">
        <v>85</v>
      </c>
      <c r="AD1792" t="s">
        <v>52</v>
      </c>
      <c r="AE1792" t="s">
        <v>243</v>
      </c>
      <c r="AF1792" t="s">
        <v>2913</v>
      </c>
      <c r="AG1792" t="s">
        <v>5594</v>
      </c>
      <c r="AH1792" t="s">
        <v>7349</v>
      </c>
      <c r="AK1792">
        <v>1</v>
      </c>
      <c r="AL1792" t="s">
        <v>61</v>
      </c>
      <c r="AM1792" t="s">
        <v>7350</v>
      </c>
      <c r="AN1792" t="s">
        <v>7351</v>
      </c>
    </row>
    <row r="1793" spans="1:40" x14ac:dyDescent="0.35">
      <c r="A1793" t="s">
        <v>37</v>
      </c>
      <c r="B1793" t="s">
        <v>7361</v>
      </c>
      <c r="C1793" t="s">
        <v>102</v>
      </c>
      <c r="D1793" t="s">
        <v>824</v>
      </c>
      <c r="E1793" t="s">
        <v>825</v>
      </c>
      <c r="F1793" s="1">
        <v>46073.436805555553</v>
      </c>
      <c r="G1793" t="s">
        <v>826</v>
      </c>
      <c r="H1793" t="s">
        <v>356</v>
      </c>
      <c r="I1793" t="s">
        <v>7362</v>
      </c>
      <c r="J1793" t="s">
        <v>828</v>
      </c>
      <c r="K1793" t="s">
        <v>829</v>
      </c>
      <c r="M1793" t="s">
        <v>47</v>
      </c>
      <c r="O1793" t="s">
        <v>237</v>
      </c>
      <c r="P1793" t="s">
        <v>238</v>
      </c>
      <c r="Q1793" t="s">
        <v>50</v>
      </c>
      <c r="R1793" t="s">
        <v>51</v>
      </c>
      <c r="S1793" t="s">
        <v>831</v>
      </c>
      <c r="T1793" t="s">
        <v>829</v>
      </c>
      <c r="U1793" s="1">
        <v>46073.550185185188</v>
      </c>
      <c r="V1793" t="s">
        <v>54</v>
      </c>
      <c r="W1793" t="s">
        <v>55</v>
      </c>
      <c r="X1793" t="s">
        <v>196</v>
      </c>
      <c r="Y1793" t="s">
        <v>7363</v>
      </c>
      <c r="Z1793" t="s">
        <v>5594</v>
      </c>
      <c r="AA1793" t="s">
        <v>54</v>
      </c>
      <c r="AB1793" t="s">
        <v>833</v>
      </c>
      <c r="AC1793" t="s">
        <v>242</v>
      </c>
      <c r="AD1793" t="s">
        <v>51</v>
      </c>
      <c r="AE1793" t="s">
        <v>834</v>
      </c>
      <c r="AF1793" t="s">
        <v>834</v>
      </c>
      <c r="AG1793" t="s">
        <v>5594</v>
      </c>
      <c r="AH1793">
        <v>12697</v>
      </c>
      <c r="AK1793">
        <v>0</v>
      </c>
      <c r="AL1793" t="s">
        <v>61</v>
      </c>
      <c r="AM1793" t="s">
        <v>833</v>
      </c>
      <c r="AN1793" t="s">
        <v>835</v>
      </c>
    </row>
    <row r="1794" spans="1:40" x14ac:dyDescent="0.35">
      <c r="A1794" t="s">
        <v>37</v>
      </c>
      <c r="B1794" t="s">
        <v>7364</v>
      </c>
      <c r="C1794" t="s">
        <v>102</v>
      </c>
      <c r="D1794" t="s">
        <v>824</v>
      </c>
      <c r="E1794" t="s">
        <v>825</v>
      </c>
      <c r="F1794" s="1">
        <v>46073.434074074074</v>
      </c>
      <c r="G1794" t="s">
        <v>826</v>
      </c>
      <c r="H1794" t="s">
        <v>356</v>
      </c>
      <c r="I1794" t="s">
        <v>7365</v>
      </c>
      <c r="J1794" t="s">
        <v>828</v>
      </c>
      <c r="K1794" t="s">
        <v>829</v>
      </c>
      <c r="M1794" t="s">
        <v>47</v>
      </c>
      <c r="O1794" t="s">
        <v>237</v>
      </c>
      <c r="P1794" t="s">
        <v>238</v>
      </c>
      <c r="Q1794" t="s">
        <v>50</v>
      </c>
      <c r="R1794" t="s">
        <v>51</v>
      </c>
      <c r="S1794" t="s">
        <v>831</v>
      </c>
      <c r="T1794" t="s">
        <v>829</v>
      </c>
      <c r="U1794" s="1">
        <v>46073.544999999998</v>
      </c>
      <c r="V1794" t="s">
        <v>54</v>
      </c>
      <c r="W1794" t="s">
        <v>55</v>
      </c>
      <c r="X1794" t="s">
        <v>196</v>
      </c>
      <c r="Y1794" t="s">
        <v>7366</v>
      </c>
      <c r="Z1794" t="s">
        <v>5594</v>
      </c>
      <c r="AA1794" t="s">
        <v>54</v>
      </c>
      <c r="AB1794" t="s">
        <v>833</v>
      </c>
      <c r="AC1794" t="s">
        <v>242</v>
      </c>
      <c r="AD1794" t="s">
        <v>51</v>
      </c>
      <c r="AE1794" t="s">
        <v>834</v>
      </c>
      <c r="AF1794" t="s">
        <v>834</v>
      </c>
      <c r="AG1794" t="s">
        <v>5594</v>
      </c>
      <c r="AH1794">
        <v>12697</v>
      </c>
      <c r="AK1794">
        <v>0</v>
      </c>
      <c r="AL1794" t="s">
        <v>61</v>
      </c>
      <c r="AM1794" t="s">
        <v>833</v>
      </c>
      <c r="AN1794" t="s">
        <v>835</v>
      </c>
    </row>
    <row r="1795" spans="1:40" x14ac:dyDescent="0.35">
      <c r="A1795" t="s">
        <v>37</v>
      </c>
      <c r="B1795" t="s">
        <v>7367</v>
      </c>
      <c r="C1795" t="s">
        <v>102</v>
      </c>
      <c r="D1795" t="s">
        <v>824</v>
      </c>
      <c r="E1795" t="s">
        <v>825</v>
      </c>
      <c r="F1795" s="1">
        <v>46073.432395833333</v>
      </c>
      <c r="G1795" t="s">
        <v>826</v>
      </c>
      <c r="H1795" t="s">
        <v>356</v>
      </c>
      <c r="I1795" t="s">
        <v>7368</v>
      </c>
      <c r="J1795" t="s">
        <v>828</v>
      </c>
      <c r="K1795" t="s">
        <v>829</v>
      </c>
      <c r="M1795" t="s">
        <v>47</v>
      </c>
      <c r="O1795" t="s">
        <v>237</v>
      </c>
      <c r="P1795" t="s">
        <v>238</v>
      </c>
      <c r="Q1795" t="s">
        <v>50</v>
      </c>
      <c r="R1795" t="s">
        <v>51</v>
      </c>
      <c r="S1795" t="s">
        <v>831</v>
      </c>
      <c r="T1795" t="s">
        <v>829</v>
      </c>
      <c r="U1795" s="1">
        <v>46073.530509259261</v>
      </c>
      <c r="V1795" t="s">
        <v>54</v>
      </c>
      <c r="W1795" t="s">
        <v>55</v>
      </c>
      <c r="X1795" t="s">
        <v>196</v>
      </c>
      <c r="Y1795" t="s">
        <v>7369</v>
      </c>
      <c r="Z1795" t="s">
        <v>5594</v>
      </c>
      <c r="AA1795" t="s">
        <v>54</v>
      </c>
      <c r="AB1795" t="s">
        <v>833</v>
      </c>
      <c r="AC1795" t="s">
        <v>242</v>
      </c>
      <c r="AD1795" t="s">
        <v>51</v>
      </c>
      <c r="AE1795" t="s">
        <v>834</v>
      </c>
      <c r="AF1795" t="s">
        <v>834</v>
      </c>
      <c r="AG1795" t="s">
        <v>5594</v>
      </c>
      <c r="AH1795">
        <v>12697</v>
      </c>
      <c r="AK1795">
        <v>0</v>
      </c>
      <c r="AL1795" t="s">
        <v>61</v>
      </c>
      <c r="AM1795" t="s">
        <v>833</v>
      </c>
      <c r="AN1795" t="s">
        <v>835</v>
      </c>
    </row>
    <row r="1796" spans="1:40" x14ac:dyDescent="0.35">
      <c r="A1796" t="s">
        <v>37</v>
      </c>
      <c r="B1796" t="s">
        <v>7370</v>
      </c>
      <c r="C1796" t="s">
        <v>39</v>
      </c>
      <c r="D1796" t="s">
        <v>1751</v>
      </c>
      <c r="E1796" t="s">
        <v>1316</v>
      </c>
      <c r="F1796" s="1">
        <v>46073.430289351854</v>
      </c>
      <c r="G1796" t="s">
        <v>1752</v>
      </c>
      <c r="H1796" t="s">
        <v>447</v>
      </c>
      <c r="I1796" t="s">
        <v>7371</v>
      </c>
      <c r="J1796" t="s">
        <v>1754</v>
      </c>
      <c r="K1796" t="s">
        <v>1755</v>
      </c>
      <c r="M1796" t="s">
        <v>47</v>
      </c>
      <c r="O1796" t="s">
        <v>77</v>
      </c>
      <c r="P1796" t="s">
        <v>78</v>
      </c>
      <c r="Q1796" t="s">
        <v>50</v>
      </c>
      <c r="R1796" t="s">
        <v>51</v>
      </c>
      <c r="S1796" t="s">
        <v>52</v>
      </c>
      <c r="T1796" t="s">
        <v>773</v>
      </c>
      <c r="U1796" s="1">
        <v>46074.978761574072</v>
      </c>
      <c r="V1796" t="s">
        <v>54</v>
      </c>
      <c r="W1796" t="s">
        <v>55</v>
      </c>
      <c r="X1796" t="s">
        <v>134</v>
      </c>
      <c r="Y1796" t="s">
        <v>1756</v>
      </c>
      <c r="Z1796" t="s">
        <v>5594</v>
      </c>
      <c r="AA1796" t="s">
        <v>54</v>
      </c>
      <c r="AB1796" t="s">
        <v>1757</v>
      </c>
      <c r="AC1796" t="s">
        <v>85</v>
      </c>
      <c r="AD1796" t="s">
        <v>52</v>
      </c>
      <c r="AE1796" t="s">
        <v>243</v>
      </c>
      <c r="AF1796" t="s">
        <v>244</v>
      </c>
      <c r="AG1796" t="s">
        <v>5594</v>
      </c>
      <c r="AK1796">
        <v>1</v>
      </c>
      <c r="AL1796" t="s">
        <v>61</v>
      </c>
      <c r="AM1796" t="s">
        <v>1757</v>
      </c>
      <c r="AN1796" t="s">
        <v>1758</v>
      </c>
    </row>
    <row r="1797" spans="1:40" x14ac:dyDescent="0.35">
      <c r="A1797" t="s">
        <v>37</v>
      </c>
      <c r="B1797" t="s">
        <v>7372</v>
      </c>
      <c r="C1797" t="s">
        <v>102</v>
      </c>
      <c r="D1797" t="s">
        <v>1537</v>
      </c>
      <c r="E1797" t="s">
        <v>1538</v>
      </c>
      <c r="F1797" s="1">
        <v>46073.430150462962</v>
      </c>
      <c r="G1797" t="s">
        <v>105</v>
      </c>
      <c r="H1797" t="s">
        <v>106</v>
      </c>
      <c r="I1797" t="s">
        <v>7373</v>
      </c>
      <c r="J1797" t="s">
        <v>108</v>
      </c>
      <c r="K1797" t="s">
        <v>571</v>
      </c>
      <c r="M1797" t="s">
        <v>47</v>
      </c>
      <c r="O1797" t="s">
        <v>77</v>
      </c>
      <c r="P1797" t="s">
        <v>78</v>
      </c>
      <c r="Q1797" t="s">
        <v>50</v>
      </c>
      <c r="R1797" t="s">
        <v>111</v>
      </c>
      <c r="S1797" t="s">
        <v>51</v>
      </c>
      <c r="T1797" t="s">
        <v>112</v>
      </c>
      <c r="U1797" s="1">
        <v>46074.092523148145</v>
      </c>
      <c r="V1797" t="s">
        <v>54</v>
      </c>
      <c r="W1797" t="s">
        <v>55</v>
      </c>
      <c r="X1797" t="s">
        <v>113</v>
      </c>
      <c r="Y1797" t="s">
        <v>7374</v>
      </c>
      <c r="Z1797" t="s">
        <v>5594</v>
      </c>
      <c r="AA1797" t="s">
        <v>54</v>
      </c>
      <c r="AB1797" t="s">
        <v>115</v>
      </c>
      <c r="AC1797" t="s">
        <v>85</v>
      </c>
      <c r="AD1797" t="s">
        <v>116</v>
      </c>
      <c r="AE1797" t="s">
        <v>1541</v>
      </c>
      <c r="AF1797" t="s">
        <v>1569</v>
      </c>
      <c r="AG1797" t="s">
        <v>5594</v>
      </c>
      <c r="AH1797">
        <v>14840</v>
      </c>
      <c r="AK1797">
        <v>1</v>
      </c>
      <c r="AL1797" t="s">
        <v>61</v>
      </c>
      <c r="AM1797" t="s">
        <v>1542</v>
      </c>
      <c r="AN1797" t="s">
        <v>1543</v>
      </c>
    </row>
    <row r="1798" spans="1:40" x14ac:dyDescent="0.35">
      <c r="A1798" t="s">
        <v>37</v>
      </c>
      <c r="B1798" t="s">
        <v>7375</v>
      </c>
      <c r="C1798" t="s">
        <v>102</v>
      </c>
      <c r="D1798" t="s">
        <v>1698</v>
      </c>
      <c r="E1798" t="s">
        <v>584</v>
      </c>
      <c r="F1798" s="1">
        <v>46073.425347222219</v>
      </c>
      <c r="G1798" t="s">
        <v>105</v>
      </c>
      <c r="H1798" t="s">
        <v>106</v>
      </c>
      <c r="I1798" t="s">
        <v>2905</v>
      </c>
      <c r="J1798" t="s">
        <v>108</v>
      </c>
      <c r="K1798" t="s">
        <v>571</v>
      </c>
      <c r="M1798" t="s">
        <v>47</v>
      </c>
      <c r="O1798" t="s">
        <v>77</v>
      </c>
      <c r="P1798" t="s">
        <v>78</v>
      </c>
      <c r="Q1798" t="s">
        <v>50</v>
      </c>
      <c r="R1798" t="s">
        <v>111</v>
      </c>
      <c r="S1798" t="s">
        <v>51</v>
      </c>
      <c r="T1798" t="s">
        <v>112</v>
      </c>
      <c r="U1798" s="1">
        <v>46073.460486111115</v>
      </c>
      <c r="V1798" t="s">
        <v>54</v>
      </c>
      <c r="W1798" t="s">
        <v>55</v>
      </c>
      <c r="X1798" t="s">
        <v>134</v>
      </c>
      <c r="Y1798" t="s">
        <v>1680</v>
      </c>
      <c r="Z1798" t="s">
        <v>5594</v>
      </c>
      <c r="AA1798" t="s">
        <v>54</v>
      </c>
      <c r="AB1798" t="s">
        <v>1701</v>
      </c>
      <c r="AC1798" t="s">
        <v>85</v>
      </c>
      <c r="AD1798" t="s">
        <v>116</v>
      </c>
      <c r="AE1798" t="s">
        <v>574</v>
      </c>
      <c r="AF1798" t="s">
        <v>144</v>
      </c>
      <c r="AG1798" t="s">
        <v>5594</v>
      </c>
      <c r="AK1798">
        <v>1</v>
      </c>
      <c r="AL1798" t="s">
        <v>61</v>
      </c>
      <c r="AM1798" t="s">
        <v>1701</v>
      </c>
      <c r="AN1798" t="s">
        <v>1702</v>
      </c>
    </row>
    <row r="1799" spans="1:40" x14ac:dyDescent="0.35">
      <c r="A1799" t="s">
        <v>37</v>
      </c>
      <c r="B1799" t="s">
        <v>7376</v>
      </c>
      <c r="C1799" t="s">
        <v>39</v>
      </c>
      <c r="D1799" t="s">
        <v>1751</v>
      </c>
      <c r="E1799" t="s">
        <v>1316</v>
      </c>
      <c r="F1799" s="1">
        <v>46073.425347222219</v>
      </c>
      <c r="G1799" t="s">
        <v>1752</v>
      </c>
      <c r="H1799" t="s">
        <v>447</v>
      </c>
      <c r="I1799" t="s">
        <v>7377</v>
      </c>
      <c r="J1799" t="s">
        <v>1754</v>
      </c>
      <c r="K1799" t="s">
        <v>1755</v>
      </c>
      <c r="M1799" t="s">
        <v>47</v>
      </c>
      <c r="O1799" t="s">
        <v>77</v>
      </c>
      <c r="P1799" t="s">
        <v>78</v>
      </c>
      <c r="Q1799" t="s">
        <v>50</v>
      </c>
      <c r="R1799" t="s">
        <v>51</v>
      </c>
      <c r="S1799" t="s">
        <v>52</v>
      </c>
      <c r="T1799" t="s">
        <v>773</v>
      </c>
      <c r="U1799" s="1">
        <v>46074.978009259263</v>
      </c>
      <c r="V1799" t="s">
        <v>54</v>
      </c>
      <c r="W1799" t="s">
        <v>55</v>
      </c>
      <c r="X1799" t="s">
        <v>134</v>
      </c>
      <c r="Y1799" t="s">
        <v>7378</v>
      </c>
      <c r="Z1799" t="s">
        <v>5594</v>
      </c>
      <c r="AA1799" t="s">
        <v>54</v>
      </c>
      <c r="AB1799" t="s">
        <v>1757</v>
      </c>
      <c r="AC1799" t="s">
        <v>85</v>
      </c>
      <c r="AD1799" t="s">
        <v>52</v>
      </c>
      <c r="AE1799" t="s">
        <v>243</v>
      </c>
      <c r="AF1799" t="s">
        <v>244</v>
      </c>
      <c r="AG1799" t="s">
        <v>5594</v>
      </c>
      <c r="AK1799">
        <v>1</v>
      </c>
      <c r="AL1799" t="s">
        <v>61</v>
      </c>
      <c r="AM1799" t="s">
        <v>1757</v>
      </c>
      <c r="AN1799" t="s">
        <v>1758</v>
      </c>
    </row>
    <row r="1800" spans="1:40" x14ac:dyDescent="0.35">
      <c r="A1800" t="s">
        <v>37</v>
      </c>
      <c r="B1800" t="s">
        <v>7379</v>
      </c>
      <c r="C1800" t="s">
        <v>39</v>
      </c>
      <c r="D1800" t="s">
        <v>1751</v>
      </c>
      <c r="E1800" t="s">
        <v>1316</v>
      </c>
      <c r="F1800" s="1">
        <v>46073.423807870371</v>
      </c>
      <c r="G1800" t="s">
        <v>1752</v>
      </c>
      <c r="H1800" t="s">
        <v>447</v>
      </c>
      <c r="I1800" t="s">
        <v>7380</v>
      </c>
      <c r="J1800" t="s">
        <v>1754</v>
      </c>
      <c r="K1800" t="s">
        <v>1755</v>
      </c>
      <c r="M1800" t="s">
        <v>47</v>
      </c>
      <c r="O1800" t="s">
        <v>77</v>
      </c>
      <c r="P1800" t="s">
        <v>78</v>
      </c>
      <c r="Q1800" t="s">
        <v>50</v>
      </c>
      <c r="R1800" t="s">
        <v>51</v>
      </c>
      <c r="S1800" t="s">
        <v>52</v>
      </c>
      <c r="T1800" t="s">
        <v>773</v>
      </c>
      <c r="U1800" s="1">
        <v>46074.977141203701</v>
      </c>
      <c r="V1800" t="s">
        <v>54</v>
      </c>
      <c r="W1800" t="s">
        <v>55</v>
      </c>
      <c r="X1800" t="s">
        <v>134</v>
      </c>
      <c r="Y1800" t="s">
        <v>1756</v>
      </c>
      <c r="Z1800" t="s">
        <v>5594</v>
      </c>
      <c r="AA1800" t="s">
        <v>54</v>
      </c>
      <c r="AB1800" t="s">
        <v>1757</v>
      </c>
      <c r="AC1800" t="s">
        <v>85</v>
      </c>
      <c r="AD1800" t="s">
        <v>52</v>
      </c>
      <c r="AE1800" t="s">
        <v>243</v>
      </c>
      <c r="AF1800" t="s">
        <v>244</v>
      </c>
      <c r="AG1800" t="s">
        <v>5594</v>
      </c>
      <c r="AK1800">
        <v>1</v>
      </c>
      <c r="AL1800" t="s">
        <v>61</v>
      </c>
      <c r="AM1800" t="s">
        <v>1757</v>
      </c>
      <c r="AN1800" t="s">
        <v>1758</v>
      </c>
    </row>
    <row r="1801" spans="1:40" x14ac:dyDescent="0.35">
      <c r="A1801" t="s">
        <v>37</v>
      </c>
      <c r="B1801" t="s">
        <v>7381</v>
      </c>
      <c r="C1801" t="s">
        <v>39</v>
      </c>
      <c r="D1801" t="s">
        <v>732</v>
      </c>
      <c r="E1801" t="s">
        <v>733</v>
      </c>
      <c r="F1801" s="1">
        <v>46073.423391203702</v>
      </c>
      <c r="G1801" t="s">
        <v>734</v>
      </c>
      <c r="H1801" t="s">
        <v>356</v>
      </c>
      <c r="I1801" t="s">
        <v>7382</v>
      </c>
      <c r="J1801" t="s">
        <v>4212</v>
      </c>
      <c r="K1801" t="s">
        <v>4213</v>
      </c>
      <c r="M1801" t="s">
        <v>47</v>
      </c>
      <c r="O1801" t="s">
        <v>77</v>
      </c>
      <c r="P1801" t="s">
        <v>78</v>
      </c>
      <c r="Q1801" t="s">
        <v>50</v>
      </c>
      <c r="R1801" t="s">
        <v>51</v>
      </c>
      <c r="S1801" t="s">
        <v>52</v>
      </c>
      <c r="T1801" t="s">
        <v>773</v>
      </c>
      <c r="U1801" s="1">
        <v>46073.600706018522</v>
      </c>
      <c r="V1801" t="s">
        <v>54</v>
      </c>
      <c r="W1801" t="s">
        <v>55</v>
      </c>
      <c r="X1801" t="s">
        <v>211</v>
      </c>
      <c r="Y1801" t="s">
        <v>7383</v>
      </c>
      <c r="Z1801" t="s">
        <v>5594</v>
      </c>
      <c r="AA1801" t="s">
        <v>54</v>
      </c>
      <c r="AB1801" t="s">
        <v>213</v>
      </c>
      <c r="AC1801" t="s">
        <v>85</v>
      </c>
      <c r="AD1801" t="s">
        <v>52</v>
      </c>
      <c r="AE1801" t="s">
        <v>243</v>
      </c>
      <c r="AF1801" t="s">
        <v>2533</v>
      </c>
      <c r="AG1801" t="s">
        <v>5594</v>
      </c>
      <c r="AH1801">
        <v>15860</v>
      </c>
      <c r="AK1801">
        <v>2</v>
      </c>
      <c r="AL1801" t="s">
        <v>61</v>
      </c>
      <c r="AM1801" t="s">
        <v>736</v>
      </c>
      <c r="AN1801" t="s">
        <v>737</v>
      </c>
    </row>
    <row r="1802" spans="1:40" x14ac:dyDescent="0.35">
      <c r="A1802" t="s">
        <v>37</v>
      </c>
      <c r="B1802" t="s">
        <v>7384</v>
      </c>
      <c r="C1802" t="s">
        <v>102</v>
      </c>
      <c r="D1802" t="s">
        <v>1698</v>
      </c>
      <c r="E1802" t="s">
        <v>584</v>
      </c>
      <c r="F1802" s="1">
        <v>46073.422314814816</v>
      </c>
      <c r="G1802" t="s">
        <v>105</v>
      </c>
      <c r="H1802" t="s">
        <v>106</v>
      </c>
      <c r="I1802" t="s">
        <v>7385</v>
      </c>
      <c r="J1802" t="s">
        <v>108</v>
      </c>
      <c r="K1802" t="s">
        <v>571</v>
      </c>
      <c r="M1802" t="s">
        <v>47</v>
      </c>
      <c r="O1802" t="s">
        <v>77</v>
      </c>
      <c r="P1802" t="s">
        <v>78</v>
      </c>
      <c r="Q1802" t="s">
        <v>50</v>
      </c>
      <c r="R1802" t="s">
        <v>111</v>
      </c>
      <c r="S1802" t="s">
        <v>51</v>
      </c>
      <c r="T1802" t="s">
        <v>112</v>
      </c>
      <c r="U1802" s="1">
        <v>46073.460196759261</v>
      </c>
      <c r="V1802" t="s">
        <v>54</v>
      </c>
      <c r="W1802" t="s">
        <v>55</v>
      </c>
      <c r="X1802" t="s">
        <v>134</v>
      </c>
      <c r="Y1802" t="s">
        <v>1680</v>
      </c>
      <c r="Z1802" t="s">
        <v>5594</v>
      </c>
      <c r="AA1802" t="s">
        <v>54</v>
      </c>
      <c r="AB1802" t="s">
        <v>1701</v>
      </c>
      <c r="AC1802" t="s">
        <v>85</v>
      </c>
      <c r="AD1802" t="s">
        <v>116</v>
      </c>
      <c r="AE1802" t="s">
        <v>574</v>
      </c>
      <c r="AF1802" t="s">
        <v>144</v>
      </c>
      <c r="AG1802" t="s">
        <v>5594</v>
      </c>
      <c r="AK1802">
        <v>1</v>
      </c>
      <c r="AL1802" t="s">
        <v>61</v>
      </c>
      <c r="AM1802" t="s">
        <v>1701</v>
      </c>
      <c r="AN1802" t="s">
        <v>1702</v>
      </c>
    </row>
    <row r="1803" spans="1:40" x14ac:dyDescent="0.35">
      <c r="A1803" t="s">
        <v>37</v>
      </c>
      <c r="B1803" t="s">
        <v>7386</v>
      </c>
      <c r="C1803" t="s">
        <v>39</v>
      </c>
      <c r="D1803" t="s">
        <v>2855</v>
      </c>
      <c r="E1803" t="s">
        <v>2856</v>
      </c>
      <c r="F1803" s="1">
        <v>46073.419953703706</v>
      </c>
      <c r="G1803" t="s">
        <v>355</v>
      </c>
      <c r="H1803" t="s">
        <v>356</v>
      </c>
      <c r="I1803" t="s">
        <v>7387</v>
      </c>
      <c r="J1803" t="s">
        <v>6869</v>
      </c>
      <c r="K1803" t="s">
        <v>6870</v>
      </c>
      <c r="M1803" t="s">
        <v>47</v>
      </c>
      <c r="O1803" t="s">
        <v>77</v>
      </c>
      <c r="P1803" t="s">
        <v>78</v>
      </c>
      <c r="Q1803" t="s">
        <v>50</v>
      </c>
      <c r="R1803" t="s">
        <v>51</v>
      </c>
      <c r="S1803" t="s">
        <v>819</v>
      </c>
      <c r="T1803" t="s">
        <v>6871</v>
      </c>
      <c r="U1803" s="1">
        <v>46073.505567129629</v>
      </c>
      <c r="V1803" t="s">
        <v>54</v>
      </c>
      <c r="W1803" t="s">
        <v>55</v>
      </c>
      <c r="X1803" t="s">
        <v>134</v>
      </c>
      <c r="Y1803" t="s">
        <v>6872</v>
      </c>
      <c r="Z1803" t="s">
        <v>5594</v>
      </c>
      <c r="AA1803" t="s">
        <v>54</v>
      </c>
      <c r="AB1803" t="s">
        <v>458</v>
      </c>
      <c r="AC1803" t="s">
        <v>85</v>
      </c>
      <c r="AD1803" t="s">
        <v>51</v>
      </c>
      <c r="AE1803" t="s">
        <v>819</v>
      </c>
      <c r="AF1803" t="s">
        <v>6871</v>
      </c>
      <c r="AG1803" t="s">
        <v>5594</v>
      </c>
      <c r="AH1803" t="s">
        <v>2863</v>
      </c>
      <c r="AK1803">
        <v>1</v>
      </c>
      <c r="AL1803" t="s">
        <v>61</v>
      </c>
      <c r="AM1803" t="s">
        <v>2864</v>
      </c>
      <c r="AN1803" t="s">
        <v>2865</v>
      </c>
    </row>
    <row r="1804" spans="1:40" x14ac:dyDescent="0.35">
      <c r="A1804" t="s">
        <v>37</v>
      </c>
      <c r="B1804" t="s">
        <v>7388</v>
      </c>
      <c r="C1804" t="s">
        <v>102</v>
      </c>
      <c r="D1804" t="s">
        <v>1698</v>
      </c>
      <c r="E1804" t="s">
        <v>584</v>
      </c>
      <c r="F1804" s="1">
        <v>46073.414629629631</v>
      </c>
      <c r="G1804" t="s">
        <v>105</v>
      </c>
      <c r="H1804" t="s">
        <v>106</v>
      </c>
      <c r="I1804" t="s">
        <v>7389</v>
      </c>
      <c r="J1804" t="s">
        <v>108</v>
      </c>
      <c r="K1804" t="s">
        <v>109</v>
      </c>
      <c r="M1804" t="s">
        <v>47</v>
      </c>
      <c r="O1804" t="s">
        <v>77</v>
      </c>
      <c r="P1804" t="s">
        <v>78</v>
      </c>
      <c r="Q1804" t="s">
        <v>50</v>
      </c>
      <c r="R1804" t="s">
        <v>111</v>
      </c>
      <c r="S1804" t="s">
        <v>51</v>
      </c>
      <c r="T1804" t="s">
        <v>112</v>
      </c>
      <c r="U1804" s="1">
        <v>46073.432893518519</v>
      </c>
      <c r="V1804" t="s">
        <v>54</v>
      </c>
      <c r="W1804" t="s">
        <v>55</v>
      </c>
      <c r="X1804" t="s">
        <v>134</v>
      </c>
      <c r="Y1804" t="s">
        <v>7390</v>
      </c>
      <c r="Z1804" t="s">
        <v>5594</v>
      </c>
      <c r="AA1804" t="s">
        <v>54</v>
      </c>
      <c r="AB1804" t="s">
        <v>1701</v>
      </c>
      <c r="AC1804" t="s">
        <v>85</v>
      </c>
      <c r="AD1804" t="s">
        <v>116</v>
      </c>
      <c r="AE1804" t="s">
        <v>117</v>
      </c>
      <c r="AF1804" t="s">
        <v>161</v>
      </c>
      <c r="AG1804" t="s">
        <v>5594</v>
      </c>
      <c r="AK1804">
        <v>1</v>
      </c>
      <c r="AL1804" t="s">
        <v>61</v>
      </c>
      <c r="AM1804" t="s">
        <v>1701</v>
      </c>
      <c r="AN1804" t="s">
        <v>1702</v>
      </c>
    </row>
    <row r="1805" spans="1:40" x14ac:dyDescent="0.35">
      <c r="A1805" t="s">
        <v>37</v>
      </c>
      <c r="B1805" t="s">
        <v>7391</v>
      </c>
      <c r="C1805" t="s">
        <v>39</v>
      </c>
      <c r="D1805" t="s">
        <v>7392</v>
      </c>
      <c r="E1805" t="s">
        <v>3010</v>
      </c>
      <c r="F1805" s="1">
        <v>46073.413726851853</v>
      </c>
      <c r="G1805" t="s">
        <v>42</v>
      </c>
      <c r="H1805" t="s">
        <v>43</v>
      </c>
      <c r="I1805" t="s">
        <v>3451</v>
      </c>
      <c r="J1805" t="s">
        <v>3423</v>
      </c>
      <c r="K1805" t="s">
        <v>75</v>
      </c>
      <c r="M1805" t="s">
        <v>47</v>
      </c>
      <c r="O1805" t="s">
        <v>77</v>
      </c>
      <c r="P1805" t="s">
        <v>78</v>
      </c>
      <c r="Q1805" t="s">
        <v>7393</v>
      </c>
      <c r="R1805" t="s">
        <v>79</v>
      </c>
      <c r="S1805" t="s">
        <v>1078</v>
      </c>
      <c r="T1805" t="s">
        <v>1078</v>
      </c>
      <c r="U1805" s="1">
        <v>46073.4455787037</v>
      </c>
      <c r="V1805" t="s">
        <v>54</v>
      </c>
      <c r="W1805" t="s">
        <v>55</v>
      </c>
      <c r="X1805" t="s">
        <v>82</v>
      </c>
      <c r="Y1805" t="s">
        <v>3452</v>
      </c>
      <c r="Z1805" t="s">
        <v>5594</v>
      </c>
      <c r="AA1805" t="s">
        <v>54</v>
      </c>
      <c r="AB1805" t="s">
        <v>3425</v>
      </c>
      <c r="AC1805" t="s">
        <v>85</v>
      </c>
      <c r="AD1805" t="s">
        <v>79</v>
      </c>
      <c r="AE1805" t="s">
        <v>1078</v>
      </c>
      <c r="AF1805" t="s">
        <v>1078</v>
      </c>
      <c r="AG1805" t="s">
        <v>5594</v>
      </c>
      <c r="AH1805">
        <v>9892</v>
      </c>
      <c r="AK1805">
        <v>0</v>
      </c>
      <c r="AL1805" t="s">
        <v>410</v>
      </c>
      <c r="AM1805" t="s">
        <v>7394</v>
      </c>
      <c r="AN1805" t="s">
        <v>7395</v>
      </c>
    </row>
    <row r="1806" spans="1:40" x14ac:dyDescent="0.35">
      <c r="A1806" t="s">
        <v>37</v>
      </c>
      <c r="B1806" t="s">
        <v>7396</v>
      </c>
      <c r="C1806" t="s">
        <v>39</v>
      </c>
      <c r="D1806" t="s">
        <v>40</v>
      </c>
      <c r="E1806" t="s">
        <v>41</v>
      </c>
      <c r="F1806" s="1">
        <v>46073.411516203705</v>
      </c>
      <c r="G1806" t="s">
        <v>42</v>
      </c>
      <c r="H1806" t="s">
        <v>43</v>
      </c>
      <c r="I1806" t="s">
        <v>7397</v>
      </c>
      <c r="J1806" t="s">
        <v>45</v>
      </c>
      <c r="K1806" t="s">
        <v>46</v>
      </c>
      <c r="M1806" t="s">
        <v>47</v>
      </c>
      <c r="O1806" t="s">
        <v>48</v>
      </c>
      <c r="P1806" t="s">
        <v>49</v>
      </c>
      <c r="Q1806" t="s">
        <v>50</v>
      </c>
      <c r="R1806" t="s">
        <v>51</v>
      </c>
      <c r="S1806" t="s">
        <v>52</v>
      </c>
      <c r="T1806" t="s">
        <v>53</v>
      </c>
      <c r="U1806" s="1">
        <v>46073.412395833337</v>
      </c>
      <c r="V1806" t="s">
        <v>54</v>
      </c>
      <c r="W1806" t="s">
        <v>55</v>
      </c>
      <c r="X1806" t="s">
        <v>56</v>
      </c>
      <c r="Y1806" t="s">
        <v>57</v>
      </c>
      <c r="Z1806" t="s">
        <v>5594</v>
      </c>
      <c r="AA1806" t="s">
        <v>54</v>
      </c>
      <c r="AB1806" t="s">
        <v>59</v>
      </c>
      <c r="AC1806" t="s">
        <v>60</v>
      </c>
      <c r="AD1806" t="s">
        <v>51</v>
      </c>
      <c r="AE1806" t="s">
        <v>52</v>
      </c>
      <c r="AF1806" t="s">
        <v>53</v>
      </c>
      <c r="AG1806" t="s">
        <v>5594</v>
      </c>
      <c r="AK1806">
        <v>0</v>
      </c>
      <c r="AL1806" t="s">
        <v>61</v>
      </c>
      <c r="AM1806" t="s">
        <v>59</v>
      </c>
      <c r="AN1806" t="s">
        <v>62</v>
      </c>
    </row>
    <row r="1807" spans="1:40" x14ac:dyDescent="0.35">
      <c r="A1807" t="s">
        <v>37</v>
      </c>
      <c r="B1807" t="s">
        <v>7398</v>
      </c>
      <c r="C1807" t="s">
        <v>39</v>
      </c>
      <c r="D1807" t="s">
        <v>747</v>
      </c>
      <c r="E1807" t="s">
        <v>7399</v>
      </c>
      <c r="F1807" s="1">
        <v>46073.410995370374</v>
      </c>
      <c r="G1807" t="s">
        <v>250</v>
      </c>
      <c r="H1807" t="s">
        <v>106</v>
      </c>
      <c r="I1807" t="s">
        <v>5051</v>
      </c>
      <c r="J1807" t="s">
        <v>695</v>
      </c>
      <c r="K1807" t="s">
        <v>75</v>
      </c>
      <c r="M1807" t="s">
        <v>47</v>
      </c>
      <c r="O1807" t="s">
        <v>77</v>
      </c>
      <c r="P1807" t="s">
        <v>78</v>
      </c>
      <c r="Q1807" t="s">
        <v>5224</v>
      </c>
      <c r="R1807" t="s">
        <v>79</v>
      </c>
      <c r="S1807" t="s">
        <v>172</v>
      </c>
      <c r="T1807" t="s">
        <v>5052</v>
      </c>
      <c r="U1807" s="1">
        <v>46073.411550925928</v>
      </c>
      <c r="V1807" t="s">
        <v>54</v>
      </c>
      <c r="W1807" t="s">
        <v>55</v>
      </c>
      <c r="X1807" t="s">
        <v>82</v>
      </c>
      <c r="Y1807" t="s">
        <v>7400</v>
      </c>
      <c r="Z1807" t="s">
        <v>5594</v>
      </c>
      <c r="AA1807" t="s">
        <v>54</v>
      </c>
      <c r="AB1807" t="s">
        <v>698</v>
      </c>
      <c r="AC1807" t="s">
        <v>85</v>
      </c>
      <c r="AD1807" t="s">
        <v>79</v>
      </c>
      <c r="AE1807" t="s">
        <v>172</v>
      </c>
      <c r="AF1807" t="s">
        <v>5054</v>
      </c>
      <c r="AG1807" t="s">
        <v>5594</v>
      </c>
      <c r="AH1807">
        <v>581</v>
      </c>
      <c r="AK1807">
        <v>0</v>
      </c>
      <c r="AL1807" t="s">
        <v>61</v>
      </c>
      <c r="AM1807" t="s">
        <v>7401</v>
      </c>
      <c r="AN1807" t="s">
        <v>7402</v>
      </c>
    </row>
    <row r="1808" spans="1:40" x14ac:dyDescent="0.35">
      <c r="A1808" t="s">
        <v>37</v>
      </c>
      <c r="B1808" t="s">
        <v>7403</v>
      </c>
      <c r="C1808" t="s">
        <v>102</v>
      </c>
      <c r="D1808" t="s">
        <v>1698</v>
      </c>
      <c r="E1808" t="s">
        <v>584</v>
      </c>
      <c r="F1808" s="1">
        <v>46073.410439814812</v>
      </c>
      <c r="G1808" t="s">
        <v>105</v>
      </c>
      <c r="H1808" t="s">
        <v>106</v>
      </c>
      <c r="I1808" t="s">
        <v>7389</v>
      </c>
      <c r="J1808" t="s">
        <v>108</v>
      </c>
      <c r="K1808" t="s">
        <v>109</v>
      </c>
      <c r="M1808" t="s">
        <v>47</v>
      </c>
      <c r="O1808" t="s">
        <v>77</v>
      </c>
      <c r="P1808" t="s">
        <v>78</v>
      </c>
      <c r="Q1808" t="s">
        <v>50</v>
      </c>
      <c r="R1808" t="s">
        <v>111</v>
      </c>
      <c r="S1808" t="s">
        <v>51</v>
      </c>
      <c r="T1808" t="s">
        <v>112</v>
      </c>
      <c r="U1808" s="1">
        <v>46073.432476851849</v>
      </c>
      <c r="V1808" t="s">
        <v>54</v>
      </c>
      <c r="W1808" t="s">
        <v>55</v>
      </c>
      <c r="X1808" t="s">
        <v>134</v>
      </c>
      <c r="Y1808" t="s">
        <v>7404</v>
      </c>
      <c r="Z1808" t="s">
        <v>5594</v>
      </c>
      <c r="AA1808" t="s">
        <v>54</v>
      </c>
      <c r="AB1808" t="s">
        <v>1701</v>
      </c>
      <c r="AC1808" t="s">
        <v>85</v>
      </c>
      <c r="AD1808" t="s">
        <v>116</v>
      </c>
      <c r="AE1808" t="s">
        <v>117</v>
      </c>
      <c r="AF1808" t="s">
        <v>161</v>
      </c>
      <c r="AG1808" t="s">
        <v>5594</v>
      </c>
      <c r="AK1808">
        <v>1</v>
      </c>
      <c r="AL1808" t="s">
        <v>61</v>
      </c>
      <c r="AM1808" t="s">
        <v>1701</v>
      </c>
      <c r="AN1808" t="s">
        <v>1702</v>
      </c>
    </row>
    <row r="1809" spans="1:40" x14ac:dyDescent="0.35">
      <c r="A1809" t="s">
        <v>37</v>
      </c>
      <c r="B1809" t="s">
        <v>7405</v>
      </c>
      <c r="C1809" t="s">
        <v>102</v>
      </c>
      <c r="D1809" t="s">
        <v>6285</v>
      </c>
      <c r="E1809" t="s">
        <v>6286</v>
      </c>
      <c r="F1809" s="1">
        <v>46073.411041666666</v>
      </c>
      <c r="G1809" t="s">
        <v>105</v>
      </c>
      <c r="H1809" t="s">
        <v>106</v>
      </c>
      <c r="I1809" t="s">
        <v>7406</v>
      </c>
      <c r="J1809" t="s">
        <v>108</v>
      </c>
      <c r="K1809" t="s">
        <v>109</v>
      </c>
      <c r="M1809" t="s">
        <v>47</v>
      </c>
      <c r="O1809" t="s">
        <v>77</v>
      </c>
      <c r="P1809" t="s">
        <v>78</v>
      </c>
      <c r="Q1809" t="s">
        <v>50</v>
      </c>
      <c r="R1809" t="s">
        <v>111</v>
      </c>
      <c r="S1809" t="s">
        <v>51</v>
      </c>
      <c r="T1809" t="s">
        <v>1583</v>
      </c>
      <c r="U1809" s="1">
        <v>46073.462858796294</v>
      </c>
      <c r="V1809" t="s">
        <v>54</v>
      </c>
      <c r="W1809" t="s">
        <v>55</v>
      </c>
      <c r="X1809" t="s">
        <v>113</v>
      </c>
      <c r="Y1809" t="s">
        <v>7407</v>
      </c>
      <c r="Z1809" t="s">
        <v>5594</v>
      </c>
      <c r="AA1809" t="s">
        <v>54</v>
      </c>
      <c r="AB1809" t="s">
        <v>115</v>
      </c>
      <c r="AC1809" t="s">
        <v>85</v>
      </c>
      <c r="AD1809" t="s">
        <v>116</v>
      </c>
      <c r="AE1809" t="s">
        <v>1586</v>
      </c>
      <c r="AF1809" t="s">
        <v>5119</v>
      </c>
      <c r="AG1809" t="s">
        <v>5594</v>
      </c>
      <c r="AH1809" t="s">
        <v>6288</v>
      </c>
      <c r="AK1809">
        <v>1</v>
      </c>
      <c r="AL1809" t="s">
        <v>61</v>
      </c>
      <c r="AM1809" t="s">
        <v>6289</v>
      </c>
      <c r="AN1809" t="s">
        <v>6290</v>
      </c>
    </row>
    <row r="1810" spans="1:40" x14ac:dyDescent="0.35">
      <c r="A1810" t="s">
        <v>37</v>
      </c>
      <c r="B1810" t="s">
        <v>7408</v>
      </c>
      <c r="C1810" t="s">
        <v>102</v>
      </c>
      <c r="D1810" t="s">
        <v>617</v>
      </c>
      <c r="E1810" t="s">
        <v>618</v>
      </c>
      <c r="F1810" s="1">
        <v>46073.409837962965</v>
      </c>
      <c r="G1810" t="s">
        <v>286</v>
      </c>
      <c r="H1810" t="s">
        <v>287</v>
      </c>
      <c r="I1810" t="s">
        <v>7409</v>
      </c>
      <c r="J1810" t="s">
        <v>620</v>
      </c>
      <c r="K1810" t="s">
        <v>130</v>
      </c>
      <c r="M1810" t="s">
        <v>47</v>
      </c>
      <c r="O1810" t="s">
        <v>77</v>
      </c>
      <c r="P1810" t="s">
        <v>78</v>
      </c>
      <c r="Q1810" t="s">
        <v>50</v>
      </c>
      <c r="R1810" t="s">
        <v>132</v>
      </c>
      <c r="S1810" t="s">
        <v>133</v>
      </c>
      <c r="T1810" t="s">
        <v>133</v>
      </c>
      <c r="U1810" s="1">
        <v>46073.4450462963</v>
      </c>
      <c r="V1810" t="s">
        <v>54</v>
      </c>
      <c r="W1810" t="s">
        <v>55</v>
      </c>
      <c r="X1810" t="s">
        <v>134</v>
      </c>
      <c r="Y1810" t="s">
        <v>7410</v>
      </c>
      <c r="Z1810" t="s">
        <v>5594</v>
      </c>
      <c r="AA1810" t="s">
        <v>54</v>
      </c>
      <c r="AB1810" t="s">
        <v>622</v>
      </c>
      <c r="AC1810" t="s">
        <v>85</v>
      </c>
      <c r="AD1810" t="s">
        <v>132</v>
      </c>
      <c r="AE1810" t="s">
        <v>133</v>
      </c>
      <c r="AF1810" t="s">
        <v>133</v>
      </c>
      <c r="AG1810" t="s">
        <v>5594</v>
      </c>
      <c r="AH1810" t="s">
        <v>623</v>
      </c>
      <c r="AK1810">
        <v>1</v>
      </c>
      <c r="AL1810" t="s">
        <v>61</v>
      </c>
      <c r="AM1810" t="s">
        <v>622</v>
      </c>
      <c r="AN1810" t="s">
        <v>624</v>
      </c>
    </row>
    <row r="1811" spans="1:40" x14ac:dyDescent="0.35">
      <c r="A1811" t="s">
        <v>37</v>
      </c>
      <c r="B1811" t="s">
        <v>7411</v>
      </c>
      <c r="C1811" t="s">
        <v>102</v>
      </c>
      <c r="D1811" t="s">
        <v>747</v>
      </c>
      <c r="E1811" t="s">
        <v>7399</v>
      </c>
      <c r="F1811" s="1">
        <v>46073.410208333335</v>
      </c>
      <c r="G1811" t="s">
        <v>250</v>
      </c>
      <c r="H1811" t="s">
        <v>106</v>
      </c>
      <c r="I1811" t="s">
        <v>7412</v>
      </c>
      <c r="J1811" t="s">
        <v>695</v>
      </c>
      <c r="K1811" t="s">
        <v>75</v>
      </c>
      <c r="M1811" t="s">
        <v>76</v>
      </c>
      <c r="O1811" t="s">
        <v>237</v>
      </c>
      <c r="P1811" t="s">
        <v>238</v>
      </c>
      <c r="Q1811" t="s">
        <v>5224</v>
      </c>
      <c r="R1811" t="s">
        <v>51</v>
      </c>
      <c r="S1811" t="s">
        <v>52</v>
      </c>
      <c r="T1811" t="s">
        <v>240</v>
      </c>
      <c r="U1811" s="1">
        <v>46077.462627314817</v>
      </c>
      <c r="V1811" t="s">
        <v>54</v>
      </c>
      <c r="W1811" t="s">
        <v>55</v>
      </c>
      <c r="X1811" t="s">
        <v>82</v>
      </c>
      <c r="Y1811" t="s">
        <v>4598</v>
      </c>
      <c r="Z1811" t="s">
        <v>58</v>
      </c>
      <c r="AA1811" t="s">
        <v>54</v>
      </c>
      <c r="AB1811" t="s">
        <v>698</v>
      </c>
      <c r="AC1811" t="s">
        <v>242</v>
      </c>
      <c r="AD1811" t="s">
        <v>51</v>
      </c>
      <c r="AE1811" t="s">
        <v>52</v>
      </c>
      <c r="AF1811" t="s">
        <v>240</v>
      </c>
      <c r="AG1811" t="s">
        <v>58</v>
      </c>
      <c r="AH1811">
        <v>581</v>
      </c>
      <c r="AK1811">
        <v>2</v>
      </c>
      <c r="AL1811" t="s">
        <v>61</v>
      </c>
      <c r="AM1811" t="s">
        <v>7401</v>
      </c>
      <c r="AN1811" t="s">
        <v>7402</v>
      </c>
    </row>
    <row r="1812" spans="1:40" x14ac:dyDescent="0.35">
      <c r="A1812" t="s">
        <v>37</v>
      </c>
      <c r="B1812" t="s">
        <v>7413</v>
      </c>
      <c r="C1812" t="s">
        <v>39</v>
      </c>
      <c r="D1812" t="s">
        <v>1751</v>
      </c>
      <c r="E1812" t="s">
        <v>1316</v>
      </c>
      <c r="F1812" s="1">
        <v>46073.40761574074</v>
      </c>
      <c r="G1812" t="s">
        <v>1752</v>
      </c>
      <c r="H1812" t="s">
        <v>447</v>
      </c>
      <c r="I1812" t="s">
        <v>7414</v>
      </c>
      <c r="J1812" t="s">
        <v>1754</v>
      </c>
      <c r="K1812" t="s">
        <v>1755</v>
      </c>
      <c r="M1812" t="s">
        <v>47</v>
      </c>
      <c r="O1812" t="s">
        <v>77</v>
      </c>
      <c r="P1812" t="s">
        <v>78</v>
      </c>
      <c r="Q1812" t="s">
        <v>50</v>
      </c>
      <c r="R1812" t="s">
        <v>51</v>
      </c>
      <c r="S1812" t="s">
        <v>52</v>
      </c>
      <c r="T1812" t="s">
        <v>773</v>
      </c>
      <c r="U1812" s="1">
        <v>46074.976423611108</v>
      </c>
      <c r="V1812" t="s">
        <v>54</v>
      </c>
      <c r="W1812" t="s">
        <v>55</v>
      </c>
      <c r="X1812" t="s">
        <v>134</v>
      </c>
      <c r="Y1812" t="s">
        <v>7415</v>
      </c>
      <c r="Z1812" t="s">
        <v>5594</v>
      </c>
      <c r="AA1812" t="s">
        <v>54</v>
      </c>
      <c r="AB1812" t="s">
        <v>1757</v>
      </c>
      <c r="AC1812" t="s">
        <v>85</v>
      </c>
      <c r="AD1812" t="s">
        <v>52</v>
      </c>
      <c r="AE1812" t="s">
        <v>243</v>
      </c>
      <c r="AF1812" t="s">
        <v>409</v>
      </c>
      <c r="AG1812" t="s">
        <v>5594</v>
      </c>
      <c r="AK1812">
        <v>1</v>
      </c>
      <c r="AL1812" t="s">
        <v>61</v>
      </c>
      <c r="AM1812" t="s">
        <v>1757</v>
      </c>
      <c r="AN1812" t="s">
        <v>1758</v>
      </c>
    </row>
    <row r="1813" spans="1:40" x14ac:dyDescent="0.35">
      <c r="A1813" t="s">
        <v>37</v>
      </c>
      <c r="B1813" t="s">
        <v>7416</v>
      </c>
      <c r="C1813" t="s">
        <v>102</v>
      </c>
      <c r="D1813" t="s">
        <v>7417</v>
      </c>
      <c r="E1813" t="s">
        <v>7418</v>
      </c>
      <c r="F1813" s="1">
        <v>46073.406238425923</v>
      </c>
      <c r="G1813" t="s">
        <v>1249</v>
      </c>
      <c r="H1813" t="s">
        <v>233</v>
      </c>
      <c r="I1813" t="s">
        <v>7419</v>
      </c>
      <c r="J1813" t="s">
        <v>235</v>
      </c>
      <c r="K1813" t="s">
        <v>236</v>
      </c>
      <c r="M1813" t="s">
        <v>47</v>
      </c>
      <c r="O1813" t="s">
        <v>237</v>
      </c>
      <c r="P1813" t="s">
        <v>238</v>
      </c>
      <c r="Q1813" t="s">
        <v>50</v>
      </c>
      <c r="R1813" t="s">
        <v>51</v>
      </c>
      <c r="S1813" t="s">
        <v>52</v>
      </c>
      <c r="T1813" t="s">
        <v>240</v>
      </c>
      <c r="U1813" s="1">
        <v>46074.173252314817</v>
      </c>
      <c r="V1813" t="s">
        <v>54</v>
      </c>
      <c r="W1813" t="s">
        <v>55</v>
      </c>
      <c r="X1813" t="s">
        <v>211</v>
      </c>
      <c r="Y1813" t="s">
        <v>7420</v>
      </c>
      <c r="Z1813" t="s">
        <v>5594</v>
      </c>
      <c r="AA1813" t="s">
        <v>54</v>
      </c>
      <c r="AB1813" t="s">
        <v>213</v>
      </c>
      <c r="AC1813" t="s">
        <v>242</v>
      </c>
      <c r="AD1813" t="s">
        <v>52</v>
      </c>
      <c r="AE1813" t="s">
        <v>243</v>
      </c>
      <c r="AF1813" t="s">
        <v>244</v>
      </c>
      <c r="AG1813" t="s">
        <v>5594</v>
      </c>
      <c r="AH1813">
        <v>15196</v>
      </c>
      <c r="AK1813">
        <v>1</v>
      </c>
      <c r="AL1813" t="s">
        <v>61</v>
      </c>
      <c r="AM1813" t="s">
        <v>7421</v>
      </c>
      <c r="AN1813" t="s">
        <v>7422</v>
      </c>
    </row>
    <row r="1814" spans="1:40" x14ac:dyDescent="0.35">
      <c r="A1814" t="s">
        <v>37</v>
      </c>
      <c r="B1814" t="s">
        <v>7423</v>
      </c>
      <c r="C1814" t="s">
        <v>39</v>
      </c>
      <c r="D1814" t="s">
        <v>4378</v>
      </c>
      <c r="E1814" t="s">
        <v>4379</v>
      </c>
      <c r="F1814" s="1">
        <v>46073.405925925923</v>
      </c>
      <c r="G1814" t="s">
        <v>250</v>
      </c>
      <c r="H1814" t="s">
        <v>106</v>
      </c>
      <c r="I1814" t="s">
        <v>7424</v>
      </c>
      <c r="J1814" t="s">
        <v>435</v>
      </c>
      <c r="K1814" t="s">
        <v>436</v>
      </c>
      <c r="M1814" t="s">
        <v>76</v>
      </c>
      <c r="O1814" t="s">
        <v>237</v>
      </c>
      <c r="P1814" t="s">
        <v>238</v>
      </c>
      <c r="Q1814" t="s">
        <v>50</v>
      </c>
      <c r="R1814" t="s">
        <v>51</v>
      </c>
      <c r="S1814" t="s">
        <v>52</v>
      </c>
      <c r="T1814" t="s">
        <v>240</v>
      </c>
      <c r="U1814" s="1">
        <v>46076.386319444442</v>
      </c>
      <c r="V1814" t="s">
        <v>54</v>
      </c>
      <c r="W1814" t="s">
        <v>55</v>
      </c>
      <c r="X1814" t="s">
        <v>211</v>
      </c>
      <c r="Y1814" t="s">
        <v>1059</v>
      </c>
      <c r="Z1814" t="s">
        <v>58</v>
      </c>
      <c r="AA1814" t="s">
        <v>54</v>
      </c>
      <c r="AB1814" t="s">
        <v>213</v>
      </c>
      <c r="AC1814" t="s">
        <v>242</v>
      </c>
      <c r="AD1814" t="s">
        <v>52</v>
      </c>
      <c r="AE1814" t="s">
        <v>438</v>
      </c>
      <c r="AF1814" t="s">
        <v>439</v>
      </c>
      <c r="AG1814" t="s">
        <v>58</v>
      </c>
      <c r="AH1814" t="s">
        <v>4382</v>
      </c>
      <c r="AK1814">
        <v>1</v>
      </c>
      <c r="AL1814" t="s">
        <v>61</v>
      </c>
      <c r="AM1814" t="s">
        <v>4383</v>
      </c>
      <c r="AN1814" t="s">
        <v>4384</v>
      </c>
    </row>
    <row r="1815" spans="1:40" x14ac:dyDescent="0.35">
      <c r="A1815" t="s">
        <v>37</v>
      </c>
      <c r="B1815" t="s">
        <v>7425</v>
      </c>
      <c r="C1815" t="s">
        <v>39</v>
      </c>
      <c r="D1815" t="s">
        <v>127</v>
      </c>
      <c r="E1815" t="s">
        <v>7426</v>
      </c>
      <c r="F1815" s="1">
        <v>46073.405474537038</v>
      </c>
      <c r="G1815" t="s">
        <v>913</v>
      </c>
      <c r="H1815" t="s">
        <v>72</v>
      </c>
      <c r="I1815" t="s">
        <v>7427</v>
      </c>
      <c r="J1815" t="s">
        <v>1833</v>
      </c>
      <c r="K1815" t="s">
        <v>1834</v>
      </c>
      <c r="M1815" t="s">
        <v>76</v>
      </c>
      <c r="O1815" t="s">
        <v>77</v>
      </c>
      <c r="P1815" t="s">
        <v>78</v>
      </c>
      <c r="Q1815" t="s">
        <v>50</v>
      </c>
      <c r="R1815" t="s">
        <v>51</v>
      </c>
      <c r="S1815" t="s">
        <v>52</v>
      </c>
      <c r="T1815" t="s">
        <v>240</v>
      </c>
      <c r="U1815" s="1">
        <v>46078.963692129626</v>
      </c>
      <c r="V1815" t="s">
        <v>54</v>
      </c>
      <c r="W1815" t="s">
        <v>55</v>
      </c>
      <c r="X1815" t="s">
        <v>134</v>
      </c>
      <c r="Y1815" t="s">
        <v>5160</v>
      </c>
      <c r="Z1815" t="s">
        <v>58</v>
      </c>
      <c r="AA1815" t="s">
        <v>54</v>
      </c>
      <c r="AB1815" t="s">
        <v>1836</v>
      </c>
      <c r="AC1815" t="s">
        <v>85</v>
      </c>
      <c r="AD1815" t="s">
        <v>52</v>
      </c>
      <c r="AE1815" t="s">
        <v>243</v>
      </c>
      <c r="AF1815" t="s">
        <v>244</v>
      </c>
      <c r="AG1815" t="s">
        <v>58</v>
      </c>
      <c r="AH1815">
        <v>15967</v>
      </c>
      <c r="AK1815">
        <v>0</v>
      </c>
      <c r="AL1815" t="s">
        <v>61</v>
      </c>
      <c r="AM1815" t="s">
        <v>7428</v>
      </c>
      <c r="AN1815" t="s">
        <v>7429</v>
      </c>
    </row>
    <row r="1816" spans="1:40" x14ac:dyDescent="0.35">
      <c r="A1816" t="s">
        <v>37</v>
      </c>
      <c r="B1816" t="s">
        <v>7430</v>
      </c>
      <c r="C1816" t="s">
        <v>39</v>
      </c>
      <c r="D1816" t="s">
        <v>1885</v>
      </c>
      <c r="E1816" t="s">
        <v>1886</v>
      </c>
      <c r="F1816" s="1">
        <v>46073.406886574077</v>
      </c>
      <c r="G1816" t="s">
        <v>355</v>
      </c>
      <c r="H1816" t="s">
        <v>356</v>
      </c>
      <c r="I1816" t="s">
        <v>7431</v>
      </c>
      <c r="J1816" t="s">
        <v>7432</v>
      </c>
      <c r="K1816" t="s">
        <v>7433</v>
      </c>
      <c r="M1816" t="s">
        <v>47</v>
      </c>
      <c r="O1816" t="s">
        <v>77</v>
      </c>
      <c r="P1816" t="s">
        <v>78</v>
      </c>
      <c r="Q1816" t="s">
        <v>50</v>
      </c>
      <c r="R1816" t="s">
        <v>51</v>
      </c>
      <c r="S1816" t="s">
        <v>240</v>
      </c>
      <c r="T1816" t="s">
        <v>1888</v>
      </c>
      <c r="U1816" s="1">
        <v>46073.408125000002</v>
      </c>
      <c r="V1816" t="s">
        <v>54</v>
      </c>
      <c r="W1816" t="s">
        <v>55</v>
      </c>
      <c r="X1816" t="s">
        <v>134</v>
      </c>
      <c r="Y1816" t="s">
        <v>7434</v>
      </c>
      <c r="Z1816" t="s">
        <v>5594</v>
      </c>
      <c r="AA1816" t="s">
        <v>54</v>
      </c>
      <c r="AB1816" t="s">
        <v>7435</v>
      </c>
      <c r="AC1816" t="s">
        <v>85</v>
      </c>
      <c r="AD1816" t="s">
        <v>51</v>
      </c>
      <c r="AE1816" t="s">
        <v>240</v>
      </c>
      <c r="AF1816" t="s">
        <v>1888</v>
      </c>
      <c r="AG1816" t="s">
        <v>5594</v>
      </c>
      <c r="AH1816" t="s">
        <v>1892</v>
      </c>
      <c r="AK1816">
        <v>0</v>
      </c>
      <c r="AL1816" t="s">
        <v>61</v>
      </c>
      <c r="AM1816" t="s">
        <v>1890</v>
      </c>
      <c r="AN1816" t="s">
        <v>1893</v>
      </c>
    </row>
    <row r="1817" spans="1:40" x14ac:dyDescent="0.35">
      <c r="A1817" t="s">
        <v>37</v>
      </c>
      <c r="B1817" t="s">
        <v>7436</v>
      </c>
      <c r="C1817" t="s">
        <v>102</v>
      </c>
      <c r="D1817" t="s">
        <v>1537</v>
      </c>
      <c r="E1817" t="s">
        <v>1538</v>
      </c>
      <c r="F1817" s="1">
        <v>46073.404907407406</v>
      </c>
      <c r="G1817" t="s">
        <v>105</v>
      </c>
      <c r="H1817" t="s">
        <v>106</v>
      </c>
      <c r="I1817" t="s">
        <v>7389</v>
      </c>
      <c r="J1817" t="s">
        <v>108</v>
      </c>
      <c r="K1817" t="s">
        <v>341</v>
      </c>
      <c r="M1817" t="s">
        <v>47</v>
      </c>
      <c r="O1817" t="s">
        <v>77</v>
      </c>
      <c r="P1817" t="s">
        <v>78</v>
      </c>
      <c r="Q1817" t="s">
        <v>50</v>
      </c>
      <c r="R1817" t="s">
        <v>111</v>
      </c>
      <c r="S1817" t="s">
        <v>51</v>
      </c>
      <c r="T1817" t="s">
        <v>112</v>
      </c>
      <c r="U1817" s="1">
        <v>46073.661736111113</v>
      </c>
      <c r="V1817" t="s">
        <v>54</v>
      </c>
      <c r="X1817" t="s">
        <v>113</v>
      </c>
      <c r="Y1817" t="s">
        <v>7437</v>
      </c>
      <c r="Z1817" t="s">
        <v>5594</v>
      </c>
      <c r="AA1817" t="s">
        <v>54</v>
      </c>
      <c r="AB1817" t="s">
        <v>115</v>
      </c>
      <c r="AC1817" t="s">
        <v>85</v>
      </c>
      <c r="AD1817" t="s">
        <v>116</v>
      </c>
      <c r="AE1817" t="s">
        <v>117</v>
      </c>
      <c r="AF1817" t="s">
        <v>343</v>
      </c>
      <c r="AG1817" t="s">
        <v>5594</v>
      </c>
      <c r="AH1817">
        <v>14840</v>
      </c>
      <c r="AK1817">
        <v>1</v>
      </c>
      <c r="AL1817" t="s">
        <v>61</v>
      </c>
      <c r="AM1817" t="s">
        <v>1542</v>
      </c>
      <c r="AN1817" t="s">
        <v>1543</v>
      </c>
    </row>
    <row r="1818" spans="1:40" x14ac:dyDescent="0.35">
      <c r="A1818" t="s">
        <v>37</v>
      </c>
      <c r="B1818" t="s">
        <v>7438</v>
      </c>
      <c r="C1818" t="s">
        <v>39</v>
      </c>
      <c r="D1818" t="s">
        <v>7439</v>
      </c>
      <c r="E1818" t="s">
        <v>7440</v>
      </c>
      <c r="F1818" s="1">
        <v>46073.403969907406</v>
      </c>
      <c r="G1818" t="s">
        <v>1249</v>
      </c>
      <c r="H1818" t="s">
        <v>233</v>
      </c>
      <c r="I1818" t="s">
        <v>205</v>
      </c>
      <c r="J1818" t="s">
        <v>7089</v>
      </c>
      <c r="K1818" t="s">
        <v>207</v>
      </c>
      <c r="M1818" t="s">
        <v>47</v>
      </c>
      <c r="O1818" t="s">
        <v>77</v>
      </c>
      <c r="P1818" t="s">
        <v>78</v>
      </c>
      <c r="Q1818" t="s">
        <v>50</v>
      </c>
      <c r="R1818" t="s">
        <v>208</v>
      </c>
      <c r="S1818" t="s">
        <v>209</v>
      </c>
      <c r="T1818" t="s">
        <v>210</v>
      </c>
      <c r="U1818" s="1">
        <v>46073.493263888886</v>
      </c>
      <c r="V1818" t="s">
        <v>54</v>
      </c>
      <c r="W1818" t="s">
        <v>55</v>
      </c>
      <c r="X1818" t="s">
        <v>211</v>
      </c>
      <c r="Y1818" t="s">
        <v>7090</v>
      </c>
      <c r="Z1818" t="s">
        <v>5594</v>
      </c>
      <c r="AA1818" t="s">
        <v>54</v>
      </c>
      <c r="AB1818" t="s">
        <v>213</v>
      </c>
      <c r="AC1818" t="s">
        <v>85</v>
      </c>
      <c r="AD1818" t="s">
        <v>214</v>
      </c>
      <c r="AE1818" t="s">
        <v>215</v>
      </c>
      <c r="AF1818" t="s">
        <v>216</v>
      </c>
      <c r="AG1818" t="s">
        <v>5594</v>
      </c>
      <c r="AH1818">
        <v>13469</v>
      </c>
      <c r="AK1818">
        <v>1</v>
      </c>
      <c r="AL1818" t="s">
        <v>61</v>
      </c>
      <c r="AM1818" t="s">
        <v>7441</v>
      </c>
      <c r="AN1818" t="s">
        <v>7442</v>
      </c>
    </row>
    <row r="1819" spans="1:40" x14ac:dyDescent="0.35">
      <c r="A1819" t="s">
        <v>37</v>
      </c>
      <c r="B1819" t="s">
        <v>7443</v>
      </c>
      <c r="C1819" t="s">
        <v>39</v>
      </c>
      <c r="D1819" t="s">
        <v>7204</v>
      </c>
      <c r="E1819" t="s">
        <v>4431</v>
      </c>
      <c r="F1819" s="1">
        <v>46073.402013888888</v>
      </c>
      <c r="G1819" t="s">
        <v>170</v>
      </c>
      <c r="H1819" t="s">
        <v>92</v>
      </c>
      <c r="I1819" t="s">
        <v>205</v>
      </c>
      <c r="J1819" t="s">
        <v>7089</v>
      </c>
      <c r="K1819" t="s">
        <v>207</v>
      </c>
      <c r="M1819" t="s">
        <v>47</v>
      </c>
      <c r="O1819" t="s">
        <v>77</v>
      </c>
      <c r="P1819" t="s">
        <v>78</v>
      </c>
      <c r="Q1819" t="s">
        <v>50</v>
      </c>
      <c r="R1819" t="s">
        <v>208</v>
      </c>
      <c r="S1819" t="s">
        <v>209</v>
      </c>
      <c r="T1819" t="s">
        <v>210</v>
      </c>
      <c r="U1819" s="1">
        <v>46073.492986111109</v>
      </c>
      <c r="V1819" t="s">
        <v>54</v>
      </c>
      <c r="W1819" t="s">
        <v>55</v>
      </c>
      <c r="X1819" t="s">
        <v>211</v>
      </c>
      <c r="Y1819" t="s">
        <v>7090</v>
      </c>
      <c r="Z1819" t="s">
        <v>5594</v>
      </c>
      <c r="AA1819" t="s">
        <v>54</v>
      </c>
      <c r="AB1819" t="s">
        <v>213</v>
      </c>
      <c r="AC1819" t="s">
        <v>85</v>
      </c>
      <c r="AD1819" t="s">
        <v>214</v>
      </c>
      <c r="AE1819" t="s">
        <v>215</v>
      </c>
      <c r="AF1819" t="s">
        <v>216</v>
      </c>
      <c r="AG1819" t="s">
        <v>5594</v>
      </c>
      <c r="AH1819">
        <v>13289</v>
      </c>
      <c r="AK1819">
        <v>1</v>
      </c>
      <c r="AL1819" t="s">
        <v>61</v>
      </c>
      <c r="AM1819" t="s">
        <v>7206</v>
      </c>
      <c r="AN1819" t="s">
        <v>7207</v>
      </c>
    </row>
    <row r="1820" spans="1:40" x14ac:dyDescent="0.35">
      <c r="A1820" t="s">
        <v>37</v>
      </c>
      <c r="B1820" t="s">
        <v>7444</v>
      </c>
      <c r="C1820" t="s">
        <v>39</v>
      </c>
      <c r="D1820" t="s">
        <v>7445</v>
      </c>
      <c r="E1820" t="s">
        <v>1316</v>
      </c>
      <c r="F1820" s="1">
        <v>46073.403668981482</v>
      </c>
      <c r="G1820" t="s">
        <v>286</v>
      </c>
      <c r="H1820" t="s">
        <v>287</v>
      </c>
      <c r="I1820" t="s">
        <v>7446</v>
      </c>
      <c r="J1820" t="s">
        <v>7447</v>
      </c>
      <c r="K1820" t="s">
        <v>7448</v>
      </c>
      <c r="M1820" t="s">
        <v>131</v>
      </c>
      <c r="O1820" t="s">
        <v>77</v>
      </c>
      <c r="P1820" t="s">
        <v>78</v>
      </c>
      <c r="Q1820" t="s">
        <v>50</v>
      </c>
      <c r="R1820" t="s">
        <v>51</v>
      </c>
      <c r="S1820" t="s">
        <v>52</v>
      </c>
      <c r="T1820" t="s">
        <v>240</v>
      </c>
      <c r="U1820" s="1">
        <v>46078.399942129632</v>
      </c>
      <c r="V1820" t="s">
        <v>54</v>
      </c>
      <c r="W1820" t="s">
        <v>55</v>
      </c>
      <c r="X1820" t="s">
        <v>134</v>
      </c>
      <c r="Y1820" t="s">
        <v>7449</v>
      </c>
      <c r="Z1820" t="s">
        <v>58</v>
      </c>
      <c r="AA1820" t="s">
        <v>54</v>
      </c>
      <c r="AB1820" t="s">
        <v>7450</v>
      </c>
      <c r="AC1820" t="s">
        <v>85</v>
      </c>
      <c r="AD1820" t="s">
        <v>52</v>
      </c>
      <c r="AE1820" t="s">
        <v>243</v>
      </c>
      <c r="AF1820" t="s">
        <v>409</v>
      </c>
      <c r="AG1820" t="s">
        <v>58</v>
      </c>
      <c r="AK1820">
        <v>0</v>
      </c>
      <c r="AL1820" t="s">
        <v>61</v>
      </c>
      <c r="AM1820" t="s">
        <v>7451</v>
      </c>
      <c r="AN1820" t="s">
        <v>7452</v>
      </c>
    </row>
    <row r="1821" spans="1:40" x14ac:dyDescent="0.35">
      <c r="A1821" t="s">
        <v>37</v>
      </c>
      <c r="B1821" t="s">
        <v>7453</v>
      </c>
      <c r="C1821" t="s">
        <v>39</v>
      </c>
      <c r="D1821" t="s">
        <v>1751</v>
      </c>
      <c r="E1821" t="s">
        <v>1316</v>
      </c>
      <c r="F1821" s="1">
        <v>46073.401909722219</v>
      </c>
      <c r="G1821" t="s">
        <v>1752</v>
      </c>
      <c r="H1821" t="s">
        <v>447</v>
      </c>
      <c r="I1821" t="s">
        <v>7454</v>
      </c>
      <c r="J1821" t="s">
        <v>1754</v>
      </c>
      <c r="K1821" t="s">
        <v>1755</v>
      </c>
      <c r="M1821" t="s">
        <v>47</v>
      </c>
      <c r="O1821" t="s">
        <v>77</v>
      </c>
      <c r="P1821" t="s">
        <v>78</v>
      </c>
      <c r="Q1821" t="s">
        <v>50</v>
      </c>
      <c r="R1821" t="s">
        <v>51</v>
      </c>
      <c r="S1821" t="s">
        <v>52</v>
      </c>
      <c r="T1821" t="s">
        <v>773</v>
      </c>
      <c r="U1821" s="1">
        <v>46074.975682870368</v>
      </c>
      <c r="V1821" t="s">
        <v>54</v>
      </c>
      <c r="W1821" t="s">
        <v>55</v>
      </c>
      <c r="X1821" t="s">
        <v>134</v>
      </c>
      <c r="Y1821" t="s">
        <v>7455</v>
      </c>
      <c r="Z1821" t="s">
        <v>5594</v>
      </c>
      <c r="AA1821" t="s">
        <v>54</v>
      </c>
      <c r="AB1821" t="s">
        <v>1757</v>
      </c>
      <c r="AC1821" t="s">
        <v>85</v>
      </c>
      <c r="AD1821" t="s">
        <v>52</v>
      </c>
      <c r="AE1821" t="s">
        <v>999</v>
      </c>
      <c r="AF1821" t="s">
        <v>2272</v>
      </c>
      <c r="AG1821" t="s">
        <v>5594</v>
      </c>
      <c r="AK1821">
        <v>1</v>
      </c>
      <c r="AL1821" t="s">
        <v>61</v>
      </c>
      <c r="AM1821" t="s">
        <v>1757</v>
      </c>
      <c r="AN1821" t="s">
        <v>1758</v>
      </c>
    </row>
    <row r="1822" spans="1:40" x14ac:dyDescent="0.35">
      <c r="A1822" t="s">
        <v>37</v>
      </c>
      <c r="B1822" t="s">
        <v>7456</v>
      </c>
      <c r="C1822" t="s">
        <v>102</v>
      </c>
      <c r="D1822" t="s">
        <v>7184</v>
      </c>
      <c r="E1822" t="s">
        <v>7185</v>
      </c>
      <c r="F1822" s="1">
        <v>46073.402002314811</v>
      </c>
      <c r="G1822" t="s">
        <v>631</v>
      </c>
      <c r="H1822" t="s">
        <v>447</v>
      </c>
      <c r="I1822" t="s">
        <v>4398</v>
      </c>
      <c r="J1822" t="s">
        <v>1454</v>
      </c>
      <c r="K1822" t="s">
        <v>75</v>
      </c>
      <c r="M1822" t="s">
        <v>76</v>
      </c>
      <c r="O1822" t="s">
        <v>237</v>
      </c>
      <c r="P1822" t="s">
        <v>238</v>
      </c>
      <c r="Q1822" t="s">
        <v>50</v>
      </c>
      <c r="R1822" t="s">
        <v>79</v>
      </c>
      <c r="S1822" t="s">
        <v>967</v>
      </c>
      <c r="T1822" t="s">
        <v>4400</v>
      </c>
      <c r="U1822" s="1">
        <v>46077.377604166664</v>
      </c>
      <c r="V1822" t="s">
        <v>54</v>
      </c>
      <c r="W1822" t="s">
        <v>55</v>
      </c>
      <c r="X1822" t="s">
        <v>82</v>
      </c>
      <c r="Y1822" t="s">
        <v>7457</v>
      </c>
      <c r="Z1822" t="s">
        <v>58</v>
      </c>
      <c r="AA1822" t="s">
        <v>54</v>
      </c>
      <c r="AB1822" t="s">
        <v>2721</v>
      </c>
      <c r="AC1822" t="s">
        <v>242</v>
      </c>
      <c r="AD1822" t="s">
        <v>79</v>
      </c>
      <c r="AE1822" t="s">
        <v>967</v>
      </c>
      <c r="AF1822" t="s">
        <v>4400</v>
      </c>
      <c r="AG1822" t="s">
        <v>58</v>
      </c>
      <c r="AH1822">
        <v>15648</v>
      </c>
      <c r="AK1822">
        <v>2</v>
      </c>
      <c r="AL1822" t="s">
        <v>61</v>
      </c>
      <c r="AM1822" t="s">
        <v>7188</v>
      </c>
      <c r="AN1822" t="s">
        <v>7189</v>
      </c>
    </row>
    <row r="1823" spans="1:40" x14ac:dyDescent="0.35">
      <c r="A1823" t="s">
        <v>37</v>
      </c>
      <c r="B1823" t="s">
        <v>7458</v>
      </c>
      <c r="C1823" t="s">
        <v>39</v>
      </c>
      <c r="D1823" t="s">
        <v>1481</v>
      </c>
      <c r="E1823" t="s">
        <v>1316</v>
      </c>
      <c r="F1823" s="1">
        <v>46073.399537037039</v>
      </c>
      <c r="G1823" t="s">
        <v>286</v>
      </c>
      <c r="H1823" t="s">
        <v>287</v>
      </c>
      <c r="I1823" t="s">
        <v>7459</v>
      </c>
      <c r="J1823" t="s">
        <v>1483</v>
      </c>
      <c r="K1823" t="s">
        <v>1484</v>
      </c>
      <c r="M1823" t="s">
        <v>47</v>
      </c>
      <c r="O1823" t="s">
        <v>77</v>
      </c>
      <c r="P1823" t="s">
        <v>78</v>
      </c>
      <c r="Q1823" t="s">
        <v>50</v>
      </c>
      <c r="R1823" t="s">
        <v>51</v>
      </c>
      <c r="S1823" t="s">
        <v>52</v>
      </c>
      <c r="T1823" t="s">
        <v>240</v>
      </c>
      <c r="U1823" s="1">
        <v>46074.296388888892</v>
      </c>
      <c r="V1823" t="s">
        <v>54</v>
      </c>
      <c r="W1823" t="s">
        <v>55</v>
      </c>
      <c r="X1823" t="s">
        <v>134</v>
      </c>
      <c r="Y1823" t="s">
        <v>1485</v>
      </c>
      <c r="Z1823" t="s">
        <v>5594</v>
      </c>
      <c r="AA1823" t="s">
        <v>54</v>
      </c>
      <c r="AB1823" t="s">
        <v>1486</v>
      </c>
      <c r="AC1823" t="s">
        <v>85</v>
      </c>
      <c r="AD1823" t="s">
        <v>52</v>
      </c>
      <c r="AE1823" t="s">
        <v>243</v>
      </c>
      <c r="AF1823" t="s">
        <v>409</v>
      </c>
      <c r="AG1823" t="s">
        <v>5594</v>
      </c>
      <c r="AK1823">
        <v>1</v>
      </c>
      <c r="AL1823" t="s">
        <v>61</v>
      </c>
      <c r="AM1823" t="s">
        <v>1487</v>
      </c>
      <c r="AN1823" t="s">
        <v>1488</v>
      </c>
    </row>
    <row r="1824" spans="1:40" x14ac:dyDescent="0.35">
      <c r="A1824" t="s">
        <v>37</v>
      </c>
      <c r="B1824" t="s">
        <v>7460</v>
      </c>
      <c r="C1824" t="s">
        <v>39</v>
      </c>
      <c r="D1824" t="s">
        <v>6174</v>
      </c>
      <c r="E1824" t="s">
        <v>1982</v>
      </c>
      <c r="F1824" s="1">
        <v>46073.398368055554</v>
      </c>
      <c r="G1824" t="s">
        <v>913</v>
      </c>
      <c r="H1824" t="s">
        <v>72</v>
      </c>
      <c r="I1824" t="s">
        <v>7461</v>
      </c>
      <c r="J1824" t="s">
        <v>5248</v>
      </c>
      <c r="K1824" t="s">
        <v>1834</v>
      </c>
      <c r="M1824" t="s">
        <v>47</v>
      </c>
      <c r="O1824" t="s">
        <v>77</v>
      </c>
      <c r="P1824" t="s">
        <v>78</v>
      </c>
      <c r="Q1824" t="s">
        <v>50</v>
      </c>
      <c r="R1824" t="s">
        <v>51</v>
      </c>
      <c r="S1824" t="s">
        <v>52</v>
      </c>
      <c r="T1824" t="s">
        <v>240</v>
      </c>
      <c r="U1824" s="1">
        <v>46073.419861111113</v>
      </c>
      <c r="V1824" t="s">
        <v>54</v>
      </c>
      <c r="W1824" t="s">
        <v>55</v>
      </c>
      <c r="X1824" t="s">
        <v>134</v>
      </c>
      <c r="Y1824" t="s">
        <v>7462</v>
      </c>
      <c r="Z1824" t="s">
        <v>5594</v>
      </c>
      <c r="AA1824" t="s">
        <v>54</v>
      </c>
      <c r="AB1824" t="s">
        <v>5250</v>
      </c>
      <c r="AC1824" t="s">
        <v>85</v>
      </c>
      <c r="AD1824" t="s">
        <v>52</v>
      </c>
      <c r="AE1824" t="s">
        <v>243</v>
      </c>
      <c r="AF1824" t="s">
        <v>2533</v>
      </c>
      <c r="AG1824" t="s">
        <v>5594</v>
      </c>
      <c r="AH1824">
        <v>13292</v>
      </c>
      <c r="AK1824">
        <v>0</v>
      </c>
      <c r="AL1824" t="s">
        <v>61</v>
      </c>
      <c r="AM1824" t="s">
        <v>7463</v>
      </c>
      <c r="AN1824" t="s">
        <v>7464</v>
      </c>
    </row>
    <row r="1825" spans="1:40" x14ac:dyDescent="0.35">
      <c r="A1825" t="s">
        <v>37</v>
      </c>
      <c r="B1825" t="s">
        <v>7465</v>
      </c>
      <c r="C1825" t="s">
        <v>102</v>
      </c>
      <c r="D1825" t="s">
        <v>1537</v>
      </c>
      <c r="E1825" t="s">
        <v>1538</v>
      </c>
      <c r="F1825" s="1">
        <v>46073.398414351854</v>
      </c>
      <c r="G1825" t="s">
        <v>105</v>
      </c>
      <c r="H1825" t="s">
        <v>106</v>
      </c>
      <c r="I1825" t="s">
        <v>7466</v>
      </c>
      <c r="J1825" t="s">
        <v>108</v>
      </c>
      <c r="K1825" t="s">
        <v>571</v>
      </c>
      <c r="M1825" t="s">
        <v>47</v>
      </c>
      <c r="O1825" t="s">
        <v>77</v>
      </c>
      <c r="P1825" t="s">
        <v>78</v>
      </c>
      <c r="Q1825" t="s">
        <v>50</v>
      </c>
      <c r="R1825" t="s">
        <v>111</v>
      </c>
      <c r="S1825" t="s">
        <v>51</v>
      </c>
      <c r="T1825" t="s">
        <v>112</v>
      </c>
      <c r="U1825" s="1">
        <v>46074.605196759258</v>
      </c>
      <c r="V1825" t="s">
        <v>54</v>
      </c>
      <c r="W1825" t="s">
        <v>55</v>
      </c>
      <c r="X1825" t="s">
        <v>113</v>
      </c>
      <c r="Y1825" t="s">
        <v>7467</v>
      </c>
      <c r="Z1825" t="s">
        <v>5594</v>
      </c>
      <c r="AA1825" t="s">
        <v>54</v>
      </c>
      <c r="AB1825" t="s">
        <v>115</v>
      </c>
      <c r="AC1825" t="s">
        <v>85</v>
      </c>
      <c r="AD1825" t="s">
        <v>116</v>
      </c>
      <c r="AE1825" t="s">
        <v>574</v>
      </c>
      <c r="AF1825" t="s">
        <v>1377</v>
      </c>
      <c r="AG1825" t="s">
        <v>5594</v>
      </c>
      <c r="AH1825">
        <v>14840</v>
      </c>
      <c r="AK1825">
        <v>1</v>
      </c>
      <c r="AL1825" t="s">
        <v>61</v>
      </c>
      <c r="AM1825" t="s">
        <v>1542</v>
      </c>
      <c r="AN1825" t="s">
        <v>1543</v>
      </c>
    </row>
    <row r="1826" spans="1:40" x14ac:dyDescent="0.35">
      <c r="A1826" t="s">
        <v>37</v>
      </c>
      <c r="B1826" t="s">
        <v>7468</v>
      </c>
      <c r="C1826" t="s">
        <v>39</v>
      </c>
      <c r="D1826" t="s">
        <v>1481</v>
      </c>
      <c r="E1826" t="s">
        <v>1316</v>
      </c>
      <c r="F1826" s="1">
        <v>46073.3983912037</v>
      </c>
      <c r="G1826" t="s">
        <v>286</v>
      </c>
      <c r="H1826" t="s">
        <v>287</v>
      </c>
      <c r="I1826" t="s">
        <v>7469</v>
      </c>
      <c r="J1826" t="s">
        <v>1483</v>
      </c>
      <c r="K1826" t="s">
        <v>1484</v>
      </c>
      <c r="M1826" t="s">
        <v>47</v>
      </c>
      <c r="O1826" t="s">
        <v>77</v>
      </c>
      <c r="P1826" t="s">
        <v>78</v>
      </c>
      <c r="Q1826" t="s">
        <v>50</v>
      </c>
      <c r="R1826" t="s">
        <v>51</v>
      </c>
      <c r="S1826" t="s">
        <v>52</v>
      </c>
      <c r="T1826" t="s">
        <v>240</v>
      </c>
      <c r="U1826" s="1">
        <v>46074.295868055553</v>
      </c>
      <c r="V1826" t="s">
        <v>54</v>
      </c>
      <c r="W1826" t="s">
        <v>55</v>
      </c>
      <c r="X1826" t="s">
        <v>134</v>
      </c>
      <c r="Y1826" t="s">
        <v>1485</v>
      </c>
      <c r="Z1826" t="s">
        <v>5594</v>
      </c>
      <c r="AA1826" t="s">
        <v>54</v>
      </c>
      <c r="AB1826" t="s">
        <v>1486</v>
      </c>
      <c r="AC1826" t="s">
        <v>85</v>
      </c>
      <c r="AD1826" t="s">
        <v>52</v>
      </c>
      <c r="AE1826" t="s">
        <v>243</v>
      </c>
      <c r="AF1826" t="s">
        <v>409</v>
      </c>
      <c r="AG1826" t="s">
        <v>5594</v>
      </c>
      <c r="AK1826">
        <v>1</v>
      </c>
      <c r="AL1826" t="s">
        <v>61</v>
      </c>
      <c r="AM1826" t="s">
        <v>1487</v>
      </c>
      <c r="AN1826" t="s">
        <v>1488</v>
      </c>
    </row>
    <row r="1827" spans="1:40" x14ac:dyDescent="0.35">
      <c r="A1827" t="s">
        <v>37</v>
      </c>
      <c r="B1827" t="s">
        <v>7470</v>
      </c>
      <c r="C1827" t="s">
        <v>39</v>
      </c>
      <c r="D1827" t="s">
        <v>225</v>
      </c>
      <c r="E1827" t="s">
        <v>5478</v>
      </c>
      <c r="F1827" s="1">
        <v>46073.420578703706</v>
      </c>
      <c r="G1827" t="s">
        <v>402</v>
      </c>
      <c r="H1827" t="s">
        <v>72</v>
      </c>
      <c r="I1827" t="s">
        <v>1250</v>
      </c>
      <c r="J1827" t="s">
        <v>394</v>
      </c>
      <c r="K1827" t="s">
        <v>75</v>
      </c>
      <c r="M1827" t="s">
        <v>47</v>
      </c>
      <c r="O1827" t="s">
        <v>77</v>
      </c>
      <c r="P1827" t="s">
        <v>78</v>
      </c>
      <c r="Q1827" t="s">
        <v>50</v>
      </c>
      <c r="R1827" t="s">
        <v>79</v>
      </c>
      <c r="S1827" t="s">
        <v>1078</v>
      </c>
      <c r="T1827" t="s">
        <v>1078</v>
      </c>
      <c r="U1827" s="1">
        <v>46073.422719907408</v>
      </c>
      <c r="V1827" t="s">
        <v>54</v>
      </c>
      <c r="W1827" t="s">
        <v>55</v>
      </c>
      <c r="X1827" t="s">
        <v>82</v>
      </c>
      <c r="Y1827" t="s">
        <v>1251</v>
      </c>
      <c r="Z1827" t="s">
        <v>5594</v>
      </c>
      <c r="AA1827" t="s">
        <v>54</v>
      </c>
      <c r="AB1827" t="s">
        <v>396</v>
      </c>
      <c r="AC1827" t="s">
        <v>85</v>
      </c>
      <c r="AD1827" t="s">
        <v>79</v>
      </c>
      <c r="AE1827" t="s">
        <v>1078</v>
      </c>
      <c r="AF1827" t="s">
        <v>1078</v>
      </c>
      <c r="AG1827" t="s">
        <v>5594</v>
      </c>
      <c r="AH1827">
        <v>14548</v>
      </c>
      <c r="AK1827">
        <v>0</v>
      </c>
      <c r="AL1827" t="s">
        <v>61</v>
      </c>
      <c r="AM1827" t="s">
        <v>7471</v>
      </c>
      <c r="AN1827" t="s">
        <v>7472</v>
      </c>
    </row>
    <row r="1828" spans="1:40" x14ac:dyDescent="0.35">
      <c r="A1828" t="s">
        <v>37</v>
      </c>
      <c r="B1828" t="s">
        <v>7473</v>
      </c>
      <c r="C1828" t="s">
        <v>39</v>
      </c>
      <c r="D1828" t="s">
        <v>1481</v>
      </c>
      <c r="E1828" t="s">
        <v>1316</v>
      </c>
      <c r="F1828" s="1">
        <v>46073.396990740737</v>
      </c>
      <c r="G1828" t="s">
        <v>286</v>
      </c>
      <c r="H1828" t="s">
        <v>287</v>
      </c>
      <c r="I1828" t="s">
        <v>7474</v>
      </c>
      <c r="J1828" t="s">
        <v>1483</v>
      </c>
      <c r="K1828" t="s">
        <v>1484</v>
      </c>
      <c r="M1828" t="s">
        <v>47</v>
      </c>
      <c r="O1828" t="s">
        <v>77</v>
      </c>
      <c r="P1828" t="s">
        <v>78</v>
      </c>
      <c r="Q1828" t="s">
        <v>50</v>
      </c>
      <c r="R1828" t="s">
        <v>51</v>
      </c>
      <c r="S1828" t="s">
        <v>52</v>
      </c>
      <c r="T1828" t="s">
        <v>240</v>
      </c>
      <c r="U1828" s="1">
        <v>46073.552094907405</v>
      </c>
      <c r="V1828" t="s">
        <v>54</v>
      </c>
      <c r="W1828" t="s">
        <v>55</v>
      </c>
      <c r="X1828" t="s">
        <v>134</v>
      </c>
      <c r="Y1828" t="s">
        <v>1485</v>
      </c>
      <c r="Z1828" t="s">
        <v>5594</v>
      </c>
      <c r="AA1828" t="s">
        <v>54</v>
      </c>
      <c r="AB1828" t="s">
        <v>1486</v>
      </c>
      <c r="AC1828" t="s">
        <v>85</v>
      </c>
      <c r="AD1828" t="s">
        <v>52</v>
      </c>
      <c r="AE1828" t="s">
        <v>243</v>
      </c>
      <c r="AF1828" t="s">
        <v>409</v>
      </c>
      <c r="AG1828" t="s">
        <v>5594</v>
      </c>
      <c r="AK1828">
        <v>1</v>
      </c>
      <c r="AL1828" t="s">
        <v>61</v>
      </c>
      <c r="AM1828" t="s">
        <v>1487</v>
      </c>
      <c r="AN1828" t="s">
        <v>1488</v>
      </c>
    </row>
    <row r="1829" spans="1:40" x14ac:dyDescent="0.35">
      <c r="A1829" t="s">
        <v>37</v>
      </c>
      <c r="B1829" t="s">
        <v>7475</v>
      </c>
      <c r="C1829" t="s">
        <v>39</v>
      </c>
      <c r="D1829" t="s">
        <v>6551</v>
      </c>
      <c r="E1829" t="s">
        <v>6552</v>
      </c>
      <c r="F1829" s="1">
        <v>46073.393796296295</v>
      </c>
      <c r="G1829" t="s">
        <v>355</v>
      </c>
      <c r="H1829" t="s">
        <v>356</v>
      </c>
      <c r="I1829" t="s">
        <v>205</v>
      </c>
      <c r="J1829" t="s">
        <v>206</v>
      </c>
      <c r="K1829" t="s">
        <v>207</v>
      </c>
      <c r="M1829" t="s">
        <v>131</v>
      </c>
      <c r="O1829" t="s">
        <v>77</v>
      </c>
      <c r="P1829" t="s">
        <v>78</v>
      </c>
      <c r="Q1829" t="s">
        <v>50</v>
      </c>
      <c r="R1829" t="s">
        <v>305</v>
      </c>
      <c r="S1829" t="s">
        <v>306</v>
      </c>
      <c r="T1829" t="s">
        <v>307</v>
      </c>
      <c r="U1829" s="1">
        <v>46077.76059027778</v>
      </c>
      <c r="V1829" t="s">
        <v>54</v>
      </c>
      <c r="W1829" t="s">
        <v>55</v>
      </c>
      <c r="X1829" t="s">
        <v>211</v>
      </c>
      <c r="Y1829" t="s">
        <v>7476</v>
      </c>
      <c r="Z1829" t="s">
        <v>58</v>
      </c>
      <c r="AA1829" t="s">
        <v>54</v>
      </c>
      <c r="AB1829" t="s">
        <v>213</v>
      </c>
      <c r="AC1829" t="s">
        <v>85</v>
      </c>
      <c r="AD1829" t="s">
        <v>214</v>
      </c>
      <c r="AE1829" t="s">
        <v>215</v>
      </c>
      <c r="AF1829" t="s">
        <v>2083</v>
      </c>
      <c r="AG1829" t="s">
        <v>58</v>
      </c>
      <c r="AH1829" t="s">
        <v>6554</v>
      </c>
      <c r="AK1829">
        <v>5</v>
      </c>
      <c r="AL1829" t="s">
        <v>61</v>
      </c>
      <c r="AM1829" t="s">
        <v>6555</v>
      </c>
      <c r="AN1829" t="s">
        <v>6556</v>
      </c>
    </row>
    <row r="1830" spans="1:40" x14ac:dyDescent="0.35">
      <c r="A1830" t="s">
        <v>37</v>
      </c>
      <c r="B1830" t="s">
        <v>7477</v>
      </c>
      <c r="C1830" t="s">
        <v>102</v>
      </c>
      <c r="D1830" t="s">
        <v>89</v>
      </c>
      <c r="E1830" t="s">
        <v>5011</v>
      </c>
      <c r="F1830" s="1">
        <v>46073.392812500002</v>
      </c>
      <c r="G1830" t="s">
        <v>771</v>
      </c>
      <c r="H1830" t="s">
        <v>92</v>
      </c>
      <c r="I1830" t="s">
        <v>7478</v>
      </c>
      <c r="J1830" t="s">
        <v>404</v>
      </c>
      <c r="K1830" t="s">
        <v>7479</v>
      </c>
      <c r="M1830" t="s">
        <v>47</v>
      </c>
      <c r="O1830" t="s">
        <v>237</v>
      </c>
      <c r="P1830" t="s">
        <v>238</v>
      </c>
      <c r="Q1830" t="s">
        <v>50</v>
      </c>
      <c r="R1830" t="s">
        <v>51</v>
      </c>
      <c r="S1830" t="s">
        <v>52</v>
      </c>
      <c r="T1830" t="s">
        <v>240</v>
      </c>
      <c r="U1830" s="1">
        <v>46073.453368055554</v>
      </c>
      <c r="V1830" t="s">
        <v>54</v>
      </c>
      <c r="W1830" t="s">
        <v>55</v>
      </c>
      <c r="X1830" t="s">
        <v>211</v>
      </c>
      <c r="Y1830" t="s">
        <v>7480</v>
      </c>
      <c r="Z1830" t="s">
        <v>5594</v>
      </c>
      <c r="AA1830" t="s">
        <v>54</v>
      </c>
      <c r="AB1830" t="s">
        <v>213</v>
      </c>
      <c r="AC1830" t="s">
        <v>242</v>
      </c>
      <c r="AD1830" t="s">
        <v>52</v>
      </c>
      <c r="AE1830" t="s">
        <v>243</v>
      </c>
      <c r="AF1830" t="s">
        <v>244</v>
      </c>
      <c r="AG1830" t="s">
        <v>5594</v>
      </c>
      <c r="AH1830" t="s">
        <v>5014</v>
      </c>
      <c r="AK1830">
        <v>1</v>
      </c>
      <c r="AL1830" t="s">
        <v>61</v>
      </c>
      <c r="AM1830" t="s">
        <v>5015</v>
      </c>
      <c r="AN1830" t="s">
        <v>5016</v>
      </c>
    </row>
    <row r="1831" spans="1:40" x14ac:dyDescent="0.35">
      <c r="A1831" t="s">
        <v>37</v>
      </c>
      <c r="B1831" t="s">
        <v>7481</v>
      </c>
      <c r="C1831" t="s">
        <v>102</v>
      </c>
      <c r="D1831" t="s">
        <v>353</v>
      </c>
      <c r="E1831" t="s">
        <v>354</v>
      </c>
      <c r="F1831" s="1">
        <v>46073.392604166664</v>
      </c>
      <c r="G1831" t="s">
        <v>355</v>
      </c>
      <c r="H1831" t="s">
        <v>356</v>
      </c>
      <c r="I1831" t="s">
        <v>7482</v>
      </c>
      <c r="J1831" t="s">
        <v>7483</v>
      </c>
      <c r="K1831" t="s">
        <v>436</v>
      </c>
      <c r="M1831" t="s">
        <v>76</v>
      </c>
      <c r="O1831" t="s">
        <v>237</v>
      </c>
      <c r="P1831" t="s">
        <v>238</v>
      </c>
      <c r="Q1831" t="s">
        <v>50</v>
      </c>
      <c r="R1831" t="s">
        <v>51</v>
      </c>
      <c r="S1831" t="s">
        <v>52</v>
      </c>
      <c r="T1831" t="s">
        <v>240</v>
      </c>
      <c r="U1831" s="1">
        <v>46076.558298611111</v>
      </c>
      <c r="V1831" t="s">
        <v>54</v>
      </c>
      <c r="W1831" t="s">
        <v>55</v>
      </c>
      <c r="X1831" t="s">
        <v>211</v>
      </c>
      <c r="Y1831" t="s">
        <v>7484</v>
      </c>
      <c r="Z1831" t="s">
        <v>58</v>
      </c>
      <c r="AA1831" t="s">
        <v>54</v>
      </c>
      <c r="AB1831" t="s">
        <v>213</v>
      </c>
      <c r="AC1831" t="s">
        <v>242</v>
      </c>
      <c r="AD1831" t="s">
        <v>52</v>
      </c>
      <c r="AE1831" t="s">
        <v>243</v>
      </c>
      <c r="AF1831" t="s">
        <v>2533</v>
      </c>
      <c r="AG1831" t="s">
        <v>58</v>
      </c>
      <c r="AH1831" t="s">
        <v>364</v>
      </c>
      <c r="AK1831">
        <v>1</v>
      </c>
      <c r="AL1831" t="s">
        <v>61</v>
      </c>
      <c r="AM1831" t="s">
        <v>365</v>
      </c>
      <c r="AN1831" t="s">
        <v>366</v>
      </c>
    </row>
    <row r="1832" spans="1:40" x14ac:dyDescent="0.35">
      <c r="A1832" t="s">
        <v>37</v>
      </c>
      <c r="B1832" t="s">
        <v>7485</v>
      </c>
      <c r="C1832" t="s">
        <v>39</v>
      </c>
      <c r="D1832" t="s">
        <v>7486</v>
      </c>
      <c r="E1832" t="s">
        <v>4595</v>
      </c>
      <c r="F1832" s="1">
        <v>46073.392650462964</v>
      </c>
      <c r="G1832" t="s">
        <v>170</v>
      </c>
      <c r="H1832" t="s">
        <v>92</v>
      </c>
      <c r="I1832" t="s">
        <v>171</v>
      </c>
      <c r="J1832" t="s">
        <v>3423</v>
      </c>
      <c r="K1832" t="s">
        <v>75</v>
      </c>
      <c r="M1832" t="s">
        <v>47</v>
      </c>
      <c r="O1832" t="s">
        <v>77</v>
      </c>
      <c r="P1832" t="s">
        <v>78</v>
      </c>
      <c r="R1832" t="s">
        <v>79</v>
      </c>
      <c r="S1832" t="s">
        <v>172</v>
      </c>
      <c r="T1832" t="s">
        <v>173</v>
      </c>
      <c r="U1832" s="1">
        <v>46073.452268518522</v>
      </c>
      <c r="V1832" t="s">
        <v>54</v>
      </c>
      <c r="W1832" t="s">
        <v>55</v>
      </c>
      <c r="X1832" t="s">
        <v>82</v>
      </c>
      <c r="Y1832" t="s">
        <v>3424</v>
      </c>
      <c r="Z1832" t="s">
        <v>5594</v>
      </c>
      <c r="AA1832" t="s">
        <v>54</v>
      </c>
      <c r="AB1832" t="s">
        <v>3425</v>
      </c>
      <c r="AC1832" t="s">
        <v>85</v>
      </c>
      <c r="AD1832" t="s">
        <v>79</v>
      </c>
      <c r="AE1832" t="s">
        <v>172</v>
      </c>
      <c r="AF1832" t="s">
        <v>173</v>
      </c>
      <c r="AG1832" t="s">
        <v>5594</v>
      </c>
      <c r="AH1832">
        <v>15008</v>
      </c>
      <c r="AK1832">
        <v>0</v>
      </c>
      <c r="AL1832" t="s">
        <v>61</v>
      </c>
      <c r="AM1832" t="s">
        <v>7487</v>
      </c>
      <c r="AN1832" t="s">
        <v>7488</v>
      </c>
    </row>
    <row r="1833" spans="1:40" x14ac:dyDescent="0.35">
      <c r="A1833" t="s">
        <v>37</v>
      </c>
      <c r="B1833" t="s">
        <v>7489</v>
      </c>
      <c r="C1833" t="s">
        <v>39</v>
      </c>
      <c r="D1833" t="s">
        <v>7490</v>
      </c>
      <c r="E1833" t="s">
        <v>7491</v>
      </c>
      <c r="F1833" s="1">
        <v>46073.389988425923</v>
      </c>
      <c r="G1833" t="s">
        <v>355</v>
      </c>
      <c r="H1833" t="s">
        <v>356</v>
      </c>
      <c r="I1833" t="s">
        <v>205</v>
      </c>
      <c r="J1833" t="s">
        <v>7089</v>
      </c>
      <c r="K1833" t="s">
        <v>207</v>
      </c>
      <c r="M1833" t="s">
        <v>47</v>
      </c>
      <c r="O1833" t="s">
        <v>77</v>
      </c>
      <c r="P1833" t="s">
        <v>78</v>
      </c>
      <c r="Q1833" t="s">
        <v>50</v>
      </c>
      <c r="R1833" t="s">
        <v>305</v>
      </c>
      <c r="S1833" t="s">
        <v>306</v>
      </c>
      <c r="T1833" t="s">
        <v>307</v>
      </c>
      <c r="U1833" s="1">
        <v>46073.514189814814</v>
      </c>
      <c r="V1833" t="s">
        <v>54</v>
      </c>
      <c r="W1833" t="s">
        <v>55</v>
      </c>
      <c r="X1833" t="s">
        <v>211</v>
      </c>
      <c r="Y1833" t="s">
        <v>7492</v>
      </c>
      <c r="Z1833" t="s">
        <v>5594</v>
      </c>
      <c r="AA1833" t="s">
        <v>54</v>
      </c>
      <c r="AB1833" t="s">
        <v>213</v>
      </c>
      <c r="AC1833" t="s">
        <v>85</v>
      </c>
      <c r="AD1833" t="s">
        <v>214</v>
      </c>
      <c r="AE1833" t="s">
        <v>215</v>
      </c>
      <c r="AF1833" t="s">
        <v>216</v>
      </c>
      <c r="AG1833" t="s">
        <v>5594</v>
      </c>
      <c r="AH1833" t="s">
        <v>7493</v>
      </c>
      <c r="AK1833">
        <v>3</v>
      </c>
      <c r="AL1833" t="s">
        <v>61</v>
      </c>
      <c r="AM1833" t="s">
        <v>7494</v>
      </c>
      <c r="AN1833" t="s">
        <v>7495</v>
      </c>
    </row>
    <row r="1834" spans="1:40" x14ac:dyDescent="0.35">
      <c r="A1834" t="s">
        <v>37</v>
      </c>
      <c r="B1834" t="s">
        <v>7496</v>
      </c>
      <c r="C1834" t="s">
        <v>39</v>
      </c>
      <c r="D1834" t="s">
        <v>4939</v>
      </c>
      <c r="E1834" t="s">
        <v>4940</v>
      </c>
      <c r="F1834" s="1">
        <v>46073.388958333337</v>
      </c>
      <c r="G1834" t="s">
        <v>631</v>
      </c>
      <c r="H1834" t="s">
        <v>447</v>
      </c>
      <c r="I1834" t="s">
        <v>7497</v>
      </c>
      <c r="J1834" t="s">
        <v>3423</v>
      </c>
      <c r="K1834" t="s">
        <v>75</v>
      </c>
      <c r="M1834" t="s">
        <v>47</v>
      </c>
      <c r="O1834" t="s">
        <v>77</v>
      </c>
      <c r="P1834" t="s">
        <v>78</v>
      </c>
      <c r="Q1834" t="s">
        <v>161</v>
      </c>
      <c r="R1834" t="s">
        <v>79</v>
      </c>
      <c r="S1834" t="s">
        <v>967</v>
      </c>
      <c r="T1834" t="s">
        <v>1072</v>
      </c>
      <c r="U1834" s="1">
        <v>46073.452048611114</v>
      </c>
      <c r="V1834" t="s">
        <v>54</v>
      </c>
      <c r="W1834" t="s">
        <v>55</v>
      </c>
      <c r="X1834" t="s">
        <v>82</v>
      </c>
      <c r="Y1834" t="s">
        <v>3621</v>
      </c>
      <c r="Z1834" t="s">
        <v>5594</v>
      </c>
      <c r="AA1834" t="s">
        <v>54</v>
      </c>
      <c r="AB1834" t="s">
        <v>3425</v>
      </c>
      <c r="AC1834" t="s">
        <v>85</v>
      </c>
      <c r="AD1834" t="s">
        <v>79</v>
      </c>
      <c r="AE1834" t="s">
        <v>967</v>
      </c>
      <c r="AF1834" t="s">
        <v>1072</v>
      </c>
      <c r="AG1834" t="s">
        <v>5594</v>
      </c>
      <c r="AH1834">
        <v>4160</v>
      </c>
      <c r="AK1834">
        <v>0</v>
      </c>
      <c r="AL1834" t="s">
        <v>61</v>
      </c>
      <c r="AM1834" t="s">
        <v>4941</v>
      </c>
      <c r="AN1834" t="s">
        <v>4942</v>
      </c>
    </row>
    <row r="1835" spans="1:40" x14ac:dyDescent="0.35">
      <c r="A1835" t="s">
        <v>37</v>
      </c>
      <c r="B1835" t="s">
        <v>7498</v>
      </c>
      <c r="C1835" t="s">
        <v>39</v>
      </c>
      <c r="D1835" t="s">
        <v>824</v>
      </c>
      <c r="E1835" t="s">
        <v>7499</v>
      </c>
      <c r="F1835" s="1">
        <v>46073.38790509259</v>
      </c>
      <c r="G1835" t="s">
        <v>261</v>
      </c>
      <c r="H1835" t="s">
        <v>72</v>
      </c>
      <c r="I1835" t="s">
        <v>7500</v>
      </c>
      <c r="J1835" t="s">
        <v>1833</v>
      </c>
      <c r="K1835" t="s">
        <v>1834</v>
      </c>
      <c r="M1835" t="s">
        <v>76</v>
      </c>
      <c r="O1835" t="s">
        <v>77</v>
      </c>
      <c r="P1835" t="s">
        <v>78</v>
      </c>
      <c r="Q1835" t="s">
        <v>50</v>
      </c>
      <c r="R1835" t="s">
        <v>51</v>
      </c>
      <c r="S1835" t="s">
        <v>52</v>
      </c>
      <c r="T1835" t="s">
        <v>240</v>
      </c>
      <c r="U1835" s="1">
        <v>46078.945902777778</v>
      </c>
      <c r="V1835" t="s">
        <v>54</v>
      </c>
      <c r="W1835" t="s">
        <v>55</v>
      </c>
      <c r="X1835" t="s">
        <v>134</v>
      </c>
      <c r="Y1835" t="s">
        <v>7501</v>
      </c>
      <c r="Z1835" t="s">
        <v>58</v>
      </c>
      <c r="AA1835" t="s">
        <v>54</v>
      </c>
      <c r="AB1835" t="s">
        <v>1836</v>
      </c>
      <c r="AC1835" t="s">
        <v>85</v>
      </c>
      <c r="AD1835" t="s">
        <v>52</v>
      </c>
      <c r="AE1835" t="s">
        <v>999</v>
      </c>
      <c r="AF1835" t="s">
        <v>4787</v>
      </c>
      <c r="AG1835" t="s">
        <v>58</v>
      </c>
      <c r="AH1835">
        <v>15082</v>
      </c>
      <c r="AK1835">
        <v>0</v>
      </c>
      <c r="AL1835" t="s">
        <v>61</v>
      </c>
      <c r="AM1835" t="s">
        <v>7502</v>
      </c>
      <c r="AN1835" t="s">
        <v>7503</v>
      </c>
    </row>
    <row r="1836" spans="1:40" x14ac:dyDescent="0.35">
      <c r="A1836" t="s">
        <v>37</v>
      </c>
      <c r="B1836" t="s">
        <v>7504</v>
      </c>
      <c r="C1836" t="s">
        <v>39</v>
      </c>
      <c r="D1836" t="s">
        <v>7505</v>
      </c>
      <c r="E1836" t="s">
        <v>7506</v>
      </c>
      <c r="F1836" s="1">
        <v>46073.387557870374</v>
      </c>
      <c r="G1836" t="s">
        <v>355</v>
      </c>
      <c r="H1836" t="s">
        <v>356</v>
      </c>
      <c r="I1836" t="s">
        <v>205</v>
      </c>
      <c r="J1836" t="s">
        <v>7089</v>
      </c>
      <c r="K1836" t="s">
        <v>207</v>
      </c>
      <c r="M1836" t="s">
        <v>47</v>
      </c>
      <c r="O1836" t="s">
        <v>77</v>
      </c>
      <c r="P1836" t="s">
        <v>78</v>
      </c>
      <c r="Q1836" t="s">
        <v>3465</v>
      </c>
      <c r="R1836" t="s">
        <v>208</v>
      </c>
      <c r="S1836" t="s">
        <v>209</v>
      </c>
      <c r="T1836" t="s">
        <v>210</v>
      </c>
      <c r="U1836" s="1">
        <v>46073.492696759262</v>
      </c>
      <c r="V1836" t="s">
        <v>54</v>
      </c>
      <c r="W1836" t="s">
        <v>55</v>
      </c>
      <c r="X1836" t="s">
        <v>211</v>
      </c>
      <c r="Y1836" t="s">
        <v>7090</v>
      </c>
      <c r="Z1836" t="s">
        <v>5594</v>
      </c>
      <c r="AA1836" t="s">
        <v>54</v>
      </c>
      <c r="AB1836" t="s">
        <v>213</v>
      </c>
      <c r="AC1836" t="s">
        <v>85</v>
      </c>
      <c r="AD1836" t="s">
        <v>214</v>
      </c>
      <c r="AE1836" t="s">
        <v>215</v>
      </c>
      <c r="AF1836" t="s">
        <v>216</v>
      </c>
      <c r="AG1836" t="s">
        <v>5594</v>
      </c>
      <c r="AH1836">
        <v>3236</v>
      </c>
      <c r="AK1836">
        <v>1</v>
      </c>
      <c r="AL1836" t="s">
        <v>61</v>
      </c>
      <c r="AM1836" t="s">
        <v>7507</v>
      </c>
      <c r="AN1836" t="s">
        <v>7508</v>
      </c>
    </row>
    <row r="1837" spans="1:40" x14ac:dyDescent="0.35">
      <c r="A1837" t="s">
        <v>37</v>
      </c>
      <c r="B1837" t="s">
        <v>7509</v>
      </c>
      <c r="C1837" t="s">
        <v>39</v>
      </c>
      <c r="D1837" t="s">
        <v>555</v>
      </c>
      <c r="E1837" t="s">
        <v>4147</v>
      </c>
      <c r="F1837" s="1">
        <v>46073.38962962963</v>
      </c>
      <c r="G1837" t="s">
        <v>508</v>
      </c>
      <c r="H1837" t="s">
        <v>72</v>
      </c>
      <c r="I1837" t="s">
        <v>1250</v>
      </c>
      <c r="J1837" t="s">
        <v>394</v>
      </c>
      <c r="K1837" t="s">
        <v>75</v>
      </c>
      <c r="M1837" t="s">
        <v>47</v>
      </c>
      <c r="O1837" t="s">
        <v>77</v>
      </c>
      <c r="P1837" t="s">
        <v>78</v>
      </c>
      <c r="Q1837" t="s">
        <v>50</v>
      </c>
      <c r="R1837" t="s">
        <v>79</v>
      </c>
      <c r="S1837" t="s">
        <v>1078</v>
      </c>
      <c r="T1837" t="s">
        <v>1078</v>
      </c>
      <c r="U1837" s="1">
        <v>46073.389988425923</v>
      </c>
      <c r="V1837" t="s">
        <v>54</v>
      </c>
      <c r="W1837" t="s">
        <v>55</v>
      </c>
      <c r="X1837" t="s">
        <v>82</v>
      </c>
      <c r="Y1837" t="s">
        <v>1251</v>
      </c>
      <c r="Z1837" t="s">
        <v>5594</v>
      </c>
      <c r="AA1837" t="s">
        <v>54</v>
      </c>
      <c r="AB1837" t="s">
        <v>396</v>
      </c>
      <c r="AC1837" t="s">
        <v>85</v>
      </c>
      <c r="AD1837" t="s">
        <v>79</v>
      </c>
      <c r="AE1837" t="s">
        <v>1078</v>
      </c>
      <c r="AF1837" t="s">
        <v>1078</v>
      </c>
      <c r="AG1837" t="s">
        <v>5594</v>
      </c>
      <c r="AH1837">
        <v>15822</v>
      </c>
      <c r="AK1837">
        <v>0</v>
      </c>
      <c r="AL1837" t="s">
        <v>61</v>
      </c>
      <c r="AM1837" t="s">
        <v>7510</v>
      </c>
      <c r="AN1837" t="s">
        <v>7511</v>
      </c>
    </row>
    <row r="1838" spans="1:40" x14ac:dyDescent="0.35">
      <c r="A1838" t="s">
        <v>37</v>
      </c>
      <c r="B1838" t="s">
        <v>7512</v>
      </c>
      <c r="C1838" t="s">
        <v>39</v>
      </c>
      <c r="D1838" t="s">
        <v>792</v>
      </c>
      <c r="E1838" t="s">
        <v>7513</v>
      </c>
      <c r="F1838" s="1">
        <v>46073.387164351851</v>
      </c>
      <c r="G1838" t="s">
        <v>913</v>
      </c>
      <c r="H1838" t="s">
        <v>72</v>
      </c>
      <c r="I1838" t="s">
        <v>7514</v>
      </c>
      <c r="J1838" t="s">
        <v>1833</v>
      </c>
      <c r="K1838" t="s">
        <v>1834</v>
      </c>
      <c r="M1838" t="s">
        <v>76</v>
      </c>
      <c r="O1838" t="s">
        <v>77</v>
      </c>
      <c r="P1838" t="s">
        <v>78</v>
      </c>
      <c r="Q1838" t="s">
        <v>50</v>
      </c>
      <c r="R1838" t="s">
        <v>51</v>
      </c>
      <c r="S1838" t="s">
        <v>52</v>
      </c>
      <c r="T1838" t="s">
        <v>240</v>
      </c>
      <c r="U1838" s="1">
        <v>46078.947800925926</v>
      </c>
      <c r="V1838" t="s">
        <v>54</v>
      </c>
      <c r="W1838" t="s">
        <v>55</v>
      </c>
      <c r="X1838" t="s">
        <v>134</v>
      </c>
      <c r="Y1838" t="s">
        <v>1835</v>
      </c>
      <c r="Z1838" t="s">
        <v>58</v>
      </c>
      <c r="AA1838" t="s">
        <v>54</v>
      </c>
      <c r="AB1838" t="s">
        <v>1836</v>
      </c>
      <c r="AC1838" t="s">
        <v>85</v>
      </c>
      <c r="AD1838" t="s">
        <v>52</v>
      </c>
      <c r="AE1838" t="s">
        <v>243</v>
      </c>
      <c r="AF1838" t="s">
        <v>1470</v>
      </c>
      <c r="AG1838" t="s">
        <v>58</v>
      </c>
      <c r="AH1838">
        <v>15843</v>
      </c>
      <c r="AK1838">
        <v>0</v>
      </c>
      <c r="AL1838" t="s">
        <v>61</v>
      </c>
      <c r="AM1838" t="s">
        <v>7515</v>
      </c>
      <c r="AN1838" t="s">
        <v>7516</v>
      </c>
    </row>
    <row r="1839" spans="1:40" x14ac:dyDescent="0.35">
      <c r="A1839" t="s">
        <v>37</v>
      </c>
      <c r="B1839" t="s">
        <v>7517</v>
      </c>
      <c r="C1839" t="s">
        <v>39</v>
      </c>
      <c r="D1839" t="s">
        <v>7518</v>
      </c>
      <c r="E1839" t="s">
        <v>7519</v>
      </c>
      <c r="F1839" s="1">
        <v>46073.385891203703</v>
      </c>
      <c r="G1839" t="s">
        <v>355</v>
      </c>
      <c r="H1839" t="s">
        <v>356</v>
      </c>
      <c r="I1839" t="s">
        <v>205</v>
      </c>
      <c r="J1839" t="s">
        <v>7089</v>
      </c>
      <c r="K1839" t="s">
        <v>207</v>
      </c>
      <c r="M1839" t="s">
        <v>47</v>
      </c>
      <c r="O1839" t="s">
        <v>77</v>
      </c>
      <c r="P1839" t="s">
        <v>78</v>
      </c>
      <c r="Q1839" t="s">
        <v>50</v>
      </c>
      <c r="R1839" t="s">
        <v>208</v>
      </c>
      <c r="S1839" t="s">
        <v>209</v>
      </c>
      <c r="T1839" t="s">
        <v>210</v>
      </c>
      <c r="U1839" s="1">
        <v>46073.492442129631</v>
      </c>
      <c r="V1839" t="s">
        <v>54</v>
      </c>
      <c r="W1839" t="s">
        <v>55</v>
      </c>
      <c r="X1839" t="s">
        <v>211</v>
      </c>
      <c r="Y1839" t="s">
        <v>7090</v>
      </c>
      <c r="Z1839" t="s">
        <v>5594</v>
      </c>
      <c r="AA1839" t="s">
        <v>54</v>
      </c>
      <c r="AB1839" t="s">
        <v>213</v>
      </c>
      <c r="AC1839" t="s">
        <v>85</v>
      </c>
      <c r="AD1839" t="s">
        <v>214</v>
      </c>
      <c r="AE1839" t="s">
        <v>215</v>
      </c>
      <c r="AF1839" t="s">
        <v>216</v>
      </c>
      <c r="AG1839" t="s">
        <v>5594</v>
      </c>
      <c r="AH1839" t="s">
        <v>7520</v>
      </c>
      <c r="AK1839">
        <v>1</v>
      </c>
      <c r="AL1839" t="s">
        <v>61</v>
      </c>
      <c r="AM1839" t="s">
        <v>7521</v>
      </c>
      <c r="AN1839" t="s">
        <v>7522</v>
      </c>
    </row>
    <row r="1840" spans="1:40" x14ac:dyDescent="0.35">
      <c r="A1840" t="s">
        <v>37</v>
      </c>
      <c r="B1840" t="s">
        <v>7523</v>
      </c>
      <c r="C1840" t="s">
        <v>102</v>
      </c>
      <c r="D1840" t="s">
        <v>1698</v>
      </c>
      <c r="E1840" t="s">
        <v>584</v>
      </c>
      <c r="F1840" s="1">
        <v>46073.385578703703</v>
      </c>
      <c r="G1840" t="s">
        <v>105</v>
      </c>
      <c r="H1840" t="s">
        <v>106</v>
      </c>
      <c r="I1840" t="s">
        <v>3162</v>
      </c>
      <c r="J1840" t="s">
        <v>108</v>
      </c>
      <c r="K1840" t="s">
        <v>109</v>
      </c>
      <c r="M1840" t="s">
        <v>47</v>
      </c>
      <c r="O1840" t="s">
        <v>77</v>
      </c>
      <c r="P1840" t="s">
        <v>78</v>
      </c>
      <c r="Q1840" t="s">
        <v>50</v>
      </c>
      <c r="R1840" t="s">
        <v>111</v>
      </c>
      <c r="S1840" t="s">
        <v>51</v>
      </c>
      <c r="T1840" t="s">
        <v>112</v>
      </c>
      <c r="U1840" s="1">
        <v>46073.433252314811</v>
      </c>
      <c r="V1840" t="s">
        <v>54</v>
      </c>
      <c r="W1840" t="s">
        <v>55</v>
      </c>
      <c r="X1840" t="s">
        <v>134</v>
      </c>
      <c r="Y1840" t="s">
        <v>7524</v>
      </c>
      <c r="Z1840" t="s">
        <v>5594</v>
      </c>
      <c r="AA1840" t="s">
        <v>54</v>
      </c>
      <c r="AB1840" t="s">
        <v>1701</v>
      </c>
      <c r="AC1840" t="s">
        <v>85</v>
      </c>
      <c r="AD1840" t="s">
        <v>116</v>
      </c>
      <c r="AE1840" t="s">
        <v>117</v>
      </c>
      <c r="AF1840" t="s">
        <v>1706</v>
      </c>
      <c r="AG1840" t="s">
        <v>5594</v>
      </c>
      <c r="AK1840">
        <v>1</v>
      </c>
      <c r="AL1840" t="s">
        <v>61</v>
      </c>
      <c r="AM1840" t="s">
        <v>1701</v>
      </c>
      <c r="AN1840" t="s">
        <v>1702</v>
      </c>
    </row>
    <row r="1841" spans="1:40" x14ac:dyDescent="0.35">
      <c r="A1841" t="s">
        <v>37</v>
      </c>
      <c r="B1841" t="s">
        <v>7525</v>
      </c>
      <c r="C1841" t="s">
        <v>39</v>
      </c>
      <c r="D1841" t="s">
        <v>7526</v>
      </c>
      <c r="E1841" t="s">
        <v>7527</v>
      </c>
      <c r="F1841" s="1">
        <v>46073.384432870371</v>
      </c>
      <c r="G1841" t="s">
        <v>355</v>
      </c>
      <c r="H1841" t="s">
        <v>356</v>
      </c>
      <c r="I1841" t="s">
        <v>205</v>
      </c>
      <c r="J1841" t="s">
        <v>898</v>
      </c>
      <c r="K1841" t="s">
        <v>207</v>
      </c>
      <c r="M1841" t="s">
        <v>76</v>
      </c>
      <c r="O1841" t="s">
        <v>77</v>
      </c>
      <c r="P1841" t="s">
        <v>78</v>
      </c>
      <c r="Q1841" t="s">
        <v>50</v>
      </c>
      <c r="R1841" t="s">
        <v>305</v>
      </c>
      <c r="S1841" t="s">
        <v>306</v>
      </c>
      <c r="T1841" t="s">
        <v>307</v>
      </c>
      <c r="U1841" s="1">
        <v>46078.499062499999</v>
      </c>
      <c r="V1841" t="s">
        <v>54</v>
      </c>
      <c r="W1841" t="s">
        <v>55</v>
      </c>
      <c r="X1841" t="s">
        <v>211</v>
      </c>
      <c r="Y1841" t="s">
        <v>7528</v>
      </c>
      <c r="Z1841" t="s">
        <v>58</v>
      </c>
      <c r="AA1841" t="s">
        <v>54</v>
      </c>
      <c r="AB1841" t="s">
        <v>213</v>
      </c>
      <c r="AC1841" t="s">
        <v>85</v>
      </c>
      <c r="AD1841" t="s">
        <v>214</v>
      </c>
      <c r="AE1841" t="s">
        <v>215</v>
      </c>
      <c r="AF1841" t="s">
        <v>2083</v>
      </c>
      <c r="AG1841" t="s">
        <v>58</v>
      </c>
      <c r="AH1841" t="s">
        <v>7529</v>
      </c>
      <c r="AK1841">
        <v>6</v>
      </c>
      <c r="AL1841" t="s">
        <v>61</v>
      </c>
      <c r="AM1841" t="s">
        <v>7530</v>
      </c>
      <c r="AN1841" t="s">
        <v>7531</v>
      </c>
    </row>
    <row r="1842" spans="1:40" x14ac:dyDescent="0.35">
      <c r="A1842" t="s">
        <v>37</v>
      </c>
      <c r="B1842" t="s">
        <v>7532</v>
      </c>
      <c r="C1842" t="s">
        <v>39</v>
      </c>
      <c r="D1842" t="s">
        <v>7533</v>
      </c>
      <c r="E1842" t="s">
        <v>7534</v>
      </c>
      <c r="F1842" s="1">
        <v>46073.386354166665</v>
      </c>
      <c r="G1842" t="s">
        <v>286</v>
      </c>
      <c r="H1842" t="s">
        <v>287</v>
      </c>
      <c r="I1842" t="s">
        <v>1071</v>
      </c>
      <c r="J1842" t="s">
        <v>1518</v>
      </c>
      <c r="K1842" t="s">
        <v>75</v>
      </c>
      <c r="M1842" t="s">
        <v>47</v>
      </c>
      <c r="O1842" t="s">
        <v>77</v>
      </c>
      <c r="P1842" t="s">
        <v>78</v>
      </c>
      <c r="Q1842" t="s">
        <v>50</v>
      </c>
      <c r="R1842" t="s">
        <v>79</v>
      </c>
      <c r="S1842" t="s">
        <v>967</v>
      </c>
      <c r="T1842" t="s">
        <v>1072</v>
      </c>
      <c r="U1842" s="1">
        <v>46073.422060185185</v>
      </c>
      <c r="V1842" t="s">
        <v>54</v>
      </c>
      <c r="W1842" t="s">
        <v>55</v>
      </c>
      <c r="X1842" t="s">
        <v>82</v>
      </c>
      <c r="Y1842" t="s">
        <v>4142</v>
      </c>
      <c r="Z1842" t="s">
        <v>5594</v>
      </c>
      <c r="AA1842" t="s">
        <v>54</v>
      </c>
      <c r="AB1842" t="s">
        <v>1503</v>
      </c>
      <c r="AC1842" t="s">
        <v>85</v>
      </c>
      <c r="AD1842" t="s">
        <v>79</v>
      </c>
      <c r="AE1842" t="s">
        <v>967</v>
      </c>
      <c r="AF1842" t="s">
        <v>1072</v>
      </c>
      <c r="AG1842" t="s">
        <v>5594</v>
      </c>
      <c r="AH1842">
        <v>15789</v>
      </c>
      <c r="AK1842">
        <v>2</v>
      </c>
      <c r="AL1842" t="s">
        <v>61</v>
      </c>
      <c r="AM1842" t="s">
        <v>7535</v>
      </c>
      <c r="AN1842" t="s">
        <v>7536</v>
      </c>
    </row>
    <row r="1843" spans="1:40" x14ac:dyDescent="0.35">
      <c r="A1843" t="s">
        <v>37</v>
      </c>
      <c r="B1843" t="s">
        <v>7537</v>
      </c>
      <c r="C1843" t="s">
        <v>102</v>
      </c>
      <c r="D1843" t="s">
        <v>617</v>
      </c>
      <c r="E1843" t="s">
        <v>618</v>
      </c>
      <c r="F1843" s="1">
        <v>46073.390775462962</v>
      </c>
      <c r="G1843" t="s">
        <v>286</v>
      </c>
      <c r="H1843" t="s">
        <v>287</v>
      </c>
      <c r="I1843" t="s">
        <v>7538</v>
      </c>
      <c r="J1843" t="s">
        <v>620</v>
      </c>
      <c r="K1843" t="s">
        <v>130</v>
      </c>
      <c r="M1843" t="s">
        <v>47</v>
      </c>
      <c r="O1843" t="s">
        <v>77</v>
      </c>
      <c r="P1843" t="s">
        <v>78</v>
      </c>
      <c r="Q1843" t="s">
        <v>50</v>
      </c>
      <c r="R1843" t="s">
        <v>132</v>
      </c>
      <c r="S1843" t="s">
        <v>133</v>
      </c>
      <c r="T1843" t="s">
        <v>133</v>
      </c>
      <c r="U1843" s="1">
        <v>46073.446192129632</v>
      </c>
      <c r="V1843" t="s">
        <v>54</v>
      </c>
      <c r="W1843" t="s">
        <v>55</v>
      </c>
      <c r="X1843" t="s">
        <v>134</v>
      </c>
      <c r="Y1843" t="s">
        <v>7539</v>
      </c>
      <c r="Z1843" t="s">
        <v>5594</v>
      </c>
      <c r="AA1843" t="s">
        <v>54</v>
      </c>
      <c r="AB1843" t="s">
        <v>622</v>
      </c>
      <c r="AC1843" t="s">
        <v>85</v>
      </c>
      <c r="AD1843" t="s">
        <v>132</v>
      </c>
      <c r="AE1843" t="s">
        <v>133</v>
      </c>
      <c r="AF1843" t="s">
        <v>133</v>
      </c>
      <c r="AG1843" t="s">
        <v>5594</v>
      </c>
      <c r="AH1843" t="s">
        <v>623</v>
      </c>
      <c r="AK1843">
        <v>1</v>
      </c>
      <c r="AL1843" t="s">
        <v>61</v>
      </c>
      <c r="AM1843" t="s">
        <v>622</v>
      </c>
      <c r="AN1843" t="s">
        <v>624</v>
      </c>
    </row>
    <row r="1844" spans="1:40" x14ac:dyDescent="0.35">
      <c r="A1844" t="s">
        <v>37</v>
      </c>
      <c r="B1844" t="s">
        <v>7540</v>
      </c>
      <c r="C1844" t="s">
        <v>39</v>
      </c>
      <c r="D1844" t="s">
        <v>4939</v>
      </c>
      <c r="E1844" t="s">
        <v>4940</v>
      </c>
      <c r="F1844" s="1">
        <v>46073.380891203706</v>
      </c>
      <c r="G1844" t="s">
        <v>631</v>
      </c>
      <c r="H1844" t="s">
        <v>447</v>
      </c>
      <c r="I1844" t="s">
        <v>7541</v>
      </c>
      <c r="J1844" t="s">
        <v>3423</v>
      </c>
      <c r="K1844" t="s">
        <v>75</v>
      </c>
      <c r="M1844" t="s">
        <v>47</v>
      </c>
      <c r="O1844" t="s">
        <v>77</v>
      </c>
      <c r="P1844" t="s">
        <v>78</v>
      </c>
      <c r="Q1844" t="s">
        <v>161</v>
      </c>
      <c r="R1844" t="s">
        <v>79</v>
      </c>
      <c r="S1844" t="s">
        <v>172</v>
      </c>
      <c r="T1844" t="s">
        <v>173</v>
      </c>
      <c r="U1844" s="1">
        <v>46073.451666666668</v>
      </c>
      <c r="V1844" t="s">
        <v>54</v>
      </c>
      <c r="W1844" t="s">
        <v>55</v>
      </c>
      <c r="X1844" t="s">
        <v>82</v>
      </c>
      <c r="Y1844" t="s">
        <v>7542</v>
      </c>
      <c r="Z1844" t="s">
        <v>5594</v>
      </c>
      <c r="AA1844" t="s">
        <v>54</v>
      </c>
      <c r="AB1844" t="s">
        <v>3425</v>
      </c>
      <c r="AC1844" t="s">
        <v>85</v>
      </c>
      <c r="AD1844" t="s">
        <v>79</v>
      </c>
      <c r="AE1844" t="s">
        <v>172</v>
      </c>
      <c r="AF1844" t="s">
        <v>173</v>
      </c>
      <c r="AG1844" t="s">
        <v>5594</v>
      </c>
      <c r="AH1844">
        <v>4160</v>
      </c>
      <c r="AK1844">
        <v>0</v>
      </c>
      <c r="AL1844" t="s">
        <v>61</v>
      </c>
      <c r="AM1844" t="s">
        <v>4941</v>
      </c>
      <c r="AN1844" t="s">
        <v>4942</v>
      </c>
    </row>
    <row r="1845" spans="1:40" x14ac:dyDescent="0.35">
      <c r="A1845" t="s">
        <v>37</v>
      </c>
      <c r="B1845" t="s">
        <v>7543</v>
      </c>
      <c r="C1845" t="s">
        <v>39</v>
      </c>
      <c r="D1845" t="s">
        <v>7544</v>
      </c>
      <c r="E1845" t="s">
        <v>7545</v>
      </c>
      <c r="F1845" s="1">
        <v>46073.379814814813</v>
      </c>
      <c r="G1845" t="s">
        <v>793</v>
      </c>
      <c r="H1845" t="s">
        <v>356</v>
      </c>
      <c r="I1845" t="s">
        <v>205</v>
      </c>
      <c r="J1845" t="s">
        <v>206</v>
      </c>
      <c r="K1845" t="s">
        <v>207</v>
      </c>
      <c r="M1845" t="s">
        <v>47</v>
      </c>
      <c r="O1845" t="s">
        <v>77</v>
      </c>
      <c r="P1845" t="s">
        <v>78</v>
      </c>
      <c r="Q1845" t="s">
        <v>1174</v>
      </c>
      <c r="R1845" t="s">
        <v>305</v>
      </c>
      <c r="S1845" t="s">
        <v>306</v>
      </c>
      <c r="T1845" t="s">
        <v>307</v>
      </c>
      <c r="U1845" s="1">
        <v>46074.795682870368</v>
      </c>
      <c r="V1845" t="s">
        <v>54</v>
      </c>
      <c r="W1845" t="s">
        <v>55</v>
      </c>
      <c r="X1845" t="s">
        <v>211</v>
      </c>
      <c r="Y1845" t="s">
        <v>7546</v>
      </c>
      <c r="Z1845" t="s">
        <v>5594</v>
      </c>
      <c r="AA1845" t="s">
        <v>54</v>
      </c>
      <c r="AB1845" t="s">
        <v>213</v>
      </c>
      <c r="AC1845" t="s">
        <v>85</v>
      </c>
      <c r="AD1845" t="s">
        <v>214</v>
      </c>
      <c r="AE1845" t="s">
        <v>215</v>
      </c>
      <c r="AF1845" t="s">
        <v>216</v>
      </c>
      <c r="AG1845" t="s">
        <v>5594</v>
      </c>
      <c r="AH1845" t="s">
        <v>7547</v>
      </c>
      <c r="AK1845">
        <v>2</v>
      </c>
      <c r="AL1845" t="s">
        <v>61</v>
      </c>
      <c r="AM1845" t="s">
        <v>7548</v>
      </c>
      <c r="AN1845" t="s">
        <v>7549</v>
      </c>
    </row>
    <row r="1846" spans="1:40" x14ac:dyDescent="0.35">
      <c r="A1846" t="s">
        <v>37</v>
      </c>
      <c r="B1846" t="s">
        <v>7550</v>
      </c>
      <c r="C1846" t="s">
        <v>39</v>
      </c>
      <c r="D1846" t="s">
        <v>2503</v>
      </c>
      <c r="E1846" t="s">
        <v>982</v>
      </c>
      <c r="F1846" s="1">
        <v>46073.379236111112</v>
      </c>
      <c r="G1846" t="s">
        <v>370</v>
      </c>
      <c r="H1846" t="s">
        <v>371</v>
      </c>
      <c r="I1846" t="s">
        <v>205</v>
      </c>
      <c r="J1846" t="s">
        <v>1692</v>
      </c>
      <c r="K1846" t="s">
        <v>207</v>
      </c>
      <c r="M1846" t="s">
        <v>131</v>
      </c>
      <c r="O1846" t="s">
        <v>77</v>
      </c>
      <c r="P1846" t="s">
        <v>78</v>
      </c>
      <c r="Q1846" t="s">
        <v>50</v>
      </c>
      <c r="R1846" t="s">
        <v>305</v>
      </c>
      <c r="S1846" t="s">
        <v>306</v>
      </c>
      <c r="T1846" t="s">
        <v>307</v>
      </c>
      <c r="U1846" s="1">
        <v>46077.995787037034</v>
      </c>
      <c r="V1846" t="s">
        <v>54</v>
      </c>
      <c r="W1846" t="s">
        <v>55</v>
      </c>
      <c r="X1846" t="s">
        <v>211</v>
      </c>
      <c r="Y1846" t="s">
        <v>4115</v>
      </c>
      <c r="Z1846" t="s">
        <v>58</v>
      </c>
      <c r="AA1846" t="s">
        <v>54</v>
      </c>
      <c r="AB1846" t="s">
        <v>213</v>
      </c>
      <c r="AC1846" t="s">
        <v>85</v>
      </c>
      <c r="AD1846" t="s">
        <v>214</v>
      </c>
      <c r="AE1846" t="s">
        <v>215</v>
      </c>
      <c r="AF1846" t="s">
        <v>161</v>
      </c>
      <c r="AG1846" t="s">
        <v>58</v>
      </c>
      <c r="AH1846">
        <v>15499</v>
      </c>
      <c r="AK1846">
        <v>5</v>
      </c>
      <c r="AL1846" t="s">
        <v>61</v>
      </c>
      <c r="AM1846" t="s">
        <v>7551</v>
      </c>
      <c r="AN1846" t="s">
        <v>7552</v>
      </c>
    </row>
    <row r="1847" spans="1:40" x14ac:dyDescent="0.35">
      <c r="A1847" t="s">
        <v>37</v>
      </c>
      <c r="B1847" t="s">
        <v>7553</v>
      </c>
      <c r="C1847" t="s">
        <v>39</v>
      </c>
      <c r="D1847" t="s">
        <v>40</v>
      </c>
      <c r="E1847" t="s">
        <v>41</v>
      </c>
      <c r="F1847" s="1">
        <v>46073.378541666665</v>
      </c>
      <c r="G1847" t="s">
        <v>42</v>
      </c>
      <c r="H1847" t="s">
        <v>43</v>
      </c>
      <c r="I1847" t="s">
        <v>7554</v>
      </c>
      <c r="J1847" t="s">
        <v>45</v>
      </c>
      <c r="K1847" t="s">
        <v>46</v>
      </c>
      <c r="M1847" t="s">
        <v>47</v>
      </c>
      <c r="O1847" t="s">
        <v>48</v>
      </c>
      <c r="P1847" t="s">
        <v>49</v>
      </c>
      <c r="Q1847" t="s">
        <v>50</v>
      </c>
      <c r="R1847" t="s">
        <v>51</v>
      </c>
      <c r="S1847" t="s">
        <v>52</v>
      </c>
      <c r="T1847" t="s">
        <v>53</v>
      </c>
      <c r="U1847" s="1">
        <v>46073.379270833335</v>
      </c>
      <c r="V1847" t="s">
        <v>54</v>
      </c>
      <c r="W1847" t="s">
        <v>55</v>
      </c>
      <c r="X1847" t="s">
        <v>56</v>
      </c>
      <c r="Y1847" t="s">
        <v>57</v>
      </c>
      <c r="Z1847" t="s">
        <v>5594</v>
      </c>
      <c r="AA1847" t="s">
        <v>54</v>
      </c>
      <c r="AB1847" t="s">
        <v>59</v>
      </c>
      <c r="AC1847" t="s">
        <v>60</v>
      </c>
      <c r="AD1847" t="s">
        <v>51</v>
      </c>
      <c r="AE1847" t="s">
        <v>52</v>
      </c>
      <c r="AF1847" t="s">
        <v>53</v>
      </c>
      <c r="AG1847" t="s">
        <v>5594</v>
      </c>
      <c r="AK1847">
        <v>0</v>
      </c>
      <c r="AL1847" t="s">
        <v>61</v>
      </c>
      <c r="AM1847" t="s">
        <v>59</v>
      </c>
      <c r="AN1847" t="s">
        <v>62</v>
      </c>
    </row>
    <row r="1848" spans="1:40" x14ac:dyDescent="0.35">
      <c r="A1848" t="s">
        <v>37</v>
      </c>
      <c r="B1848" t="s">
        <v>7555</v>
      </c>
      <c r="C1848" t="s">
        <v>39</v>
      </c>
      <c r="D1848" t="s">
        <v>7556</v>
      </c>
      <c r="E1848" t="s">
        <v>7557</v>
      </c>
      <c r="F1848" s="1">
        <v>46073.376377314817</v>
      </c>
      <c r="G1848" t="s">
        <v>688</v>
      </c>
      <c r="H1848" t="s">
        <v>106</v>
      </c>
      <c r="I1848" t="s">
        <v>205</v>
      </c>
      <c r="J1848" t="s">
        <v>7089</v>
      </c>
      <c r="K1848" t="s">
        <v>207</v>
      </c>
      <c r="M1848" t="s">
        <v>47</v>
      </c>
      <c r="O1848" t="s">
        <v>77</v>
      </c>
      <c r="P1848" t="s">
        <v>78</v>
      </c>
      <c r="Q1848" t="s">
        <v>50</v>
      </c>
      <c r="R1848" t="s">
        <v>208</v>
      </c>
      <c r="S1848" t="s">
        <v>209</v>
      </c>
      <c r="T1848" t="s">
        <v>210</v>
      </c>
      <c r="U1848" s="1">
        <v>46073.492222222223</v>
      </c>
      <c r="V1848" t="s">
        <v>54</v>
      </c>
      <c r="W1848" t="s">
        <v>55</v>
      </c>
      <c r="X1848" t="s">
        <v>211</v>
      </c>
      <c r="Y1848" t="s">
        <v>7090</v>
      </c>
      <c r="Z1848" t="s">
        <v>5594</v>
      </c>
      <c r="AA1848" t="s">
        <v>54</v>
      </c>
      <c r="AB1848" t="s">
        <v>213</v>
      </c>
      <c r="AC1848" t="s">
        <v>85</v>
      </c>
      <c r="AD1848" t="s">
        <v>214</v>
      </c>
      <c r="AE1848" t="s">
        <v>215</v>
      </c>
      <c r="AF1848" t="s">
        <v>216</v>
      </c>
      <c r="AG1848" t="s">
        <v>5594</v>
      </c>
      <c r="AH1848">
        <v>15294</v>
      </c>
      <c r="AK1848">
        <v>1</v>
      </c>
      <c r="AL1848" t="s">
        <v>61</v>
      </c>
      <c r="AM1848" t="s">
        <v>7558</v>
      </c>
      <c r="AN1848" t="s">
        <v>7559</v>
      </c>
    </row>
    <row r="1849" spans="1:40" x14ac:dyDescent="0.35">
      <c r="A1849" t="s">
        <v>37</v>
      </c>
      <c r="B1849" t="s">
        <v>7560</v>
      </c>
      <c r="C1849" t="s">
        <v>656</v>
      </c>
      <c r="D1849" t="s">
        <v>1711</v>
      </c>
      <c r="E1849" t="s">
        <v>1712</v>
      </c>
      <c r="F1849" s="1">
        <v>46073.375763888886</v>
      </c>
      <c r="G1849" t="s">
        <v>1713</v>
      </c>
      <c r="H1849" t="s">
        <v>356</v>
      </c>
      <c r="I1849" t="s">
        <v>7561</v>
      </c>
      <c r="J1849" t="s">
        <v>4693</v>
      </c>
      <c r="K1849" t="s">
        <v>4694</v>
      </c>
      <c r="M1849" t="s">
        <v>131</v>
      </c>
      <c r="O1849" t="s">
        <v>237</v>
      </c>
      <c r="P1849" t="s">
        <v>238</v>
      </c>
      <c r="Q1849" t="s">
        <v>50</v>
      </c>
      <c r="R1849" t="s">
        <v>305</v>
      </c>
      <c r="S1849" t="s">
        <v>306</v>
      </c>
      <c r="T1849" t="s">
        <v>1715</v>
      </c>
      <c r="U1849" s="1">
        <v>46076.42659722222</v>
      </c>
      <c r="V1849" t="s">
        <v>54</v>
      </c>
      <c r="W1849" t="s">
        <v>55</v>
      </c>
      <c r="X1849" t="s">
        <v>134</v>
      </c>
      <c r="Y1849" t="s">
        <v>7562</v>
      </c>
      <c r="Z1849" t="s">
        <v>58</v>
      </c>
      <c r="AA1849" t="s">
        <v>54</v>
      </c>
      <c r="AB1849" t="s">
        <v>1717</v>
      </c>
      <c r="AC1849" t="s">
        <v>242</v>
      </c>
      <c r="AD1849" t="s">
        <v>51</v>
      </c>
      <c r="AE1849" t="s">
        <v>52</v>
      </c>
      <c r="AF1849" t="s">
        <v>240</v>
      </c>
      <c r="AG1849" t="s">
        <v>58</v>
      </c>
      <c r="AK1849">
        <v>2</v>
      </c>
      <c r="AL1849" t="s">
        <v>61</v>
      </c>
      <c r="AM1849" t="s">
        <v>1717</v>
      </c>
      <c r="AN1849" t="s">
        <v>1720</v>
      </c>
    </row>
    <row r="1850" spans="1:40" x14ac:dyDescent="0.35">
      <c r="A1850" t="s">
        <v>37</v>
      </c>
      <c r="B1850" t="s">
        <v>7563</v>
      </c>
      <c r="C1850" t="s">
        <v>39</v>
      </c>
      <c r="D1850" t="s">
        <v>3040</v>
      </c>
      <c r="E1850" t="s">
        <v>431</v>
      </c>
      <c r="F1850" s="1">
        <v>46073.376377314817</v>
      </c>
      <c r="G1850" t="s">
        <v>1117</v>
      </c>
      <c r="H1850" t="s">
        <v>92</v>
      </c>
      <c r="I1850" t="s">
        <v>3451</v>
      </c>
      <c r="J1850" t="s">
        <v>3423</v>
      </c>
      <c r="K1850" t="s">
        <v>75</v>
      </c>
      <c r="M1850" t="s">
        <v>47</v>
      </c>
      <c r="O1850" t="s">
        <v>77</v>
      </c>
      <c r="P1850" t="s">
        <v>78</v>
      </c>
      <c r="Q1850" t="s">
        <v>50</v>
      </c>
      <c r="R1850" t="s">
        <v>79</v>
      </c>
      <c r="S1850" t="s">
        <v>1078</v>
      </c>
      <c r="T1850" t="s">
        <v>1078</v>
      </c>
      <c r="U1850" s="1">
        <v>46073.444780092592</v>
      </c>
      <c r="V1850" t="s">
        <v>54</v>
      </c>
      <c r="W1850" t="s">
        <v>55</v>
      </c>
      <c r="X1850" t="s">
        <v>82</v>
      </c>
      <c r="Y1850" t="s">
        <v>3452</v>
      </c>
      <c r="Z1850" t="s">
        <v>5594</v>
      </c>
      <c r="AA1850" t="s">
        <v>54</v>
      </c>
      <c r="AB1850" t="s">
        <v>3425</v>
      </c>
      <c r="AC1850" t="s">
        <v>85</v>
      </c>
      <c r="AD1850" t="s">
        <v>79</v>
      </c>
      <c r="AE1850" t="s">
        <v>1078</v>
      </c>
      <c r="AF1850" t="s">
        <v>1078</v>
      </c>
      <c r="AG1850" t="s">
        <v>5594</v>
      </c>
      <c r="AH1850">
        <v>12083</v>
      </c>
      <c r="AK1850">
        <v>0</v>
      </c>
      <c r="AL1850" t="s">
        <v>61</v>
      </c>
      <c r="AM1850" t="s">
        <v>3041</v>
      </c>
      <c r="AN1850" t="s">
        <v>3042</v>
      </c>
    </row>
    <row r="1851" spans="1:40" x14ac:dyDescent="0.35">
      <c r="A1851" t="s">
        <v>37</v>
      </c>
      <c r="B1851" t="s">
        <v>7564</v>
      </c>
      <c r="C1851" t="s">
        <v>39</v>
      </c>
      <c r="D1851" t="s">
        <v>7565</v>
      </c>
      <c r="E1851" t="s">
        <v>1248</v>
      </c>
      <c r="F1851" s="1">
        <v>46073.375</v>
      </c>
      <c r="G1851" t="s">
        <v>487</v>
      </c>
      <c r="H1851" t="s">
        <v>447</v>
      </c>
      <c r="I1851" t="s">
        <v>205</v>
      </c>
      <c r="J1851" t="s">
        <v>7089</v>
      </c>
      <c r="K1851" t="s">
        <v>207</v>
      </c>
      <c r="M1851" t="s">
        <v>47</v>
      </c>
      <c r="O1851" t="s">
        <v>77</v>
      </c>
      <c r="P1851" t="s">
        <v>78</v>
      </c>
      <c r="Q1851" t="s">
        <v>1141</v>
      </c>
      <c r="R1851" t="s">
        <v>208</v>
      </c>
      <c r="S1851" t="s">
        <v>209</v>
      </c>
      <c r="T1851" t="s">
        <v>210</v>
      </c>
      <c r="U1851" s="1">
        <v>46073.491851851853</v>
      </c>
      <c r="V1851" t="s">
        <v>54</v>
      </c>
      <c r="W1851" t="s">
        <v>55</v>
      </c>
      <c r="X1851" t="s">
        <v>211</v>
      </c>
      <c r="Y1851" t="s">
        <v>7090</v>
      </c>
      <c r="Z1851" t="s">
        <v>5594</v>
      </c>
      <c r="AA1851" t="s">
        <v>54</v>
      </c>
      <c r="AB1851" t="s">
        <v>213</v>
      </c>
      <c r="AC1851" t="s">
        <v>85</v>
      </c>
      <c r="AD1851" t="s">
        <v>214</v>
      </c>
      <c r="AE1851" t="s">
        <v>215</v>
      </c>
      <c r="AF1851" t="s">
        <v>216</v>
      </c>
      <c r="AG1851" t="s">
        <v>5594</v>
      </c>
      <c r="AH1851">
        <v>6267</v>
      </c>
      <c r="AK1851">
        <v>1</v>
      </c>
      <c r="AL1851" t="s">
        <v>61</v>
      </c>
      <c r="AM1851" t="s">
        <v>7566</v>
      </c>
      <c r="AN1851" t="s">
        <v>7567</v>
      </c>
    </row>
    <row r="1852" spans="1:40" x14ac:dyDescent="0.35">
      <c r="A1852" t="s">
        <v>37</v>
      </c>
      <c r="B1852" t="s">
        <v>7568</v>
      </c>
      <c r="C1852" t="s">
        <v>39</v>
      </c>
      <c r="D1852" t="s">
        <v>1146</v>
      </c>
      <c r="E1852" t="s">
        <v>1147</v>
      </c>
      <c r="F1852" s="1">
        <v>46073.375740740739</v>
      </c>
      <c r="G1852" t="s">
        <v>370</v>
      </c>
      <c r="H1852" t="s">
        <v>371</v>
      </c>
      <c r="I1852" t="s">
        <v>3072</v>
      </c>
      <c r="J1852" t="s">
        <v>695</v>
      </c>
      <c r="K1852" t="s">
        <v>75</v>
      </c>
      <c r="M1852" t="s">
        <v>47</v>
      </c>
      <c r="O1852" t="s">
        <v>77</v>
      </c>
      <c r="P1852" t="s">
        <v>78</v>
      </c>
      <c r="Q1852" t="s">
        <v>50</v>
      </c>
      <c r="R1852" t="s">
        <v>79</v>
      </c>
      <c r="S1852" t="s">
        <v>967</v>
      </c>
      <c r="T1852" t="s">
        <v>1072</v>
      </c>
      <c r="U1852" s="1">
        <v>46073.378981481481</v>
      </c>
      <c r="V1852" t="s">
        <v>54</v>
      </c>
      <c r="W1852" t="s">
        <v>55</v>
      </c>
      <c r="X1852" t="s">
        <v>82</v>
      </c>
      <c r="Y1852" t="s">
        <v>3073</v>
      </c>
      <c r="Z1852" t="s">
        <v>5594</v>
      </c>
      <c r="AA1852" t="s">
        <v>54</v>
      </c>
      <c r="AB1852" t="s">
        <v>698</v>
      </c>
      <c r="AC1852" t="s">
        <v>85</v>
      </c>
      <c r="AD1852" t="s">
        <v>79</v>
      </c>
      <c r="AE1852" t="s">
        <v>967</v>
      </c>
      <c r="AF1852" t="s">
        <v>1072</v>
      </c>
      <c r="AG1852" t="s">
        <v>5594</v>
      </c>
      <c r="AH1852">
        <v>15703</v>
      </c>
      <c r="AK1852">
        <v>0</v>
      </c>
      <c r="AL1852" t="s">
        <v>61</v>
      </c>
      <c r="AM1852" t="s">
        <v>1148</v>
      </c>
      <c r="AN1852" t="s">
        <v>1149</v>
      </c>
    </row>
    <row r="1853" spans="1:40" x14ac:dyDescent="0.35">
      <c r="A1853" t="s">
        <v>37</v>
      </c>
      <c r="B1853" t="s">
        <v>7569</v>
      </c>
      <c r="C1853" t="s">
        <v>102</v>
      </c>
      <c r="D1853" t="s">
        <v>1698</v>
      </c>
      <c r="E1853" t="s">
        <v>584</v>
      </c>
      <c r="F1853" s="1">
        <v>46073.37431712963</v>
      </c>
      <c r="G1853" t="s">
        <v>105</v>
      </c>
      <c r="H1853" t="s">
        <v>106</v>
      </c>
      <c r="I1853" t="s">
        <v>1745</v>
      </c>
      <c r="J1853" t="s">
        <v>108</v>
      </c>
      <c r="K1853" t="s">
        <v>109</v>
      </c>
      <c r="M1853" t="s">
        <v>47</v>
      </c>
      <c r="O1853" t="s">
        <v>77</v>
      </c>
      <c r="P1853" t="s">
        <v>78</v>
      </c>
      <c r="Q1853" t="s">
        <v>50</v>
      </c>
      <c r="R1853" t="s">
        <v>111</v>
      </c>
      <c r="S1853" t="s">
        <v>51</v>
      </c>
      <c r="T1853" t="s">
        <v>112</v>
      </c>
      <c r="U1853" s="1">
        <v>46074.083437499998</v>
      </c>
      <c r="V1853" t="s">
        <v>54</v>
      </c>
      <c r="W1853" t="s">
        <v>1584</v>
      </c>
      <c r="X1853" t="s">
        <v>134</v>
      </c>
      <c r="Y1853" t="s">
        <v>7570</v>
      </c>
      <c r="Z1853" t="s">
        <v>5594</v>
      </c>
      <c r="AA1853" t="s">
        <v>54</v>
      </c>
      <c r="AB1853" t="s">
        <v>1701</v>
      </c>
      <c r="AC1853" t="s">
        <v>85</v>
      </c>
      <c r="AD1853" t="s">
        <v>116</v>
      </c>
      <c r="AE1853" t="s">
        <v>117</v>
      </c>
      <c r="AF1853" t="s">
        <v>118</v>
      </c>
      <c r="AG1853" t="s">
        <v>5594</v>
      </c>
      <c r="AK1853">
        <v>1</v>
      </c>
      <c r="AL1853" t="s">
        <v>61</v>
      </c>
      <c r="AM1853" t="s">
        <v>1701</v>
      </c>
      <c r="AN1853" t="s">
        <v>1702</v>
      </c>
    </row>
    <row r="1854" spans="1:40" x14ac:dyDescent="0.35">
      <c r="A1854" t="s">
        <v>37</v>
      </c>
      <c r="B1854" t="s">
        <v>7571</v>
      </c>
      <c r="C1854" t="s">
        <v>39</v>
      </c>
      <c r="D1854" t="s">
        <v>5437</v>
      </c>
      <c r="E1854" t="s">
        <v>5438</v>
      </c>
      <c r="F1854" s="1">
        <v>46073.371261574073</v>
      </c>
      <c r="G1854" t="s">
        <v>402</v>
      </c>
      <c r="H1854" t="s">
        <v>72</v>
      </c>
      <c r="I1854" t="s">
        <v>171</v>
      </c>
      <c r="J1854" t="s">
        <v>3423</v>
      </c>
      <c r="K1854" t="s">
        <v>75</v>
      </c>
      <c r="M1854" t="s">
        <v>47</v>
      </c>
      <c r="O1854" t="s">
        <v>77</v>
      </c>
      <c r="P1854" t="s">
        <v>78</v>
      </c>
      <c r="Q1854" t="s">
        <v>50</v>
      </c>
      <c r="R1854" t="s">
        <v>79</v>
      </c>
      <c r="S1854" t="s">
        <v>172</v>
      </c>
      <c r="T1854" t="s">
        <v>173</v>
      </c>
      <c r="U1854" s="1">
        <v>46073.444409722222</v>
      </c>
      <c r="V1854" t="s">
        <v>54</v>
      </c>
      <c r="W1854" t="s">
        <v>55</v>
      </c>
      <c r="X1854" t="s">
        <v>82</v>
      </c>
      <c r="Y1854" t="s">
        <v>3424</v>
      </c>
      <c r="Z1854" t="s">
        <v>5594</v>
      </c>
      <c r="AA1854" t="s">
        <v>54</v>
      </c>
      <c r="AB1854" t="s">
        <v>3425</v>
      </c>
      <c r="AC1854" t="s">
        <v>85</v>
      </c>
      <c r="AD1854" t="s">
        <v>79</v>
      </c>
      <c r="AE1854" t="s">
        <v>172</v>
      </c>
      <c r="AF1854" t="s">
        <v>173</v>
      </c>
      <c r="AG1854" t="s">
        <v>5594</v>
      </c>
      <c r="AH1854">
        <v>15128</v>
      </c>
      <c r="AK1854">
        <v>0</v>
      </c>
      <c r="AL1854" t="s">
        <v>61</v>
      </c>
      <c r="AM1854" t="s">
        <v>5440</v>
      </c>
      <c r="AN1854" t="s">
        <v>5441</v>
      </c>
    </row>
    <row r="1855" spans="1:40" x14ac:dyDescent="0.35">
      <c r="A1855" t="s">
        <v>37</v>
      </c>
      <c r="B1855" t="s">
        <v>7572</v>
      </c>
      <c r="C1855" t="s">
        <v>39</v>
      </c>
      <c r="D1855" t="s">
        <v>7573</v>
      </c>
      <c r="E1855" t="s">
        <v>7574</v>
      </c>
      <c r="F1855" s="1">
        <v>46073.370428240742</v>
      </c>
      <c r="G1855" t="s">
        <v>487</v>
      </c>
      <c r="H1855" t="s">
        <v>447</v>
      </c>
      <c r="I1855" t="s">
        <v>205</v>
      </c>
      <c r="J1855" t="s">
        <v>7089</v>
      </c>
      <c r="K1855" t="s">
        <v>207</v>
      </c>
      <c r="M1855" t="s">
        <v>47</v>
      </c>
      <c r="O1855" t="s">
        <v>77</v>
      </c>
      <c r="P1855" t="s">
        <v>78</v>
      </c>
      <c r="Q1855" t="s">
        <v>1141</v>
      </c>
      <c r="R1855" t="s">
        <v>208</v>
      </c>
      <c r="S1855" t="s">
        <v>209</v>
      </c>
      <c r="T1855" t="s">
        <v>210</v>
      </c>
      <c r="U1855" s="1">
        <v>46073.49150462963</v>
      </c>
      <c r="V1855" t="s">
        <v>54</v>
      </c>
      <c r="W1855" t="s">
        <v>55</v>
      </c>
      <c r="X1855" t="s">
        <v>211</v>
      </c>
      <c r="Y1855" t="s">
        <v>7090</v>
      </c>
      <c r="Z1855" t="s">
        <v>5594</v>
      </c>
      <c r="AA1855" t="s">
        <v>54</v>
      </c>
      <c r="AB1855" t="s">
        <v>213</v>
      </c>
      <c r="AC1855" t="s">
        <v>85</v>
      </c>
      <c r="AD1855" t="s">
        <v>214</v>
      </c>
      <c r="AE1855" t="s">
        <v>215</v>
      </c>
      <c r="AF1855" t="s">
        <v>216</v>
      </c>
      <c r="AG1855" t="s">
        <v>5594</v>
      </c>
      <c r="AH1855">
        <v>2981</v>
      </c>
      <c r="AK1855">
        <v>1</v>
      </c>
      <c r="AL1855" t="s">
        <v>61</v>
      </c>
      <c r="AM1855" t="s">
        <v>7575</v>
      </c>
      <c r="AN1855" t="s">
        <v>7576</v>
      </c>
    </row>
    <row r="1856" spans="1:40" x14ac:dyDescent="0.35">
      <c r="A1856" t="s">
        <v>37</v>
      </c>
      <c r="B1856" t="s">
        <v>7577</v>
      </c>
      <c r="C1856" t="s">
        <v>102</v>
      </c>
      <c r="D1856" t="s">
        <v>2503</v>
      </c>
      <c r="E1856" t="s">
        <v>7578</v>
      </c>
      <c r="F1856" s="1">
        <v>46073.369375000002</v>
      </c>
      <c r="G1856" t="s">
        <v>597</v>
      </c>
      <c r="H1856" t="s">
        <v>287</v>
      </c>
      <c r="I1856" t="s">
        <v>7579</v>
      </c>
      <c r="J1856" t="s">
        <v>235</v>
      </c>
      <c r="K1856" t="s">
        <v>236</v>
      </c>
      <c r="M1856" t="s">
        <v>47</v>
      </c>
      <c r="O1856" t="s">
        <v>237</v>
      </c>
      <c r="P1856" t="s">
        <v>238</v>
      </c>
      <c r="Q1856" t="s">
        <v>7580</v>
      </c>
      <c r="R1856" t="s">
        <v>51</v>
      </c>
      <c r="S1856" t="s">
        <v>52</v>
      </c>
      <c r="T1856" t="s">
        <v>240</v>
      </c>
      <c r="U1856" s="1">
        <v>46074.167557870373</v>
      </c>
      <c r="V1856" t="s">
        <v>54</v>
      </c>
      <c r="W1856" t="s">
        <v>55</v>
      </c>
      <c r="X1856" t="s">
        <v>211</v>
      </c>
      <c r="Y1856" t="s">
        <v>7581</v>
      </c>
      <c r="Z1856" t="s">
        <v>5594</v>
      </c>
      <c r="AA1856" t="s">
        <v>54</v>
      </c>
      <c r="AB1856" t="s">
        <v>213</v>
      </c>
      <c r="AC1856" t="s">
        <v>242</v>
      </c>
      <c r="AD1856" t="s">
        <v>52</v>
      </c>
      <c r="AE1856" t="s">
        <v>243</v>
      </c>
      <c r="AF1856" t="s">
        <v>244</v>
      </c>
      <c r="AG1856" t="s">
        <v>5594</v>
      </c>
      <c r="AH1856">
        <v>11590</v>
      </c>
      <c r="AK1856">
        <v>1</v>
      </c>
      <c r="AL1856" t="s">
        <v>61</v>
      </c>
      <c r="AM1856" t="s">
        <v>7582</v>
      </c>
      <c r="AN1856" t="s">
        <v>7583</v>
      </c>
    </row>
    <row r="1857" spans="1:40" x14ac:dyDescent="0.35">
      <c r="A1857" t="s">
        <v>37</v>
      </c>
      <c r="B1857" t="s">
        <v>7584</v>
      </c>
      <c r="C1857" t="s">
        <v>102</v>
      </c>
      <c r="D1857" t="s">
        <v>676</v>
      </c>
      <c r="E1857" t="s">
        <v>677</v>
      </c>
      <c r="F1857" s="1">
        <v>46073.369259259256</v>
      </c>
      <c r="G1857" t="s">
        <v>71</v>
      </c>
      <c r="H1857" t="s">
        <v>72</v>
      </c>
      <c r="I1857" t="s">
        <v>7585</v>
      </c>
      <c r="J1857" t="s">
        <v>679</v>
      </c>
      <c r="K1857" t="s">
        <v>130</v>
      </c>
      <c r="M1857" t="s">
        <v>47</v>
      </c>
      <c r="O1857" t="s">
        <v>77</v>
      </c>
      <c r="P1857" t="s">
        <v>78</v>
      </c>
      <c r="Q1857" t="s">
        <v>50</v>
      </c>
      <c r="R1857" t="s">
        <v>51</v>
      </c>
      <c r="S1857" t="s">
        <v>195</v>
      </c>
      <c r="T1857" t="s">
        <v>680</v>
      </c>
      <c r="U1857" s="1">
        <v>46073.445694444446</v>
      </c>
      <c r="V1857" t="s">
        <v>54</v>
      </c>
      <c r="W1857" t="s">
        <v>55</v>
      </c>
      <c r="X1857" t="s">
        <v>134</v>
      </c>
      <c r="Y1857" t="s">
        <v>7586</v>
      </c>
      <c r="Z1857" t="s">
        <v>5594</v>
      </c>
      <c r="AA1857" t="s">
        <v>54</v>
      </c>
      <c r="AB1857" t="s">
        <v>682</v>
      </c>
      <c r="AC1857" t="s">
        <v>85</v>
      </c>
      <c r="AD1857" t="s">
        <v>51</v>
      </c>
      <c r="AE1857" t="s">
        <v>195</v>
      </c>
      <c r="AF1857" t="s">
        <v>680</v>
      </c>
      <c r="AG1857" t="s">
        <v>5594</v>
      </c>
      <c r="AH1857" t="s">
        <v>683</v>
      </c>
      <c r="AK1857">
        <v>1</v>
      </c>
      <c r="AL1857" t="s">
        <v>61</v>
      </c>
      <c r="AM1857" t="s">
        <v>682</v>
      </c>
      <c r="AN1857" t="s">
        <v>684</v>
      </c>
    </row>
    <row r="1858" spans="1:40" x14ac:dyDescent="0.35">
      <c r="A1858" t="s">
        <v>37</v>
      </c>
      <c r="B1858" t="s">
        <v>7587</v>
      </c>
      <c r="C1858" t="s">
        <v>39</v>
      </c>
      <c r="D1858" t="s">
        <v>7588</v>
      </c>
      <c r="E1858" t="s">
        <v>7589</v>
      </c>
      <c r="F1858" s="1">
        <v>46073.368159722224</v>
      </c>
      <c r="G1858" t="s">
        <v>1217</v>
      </c>
      <c r="H1858" t="s">
        <v>92</v>
      </c>
      <c r="I1858" t="s">
        <v>7590</v>
      </c>
      <c r="J1858" t="s">
        <v>3423</v>
      </c>
      <c r="K1858" t="s">
        <v>75</v>
      </c>
      <c r="M1858" t="s">
        <v>47</v>
      </c>
      <c r="O1858" t="s">
        <v>77</v>
      </c>
      <c r="P1858" t="s">
        <v>78</v>
      </c>
      <c r="Q1858" t="s">
        <v>7591</v>
      </c>
      <c r="R1858" t="s">
        <v>79</v>
      </c>
      <c r="S1858" t="s">
        <v>94</v>
      </c>
      <c r="T1858" t="s">
        <v>95</v>
      </c>
      <c r="U1858" s="1">
        <v>46073.444004629629</v>
      </c>
      <c r="V1858" t="s">
        <v>54</v>
      </c>
      <c r="W1858" t="s">
        <v>55</v>
      </c>
      <c r="X1858" t="s">
        <v>82</v>
      </c>
      <c r="Y1858" t="s">
        <v>7592</v>
      </c>
      <c r="Z1858" t="s">
        <v>5594</v>
      </c>
      <c r="AA1858" t="s">
        <v>54</v>
      </c>
      <c r="AB1858" t="s">
        <v>3425</v>
      </c>
      <c r="AC1858" t="s">
        <v>85</v>
      </c>
      <c r="AD1858" t="s">
        <v>79</v>
      </c>
      <c r="AE1858" t="s">
        <v>967</v>
      </c>
      <c r="AF1858" t="s">
        <v>7593</v>
      </c>
      <c r="AG1858" t="s">
        <v>5594</v>
      </c>
      <c r="AH1858">
        <v>13737</v>
      </c>
      <c r="AK1858">
        <v>0</v>
      </c>
      <c r="AL1858" t="s">
        <v>61</v>
      </c>
      <c r="AM1858" t="s">
        <v>7594</v>
      </c>
      <c r="AN1858" t="s">
        <v>7595</v>
      </c>
    </row>
    <row r="1859" spans="1:40" x14ac:dyDescent="0.35">
      <c r="A1859" t="s">
        <v>37</v>
      </c>
      <c r="B1859" t="s">
        <v>7596</v>
      </c>
      <c r="C1859" t="s">
        <v>39</v>
      </c>
      <c r="D1859" t="s">
        <v>7597</v>
      </c>
      <c r="E1859" t="s">
        <v>7598</v>
      </c>
      <c r="F1859" s="1">
        <v>46073.370046296295</v>
      </c>
      <c r="G1859" t="s">
        <v>497</v>
      </c>
      <c r="H1859" t="s">
        <v>72</v>
      </c>
      <c r="I1859" t="s">
        <v>5051</v>
      </c>
      <c r="J1859" t="s">
        <v>394</v>
      </c>
      <c r="K1859" t="s">
        <v>75</v>
      </c>
      <c r="M1859" t="s">
        <v>47</v>
      </c>
      <c r="O1859" t="s">
        <v>77</v>
      </c>
      <c r="P1859" t="s">
        <v>78</v>
      </c>
      <c r="R1859" t="s">
        <v>79</v>
      </c>
      <c r="S1859" t="s">
        <v>172</v>
      </c>
      <c r="T1859" t="s">
        <v>5052</v>
      </c>
      <c r="U1859" s="1">
        <v>46073.370937500003</v>
      </c>
      <c r="V1859" t="s">
        <v>54</v>
      </c>
      <c r="W1859" t="s">
        <v>55</v>
      </c>
      <c r="X1859" t="s">
        <v>82</v>
      </c>
      <c r="Y1859" t="s">
        <v>7599</v>
      </c>
      <c r="Z1859" t="s">
        <v>5594</v>
      </c>
      <c r="AA1859" t="s">
        <v>54</v>
      </c>
      <c r="AB1859" t="s">
        <v>396</v>
      </c>
      <c r="AC1859" t="s">
        <v>85</v>
      </c>
      <c r="AD1859" t="s">
        <v>79</v>
      </c>
      <c r="AE1859" t="s">
        <v>172</v>
      </c>
      <c r="AF1859" t="s">
        <v>5054</v>
      </c>
      <c r="AG1859" t="s">
        <v>5594</v>
      </c>
      <c r="AH1859" t="s">
        <v>7600</v>
      </c>
      <c r="AK1859">
        <v>0</v>
      </c>
      <c r="AL1859" t="s">
        <v>61</v>
      </c>
      <c r="AM1859" t="s">
        <v>7601</v>
      </c>
      <c r="AN1859" t="s">
        <v>7602</v>
      </c>
    </row>
    <row r="1860" spans="1:40" x14ac:dyDescent="0.35">
      <c r="A1860" t="s">
        <v>37</v>
      </c>
      <c r="B1860" t="s">
        <v>7603</v>
      </c>
      <c r="C1860" t="s">
        <v>39</v>
      </c>
      <c r="D1860" t="s">
        <v>391</v>
      </c>
      <c r="E1860" t="s">
        <v>3640</v>
      </c>
      <c r="F1860" s="1">
        <v>46073.365358796298</v>
      </c>
      <c r="G1860" t="s">
        <v>487</v>
      </c>
      <c r="H1860" t="s">
        <v>447</v>
      </c>
      <c r="I1860" t="s">
        <v>205</v>
      </c>
      <c r="J1860" t="s">
        <v>7089</v>
      </c>
      <c r="K1860" t="s">
        <v>207</v>
      </c>
      <c r="M1860" t="s">
        <v>47</v>
      </c>
      <c r="O1860" t="s">
        <v>77</v>
      </c>
      <c r="P1860" t="s">
        <v>78</v>
      </c>
      <c r="Q1860" t="s">
        <v>50</v>
      </c>
      <c r="R1860" t="s">
        <v>305</v>
      </c>
      <c r="S1860" t="s">
        <v>306</v>
      </c>
      <c r="T1860" t="s">
        <v>307</v>
      </c>
      <c r="U1860" s="1">
        <v>46073.58148148148</v>
      </c>
      <c r="V1860" t="s">
        <v>54</v>
      </c>
      <c r="W1860" t="s">
        <v>55</v>
      </c>
      <c r="X1860" t="s">
        <v>211</v>
      </c>
      <c r="Y1860" t="s">
        <v>7604</v>
      </c>
      <c r="Z1860" t="s">
        <v>5594</v>
      </c>
      <c r="AA1860" t="s">
        <v>54</v>
      </c>
      <c r="AB1860" t="s">
        <v>213</v>
      </c>
      <c r="AC1860" t="s">
        <v>85</v>
      </c>
      <c r="AD1860" t="s">
        <v>214</v>
      </c>
      <c r="AE1860" t="s">
        <v>215</v>
      </c>
      <c r="AF1860" t="s">
        <v>216</v>
      </c>
      <c r="AG1860" t="s">
        <v>5594</v>
      </c>
      <c r="AH1860">
        <v>3048</v>
      </c>
      <c r="AK1860">
        <v>3</v>
      </c>
      <c r="AL1860" t="s">
        <v>61</v>
      </c>
      <c r="AM1860" t="s">
        <v>7605</v>
      </c>
      <c r="AN1860" t="s">
        <v>7606</v>
      </c>
    </row>
    <row r="1861" spans="1:40" x14ac:dyDescent="0.35">
      <c r="A1861" t="s">
        <v>37</v>
      </c>
      <c r="B1861" t="s">
        <v>7607</v>
      </c>
      <c r="C1861" t="s">
        <v>102</v>
      </c>
      <c r="D1861" t="s">
        <v>651</v>
      </c>
      <c r="E1861" t="s">
        <v>4639</v>
      </c>
      <c r="F1861" s="1">
        <v>46073.365289351852</v>
      </c>
      <c r="G1861" t="s">
        <v>1094</v>
      </c>
      <c r="H1861" t="s">
        <v>287</v>
      </c>
      <c r="I1861" t="s">
        <v>7608</v>
      </c>
      <c r="J1861" t="s">
        <v>4338</v>
      </c>
      <c r="K1861" t="s">
        <v>405</v>
      </c>
      <c r="M1861" t="s">
        <v>76</v>
      </c>
      <c r="O1861" t="s">
        <v>237</v>
      </c>
      <c r="P1861" t="s">
        <v>238</v>
      </c>
      <c r="Q1861" t="s">
        <v>1141</v>
      </c>
      <c r="R1861" t="s">
        <v>51</v>
      </c>
      <c r="S1861" t="s">
        <v>52</v>
      </c>
      <c r="T1861" t="s">
        <v>240</v>
      </c>
      <c r="U1861" s="1">
        <v>46077.389409722222</v>
      </c>
      <c r="V1861" t="s">
        <v>54</v>
      </c>
      <c r="W1861" t="s">
        <v>55</v>
      </c>
      <c r="X1861" t="s">
        <v>211</v>
      </c>
      <c r="Y1861" t="s">
        <v>7609</v>
      </c>
      <c r="Z1861" t="s">
        <v>58</v>
      </c>
      <c r="AA1861" t="s">
        <v>54</v>
      </c>
      <c r="AB1861" t="s">
        <v>213</v>
      </c>
      <c r="AC1861" t="s">
        <v>242</v>
      </c>
      <c r="AD1861" t="s">
        <v>52</v>
      </c>
      <c r="AE1861" t="s">
        <v>243</v>
      </c>
      <c r="AF1861" t="s">
        <v>4340</v>
      </c>
      <c r="AG1861" t="s">
        <v>58</v>
      </c>
      <c r="AH1861">
        <v>5740</v>
      </c>
      <c r="AK1861">
        <v>1</v>
      </c>
      <c r="AL1861" t="s">
        <v>61</v>
      </c>
      <c r="AM1861" t="s">
        <v>4640</v>
      </c>
      <c r="AN1861" t="s">
        <v>4641</v>
      </c>
    </row>
    <row r="1862" spans="1:40" x14ac:dyDescent="0.35">
      <c r="A1862" t="s">
        <v>37</v>
      </c>
      <c r="B1862" t="s">
        <v>7610</v>
      </c>
      <c r="C1862" t="s">
        <v>39</v>
      </c>
      <c r="D1862" t="s">
        <v>1481</v>
      </c>
      <c r="E1862" t="s">
        <v>1316</v>
      </c>
      <c r="F1862" s="1">
        <v>46073.365879629629</v>
      </c>
      <c r="G1862" t="s">
        <v>286</v>
      </c>
      <c r="H1862" t="s">
        <v>287</v>
      </c>
      <c r="I1862" t="s">
        <v>7611</v>
      </c>
      <c r="J1862" t="s">
        <v>1483</v>
      </c>
      <c r="K1862" t="s">
        <v>1484</v>
      </c>
      <c r="M1862" t="s">
        <v>47</v>
      </c>
      <c r="O1862" t="s">
        <v>77</v>
      </c>
      <c r="P1862" t="s">
        <v>78</v>
      </c>
      <c r="Q1862" t="s">
        <v>50</v>
      </c>
      <c r="R1862" t="s">
        <v>51</v>
      </c>
      <c r="S1862" t="s">
        <v>52</v>
      </c>
      <c r="T1862" t="s">
        <v>240</v>
      </c>
      <c r="U1862" s="1">
        <v>46073.551608796297</v>
      </c>
      <c r="V1862" t="s">
        <v>54</v>
      </c>
      <c r="W1862" t="s">
        <v>55</v>
      </c>
      <c r="X1862" t="s">
        <v>134</v>
      </c>
      <c r="Y1862" t="s">
        <v>1485</v>
      </c>
      <c r="Z1862" t="s">
        <v>5594</v>
      </c>
      <c r="AA1862" t="s">
        <v>54</v>
      </c>
      <c r="AB1862" t="s">
        <v>1486</v>
      </c>
      <c r="AC1862" t="s">
        <v>85</v>
      </c>
      <c r="AD1862" t="s">
        <v>52</v>
      </c>
      <c r="AE1862" t="s">
        <v>243</v>
      </c>
      <c r="AF1862" t="s">
        <v>409</v>
      </c>
      <c r="AG1862" t="s">
        <v>5594</v>
      </c>
      <c r="AK1862">
        <v>1</v>
      </c>
      <c r="AL1862" t="s">
        <v>61</v>
      </c>
      <c r="AM1862" t="s">
        <v>1487</v>
      </c>
      <c r="AN1862" t="s">
        <v>1488</v>
      </c>
    </row>
    <row r="1863" spans="1:40" x14ac:dyDescent="0.35">
      <c r="A1863" t="s">
        <v>37</v>
      </c>
      <c r="B1863" t="s">
        <v>7612</v>
      </c>
      <c r="C1863" t="s">
        <v>39</v>
      </c>
      <c r="D1863" t="s">
        <v>7613</v>
      </c>
      <c r="E1863" t="s">
        <v>7614</v>
      </c>
      <c r="F1863" s="1">
        <v>46073.362002314818</v>
      </c>
      <c r="G1863" t="s">
        <v>355</v>
      </c>
      <c r="H1863" t="s">
        <v>356</v>
      </c>
      <c r="I1863" t="s">
        <v>1071</v>
      </c>
      <c r="J1863" t="s">
        <v>394</v>
      </c>
      <c r="K1863" t="s">
        <v>75</v>
      </c>
      <c r="M1863" t="s">
        <v>47</v>
      </c>
      <c r="O1863" t="s">
        <v>77</v>
      </c>
      <c r="P1863" t="s">
        <v>78</v>
      </c>
      <c r="Q1863" t="s">
        <v>50</v>
      </c>
      <c r="R1863" t="s">
        <v>79</v>
      </c>
      <c r="S1863" t="s">
        <v>967</v>
      </c>
      <c r="T1863" t="s">
        <v>1072</v>
      </c>
      <c r="U1863" s="1">
        <v>46073.362233796295</v>
      </c>
      <c r="V1863" t="s">
        <v>54</v>
      </c>
      <c r="W1863" t="s">
        <v>55</v>
      </c>
      <c r="X1863" t="s">
        <v>82</v>
      </c>
      <c r="Y1863" t="s">
        <v>7615</v>
      </c>
      <c r="Z1863" t="s">
        <v>5594</v>
      </c>
      <c r="AA1863" t="s">
        <v>54</v>
      </c>
      <c r="AB1863" t="s">
        <v>396</v>
      </c>
      <c r="AC1863" t="s">
        <v>85</v>
      </c>
      <c r="AD1863" t="s">
        <v>79</v>
      </c>
      <c r="AE1863" t="s">
        <v>967</v>
      </c>
      <c r="AF1863" t="s">
        <v>1072</v>
      </c>
      <c r="AG1863" t="s">
        <v>5594</v>
      </c>
      <c r="AH1863" t="s">
        <v>7616</v>
      </c>
      <c r="AK1863">
        <v>0</v>
      </c>
      <c r="AL1863" t="s">
        <v>61</v>
      </c>
      <c r="AM1863" t="s">
        <v>7617</v>
      </c>
      <c r="AN1863" t="s">
        <v>7618</v>
      </c>
    </row>
    <row r="1864" spans="1:40" x14ac:dyDescent="0.35">
      <c r="A1864" t="s">
        <v>37</v>
      </c>
      <c r="B1864" t="s">
        <v>7619</v>
      </c>
      <c r="C1864" t="s">
        <v>39</v>
      </c>
      <c r="D1864" t="s">
        <v>7620</v>
      </c>
      <c r="E1864" t="s">
        <v>948</v>
      </c>
      <c r="F1864" s="1">
        <v>46073.360601851855</v>
      </c>
      <c r="G1864" t="s">
        <v>487</v>
      </c>
      <c r="H1864" t="s">
        <v>447</v>
      </c>
      <c r="I1864" t="s">
        <v>205</v>
      </c>
      <c r="J1864" t="s">
        <v>7089</v>
      </c>
      <c r="K1864" t="s">
        <v>207</v>
      </c>
      <c r="M1864" t="s">
        <v>47</v>
      </c>
      <c r="O1864" t="s">
        <v>77</v>
      </c>
      <c r="P1864" t="s">
        <v>78</v>
      </c>
      <c r="Q1864" t="s">
        <v>50</v>
      </c>
      <c r="R1864" t="s">
        <v>208</v>
      </c>
      <c r="S1864" t="s">
        <v>209</v>
      </c>
      <c r="T1864" t="s">
        <v>210</v>
      </c>
      <c r="U1864" s="1">
        <v>46073.491076388891</v>
      </c>
      <c r="V1864" t="s">
        <v>54</v>
      </c>
      <c r="W1864" t="s">
        <v>55</v>
      </c>
      <c r="X1864" t="s">
        <v>211</v>
      </c>
      <c r="Y1864" t="s">
        <v>7090</v>
      </c>
      <c r="Z1864" t="s">
        <v>5594</v>
      </c>
      <c r="AA1864" t="s">
        <v>54</v>
      </c>
      <c r="AB1864" t="s">
        <v>213</v>
      </c>
      <c r="AC1864" t="s">
        <v>85</v>
      </c>
      <c r="AD1864" t="s">
        <v>214</v>
      </c>
      <c r="AE1864" t="s">
        <v>215</v>
      </c>
      <c r="AF1864" t="s">
        <v>216</v>
      </c>
      <c r="AG1864" t="s">
        <v>5594</v>
      </c>
      <c r="AH1864">
        <v>14527</v>
      </c>
      <c r="AK1864">
        <v>1</v>
      </c>
      <c r="AL1864" t="s">
        <v>61</v>
      </c>
      <c r="AM1864" t="s">
        <v>7621</v>
      </c>
      <c r="AN1864" t="s">
        <v>7622</v>
      </c>
    </row>
    <row r="1865" spans="1:40" x14ac:dyDescent="0.35">
      <c r="A1865" t="s">
        <v>37</v>
      </c>
      <c r="B1865" t="s">
        <v>7623</v>
      </c>
      <c r="C1865" t="s">
        <v>102</v>
      </c>
      <c r="D1865" t="s">
        <v>127</v>
      </c>
      <c r="E1865" t="s">
        <v>4618</v>
      </c>
      <c r="F1865" s="1">
        <v>46073.359861111108</v>
      </c>
      <c r="G1865" t="s">
        <v>497</v>
      </c>
      <c r="H1865" t="s">
        <v>72</v>
      </c>
      <c r="I1865" t="s">
        <v>7624</v>
      </c>
      <c r="J1865" t="s">
        <v>404</v>
      </c>
      <c r="K1865" t="s">
        <v>7479</v>
      </c>
      <c r="M1865" t="s">
        <v>47</v>
      </c>
      <c r="O1865" t="s">
        <v>237</v>
      </c>
      <c r="P1865" t="s">
        <v>238</v>
      </c>
      <c r="Q1865" t="s">
        <v>50</v>
      </c>
      <c r="R1865" t="s">
        <v>51</v>
      </c>
      <c r="S1865" t="s">
        <v>52</v>
      </c>
      <c r="T1865" t="s">
        <v>240</v>
      </c>
      <c r="U1865" s="1">
        <v>46073.466296296298</v>
      </c>
      <c r="V1865" t="s">
        <v>54</v>
      </c>
      <c r="W1865" t="s">
        <v>55</v>
      </c>
      <c r="X1865" t="s">
        <v>211</v>
      </c>
      <c r="Y1865" t="s">
        <v>7480</v>
      </c>
      <c r="Z1865" t="s">
        <v>5594</v>
      </c>
      <c r="AA1865" t="s">
        <v>54</v>
      </c>
      <c r="AB1865" t="s">
        <v>213</v>
      </c>
      <c r="AC1865" t="s">
        <v>242</v>
      </c>
      <c r="AD1865" t="s">
        <v>52</v>
      </c>
      <c r="AE1865" t="s">
        <v>243</v>
      </c>
      <c r="AF1865" t="s">
        <v>244</v>
      </c>
      <c r="AG1865" t="s">
        <v>5594</v>
      </c>
      <c r="AH1865" t="s">
        <v>4622</v>
      </c>
      <c r="AK1865">
        <v>1</v>
      </c>
      <c r="AL1865" t="s">
        <v>61</v>
      </c>
      <c r="AM1865" t="s">
        <v>4623</v>
      </c>
      <c r="AN1865" t="s">
        <v>4624</v>
      </c>
    </row>
    <row r="1866" spans="1:40" x14ac:dyDescent="0.35">
      <c r="A1866" t="s">
        <v>37</v>
      </c>
      <c r="B1866" t="s">
        <v>7625</v>
      </c>
      <c r="C1866" t="s">
        <v>39</v>
      </c>
      <c r="D1866" t="s">
        <v>5806</v>
      </c>
      <c r="E1866" t="s">
        <v>5807</v>
      </c>
      <c r="F1866" s="1">
        <v>46073.358981481484</v>
      </c>
      <c r="G1866" t="s">
        <v>487</v>
      </c>
      <c r="H1866" t="s">
        <v>447</v>
      </c>
      <c r="I1866" t="s">
        <v>205</v>
      </c>
      <c r="J1866" t="s">
        <v>7089</v>
      </c>
      <c r="K1866" t="s">
        <v>207</v>
      </c>
      <c r="M1866" t="s">
        <v>47</v>
      </c>
      <c r="O1866" t="s">
        <v>77</v>
      </c>
      <c r="P1866" t="s">
        <v>78</v>
      </c>
      <c r="Q1866" t="s">
        <v>50</v>
      </c>
      <c r="R1866" t="s">
        <v>208</v>
      </c>
      <c r="S1866" t="s">
        <v>209</v>
      </c>
      <c r="T1866" t="s">
        <v>210</v>
      </c>
      <c r="U1866" s="1">
        <v>46073.490659722222</v>
      </c>
      <c r="V1866" t="s">
        <v>54</v>
      </c>
      <c r="W1866" t="s">
        <v>55</v>
      </c>
      <c r="X1866" t="s">
        <v>211</v>
      </c>
      <c r="Y1866" t="s">
        <v>7090</v>
      </c>
      <c r="Z1866" t="s">
        <v>5594</v>
      </c>
      <c r="AA1866" t="s">
        <v>54</v>
      </c>
      <c r="AB1866" t="s">
        <v>213</v>
      </c>
      <c r="AC1866" t="s">
        <v>85</v>
      </c>
      <c r="AD1866" t="s">
        <v>214</v>
      </c>
      <c r="AE1866" t="s">
        <v>215</v>
      </c>
      <c r="AF1866" t="s">
        <v>216</v>
      </c>
      <c r="AG1866" t="s">
        <v>5594</v>
      </c>
      <c r="AH1866">
        <v>12744</v>
      </c>
      <c r="AK1866">
        <v>1</v>
      </c>
      <c r="AL1866" t="s">
        <v>61</v>
      </c>
      <c r="AM1866" t="s">
        <v>5810</v>
      </c>
      <c r="AN1866" t="s">
        <v>5811</v>
      </c>
    </row>
    <row r="1867" spans="1:40" x14ac:dyDescent="0.35">
      <c r="A1867" t="s">
        <v>37</v>
      </c>
      <c r="B1867" t="s">
        <v>7626</v>
      </c>
      <c r="C1867" t="s">
        <v>39</v>
      </c>
      <c r="D1867" t="s">
        <v>7627</v>
      </c>
      <c r="E1867" t="s">
        <v>7628</v>
      </c>
      <c r="F1867" s="1">
        <v>46073.358368055553</v>
      </c>
      <c r="G1867" t="s">
        <v>487</v>
      </c>
      <c r="H1867" t="s">
        <v>447</v>
      </c>
      <c r="I1867" t="s">
        <v>205</v>
      </c>
      <c r="J1867" t="s">
        <v>7089</v>
      </c>
      <c r="K1867" t="s">
        <v>207</v>
      </c>
      <c r="M1867" t="s">
        <v>47</v>
      </c>
      <c r="O1867" t="s">
        <v>77</v>
      </c>
      <c r="P1867" t="s">
        <v>78</v>
      </c>
      <c r="Q1867" t="s">
        <v>50</v>
      </c>
      <c r="R1867" t="s">
        <v>208</v>
      </c>
      <c r="S1867" t="s">
        <v>209</v>
      </c>
      <c r="T1867" t="s">
        <v>210</v>
      </c>
      <c r="U1867" s="1">
        <v>46073.408935185187</v>
      </c>
      <c r="V1867" t="s">
        <v>54</v>
      </c>
      <c r="W1867" t="s">
        <v>55</v>
      </c>
      <c r="X1867" t="s">
        <v>211</v>
      </c>
      <c r="Y1867" t="s">
        <v>7629</v>
      </c>
      <c r="Z1867" t="s">
        <v>5594</v>
      </c>
      <c r="AA1867" t="s">
        <v>54</v>
      </c>
      <c r="AB1867" t="s">
        <v>213</v>
      </c>
      <c r="AC1867" t="s">
        <v>85</v>
      </c>
      <c r="AD1867" t="s">
        <v>214</v>
      </c>
      <c r="AE1867" t="s">
        <v>215</v>
      </c>
      <c r="AF1867" t="s">
        <v>216</v>
      </c>
      <c r="AG1867" t="s">
        <v>5594</v>
      </c>
      <c r="AH1867" t="s">
        <v>7630</v>
      </c>
      <c r="AK1867">
        <v>1</v>
      </c>
      <c r="AL1867" t="s">
        <v>61</v>
      </c>
      <c r="AM1867" t="s">
        <v>7631</v>
      </c>
      <c r="AN1867" t="s">
        <v>7632</v>
      </c>
    </row>
    <row r="1868" spans="1:40" x14ac:dyDescent="0.35">
      <c r="A1868" t="s">
        <v>37</v>
      </c>
      <c r="B1868" t="s">
        <v>7633</v>
      </c>
      <c r="C1868" t="s">
        <v>39</v>
      </c>
      <c r="D1868" t="s">
        <v>2855</v>
      </c>
      <c r="E1868" t="s">
        <v>2856</v>
      </c>
      <c r="F1868" s="1">
        <v>46073.361388888887</v>
      </c>
      <c r="G1868" t="s">
        <v>355</v>
      </c>
      <c r="H1868" t="s">
        <v>356</v>
      </c>
      <c r="I1868" t="s">
        <v>7634</v>
      </c>
      <c r="J1868" t="s">
        <v>2858</v>
      </c>
      <c r="K1868" t="s">
        <v>46</v>
      </c>
      <c r="M1868" t="s">
        <v>47</v>
      </c>
      <c r="O1868" t="s">
        <v>77</v>
      </c>
      <c r="P1868" t="s">
        <v>78</v>
      </c>
      <c r="Q1868" t="s">
        <v>50</v>
      </c>
      <c r="R1868" t="s">
        <v>208</v>
      </c>
      <c r="S1868" t="s">
        <v>209</v>
      </c>
      <c r="T1868" t="s">
        <v>2859</v>
      </c>
      <c r="U1868" s="1">
        <v>46075.429872685185</v>
      </c>
      <c r="V1868" t="s">
        <v>54</v>
      </c>
      <c r="W1868" t="s">
        <v>55</v>
      </c>
      <c r="X1868" t="s">
        <v>134</v>
      </c>
      <c r="Y1868" t="s">
        <v>7635</v>
      </c>
      <c r="Z1868" t="s">
        <v>5594</v>
      </c>
      <c r="AA1868" t="s">
        <v>54</v>
      </c>
      <c r="AB1868" t="s">
        <v>408</v>
      </c>
      <c r="AC1868" t="s">
        <v>85</v>
      </c>
      <c r="AD1868" t="s">
        <v>214</v>
      </c>
      <c r="AE1868" t="s">
        <v>2861</v>
      </c>
      <c r="AF1868" t="s">
        <v>2862</v>
      </c>
      <c r="AG1868" t="s">
        <v>5594</v>
      </c>
      <c r="AH1868" t="s">
        <v>2863</v>
      </c>
      <c r="AK1868">
        <v>1</v>
      </c>
      <c r="AL1868" t="s">
        <v>61</v>
      </c>
      <c r="AM1868" t="s">
        <v>2864</v>
      </c>
      <c r="AN1868" t="s">
        <v>2865</v>
      </c>
    </row>
    <row r="1869" spans="1:40" x14ac:dyDescent="0.35">
      <c r="A1869" t="s">
        <v>37</v>
      </c>
      <c r="B1869" t="s">
        <v>7636</v>
      </c>
      <c r="C1869" t="s">
        <v>39</v>
      </c>
      <c r="D1869" t="s">
        <v>7588</v>
      </c>
      <c r="E1869" t="s">
        <v>7589</v>
      </c>
      <c r="F1869" s="1">
        <v>46073.357905092591</v>
      </c>
      <c r="G1869" t="s">
        <v>1217</v>
      </c>
      <c r="H1869" t="s">
        <v>92</v>
      </c>
      <c r="I1869" t="s">
        <v>7637</v>
      </c>
      <c r="J1869" t="s">
        <v>3423</v>
      </c>
      <c r="K1869" t="s">
        <v>75</v>
      </c>
      <c r="M1869" t="s">
        <v>47</v>
      </c>
      <c r="O1869" t="s">
        <v>77</v>
      </c>
      <c r="P1869" t="s">
        <v>78</v>
      </c>
      <c r="Q1869" t="s">
        <v>7591</v>
      </c>
      <c r="R1869" t="s">
        <v>79</v>
      </c>
      <c r="S1869" t="s">
        <v>967</v>
      </c>
      <c r="T1869" t="s">
        <v>1072</v>
      </c>
      <c r="U1869" s="1">
        <v>46073.443298611113</v>
      </c>
      <c r="V1869" t="s">
        <v>54</v>
      </c>
      <c r="W1869" t="s">
        <v>55</v>
      </c>
      <c r="X1869" t="s">
        <v>82</v>
      </c>
      <c r="Y1869" t="s">
        <v>7638</v>
      </c>
      <c r="Z1869" t="s">
        <v>5594</v>
      </c>
      <c r="AA1869" t="s">
        <v>54</v>
      </c>
      <c r="AB1869" t="s">
        <v>3425</v>
      </c>
      <c r="AC1869" t="s">
        <v>85</v>
      </c>
      <c r="AD1869" t="s">
        <v>79</v>
      </c>
      <c r="AE1869" t="s">
        <v>967</v>
      </c>
      <c r="AF1869" t="s">
        <v>1072</v>
      </c>
      <c r="AG1869" t="s">
        <v>5594</v>
      </c>
      <c r="AH1869">
        <v>13737</v>
      </c>
      <c r="AK1869">
        <v>0</v>
      </c>
      <c r="AL1869" t="s">
        <v>61</v>
      </c>
      <c r="AM1869" t="s">
        <v>7594</v>
      </c>
      <c r="AN1869" t="s">
        <v>7595</v>
      </c>
    </row>
    <row r="1870" spans="1:40" x14ac:dyDescent="0.35">
      <c r="A1870" t="s">
        <v>37</v>
      </c>
      <c r="B1870" t="s">
        <v>7639</v>
      </c>
      <c r="C1870" t="s">
        <v>39</v>
      </c>
      <c r="D1870" t="s">
        <v>7640</v>
      </c>
      <c r="E1870" t="s">
        <v>7641</v>
      </c>
      <c r="F1870" s="1">
        <v>46073.370925925927</v>
      </c>
      <c r="G1870" t="s">
        <v>597</v>
      </c>
      <c r="H1870" t="s">
        <v>287</v>
      </c>
      <c r="I1870" t="s">
        <v>7642</v>
      </c>
      <c r="J1870" t="s">
        <v>206</v>
      </c>
      <c r="K1870" t="s">
        <v>207</v>
      </c>
      <c r="M1870" t="s">
        <v>47</v>
      </c>
      <c r="O1870" t="s">
        <v>77</v>
      </c>
      <c r="P1870" t="s">
        <v>78</v>
      </c>
      <c r="Q1870" t="s">
        <v>50</v>
      </c>
      <c r="R1870" t="s">
        <v>79</v>
      </c>
      <c r="S1870" t="s">
        <v>1556</v>
      </c>
      <c r="T1870" t="s">
        <v>1557</v>
      </c>
      <c r="U1870" s="1">
        <v>46073.767164351855</v>
      </c>
      <c r="V1870" t="s">
        <v>54</v>
      </c>
      <c r="W1870" t="s">
        <v>55</v>
      </c>
      <c r="X1870" t="s">
        <v>134</v>
      </c>
      <c r="Y1870" t="s">
        <v>7643</v>
      </c>
      <c r="Z1870" t="s">
        <v>5594</v>
      </c>
      <c r="AA1870" t="s">
        <v>54</v>
      </c>
      <c r="AB1870" t="s">
        <v>698</v>
      </c>
      <c r="AC1870" t="s">
        <v>85</v>
      </c>
      <c r="AD1870" t="s">
        <v>79</v>
      </c>
      <c r="AE1870" t="s">
        <v>1556</v>
      </c>
      <c r="AF1870" t="s">
        <v>1557</v>
      </c>
      <c r="AG1870" t="s">
        <v>5594</v>
      </c>
      <c r="AH1870">
        <v>15489</v>
      </c>
      <c r="AK1870">
        <v>2</v>
      </c>
      <c r="AL1870" t="s">
        <v>61</v>
      </c>
      <c r="AM1870" t="s">
        <v>7644</v>
      </c>
      <c r="AN1870" t="s">
        <v>7645</v>
      </c>
    </row>
    <row r="1871" spans="1:40" x14ac:dyDescent="0.35">
      <c r="A1871" t="s">
        <v>37</v>
      </c>
      <c r="B1871" t="s">
        <v>7646</v>
      </c>
      <c r="C1871" t="s">
        <v>102</v>
      </c>
      <c r="D1871" t="s">
        <v>1698</v>
      </c>
      <c r="E1871" t="s">
        <v>584</v>
      </c>
      <c r="F1871" s="1">
        <v>46073.354120370372</v>
      </c>
      <c r="G1871" t="s">
        <v>105</v>
      </c>
      <c r="H1871" t="s">
        <v>106</v>
      </c>
      <c r="I1871" t="s">
        <v>1841</v>
      </c>
      <c r="J1871" t="s">
        <v>108</v>
      </c>
      <c r="K1871" t="s">
        <v>341</v>
      </c>
      <c r="M1871" t="s">
        <v>47</v>
      </c>
      <c r="O1871" t="s">
        <v>77</v>
      </c>
      <c r="P1871" t="s">
        <v>78</v>
      </c>
      <c r="Q1871" t="s">
        <v>50</v>
      </c>
      <c r="R1871" t="s">
        <v>111</v>
      </c>
      <c r="S1871" t="s">
        <v>51</v>
      </c>
      <c r="T1871" t="s">
        <v>112</v>
      </c>
      <c r="U1871" s="1">
        <v>46073.613333333335</v>
      </c>
      <c r="V1871" t="s">
        <v>54</v>
      </c>
      <c r="X1871" t="s">
        <v>134</v>
      </c>
      <c r="Y1871" t="s">
        <v>7647</v>
      </c>
      <c r="Z1871" t="s">
        <v>5594</v>
      </c>
      <c r="AA1871" t="s">
        <v>54</v>
      </c>
      <c r="AB1871" t="s">
        <v>1701</v>
      </c>
      <c r="AC1871" t="s">
        <v>85</v>
      </c>
      <c r="AD1871" t="s">
        <v>116</v>
      </c>
      <c r="AE1871" t="s">
        <v>117</v>
      </c>
      <c r="AF1871" t="s">
        <v>5255</v>
      </c>
      <c r="AG1871" t="s">
        <v>5594</v>
      </c>
      <c r="AK1871">
        <v>1</v>
      </c>
      <c r="AL1871" t="s">
        <v>61</v>
      </c>
      <c r="AM1871" t="s">
        <v>1701</v>
      </c>
      <c r="AN1871" t="s">
        <v>1702</v>
      </c>
    </row>
    <row r="1872" spans="1:40" x14ac:dyDescent="0.35">
      <c r="A1872" t="s">
        <v>37</v>
      </c>
      <c r="B1872" t="s">
        <v>7648</v>
      </c>
      <c r="C1872" t="s">
        <v>102</v>
      </c>
      <c r="D1872" t="s">
        <v>1537</v>
      </c>
      <c r="E1872" t="s">
        <v>1538</v>
      </c>
      <c r="F1872" s="1">
        <v>46073.354988425926</v>
      </c>
      <c r="G1872" t="s">
        <v>105</v>
      </c>
      <c r="H1872" t="s">
        <v>106</v>
      </c>
      <c r="I1872" t="s">
        <v>1679</v>
      </c>
      <c r="J1872" t="s">
        <v>108</v>
      </c>
      <c r="K1872" t="s">
        <v>571</v>
      </c>
      <c r="M1872" t="s">
        <v>47</v>
      </c>
      <c r="O1872" t="s">
        <v>77</v>
      </c>
      <c r="P1872" t="s">
        <v>78</v>
      </c>
      <c r="Q1872" t="s">
        <v>50</v>
      </c>
      <c r="R1872" t="s">
        <v>111</v>
      </c>
      <c r="S1872" t="s">
        <v>51</v>
      </c>
      <c r="T1872" t="s">
        <v>112</v>
      </c>
      <c r="U1872" s="1">
        <v>46073.458692129629</v>
      </c>
      <c r="V1872" t="s">
        <v>54</v>
      </c>
      <c r="W1872" t="s">
        <v>55</v>
      </c>
      <c r="X1872" t="s">
        <v>82</v>
      </c>
      <c r="Y1872" t="s">
        <v>7649</v>
      </c>
      <c r="Z1872" t="s">
        <v>5594</v>
      </c>
      <c r="AA1872" t="s">
        <v>54</v>
      </c>
      <c r="AB1872" t="s">
        <v>115</v>
      </c>
      <c r="AC1872" t="s">
        <v>85</v>
      </c>
      <c r="AD1872" t="s">
        <v>116</v>
      </c>
      <c r="AE1872" t="s">
        <v>574</v>
      </c>
      <c r="AF1872" t="s">
        <v>4577</v>
      </c>
      <c r="AG1872" t="s">
        <v>5594</v>
      </c>
      <c r="AH1872">
        <v>14840</v>
      </c>
      <c r="AK1872">
        <v>1</v>
      </c>
      <c r="AL1872" t="s">
        <v>61</v>
      </c>
      <c r="AM1872" t="s">
        <v>1542</v>
      </c>
      <c r="AN1872" t="s">
        <v>1543</v>
      </c>
    </row>
    <row r="1873" spans="1:40" x14ac:dyDescent="0.35">
      <c r="A1873" t="s">
        <v>37</v>
      </c>
      <c r="B1873" t="s">
        <v>7650</v>
      </c>
      <c r="C1873" t="s">
        <v>39</v>
      </c>
      <c r="D1873" t="s">
        <v>320</v>
      </c>
      <c r="E1873" t="s">
        <v>321</v>
      </c>
      <c r="F1873" s="1">
        <v>46073.354062500002</v>
      </c>
      <c r="G1873" t="s">
        <v>250</v>
      </c>
      <c r="H1873" t="s">
        <v>106</v>
      </c>
      <c r="I1873" t="s">
        <v>171</v>
      </c>
      <c r="J1873" t="s">
        <v>3423</v>
      </c>
      <c r="K1873" t="s">
        <v>75</v>
      </c>
      <c r="M1873" t="s">
        <v>47</v>
      </c>
      <c r="O1873" t="s">
        <v>77</v>
      </c>
      <c r="P1873" t="s">
        <v>78</v>
      </c>
      <c r="Q1873" t="s">
        <v>50</v>
      </c>
      <c r="R1873" t="s">
        <v>79</v>
      </c>
      <c r="S1873" t="s">
        <v>172</v>
      </c>
      <c r="T1873" t="s">
        <v>173</v>
      </c>
      <c r="U1873" s="1">
        <v>46073.442395833335</v>
      </c>
      <c r="V1873" t="s">
        <v>54</v>
      </c>
      <c r="W1873" t="s">
        <v>55</v>
      </c>
      <c r="X1873" t="s">
        <v>82</v>
      </c>
      <c r="Y1873" t="s">
        <v>3424</v>
      </c>
      <c r="Z1873" t="s">
        <v>5594</v>
      </c>
      <c r="AA1873" t="s">
        <v>54</v>
      </c>
      <c r="AB1873" t="s">
        <v>3425</v>
      </c>
      <c r="AC1873" t="s">
        <v>85</v>
      </c>
      <c r="AD1873" t="s">
        <v>79</v>
      </c>
      <c r="AE1873" t="s">
        <v>172</v>
      </c>
      <c r="AF1873" t="s">
        <v>173</v>
      </c>
      <c r="AG1873" t="s">
        <v>5594</v>
      </c>
      <c r="AH1873">
        <v>15115</v>
      </c>
      <c r="AK1873">
        <v>0</v>
      </c>
      <c r="AL1873" t="s">
        <v>61</v>
      </c>
      <c r="AM1873" t="s">
        <v>7651</v>
      </c>
      <c r="AN1873" t="s">
        <v>7652</v>
      </c>
    </row>
    <row r="1874" spans="1:40" x14ac:dyDescent="0.35">
      <c r="A1874" t="s">
        <v>37</v>
      </c>
      <c r="B1874" t="s">
        <v>7653</v>
      </c>
      <c r="C1874" t="s">
        <v>102</v>
      </c>
      <c r="D1874" t="s">
        <v>7654</v>
      </c>
      <c r="E1874" t="s">
        <v>7655</v>
      </c>
      <c r="F1874" s="1">
        <v>46073.353298611109</v>
      </c>
      <c r="G1874" t="s">
        <v>355</v>
      </c>
      <c r="H1874" t="s">
        <v>356</v>
      </c>
      <c r="I1874" t="s">
        <v>7656</v>
      </c>
      <c r="J1874" t="s">
        <v>235</v>
      </c>
      <c r="K1874" t="s">
        <v>236</v>
      </c>
      <c r="M1874" t="s">
        <v>47</v>
      </c>
      <c r="O1874" t="s">
        <v>237</v>
      </c>
      <c r="P1874" t="s">
        <v>238</v>
      </c>
      <c r="Q1874" t="s">
        <v>50</v>
      </c>
      <c r="R1874" t="s">
        <v>51</v>
      </c>
      <c r="S1874" t="s">
        <v>52</v>
      </c>
      <c r="T1874" t="s">
        <v>240</v>
      </c>
      <c r="U1874" s="1">
        <v>46074.164756944447</v>
      </c>
      <c r="V1874" t="s">
        <v>54</v>
      </c>
      <c r="W1874" t="s">
        <v>55</v>
      </c>
      <c r="X1874" t="s">
        <v>211</v>
      </c>
      <c r="Y1874" t="s">
        <v>7657</v>
      </c>
      <c r="Z1874" t="s">
        <v>5594</v>
      </c>
      <c r="AA1874" t="s">
        <v>54</v>
      </c>
      <c r="AB1874" t="s">
        <v>213</v>
      </c>
      <c r="AC1874" t="s">
        <v>242</v>
      </c>
      <c r="AD1874" t="s">
        <v>52</v>
      </c>
      <c r="AE1874" t="s">
        <v>243</v>
      </c>
      <c r="AF1874" t="s">
        <v>244</v>
      </c>
      <c r="AG1874" t="s">
        <v>5594</v>
      </c>
      <c r="AH1874">
        <v>14447</v>
      </c>
      <c r="AK1874">
        <v>1</v>
      </c>
      <c r="AL1874" t="s">
        <v>61</v>
      </c>
      <c r="AM1874" t="s">
        <v>7658</v>
      </c>
      <c r="AN1874" t="s">
        <v>7659</v>
      </c>
    </row>
    <row r="1875" spans="1:40" x14ac:dyDescent="0.35">
      <c r="A1875" t="s">
        <v>37</v>
      </c>
      <c r="B1875" t="s">
        <v>7660</v>
      </c>
      <c r="C1875" t="s">
        <v>102</v>
      </c>
      <c r="D1875" t="s">
        <v>747</v>
      </c>
      <c r="E1875" t="s">
        <v>748</v>
      </c>
      <c r="F1875" s="1">
        <v>46073.353206018517</v>
      </c>
      <c r="G1875" t="s">
        <v>464</v>
      </c>
      <c r="H1875" t="s">
        <v>287</v>
      </c>
      <c r="I1875" t="s">
        <v>7661</v>
      </c>
      <c r="J1875" t="s">
        <v>750</v>
      </c>
      <c r="K1875" t="s">
        <v>751</v>
      </c>
      <c r="M1875" t="s">
        <v>47</v>
      </c>
      <c r="O1875" t="s">
        <v>237</v>
      </c>
      <c r="P1875" t="s">
        <v>238</v>
      </c>
      <c r="Q1875" t="s">
        <v>50</v>
      </c>
      <c r="R1875" t="s">
        <v>305</v>
      </c>
      <c r="S1875" t="s">
        <v>306</v>
      </c>
      <c r="T1875" t="s">
        <v>307</v>
      </c>
      <c r="U1875" s="1">
        <v>46073.582256944443</v>
      </c>
      <c r="V1875" t="s">
        <v>54</v>
      </c>
      <c r="W1875" t="s">
        <v>55</v>
      </c>
      <c r="X1875" t="s">
        <v>211</v>
      </c>
      <c r="Y1875" t="s">
        <v>7662</v>
      </c>
      <c r="Z1875" t="s">
        <v>5594</v>
      </c>
      <c r="AA1875" t="s">
        <v>54</v>
      </c>
      <c r="AB1875" t="s">
        <v>213</v>
      </c>
      <c r="AC1875" t="s">
        <v>242</v>
      </c>
      <c r="AD1875" t="s">
        <v>305</v>
      </c>
      <c r="AE1875" t="s">
        <v>306</v>
      </c>
      <c r="AF1875" t="s">
        <v>307</v>
      </c>
      <c r="AG1875" t="s">
        <v>5594</v>
      </c>
      <c r="AH1875">
        <v>12153</v>
      </c>
      <c r="AK1875">
        <v>1</v>
      </c>
      <c r="AL1875" t="s">
        <v>61</v>
      </c>
      <c r="AM1875" t="s">
        <v>753</v>
      </c>
      <c r="AN1875" t="s">
        <v>754</v>
      </c>
    </row>
    <row r="1876" spans="1:40" x14ac:dyDescent="0.35">
      <c r="A1876" t="s">
        <v>37</v>
      </c>
      <c r="B1876" t="s">
        <v>7663</v>
      </c>
      <c r="C1876" t="s">
        <v>39</v>
      </c>
      <c r="D1876" t="s">
        <v>7664</v>
      </c>
      <c r="E1876" t="s">
        <v>7665</v>
      </c>
      <c r="F1876" s="1">
        <v>46073.352361111109</v>
      </c>
      <c r="G1876" t="s">
        <v>355</v>
      </c>
      <c r="H1876" t="s">
        <v>356</v>
      </c>
      <c r="I1876" t="s">
        <v>7382</v>
      </c>
      <c r="J1876" t="s">
        <v>4212</v>
      </c>
      <c r="K1876" t="s">
        <v>4213</v>
      </c>
      <c r="M1876" t="s">
        <v>47</v>
      </c>
      <c r="O1876" t="s">
        <v>77</v>
      </c>
      <c r="P1876" t="s">
        <v>78</v>
      </c>
      <c r="Q1876" t="s">
        <v>50</v>
      </c>
      <c r="R1876" t="s">
        <v>51</v>
      </c>
      <c r="S1876" t="s">
        <v>52</v>
      </c>
      <c r="T1876" t="s">
        <v>773</v>
      </c>
      <c r="U1876" s="1">
        <v>46073.599583333336</v>
      </c>
      <c r="V1876" t="s">
        <v>54</v>
      </c>
      <c r="W1876" t="s">
        <v>55</v>
      </c>
      <c r="X1876" t="s">
        <v>211</v>
      </c>
      <c r="Y1876" t="s">
        <v>7666</v>
      </c>
      <c r="Z1876" t="s">
        <v>5594</v>
      </c>
      <c r="AA1876" t="s">
        <v>54</v>
      </c>
      <c r="AB1876" t="s">
        <v>213</v>
      </c>
      <c r="AC1876" t="s">
        <v>85</v>
      </c>
      <c r="AD1876" t="s">
        <v>52</v>
      </c>
      <c r="AE1876" t="s">
        <v>438</v>
      </c>
      <c r="AF1876" t="s">
        <v>2111</v>
      </c>
      <c r="AG1876" t="s">
        <v>5594</v>
      </c>
      <c r="AH1876" t="s">
        <v>7667</v>
      </c>
      <c r="AK1876">
        <v>2</v>
      </c>
      <c r="AL1876" t="s">
        <v>61</v>
      </c>
      <c r="AM1876" t="s">
        <v>7668</v>
      </c>
      <c r="AN1876" t="s">
        <v>7669</v>
      </c>
    </row>
    <row r="1877" spans="1:40" x14ac:dyDescent="0.35">
      <c r="A1877" t="s">
        <v>37</v>
      </c>
      <c r="B1877" t="s">
        <v>7670</v>
      </c>
      <c r="C1877" t="s">
        <v>102</v>
      </c>
      <c r="D1877" t="s">
        <v>1537</v>
      </c>
      <c r="E1877" t="s">
        <v>1538</v>
      </c>
      <c r="F1877" s="1">
        <v>46073.353634259256</v>
      </c>
      <c r="G1877" t="s">
        <v>105</v>
      </c>
      <c r="H1877" t="s">
        <v>106</v>
      </c>
      <c r="I1877" t="s">
        <v>5843</v>
      </c>
      <c r="J1877" t="s">
        <v>108</v>
      </c>
      <c r="K1877" t="s">
        <v>341</v>
      </c>
      <c r="M1877" t="s">
        <v>47</v>
      </c>
      <c r="O1877" t="s">
        <v>77</v>
      </c>
      <c r="P1877" t="s">
        <v>78</v>
      </c>
      <c r="Q1877" t="s">
        <v>50</v>
      </c>
      <c r="R1877" t="s">
        <v>111</v>
      </c>
      <c r="S1877" t="s">
        <v>51</v>
      </c>
      <c r="T1877" t="s">
        <v>112</v>
      </c>
      <c r="U1877" s="1">
        <v>46073.581631944442</v>
      </c>
      <c r="V1877" t="s">
        <v>54</v>
      </c>
      <c r="X1877" t="s">
        <v>113</v>
      </c>
      <c r="Y1877" t="s">
        <v>7671</v>
      </c>
      <c r="Z1877" t="s">
        <v>5594</v>
      </c>
      <c r="AA1877" t="s">
        <v>54</v>
      </c>
      <c r="AB1877" t="s">
        <v>115</v>
      </c>
      <c r="AC1877" t="s">
        <v>85</v>
      </c>
      <c r="AD1877" t="s">
        <v>116</v>
      </c>
      <c r="AE1877" t="s">
        <v>117</v>
      </c>
      <c r="AF1877" t="s">
        <v>343</v>
      </c>
      <c r="AG1877" t="s">
        <v>5594</v>
      </c>
      <c r="AH1877">
        <v>14840</v>
      </c>
      <c r="AK1877">
        <v>1</v>
      </c>
      <c r="AL1877" t="s">
        <v>61</v>
      </c>
      <c r="AM1877" t="s">
        <v>1542</v>
      </c>
      <c r="AN1877" t="s">
        <v>1543</v>
      </c>
    </row>
    <row r="1878" spans="1:40" x14ac:dyDescent="0.35">
      <c r="A1878" t="s">
        <v>37</v>
      </c>
      <c r="B1878" t="s">
        <v>7672</v>
      </c>
      <c r="C1878" t="s">
        <v>39</v>
      </c>
      <c r="D1878" t="s">
        <v>7673</v>
      </c>
      <c r="E1878" t="s">
        <v>7674</v>
      </c>
      <c r="F1878" s="1">
        <v>46073.350902777776</v>
      </c>
      <c r="G1878" t="s">
        <v>105</v>
      </c>
      <c r="H1878" t="s">
        <v>106</v>
      </c>
      <c r="I1878" t="s">
        <v>171</v>
      </c>
      <c r="J1878" t="s">
        <v>3423</v>
      </c>
      <c r="K1878" t="s">
        <v>75</v>
      </c>
      <c r="M1878" t="s">
        <v>47</v>
      </c>
      <c r="O1878" t="s">
        <v>77</v>
      </c>
      <c r="P1878" t="s">
        <v>78</v>
      </c>
      <c r="Q1878" t="s">
        <v>50</v>
      </c>
      <c r="R1878" t="s">
        <v>79</v>
      </c>
      <c r="S1878" t="s">
        <v>172</v>
      </c>
      <c r="T1878" t="s">
        <v>173</v>
      </c>
      <c r="U1878" s="1">
        <v>46073.44222222222</v>
      </c>
      <c r="V1878" t="s">
        <v>54</v>
      </c>
      <c r="W1878" t="s">
        <v>55</v>
      </c>
      <c r="X1878" t="s">
        <v>82</v>
      </c>
      <c r="Y1878" t="s">
        <v>3424</v>
      </c>
      <c r="Z1878" t="s">
        <v>5594</v>
      </c>
      <c r="AA1878" t="s">
        <v>54</v>
      </c>
      <c r="AB1878" t="s">
        <v>3425</v>
      </c>
      <c r="AC1878" t="s">
        <v>85</v>
      </c>
      <c r="AD1878" t="s">
        <v>79</v>
      </c>
      <c r="AE1878" t="s">
        <v>172</v>
      </c>
      <c r="AF1878" t="s">
        <v>173</v>
      </c>
      <c r="AG1878" t="s">
        <v>5594</v>
      </c>
      <c r="AH1878" t="s">
        <v>7675</v>
      </c>
      <c r="AK1878">
        <v>0</v>
      </c>
      <c r="AL1878" t="s">
        <v>61</v>
      </c>
      <c r="AM1878" t="s">
        <v>7676</v>
      </c>
      <c r="AN1878" t="s">
        <v>7677</v>
      </c>
    </row>
    <row r="1879" spans="1:40" x14ac:dyDescent="0.35">
      <c r="A1879" t="s">
        <v>37</v>
      </c>
      <c r="B1879" t="s">
        <v>7678</v>
      </c>
      <c r="C1879" t="s">
        <v>39</v>
      </c>
      <c r="D1879" t="s">
        <v>1751</v>
      </c>
      <c r="E1879" t="s">
        <v>1316</v>
      </c>
      <c r="F1879" s="1">
        <v>46073.350578703707</v>
      </c>
      <c r="G1879" t="s">
        <v>1752</v>
      </c>
      <c r="H1879" t="s">
        <v>447</v>
      </c>
      <c r="I1879" t="s">
        <v>7679</v>
      </c>
      <c r="J1879" t="s">
        <v>1754</v>
      </c>
      <c r="K1879" t="s">
        <v>1755</v>
      </c>
      <c r="M1879" t="s">
        <v>47</v>
      </c>
      <c r="O1879" t="s">
        <v>77</v>
      </c>
      <c r="P1879" t="s">
        <v>78</v>
      </c>
      <c r="Q1879" t="s">
        <v>50</v>
      </c>
      <c r="R1879" t="s">
        <v>51</v>
      </c>
      <c r="S1879" t="s">
        <v>52</v>
      </c>
      <c r="T1879" t="s">
        <v>773</v>
      </c>
      <c r="U1879" s="1">
        <v>46074.974282407406</v>
      </c>
      <c r="V1879" t="s">
        <v>54</v>
      </c>
      <c r="W1879" t="s">
        <v>55</v>
      </c>
      <c r="X1879" t="s">
        <v>134</v>
      </c>
      <c r="Y1879" t="s">
        <v>1756</v>
      </c>
      <c r="Z1879" t="s">
        <v>5594</v>
      </c>
      <c r="AA1879" t="s">
        <v>54</v>
      </c>
      <c r="AB1879" t="s">
        <v>1757</v>
      </c>
      <c r="AC1879" t="s">
        <v>85</v>
      </c>
      <c r="AD1879" t="s">
        <v>52</v>
      </c>
      <c r="AE1879" t="s">
        <v>243</v>
      </c>
      <c r="AF1879" t="s">
        <v>244</v>
      </c>
      <c r="AG1879" t="s">
        <v>5594</v>
      </c>
      <c r="AK1879">
        <v>1</v>
      </c>
      <c r="AL1879" t="s">
        <v>61</v>
      </c>
      <c r="AM1879" t="s">
        <v>1757</v>
      </c>
      <c r="AN1879" t="s">
        <v>1758</v>
      </c>
    </row>
    <row r="1880" spans="1:40" x14ac:dyDescent="0.35">
      <c r="A1880" t="s">
        <v>37</v>
      </c>
      <c r="B1880" t="s">
        <v>7680</v>
      </c>
      <c r="C1880" t="s">
        <v>39</v>
      </c>
      <c r="D1880" t="s">
        <v>7681</v>
      </c>
      <c r="E1880" t="s">
        <v>7682</v>
      </c>
      <c r="F1880" s="1">
        <v>46073.347696759258</v>
      </c>
      <c r="G1880" t="s">
        <v>377</v>
      </c>
      <c r="H1880" t="s">
        <v>287</v>
      </c>
      <c r="I1880" t="s">
        <v>205</v>
      </c>
      <c r="J1880" t="s">
        <v>7089</v>
      </c>
      <c r="K1880" t="s">
        <v>207</v>
      </c>
      <c r="M1880" t="s">
        <v>47</v>
      </c>
      <c r="O1880" t="s">
        <v>77</v>
      </c>
      <c r="P1880" t="s">
        <v>78</v>
      </c>
      <c r="Q1880" t="s">
        <v>50</v>
      </c>
      <c r="R1880" t="s">
        <v>208</v>
      </c>
      <c r="S1880" t="s">
        <v>209</v>
      </c>
      <c r="T1880" t="s">
        <v>210</v>
      </c>
      <c r="U1880" s="1">
        <v>46073.488726851851</v>
      </c>
      <c r="V1880" t="s">
        <v>54</v>
      </c>
      <c r="W1880" t="s">
        <v>55</v>
      </c>
      <c r="X1880" t="s">
        <v>211</v>
      </c>
      <c r="Y1880" t="s">
        <v>7090</v>
      </c>
      <c r="Z1880" t="s">
        <v>5594</v>
      </c>
      <c r="AA1880" t="s">
        <v>54</v>
      </c>
      <c r="AB1880" t="s">
        <v>213</v>
      </c>
      <c r="AC1880" t="s">
        <v>85</v>
      </c>
      <c r="AD1880" t="s">
        <v>214</v>
      </c>
      <c r="AE1880" t="s">
        <v>215</v>
      </c>
      <c r="AF1880" t="s">
        <v>216</v>
      </c>
      <c r="AG1880" t="s">
        <v>5594</v>
      </c>
      <c r="AH1880" t="s">
        <v>7683</v>
      </c>
      <c r="AK1880">
        <v>1</v>
      </c>
      <c r="AL1880" t="s">
        <v>61</v>
      </c>
      <c r="AM1880" t="s">
        <v>7684</v>
      </c>
      <c r="AN1880" t="s">
        <v>7685</v>
      </c>
    </row>
    <row r="1881" spans="1:40" x14ac:dyDescent="0.35">
      <c r="A1881" t="s">
        <v>37</v>
      </c>
      <c r="B1881" t="s">
        <v>7686</v>
      </c>
      <c r="C1881" t="s">
        <v>39</v>
      </c>
      <c r="D1881" t="s">
        <v>147</v>
      </c>
      <c r="E1881" t="s">
        <v>1130</v>
      </c>
      <c r="F1881" s="1">
        <v>46073.346875000003</v>
      </c>
      <c r="G1881" t="s">
        <v>631</v>
      </c>
      <c r="H1881" t="s">
        <v>447</v>
      </c>
      <c r="I1881" t="s">
        <v>205</v>
      </c>
      <c r="J1881" t="s">
        <v>7089</v>
      </c>
      <c r="K1881" t="s">
        <v>207</v>
      </c>
      <c r="M1881" t="s">
        <v>47</v>
      </c>
      <c r="O1881" t="s">
        <v>77</v>
      </c>
      <c r="P1881" t="s">
        <v>78</v>
      </c>
      <c r="Q1881" t="s">
        <v>50</v>
      </c>
      <c r="R1881" t="s">
        <v>208</v>
      </c>
      <c r="S1881" t="s">
        <v>209</v>
      </c>
      <c r="T1881" t="s">
        <v>210</v>
      </c>
      <c r="U1881" s="1">
        <v>46073.488356481481</v>
      </c>
      <c r="V1881" t="s">
        <v>54</v>
      </c>
      <c r="W1881" t="s">
        <v>55</v>
      </c>
      <c r="X1881" t="s">
        <v>211</v>
      </c>
      <c r="Y1881" t="s">
        <v>7090</v>
      </c>
      <c r="Z1881" t="s">
        <v>5594</v>
      </c>
      <c r="AA1881" t="s">
        <v>54</v>
      </c>
      <c r="AB1881" t="s">
        <v>213</v>
      </c>
      <c r="AC1881" t="s">
        <v>85</v>
      </c>
      <c r="AD1881" t="s">
        <v>214</v>
      </c>
      <c r="AE1881" t="s">
        <v>215</v>
      </c>
      <c r="AF1881" t="s">
        <v>216</v>
      </c>
      <c r="AG1881" t="s">
        <v>5594</v>
      </c>
      <c r="AH1881">
        <v>15670</v>
      </c>
      <c r="AK1881">
        <v>1</v>
      </c>
      <c r="AL1881" t="s">
        <v>61</v>
      </c>
      <c r="AM1881" t="s">
        <v>1132</v>
      </c>
      <c r="AN1881" t="s">
        <v>1133</v>
      </c>
    </row>
    <row r="1882" spans="1:40" x14ac:dyDescent="0.35">
      <c r="A1882" t="s">
        <v>37</v>
      </c>
      <c r="B1882" t="s">
        <v>7687</v>
      </c>
      <c r="C1882" t="s">
        <v>39</v>
      </c>
      <c r="D1882" t="s">
        <v>747</v>
      </c>
      <c r="E1882" t="s">
        <v>7688</v>
      </c>
      <c r="F1882" s="1">
        <v>46073.346180555556</v>
      </c>
      <c r="G1882" t="s">
        <v>631</v>
      </c>
      <c r="H1882" t="s">
        <v>447</v>
      </c>
      <c r="I1882" t="s">
        <v>205</v>
      </c>
      <c r="J1882" t="s">
        <v>7089</v>
      </c>
      <c r="K1882" t="s">
        <v>207</v>
      </c>
      <c r="M1882" t="s">
        <v>47</v>
      </c>
      <c r="O1882" t="s">
        <v>77</v>
      </c>
      <c r="P1882" t="s">
        <v>78</v>
      </c>
      <c r="Q1882" t="s">
        <v>50</v>
      </c>
      <c r="R1882" t="s">
        <v>208</v>
      </c>
      <c r="S1882" t="s">
        <v>209</v>
      </c>
      <c r="T1882" t="s">
        <v>210</v>
      </c>
      <c r="U1882" s="1">
        <v>46073.488136574073</v>
      </c>
      <c r="V1882" t="s">
        <v>54</v>
      </c>
      <c r="W1882" t="s">
        <v>55</v>
      </c>
      <c r="X1882" t="s">
        <v>211</v>
      </c>
      <c r="Y1882" t="s">
        <v>7090</v>
      </c>
      <c r="Z1882" t="s">
        <v>5594</v>
      </c>
      <c r="AA1882" t="s">
        <v>54</v>
      </c>
      <c r="AB1882" t="s">
        <v>213</v>
      </c>
      <c r="AC1882" t="s">
        <v>85</v>
      </c>
      <c r="AD1882" t="s">
        <v>214</v>
      </c>
      <c r="AE1882" t="s">
        <v>215</v>
      </c>
      <c r="AF1882" t="s">
        <v>216</v>
      </c>
      <c r="AG1882" t="s">
        <v>5594</v>
      </c>
      <c r="AH1882">
        <v>15384</v>
      </c>
      <c r="AK1882">
        <v>1</v>
      </c>
      <c r="AL1882" t="s">
        <v>61</v>
      </c>
      <c r="AM1882" t="s">
        <v>7689</v>
      </c>
      <c r="AN1882" t="s">
        <v>7690</v>
      </c>
    </row>
    <row r="1883" spans="1:40" x14ac:dyDescent="0.35">
      <c r="A1883" t="s">
        <v>37</v>
      </c>
      <c r="B1883" t="s">
        <v>7691</v>
      </c>
      <c r="C1883" t="s">
        <v>39</v>
      </c>
      <c r="D1883" t="s">
        <v>7692</v>
      </c>
      <c r="E1883" t="s">
        <v>7693</v>
      </c>
      <c r="F1883" s="1">
        <v>46073.346689814818</v>
      </c>
      <c r="G1883" t="s">
        <v>355</v>
      </c>
      <c r="H1883" t="s">
        <v>356</v>
      </c>
      <c r="I1883" t="s">
        <v>7694</v>
      </c>
      <c r="J1883" t="s">
        <v>1823</v>
      </c>
      <c r="K1883" t="s">
        <v>1824</v>
      </c>
      <c r="M1883" t="s">
        <v>47</v>
      </c>
      <c r="O1883" t="s">
        <v>77</v>
      </c>
      <c r="P1883" t="s">
        <v>78</v>
      </c>
      <c r="Q1883" t="s">
        <v>50</v>
      </c>
      <c r="R1883" t="s">
        <v>51</v>
      </c>
      <c r="S1883" t="s">
        <v>52</v>
      </c>
      <c r="T1883" t="s">
        <v>240</v>
      </c>
      <c r="U1883" s="1">
        <v>46073.543240740742</v>
      </c>
      <c r="V1883" t="s">
        <v>54</v>
      </c>
      <c r="W1883" t="s">
        <v>55</v>
      </c>
      <c r="X1883" t="s">
        <v>134</v>
      </c>
      <c r="Y1883" t="s">
        <v>7695</v>
      </c>
      <c r="Z1883" t="s">
        <v>5594</v>
      </c>
      <c r="AA1883" t="s">
        <v>54</v>
      </c>
      <c r="AB1883" t="s">
        <v>408</v>
      </c>
      <c r="AC1883" t="s">
        <v>85</v>
      </c>
      <c r="AD1883" t="s">
        <v>52</v>
      </c>
      <c r="AE1883" t="s">
        <v>243</v>
      </c>
      <c r="AF1883" t="s">
        <v>1470</v>
      </c>
      <c r="AG1883" t="s">
        <v>5594</v>
      </c>
      <c r="AH1883" t="s">
        <v>7696</v>
      </c>
      <c r="AK1883">
        <v>2</v>
      </c>
      <c r="AL1883" t="s">
        <v>61</v>
      </c>
      <c r="AM1883" t="s">
        <v>7697</v>
      </c>
      <c r="AN1883" t="s">
        <v>7698</v>
      </c>
    </row>
    <row r="1884" spans="1:40" x14ac:dyDescent="0.35">
      <c r="A1884" t="s">
        <v>37</v>
      </c>
      <c r="B1884" t="s">
        <v>7699</v>
      </c>
      <c r="C1884" t="s">
        <v>39</v>
      </c>
      <c r="D1884" t="s">
        <v>3730</v>
      </c>
      <c r="E1884" t="s">
        <v>770</v>
      </c>
      <c r="F1884" s="1">
        <v>46073.34542824074</v>
      </c>
      <c r="G1884" t="s">
        <v>1249</v>
      </c>
      <c r="H1884" t="s">
        <v>233</v>
      </c>
      <c r="I1884" t="s">
        <v>171</v>
      </c>
      <c r="J1884" t="s">
        <v>3423</v>
      </c>
      <c r="K1884" t="s">
        <v>75</v>
      </c>
      <c r="M1884" t="s">
        <v>47</v>
      </c>
      <c r="O1884" t="s">
        <v>77</v>
      </c>
      <c r="P1884" t="s">
        <v>78</v>
      </c>
      <c r="Q1884" t="s">
        <v>50</v>
      </c>
      <c r="R1884" t="s">
        <v>79</v>
      </c>
      <c r="S1884" t="s">
        <v>172</v>
      </c>
      <c r="T1884" t="s">
        <v>173</v>
      </c>
      <c r="U1884" s="1">
        <v>46073.442025462966</v>
      </c>
      <c r="V1884" t="s">
        <v>54</v>
      </c>
      <c r="W1884" t="s">
        <v>55</v>
      </c>
      <c r="X1884" t="s">
        <v>82</v>
      </c>
      <c r="Y1884" t="s">
        <v>3424</v>
      </c>
      <c r="Z1884" t="s">
        <v>5594</v>
      </c>
      <c r="AA1884" t="s">
        <v>54</v>
      </c>
      <c r="AB1884" t="s">
        <v>3425</v>
      </c>
      <c r="AC1884" t="s">
        <v>85</v>
      </c>
      <c r="AD1884" t="s">
        <v>79</v>
      </c>
      <c r="AE1884" t="s">
        <v>172</v>
      </c>
      <c r="AF1884" t="s">
        <v>173</v>
      </c>
      <c r="AG1884" t="s">
        <v>5594</v>
      </c>
      <c r="AH1884">
        <v>15279</v>
      </c>
      <c r="AK1884">
        <v>0</v>
      </c>
      <c r="AL1884" t="s">
        <v>61</v>
      </c>
      <c r="AM1884" t="s">
        <v>7700</v>
      </c>
      <c r="AN1884" t="s">
        <v>7701</v>
      </c>
    </row>
    <row r="1885" spans="1:40" x14ac:dyDescent="0.35">
      <c r="A1885" t="s">
        <v>37</v>
      </c>
      <c r="B1885" t="s">
        <v>7702</v>
      </c>
      <c r="C1885" t="s">
        <v>39</v>
      </c>
      <c r="D1885" t="s">
        <v>469</v>
      </c>
      <c r="E1885" t="s">
        <v>127</v>
      </c>
      <c r="F1885" s="1">
        <v>46073.345208333332</v>
      </c>
      <c r="G1885" t="s">
        <v>631</v>
      </c>
      <c r="H1885" t="s">
        <v>447</v>
      </c>
      <c r="I1885" t="s">
        <v>205</v>
      </c>
      <c r="J1885" t="s">
        <v>7089</v>
      </c>
      <c r="K1885" t="s">
        <v>207</v>
      </c>
      <c r="M1885" t="s">
        <v>47</v>
      </c>
      <c r="O1885" t="s">
        <v>77</v>
      </c>
      <c r="P1885" t="s">
        <v>78</v>
      </c>
      <c r="Q1885" t="s">
        <v>50</v>
      </c>
      <c r="R1885" t="s">
        <v>208</v>
      </c>
      <c r="S1885" t="s">
        <v>209</v>
      </c>
      <c r="T1885" t="s">
        <v>210</v>
      </c>
      <c r="U1885" s="1">
        <v>46073.487858796296</v>
      </c>
      <c r="V1885" t="s">
        <v>54</v>
      </c>
      <c r="W1885" t="s">
        <v>55</v>
      </c>
      <c r="X1885" t="s">
        <v>211</v>
      </c>
      <c r="Y1885" t="s">
        <v>7090</v>
      </c>
      <c r="Z1885" t="s">
        <v>5594</v>
      </c>
      <c r="AA1885" t="s">
        <v>54</v>
      </c>
      <c r="AB1885" t="s">
        <v>213</v>
      </c>
      <c r="AC1885" t="s">
        <v>85</v>
      </c>
      <c r="AD1885" t="s">
        <v>214</v>
      </c>
      <c r="AE1885" t="s">
        <v>215</v>
      </c>
      <c r="AF1885" t="s">
        <v>216</v>
      </c>
      <c r="AG1885" t="s">
        <v>5594</v>
      </c>
      <c r="AH1885">
        <v>12476</v>
      </c>
      <c r="AK1885">
        <v>1</v>
      </c>
      <c r="AL1885" t="s">
        <v>61</v>
      </c>
      <c r="AM1885" t="s">
        <v>7703</v>
      </c>
      <c r="AN1885" t="s">
        <v>7704</v>
      </c>
    </row>
    <row r="1886" spans="1:40" x14ac:dyDescent="0.35">
      <c r="A1886" t="s">
        <v>37</v>
      </c>
      <c r="B1886" t="s">
        <v>7705</v>
      </c>
      <c r="C1886" t="s">
        <v>39</v>
      </c>
      <c r="D1886" t="s">
        <v>513</v>
      </c>
      <c r="E1886" t="s">
        <v>7706</v>
      </c>
      <c r="F1886" s="1">
        <v>46073.344525462962</v>
      </c>
      <c r="G1886" t="s">
        <v>170</v>
      </c>
      <c r="H1886" t="s">
        <v>92</v>
      </c>
      <c r="I1886" t="s">
        <v>205</v>
      </c>
      <c r="J1886" t="s">
        <v>7089</v>
      </c>
      <c r="K1886" t="s">
        <v>207</v>
      </c>
      <c r="M1886" t="s">
        <v>47</v>
      </c>
      <c r="O1886" t="s">
        <v>77</v>
      </c>
      <c r="P1886" t="s">
        <v>78</v>
      </c>
      <c r="Q1886" t="s">
        <v>50</v>
      </c>
      <c r="R1886" t="s">
        <v>208</v>
      </c>
      <c r="S1886" t="s">
        <v>209</v>
      </c>
      <c r="T1886" t="s">
        <v>210</v>
      </c>
      <c r="U1886" s="1">
        <v>46073.487569444442</v>
      </c>
      <c r="V1886" t="s">
        <v>54</v>
      </c>
      <c r="W1886" t="s">
        <v>55</v>
      </c>
      <c r="X1886" t="s">
        <v>211</v>
      </c>
      <c r="Y1886" t="s">
        <v>7090</v>
      </c>
      <c r="Z1886" t="s">
        <v>5594</v>
      </c>
      <c r="AA1886" t="s">
        <v>54</v>
      </c>
      <c r="AB1886" t="s">
        <v>213</v>
      </c>
      <c r="AC1886" t="s">
        <v>85</v>
      </c>
      <c r="AD1886" t="s">
        <v>214</v>
      </c>
      <c r="AE1886" t="s">
        <v>215</v>
      </c>
      <c r="AF1886" t="s">
        <v>216</v>
      </c>
      <c r="AG1886" t="s">
        <v>5594</v>
      </c>
      <c r="AH1886">
        <v>15242</v>
      </c>
      <c r="AK1886">
        <v>1</v>
      </c>
      <c r="AL1886" t="s">
        <v>61</v>
      </c>
      <c r="AM1886" t="s">
        <v>7707</v>
      </c>
      <c r="AN1886" t="s">
        <v>7708</v>
      </c>
    </row>
    <row r="1887" spans="1:40" x14ac:dyDescent="0.35">
      <c r="A1887" t="s">
        <v>37</v>
      </c>
      <c r="B1887" t="s">
        <v>7709</v>
      </c>
      <c r="C1887" t="s">
        <v>102</v>
      </c>
      <c r="D1887" t="s">
        <v>1698</v>
      </c>
      <c r="E1887" t="s">
        <v>584</v>
      </c>
      <c r="F1887" s="1">
        <v>46073.342199074075</v>
      </c>
      <c r="G1887" t="s">
        <v>105</v>
      </c>
      <c r="H1887" t="s">
        <v>106</v>
      </c>
      <c r="I1887" t="s">
        <v>1812</v>
      </c>
      <c r="J1887" t="s">
        <v>108</v>
      </c>
      <c r="K1887" t="s">
        <v>571</v>
      </c>
      <c r="M1887" t="s">
        <v>47</v>
      </c>
      <c r="O1887" t="s">
        <v>77</v>
      </c>
      <c r="P1887" t="s">
        <v>78</v>
      </c>
      <c r="Q1887" t="s">
        <v>50</v>
      </c>
      <c r="R1887" t="s">
        <v>111</v>
      </c>
      <c r="S1887" t="s">
        <v>51</v>
      </c>
      <c r="T1887" t="s">
        <v>112</v>
      </c>
      <c r="U1887" s="1">
        <v>46073.403807870367</v>
      </c>
      <c r="V1887" t="s">
        <v>54</v>
      </c>
      <c r="W1887" t="s">
        <v>55</v>
      </c>
      <c r="X1887" t="s">
        <v>134</v>
      </c>
      <c r="Y1887" t="s">
        <v>6957</v>
      </c>
      <c r="Z1887" t="s">
        <v>5594</v>
      </c>
      <c r="AA1887" t="s">
        <v>54</v>
      </c>
      <c r="AB1887" t="s">
        <v>1701</v>
      </c>
      <c r="AC1887" t="s">
        <v>85</v>
      </c>
      <c r="AD1887" t="s">
        <v>116</v>
      </c>
      <c r="AE1887" t="s">
        <v>574</v>
      </c>
      <c r="AF1887" t="s">
        <v>144</v>
      </c>
      <c r="AG1887" t="s">
        <v>5594</v>
      </c>
      <c r="AK1887">
        <v>1</v>
      </c>
      <c r="AL1887" t="s">
        <v>61</v>
      </c>
      <c r="AM1887" t="s">
        <v>1701</v>
      </c>
      <c r="AN1887" t="s">
        <v>1702</v>
      </c>
    </row>
    <row r="1888" spans="1:40" x14ac:dyDescent="0.35">
      <c r="A1888" t="s">
        <v>37</v>
      </c>
      <c r="B1888" t="s">
        <v>7710</v>
      </c>
      <c r="C1888" t="s">
        <v>39</v>
      </c>
      <c r="D1888" t="s">
        <v>469</v>
      </c>
      <c r="E1888" t="s">
        <v>230</v>
      </c>
      <c r="F1888" s="1">
        <v>46073.339826388888</v>
      </c>
      <c r="G1888" t="s">
        <v>631</v>
      </c>
      <c r="H1888" t="s">
        <v>447</v>
      </c>
      <c r="I1888" t="s">
        <v>205</v>
      </c>
      <c r="J1888" t="s">
        <v>7089</v>
      </c>
      <c r="K1888" t="s">
        <v>207</v>
      </c>
      <c r="M1888" t="s">
        <v>47</v>
      </c>
      <c r="O1888" t="s">
        <v>77</v>
      </c>
      <c r="P1888" t="s">
        <v>78</v>
      </c>
      <c r="Q1888" t="s">
        <v>50</v>
      </c>
      <c r="R1888" t="s">
        <v>208</v>
      </c>
      <c r="S1888" t="s">
        <v>209</v>
      </c>
      <c r="T1888" t="s">
        <v>210</v>
      </c>
      <c r="U1888" s="1">
        <v>46073.487071759257</v>
      </c>
      <c r="V1888" t="s">
        <v>54</v>
      </c>
      <c r="W1888" t="s">
        <v>55</v>
      </c>
      <c r="X1888" t="s">
        <v>211</v>
      </c>
      <c r="Y1888" t="s">
        <v>7090</v>
      </c>
      <c r="Z1888" t="s">
        <v>5594</v>
      </c>
      <c r="AA1888" t="s">
        <v>54</v>
      </c>
      <c r="AB1888" t="s">
        <v>213</v>
      </c>
      <c r="AC1888" t="s">
        <v>85</v>
      </c>
      <c r="AD1888" t="s">
        <v>214</v>
      </c>
      <c r="AE1888" t="s">
        <v>215</v>
      </c>
      <c r="AF1888" t="s">
        <v>216</v>
      </c>
      <c r="AG1888" t="s">
        <v>5594</v>
      </c>
      <c r="AH1888">
        <v>15405</v>
      </c>
      <c r="AK1888">
        <v>1</v>
      </c>
      <c r="AL1888" t="s">
        <v>61</v>
      </c>
      <c r="AM1888" t="s">
        <v>7711</v>
      </c>
      <c r="AN1888" t="s">
        <v>7712</v>
      </c>
    </row>
    <row r="1889" spans="1:40" x14ac:dyDescent="0.35">
      <c r="A1889" t="s">
        <v>37</v>
      </c>
      <c r="B1889" t="s">
        <v>7713</v>
      </c>
      <c r="C1889" t="s">
        <v>39</v>
      </c>
      <c r="D1889" t="s">
        <v>325</v>
      </c>
      <c r="E1889" t="s">
        <v>7714</v>
      </c>
      <c r="F1889" s="1">
        <v>46073.341909722221</v>
      </c>
      <c r="G1889" t="s">
        <v>771</v>
      </c>
      <c r="H1889" t="s">
        <v>92</v>
      </c>
      <c r="I1889" t="s">
        <v>171</v>
      </c>
      <c r="J1889" t="s">
        <v>394</v>
      </c>
      <c r="K1889" t="s">
        <v>75</v>
      </c>
      <c r="M1889" t="s">
        <v>47</v>
      </c>
      <c r="O1889" t="s">
        <v>77</v>
      </c>
      <c r="P1889" t="s">
        <v>78</v>
      </c>
      <c r="Q1889" t="s">
        <v>7715</v>
      </c>
      <c r="R1889" t="s">
        <v>79</v>
      </c>
      <c r="S1889" t="s">
        <v>172</v>
      </c>
      <c r="T1889" t="s">
        <v>173</v>
      </c>
      <c r="U1889" s="1">
        <v>46073.342118055552</v>
      </c>
      <c r="V1889" t="s">
        <v>1338</v>
      </c>
      <c r="W1889" t="s">
        <v>55</v>
      </c>
      <c r="X1889" t="s">
        <v>82</v>
      </c>
      <c r="Y1889" t="s">
        <v>1251</v>
      </c>
      <c r="Z1889" t="s">
        <v>5594</v>
      </c>
      <c r="AA1889" t="s">
        <v>1338</v>
      </c>
      <c r="AB1889" t="s">
        <v>396</v>
      </c>
      <c r="AC1889" t="s">
        <v>85</v>
      </c>
      <c r="AD1889" t="s">
        <v>79</v>
      </c>
      <c r="AE1889" t="s">
        <v>172</v>
      </c>
      <c r="AF1889" t="s">
        <v>173</v>
      </c>
      <c r="AG1889" t="s">
        <v>5594</v>
      </c>
      <c r="AH1889">
        <v>10030</v>
      </c>
      <c r="AK1889">
        <v>0</v>
      </c>
      <c r="AL1889" t="s">
        <v>410</v>
      </c>
      <c r="AM1889" t="s">
        <v>7716</v>
      </c>
      <c r="AN1889" t="s">
        <v>7717</v>
      </c>
    </row>
    <row r="1890" spans="1:40" x14ac:dyDescent="0.35">
      <c r="A1890" t="s">
        <v>37</v>
      </c>
      <c r="B1890" t="s">
        <v>7718</v>
      </c>
      <c r="C1890" t="s">
        <v>102</v>
      </c>
      <c r="D1890" t="s">
        <v>5951</v>
      </c>
      <c r="E1890" t="s">
        <v>7719</v>
      </c>
      <c r="F1890" s="1">
        <v>46073.375578703701</v>
      </c>
      <c r="G1890" t="s">
        <v>2015</v>
      </c>
      <c r="H1890" t="s">
        <v>447</v>
      </c>
      <c r="I1890" t="s">
        <v>7720</v>
      </c>
      <c r="J1890" t="s">
        <v>3423</v>
      </c>
      <c r="K1890" t="s">
        <v>75</v>
      </c>
      <c r="M1890" t="s">
        <v>47</v>
      </c>
      <c r="O1890" t="s">
        <v>237</v>
      </c>
      <c r="P1890" t="s">
        <v>238</v>
      </c>
      <c r="Q1890" t="s">
        <v>456</v>
      </c>
      <c r="R1890" t="s">
        <v>79</v>
      </c>
      <c r="S1890" t="s">
        <v>781</v>
      </c>
      <c r="T1890" t="s">
        <v>2453</v>
      </c>
      <c r="U1890" s="1">
        <v>46073.453402777777</v>
      </c>
      <c r="V1890" t="s">
        <v>54</v>
      </c>
      <c r="W1890" t="s">
        <v>55</v>
      </c>
      <c r="X1890" t="s">
        <v>82</v>
      </c>
      <c r="Y1890" t="s">
        <v>7721</v>
      </c>
      <c r="Z1890" t="s">
        <v>5594</v>
      </c>
      <c r="AA1890" t="s">
        <v>54</v>
      </c>
      <c r="AB1890" t="s">
        <v>3425</v>
      </c>
      <c r="AC1890" t="s">
        <v>242</v>
      </c>
      <c r="AD1890" t="s">
        <v>79</v>
      </c>
      <c r="AE1890" t="s">
        <v>784</v>
      </c>
      <c r="AF1890" t="s">
        <v>2454</v>
      </c>
      <c r="AG1890" t="s">
        <v>5594</v>
      </c>
      <c r="AH1890">
        <v>696</v>
      </c>
      <c r="AK1890">
        <v>0</v>
      </c>
      <c r="AL1890" t="s">
        <v>61</v>
      </c>
      <c r="AM1890" t="s">
        <v>7722</v>
      </c>
      <c r="AN1890" t="s">
        <v>7723</v>
      </c>
    </row>
    <row r="1891" spans="1:40" x14ac:dyDescent="0.35">
      <c r="A1891" t="s">
        <v>37</v>
      </c>
      <c r="B1891" t="s">
        <v>7724</v>
      </c>
      <c r="C1891" t="s">
        <v>39</v>
      </c>
      <c r="D1891" t="s">
        <v>40</v>
      </c>
      <c r="E1891" t="s">
        <v>41</v>
      </c>
      <c r="F1891" s="1">
        <v>46073.336527777778</v>
      </c>
      <c r="G1891" t="s">
        <v>42</v>
      </c>
      <c r="H1891" t="s">
        <v>43</v>
      </c>
      <c r="I1891" t="s">
        <v>7725</v>
      </c>
      <c r="J1891" t="s">
        <v>45</v>
      </c>
      <c r="K1891" t="s">
        <v>46</v>
      </c>
      <c r="M1891" t="s">
        <v>47</v>
      </c>
      <c r="O1891" t="s">
        <v>48</v>
      </c>
      <c r="P1891" t="s">
        <v>49</v>
      </c>
      <c r="Q1891" t="s">
        <v>50</v>
      </c>
      <c r="R1891" t="s">
        <v>51</v>
      </c>
      <c r="S1891" t="s">
        <v>52</v>
      </c>
      <c r="T1891" t="s">
        <v>53</v>
      </c>
      <c r="U1891" s="1">
        <v>46073.337314814817</v>
      </c>
      <c r="V1891" t="s">
        <v>54</v>
      </c>
      <c r="W1891" t="s">
        <v>55</v>
      </c>
      <c r="X1891" t="s">
        <v>56</v>
      </c>
      <c r="Y1891" t="s">
        <v>57</v>
      </c>
      <c r="Z1891" t="s">
        <v>5594</v>
      </c>
      <c r="AA1891" t="s">
        <v>54</v>
      </c>
      <c r="AB1891" t="s">
        <v>59</v>
      </c>
      <c r="AC1891" t="s">
        <v>60</v>
      </c>
      <c r="AD1891" t="s">
        <v>51</v>
      </c>
      <c r="AE1891" t="s">
        <v>52</v>
      </c>
      <c r="AF1891" t="s">
        <v>53</v>
      </c>
      <c r="AG1891" t="s">
        <v>5594</v>
      </c>
      <c r="AK1891">
        <v>0</v>
      </c>
      <c r="AL1891" t="s">
        <v>61</v>
      </c>
      <c r="AM1891" t="s">
        <v>59</v>
      </c>
      <c r="AN1891" t="s">
        <v>62</v>
      </c>
    </row>
    <row r="1892" spans="1:40" x14ac:dyDescent="0.35">
      <c r="A1892" t="s">
        <v>37</v>
      </c>
      <c r="B1892" t="s">
        <v>7726</v>
      </c>
      <c r="C1892" t="s">
        <v>39</v>
      </c>
      <c r="D1892" t="s">
        <v>40</v>
      </c>
      <c r="E1892" t="s">
        <v>41</v>
      </c>
      <c r="F1892" s="1">
        <v>46073.336435185185</v>
      </c>
      <c r="G1892" t="s">
        <v>42</v>
      </c>
      <c r="H1892" t="s">
        <v>43</v>
      </c>
      <c r="I1892" t="s">
        <v>7727</v>
      </c>
      <c r="J1892" t="s">
        <v>45</v>
      </c>
      <c r="K1892" t="s">
        <v>46</v>
      </c>
      <c r="M1892" t="s">
        <v>47</v>
      </c>
      <c r="O1892" t="s">
        <v>48</v>
      </c>
      <c r="P1892" t="s">
        <v>49</v>
      </c>
      <c r="Q1892" t="s">
        <v>50</v>
      </c>
      <c r="R1892" t="s">
        <v>51</v>
      </c>
      <c r="S1892" t="s">
        <v>52</v>
      </c>
      <c r="T1892" t="s">
        <v>53</v>
      </c>
      <c r="U1892" s="1">
        <v>46073.337268518517</v>
      </c>
      <c r="V1892" t="s">
        <v>54</v>
      </c>
      <c r="W1892" t="s">
        <v>55</v>
      </c>
      <c r="X1892" t="s">
        <v>56</v>
      </c>
      <c r="Y1892" t="s">
        <v>57</v>
      </c>
      <c r="Z1892" t="s">
        <v>5594</v>
      </c>
      <c r="AA1892" t="s">
        <v>54</v>
      </c>
      <c r="AB1892" t="s">
        <v>59</v>
      </c>
      <c r="AC1892" t="s">
        <v>60</v>
      </c>
      <c r="AD1892" t="s">
        <v>51</v>
      </c>
      <c r="AE1892" t="s">
        <v>52</v>
      </c>
      <c r="AF1892" t="s">
        <v>53</v>
      </c>
      <c r="AG1892" t="s">
        <v>5594</v>
      </c>
      <c r="AK1892">
        <v>0</v>
      </c>
      <c r="AL1892" t="s">
        <v>61</v>
      </c>
      <c r="AM1892" t="s">
        <v>59</v>
      </c>
      <c r="AN1892" t="s">
        <v>62</v>
      </c>
    </row>
    <row r="1893" spans="1:40" x14ac:dyDescent="0.35">
      <c r="A1893" t="s">
        <v>37</v>
      </c>
      <c r="B1893" t="s">
        <v>7728</v>
      </c>
      <c r="C1893" t="s">
        <v>39</v>
      </c>
      <c r="D1893" t="s">
        <v>7692</v>
      </c>
      <c r="E1893" t="s">
        <v>7693</v>
      </c>
      <c r="F1893" s="1">
        <v>46073.342499999999</v>
      </c>
      <c r="G1893" t="s">
        <v>355</v>
      </c>
      <c r="H1893" t="s">
        <v>356</v>
      </c>
      <c r="I1893" t="s">
        <v>7729</v>
      </c>
      <c r="J1893" t="s">
        <v>1823</v>
      </c>
      <c r="K1893" t="s">
        <v>1824</v>
      </c>
      <c r="M1893" t="s">
        <v>47</v>
      </c>
      <c r="O1893" t="s">
        <v>77</v>
      </c>
      <c r="P1893" t="s">
        <v>78</v>
      </c>
      <c r="Q1893" t="s">
        <v>50</v>
      </c>
      <c r="R1893" t="s">
        <v>51</v>
      </c>
      <c r="S1893" t="s">
        <v>52</v>
      </c>
      <c r="T1893" t="s">
        <v>240</v>
      </c>
      <c r="U1893" s="1">
        <v>46073.542662037034</v>
      </c>
      <c r="V1893" t="s">
        <v>54</v>
      </c>
      <c r="W1893" t="s">
        <v>55</v>
      </c>
      <c r="X1893" t="s">
        <v>134</v>
      </c>
      <c r="Y1893" t="s">
        <v>7730</v>
      </c>
      <c r="Z1893" t="s">
        <v>5594</v>
      </c>
      <c r="AA1893" t="s">
        <v>54</v>
      </c>
      <c r="AB1893" t="s">
        <v>408</v>
      </c>
      <c r="AC1893" t="s">
        <v>85</v>
      </c>
      <c r="AD1893" t="s">
        <v>52</v>
      </c>
      <c r="AE1893" t="s">
        <v>243</v>
      </c>
      <c r="AF1893" t="s">
        <v>1470</v>
      </c>
      <c r="AG1893" t="s">
        <v>5594</v>
      </c>
      <c r="AH1893" t="s">
        <v>7696</v>
      </c>
      <c r="AK1893">
        <v>1</v>
      </c>
      <c r="AL1893" t="s">
        <v>61</v>
      </c>
      <c r="AM1893" t="s">
        <v>7697</v>
      </c>
      <c r="AN1893" t="s">
        <v>7698</v>
      </c>
    </row>
    <row r="1894" spans="1:40" x14ac:dyDescent="0.35">
      <c r="A1894" t="s">
        <v>37</v>
      </c>
      <c r="B1894" t="s">
        <v>7731</v>
      </c>
      <c r="C1894" t="s">
        <v>102</v>
      </c>
      <c r="D1894" t="s">
        <v>1537</v>
      </c>
      <c r="E1894" t="s">
        <v>1538</v>
      </c>
      <c r="F1894" s="1">
        <v>46073.336840277778</v>
      </c>
      <c r="G1894" t="s">
        <v>105</v>
      </c>
      <c r="H1894" t="s">
        <v>106</v>
      </c>
      <c r="I1894" t="s">
        <v>1659</v>
      </c>
      <c r="J1894" t="s">
        <v>108</v>
      </c>
      <c r="K1894" t="s">
        <v>571</v>
      </c>
      <c r="M1894" t="s">
        <v>47</v>
      </c>
      <c r="O1894" t="s">
        <v>77</v>
      </c>
      <c r="P1894" t="s">
        <v>78</v>
      </c>
      <c r="Q1894" t="s">
        <v>50</v>
      </c>
      <c r="R1894" t="s">
        <v>111</v>
      </c>
      <c r="S1894" t="s">
        <v>51</v>
      </c>
      <c r="T1894" t="s">
        <v>112</v>
      </c>
      <c r="U1894" s="1">
        <v>46074.012916666667</v>
      </c>
      <c r="V1894" t="s">
        <v>54</v>
      </c>
      <c r="W1894" t="s">
        <v>55</v>
      </c>
      <c r="X1894" t="s">
        <v>113</v>
      </c>
      <c r="Y1894" t="s">
        <v>7732</v>
      </c>
      <c r="Z1894" t="s">
        <v>5594</v>
      </c>
      <c r="AA1894" t="s">
        <v>54</v>
      </c>
      <c r="AB1894" t="s">
        <v>115</v>
      </c>
      <c r="AC1894" t="s">
        <v>85</v>
      </c>
      <c r="AD1894" t="s">
        <v>116</v>
      </c>
      <c r="AE1894" t="s">
        <v>1541</v>
      </c>
      <c r="AF1894" t="s">
        <v>144</v>
      </c>
      <c r="AG1894" t="s">
        <v>5594</v>
      </c>
      <c r="AH1894">
        <v>14840</v>
      </c>
      <c r="AK1894">
        <v>1</v>
      </c>
      <c r="AL1894" t="s">
        <v>61</v>
      </c>
      <c r="AM1894" t="s">
        <v>1542</v>
      </c>
      <c r="AN1894" t="s">
        <v>1543</v>
      </c>
    </row>
    <row r="1895" spans="1:40" x14ac:dyDescent="0.35">
      <c r="A1895" t="s">
        <v>37</v>
      </c>
      <c r="B1895" t="s">
        <v>7733</v>
      </c>
      <c r="C1895" t="s">
        <v>39</v>
      </c>
      <c r="D1895" t="s">
        <v>1751</v>
      </c>
      <c r="E1895" t="s">
        <v>1316</v>
      </c>
      <c r="F1895" s="1">
        <v>46073.329641203702</v>
      </c>
      <c r="G1895" t="s">
        <v>1752</v>
      </c>
      <c r="H1895" t="s">
        <v>447</v>
      </c>
      <c r="I1895" t="s">
        <v>7734</v>
      </c>
      <c r="J1895" t="s">
        <v>1754</v>
      </c>
      <c r="K1895" t="s">
        <v>1755</v>
      </c>
      <c r="M1895" t="s">
        <v>47</v>
      </c>
      <c r="O1895" t="s">
        <v>77</v>
      </c>
      <c r="P1895" t="s">
        <v>78</v>
      </c>
      <c r="Q1895" t="s">
        <v>50</v>
      </c>
      <c r="R1895" t="s">
        <v>51</v>
      </c>
      <c r="S1895" t="s">
        <v>52</v>
      </c>
      <c r="T1895" t="s">
        <v>773</v>
      </c>
      <c r="U1895" s="1">
        <v>46074.973449074074</v>
      </c>
      <c r="V1895" t="s">
        <v>54</v>
      </c>
      <c r="W1895" t="s">
        <v>55</v>
      </c>
      <c r="X1895" t="s">
        <v>134</v>
      </c>
      <c r="Y1895" t="s">
        <v>1756</v>
      </c>
      <c r="Z1895" t="s">
        <v>5594</v>
      </c>
      <c r="AA1895" t="s">
        <v>54</v>
      </c>
      <c r="AB1895" t="s">
        <v>1757</v>
      </c>
      <c r="AC1895" t="s">
        <v>85</v>
      </c>
      <c r="AD1895" t="s">
        <v>52</v>
      </c>
      <c r="AE1895" t="s">
        <v>243</v>
      </c>
      <c r="AF1895" t="s">
        <v>244</v>
      </c>
      <c r="AG1895" t="s">
        <v>5594</v>
      </c>
      <c r="AK1895">
        <v>1</v>
      </c>
      <c r="AL1895" t="s">
        <v>61</v>
      </c>
      <c r="AM1895" t="s">
        <v>1757</v>
      </c>
      <c r="AN1895" t="s">
        <v>1758</v>
      </c>
    </row>
    <row r="1896" spans="1:40" x14ac:dyDescent="0.35">
      <c r="A1896" t="s">
        <v>37</v>
      </c>
      <c r="B1896" t="s">
        <v>7735</v>
      </c>
      <c r="C1896" t="s">
        <v>39</v>
      </c>
      <c r="D1896" t="s">
        <v>1751</v>
      </c>
      <c r="E1896" t="s">
        <v>1316</v>
      </c>
      <c r="F1896" s="1">
        <v>46073.32540509259</v>
      </c>
      <c r="G1896" t="s">
        <v>1752</v>
      </c>
      <c r="H1896" t="s">
        <v>447</v>
      </c>
      <c r="I1896" t="s">
        <v>7736</v>
      </c>
      <c r="J1896" t="s">
        <v>1754</v>
      </c>
      <c r="K1896" t="s">
        <v>1755</v>
      </c>
      <c r="M1896" t="s">
        <v>47</v>
      </c>
      <c r="O1896" t="s">
        <v>77</v>
      </c>
      <c r="P1896" t="s">
        <v>78</v>
      </c>
      <c r="Q1896" t="s">
        <v>50</v>
      </c>
      <c r="R1896" t="s">
        <v>51</v>
      </c>
      <c r="S1896" t="s">
        <v>52</v>
      </c>
      <c r="T1896" t="s">
        <v>773</v>
      </c>
      <c r="U1896" s="1">
        <v>46074.972638888888</v>
      </c>
      <c r="V1896" t="s">
        <v>54</v>
      </c>
      <c r="W1896" t="s">
        <v>55</v>
      </c>
      <c r="X1896" t="s">
        <v>134</v>
      </c>
      <c r="Y1896" t="s">
        <v>1756</v>
      </c>
      <c r="Z1896" t="s">
        <v>5594</v>
      </c>
      <c r="AA1896" t="s">
        <v>54</v>
      </c>
      <c r="AB1896" t="s">
        <v>1757</v>
      </c>
      <c r="AC1896" t="s">
        <v>85</v>
      </c>
      <c r="AD1896" t="s">
        <v>52</v>
      </c>
      <c r="AE1896" t="s">
        <v>243</v>
      </c>
      <c r="AF1896" t="s">
        <v>244</v>
      </c>
      <c r="AG1896" t="s">
        <v>5594</v>
      </c>
      <c r="AK1896">
        <v>1</v>
      </c>
      <c r="AL1896" t="s">
        <v>61</v>
      </c>
      <c r="AM1896" t="s">
        <v>1757</v>
      </c>
      <c r="AN1896" t="s">
        <v>1758</v>
      </c>
    </row>
    <row r="1897" spans="1:40" x14ac:dyDescent="0.35">
      <c r="A1897" t="s">
        <v>37</v>
      </c>
      <c r="B1897" t="s">
        <v>7737</v>
      </c>
      <c r="C1897" t="s">
        <v>102</v>
      </c>
      <c r="D1897" t="s">
        <v>1537</v>
      </c>
      <c r="E1897" t="s">
        <v>1538</v>
      </c>
      <c r="F1897" s="1">
        <v>46073.321111111109</v>
      </c>
      <c r="G1897" t="s">
        <v>105</v>
      </c>
      <c r="H1897" t="s">
        <v>106</v>
      </c>
      <c r="I1897" t="s">
        <v>2905</v>
      </c>
      <c r="J1897" t="s">
        <v>108</v>
      </c>
      <c r="K1897" t="s">
        <v>571</v>
      </c>
      <c r="M1897" t="s">
        <v>47</v>
      </c>
      <c r="O1897" t="s">
        <v>77</v>
      </c>
      <c r="P1897" t="s">
        <v>78</v>
      </c>
      <c r="Q1897" t="s">
        <v>50</v>
      </c>
      <c r="R1897" t="s">
        <v>111</v>
      </c>
      <c r="S1897" t="s">
        <v>51</v>
      </c>
      <c r="T1897" t="s">
        <v>112</v>
      </c>
      <c r="U1897" s="1">
        <v>46073.397418981483</v>
      </c>
      <c r="V1897" t="s">
        <v>54</v>
      </c>
      <c r="W1897" t="s">
        <v>55</v>
      </c>
      <c r="X1897" t="s">
        <v>113</v>
      </c>
      <c r="Y1897" t="s">
        <v>7738</v>
      </c>
      <c r="Z1897" t="s">
        <v>5594</v>
      </c>
      <c r="AA1897" t="s">
        <v>54</v>
      </c>
      <c r="AB1897" t="s">
        <v>115</v>
      </c>
      <c r="AC1897" t="s">
        <v>85</v>
      </c>
      <c r="AD1897" t="s">
        <v>116</v>
      </c>
      <c r="AE1897" t="s">
        <v>574</v>
      </c>
      <c r="AF1897" t="s">
        <v>1377</v>
      </c>
      <c r="AG1897" t="s">
        <v>5594</v>
      </c>
      <c r="AH1897">
        <v>14840</v>
      </c>
      <c r="AK1897">
        <v>1</v>
      </c>
      <c r="AL1897" t="s">
        <v>61</v>
      </c>
      <c r="AM1897" t="s">
        <v>1542</v>
      </c>
      <c r="AN1897" t="s">
        <v>1543</v>
      </c>
    </row>
    <row r="1898" spans="1:40" x14ac:dyDescent="0.35">
      <c r="A1898" t="s">
        <v>37</v>
      </c>
      <c r="B1898" t="s">
        <v>7739</v>
      </c>
      <c r="C1898" t="s">
        <v>39</v>
      </c>
      <c r="D1898" t="s">
        <v>1481</v>
      </c>
      <c r="E1898" t="s">
        <v>1316</v>
      </c>
      <c r="F1898" s="1">
        <v>46073.320891203701</v>
      </c>
      <c r="G1898" t="s">
        <v>286</v>
      </c>
      <c r="H1898" t="s">
        <v>287</v>
      </c>
      <c r="I1898" t="s">
        <v>7740</v>
      </c>
      <c r="J1898" t="s">
        <v>1483</v>
      </c>
      <c r="K1898" t="s">
        <v>1484</v>
      </c>
      <c r="M1898" t="s">
        <v>47</v>
      </c>
      <c r="O1898" t="s">
        <v>77</v>
      </c>
      <c r="P1898" t="s">
        <v>78</v>
      </c>
      <c r="Q1898" t="s">
        <v>50</v>
      </c>
      <c r="R1898" t="s">
        <v>51</v>
      </c>
      <c r="S1898" t="s">
        <v>52</v>
      </c>
      <c r="T1898" t="s">
        <v>240</v>
      </c>
      <c r="U1898" s="1">
        <v>46073.551192129627</v>
      </c>
      <c r="V1898" t="s">
        <v>54</v>
      </c>
      <c r="W1898" t="s">
        <v>55</v>
      </c>
      <c r="X1898" t="s">
        <v>134</v>
      </c>
      <c r="Y1898" t="s">
        <v>1485</v>
      </c>
      <c r="Z1898" t="s">
        <v>5594</v>
      </c>
      <c r="AA1898" t="s">
        <v>54</v>
      </c>
      <c r="AB1898" t="s">
        <v>1486</v>
      </c>
      <c r="AC1898" t="s">
        <v>85</v>
      </c>
      <c r="AD1898" t="s">
        <v>52</v>
      </c>
      <c r="AE1898" t="s">
        <v>243</v>
      </c>
      <c r="AF1898" t="s">
        <v>409</v>
      </c>
      <c r="AG1898" t="s">
        <v>5594</v>
      </c>
      <c r="AK1898">
        <v>1</v>
      </c>
      <c r="AL1898" t="s">
        <v>61</v>
      </c>
      <c r="AM1898" t="s">
        <v>1487</v>
      </c>
      <c r="AN1898" t="s">
        <v>1488</v>
      </c>
    </row>
    <row r="1899" spans="1:40" x14ac:dyDescent="0.35">
      <c r="A1899" t="s">
        <v>37</v>
      </c>
      <c r="B1899" t="s">
        <v>7741</v>
      </c>
      <c r="C1899" t="s">
        <v>39</v>
      </c>
      <c r="D1899" t="s">
        <v>7742</v>
      </c>
      <c r="E1899" t="s">
        <v>770</v>
      </c>
      <c r="F1899" s="1">
        <v>46073.319814814815</v>
      </c>
      <c r="G1899" t="s">
        <v>3396</v>
      </c>
      <c r="H1899" t="s">
        <v>106</v>
      </c>
      <c r="I1899" t="s">
        <v>7743</v>
      </c>
      <c r="J1899" t="s">
        <v>3257</v>
      </c>
      <c r="K1899" t="s">
        <v>1834</v>
      </c>
      <c r="M1899" t="s">
        <v>47</v>
      </c>
      <c r="O1899" t="s">
        <v>77</v>
      </c>
      <c r="P1899" t="s">
        <v>78</v>
      </c>
      <c r="Q1899" t="s">
        <v>50</v>
      </c>
      <c r="R1899" t="s">
        <v>51</v>
      </c>
      <c r="S1899" t="s">
        <v>52</v>
      </c>
      <c r="T1899" t="s">
        <v>240</v>
      </c>
      <c r="U1899" s="1">
        <v>46073.530729166669</v>
      </c>
      <c r="V1899" t="s">
        <v>54</v>
      </c>
      <c r="W1899" t="s">
        <v>55</v>
      </c>
      <c r="X1899" t="s">
        <v>134</v>
      </c>
      <c r="Y1899" t="s">
        <v>3258</v>
      </c>
      <c r="Z1899" t="s">
        <v>5594</v>
      </c>
      <c r="AA1899" t="s">
        <v>54</v>
      </c>
      <c r="AB1899" t="s">
        <v>3259</v>
      </c>
      <c r="AC1899" t="s">
        <v>85</v>
      </c>
      <c r="AD1899" t="s">
        <v>52</v>
      </c>
      <c r="AE1899" t="s">
        <v>243</v>
      </c>
      <c r="AF1899" t="s">
        <v>1470</v>
      </c>
      <c r="AG1899" t="s">
        <v>5594</v>
      </c>
      <c r="AH1899">
        <v>13307</v>
      </c>
      <c r="AK1899">
        <v>0</v>
      </c>
      <c r="AL1899" t="s">
        <v>61</v>
      </c>
      <c r="AM1899" t="s">
        <v>7744</v>
      </c>
      <c r="AN1899" t="s">
        <v>7745</v>
      </c>
    </row>
    <row r="1900" spans="1:40" x14ac:dyDescent="0.35">
      <c r="A1900" t="s">
        <v>37</v>
      </c>
      <c r="B1900" t="s">
        <v>7746</v>
      </c>
      <c r="C1900" t="s">
        <v>102</v>
      </c>
      <c r="D1900" t="s">
        <v>1537</v>
      </c>
      <c r="E1900" t="s">
        <v>1538</v>
      </c>
      <c r="F1900" s="1">
        <v>46073.320208333331</v>
      </c>
      <c r="G1900" t="s">
        <v>105</v>
      </c>
      <c r="H1900" t="s">
        <v>106</v>
      </c>
      <c r="I1900" t="s">
        <v>7747</v>
      </c>
      <c r="J1900" t="s">
        <v>108</v>
      </c>
      <c r="K1900" t="s">
        <v>571</v>
      </c>
      <c r="M1900" t="s">
        <v>47</v>
      </c>
      <c r="O1900" t="s">
        <v>77</v>
      </c>
      <c r="P1900" t="s">
        <v>78</v>
      </c>
      <c r="Q1900" t="s">
        <v>50</v>
      </c>
      <c r="R1900" t="s">
        <v>111</v>
      </c>
      <c r="S1900" t="s">
        <v>51</v>
      </c>
      <c r="T1900" t="s">
        <v>112</v>
      </c>
      <c r="U1900" s="1">
        <v>46074.08761574074</v>
      </c>
      <c r="V1900" t="s">
        <v>54</v>
      </c>
      <c r="W1900" t="s">
        <v>55</v>
      </c>
      <c r="X1900" t="s">
        <v>113</v>
      </c>
      <c r="Y1900" t="s">
        <v>7748</v>
      </c>
      <c r="Z1900" t="s">
        <v>5594</v>
      </c>
      <c r="AA1900" t="s">
        <v>54</v>
      </c>
      <c r="AB1900" t="s">
        <v>115</v>
      </c>
      <c r="AC1900" t="s">
        <v>85</v>
      </c>
      <c r="AD1900" t="s">
        <v>116</v>
      </c>
      <c r="AE1900" t="s">
        <v>1541</v>
      </c>
      <c r="AF1900" t="s">
        <v>1569</v>
      </c>
      <c r="AG1900" t="s">
        <v>5594</v>
      </c>
      <c r="AH1900">
        <v>14840</v>
      </c>
      <c r="AK1900">
        <v>1</v>
      </c>
      <c r="AL1900" t="s">
        <v>61</v>
      </c>
      <c r="AM1900" t="s">
        <v>1542</v>
      </c>
      <c r="AN1900" t="s">
        <v>1543</v>
      </c>
    </row>
    <row r="1901" spans="1:40" x14ac:dyDescent="0.35">
      <c r="A1901" t="s">
        <v>37</v>
      </c>
      <c r="B1901" t="s">
        <v>7749</v>
      </c>
      <c r="C1901" t="s">
        <v>39</v>
      </c>
      <c r="D1901" t="s">
        <v>7750</v>
      </c>
      <c r="E1901" t="s">
        <v>7751</v>
      </c>
      <c r="F1901" s="1">
        <v>46073.31894675926</v>
      </c>
      <c r="G1901" t="s">
        <v>3396</v>
      </c>
      <c r="H1901" t="s">
        <v>106</v>
      </c>
      <c r="I1901" t="s">
        <v>7752</v>
      </c>
      <c r="J1901" t="s">
        <v>3257</v>
      </c>
      <c r="K1901" t="s">
        <v>1834</v>
      </c>
      <c r="M1901" t="s">
        <v>47</v>
      </c>
      <c r="O1901" t="s">
        <v>77</v>
      </c>
      <c r="P1901" t="s">
        <v>78</v>
      </c>
      <c r="Q1901" t="s">
        <v>2169</v>
      </c>
      <c r="R1901" t="s">
        <v>51</v>
      </c>
      <c r="S1901" t="s">
        <v>52</v>
      </c>
      <c r="T1901" t="s">
        <v>240</v>
      </c>
      <c r="U1901" s="1">
        <v>46073.530740740738</v>
      </c>
      <c r="V1901" t="s">
        <v>54</v>
      </c>
      <c r="W1901" t="s">
        <v>55</v>
      </c>
      <c r="X1901" t="s">
        <v>134</v>
      </c>
      <c r="Y1901" t="s">
        <v>3258</v>
      </c>
      <c r="Z1901" t="s">
        <v>5594</v>
      </c>
      <c r="AA1901" t="s">
        <v>54</v>
      </c>
      <c r="AB1901" t="s">
        <v>3259</v>
      </c>
      <c r="AC1901" t="s">
        <v>85</v>
      </c>
      <c r="AD1901" t="s">
        <v>52</v>
      </c>
      <c r="AE1901" t="s">
        <v>243</v>
      </c>
      <c r="AF1901" t="s">
        <v>1470</v>
      </c>
      <c r="AG1901" t="s">
        <v>5594</v>
      </c>
      <c r="AH1901">
        <v>10767</v>
      </c>
      <c r="AK1901">
        <v>0</v>
      </c>
      <c r="AL1901" t="s">
        <v>61</v>
      </c>
      <c r="AM1901" t="s">
        <v>7753</v>
      </c>
      <c r="AN1901" t="s">
        <v>7754</v>
      </c>
    </row>
    <row r="1902" spans="1:40" x14ac:dyDescent="0.35">
      <c r="A1902" t="s">
        <v>37</v>
      </c>
      <c r="B1902" t="s">
        <v>7755</v>
      </c>
      <c r="C1902" t="s">
        <v>102</v>
      </c>
      <c r="D1902" t="s">
        <v>1698</v>
      </c>
      <c r="E1902" t="s">
        <v>584</v>
      </c>
      <c r="F1902" s="1">
        <v>46073.305891203701</v>
      </c>
      <c r="G1902" t="s">
        <v>105</v>
      </c>
      <c r="H1902" t="s">
        <v>106</v>
      </c>
      <c r="I1902" t="s">
        <v>142</v>
      </c>
      <c r="J1902" t="s">
        <v>108</v>
      </c>
      <c r="K1902" t="s">
        <v>109</v>
      </c>
      <c r="M1902" t="s">
        <v>47</v>
      </c>
      <c r="O1902" t="s">
        <v>77</v>
      </c>
      <c r="P1902" t="s">
        <v>78</v>
      </c>
      <c r="Q1902" t="s">
        <v>50</v>
      </c>
      <c r="R1902" t="s">
        <v>111</v>
      </c>
      <c r="S1902" t="s">
        <v>51</v>
      </c>
      <c r="T1902" t="s">
        <v>112</v>
      </c>
      <c r="U1902" s="1">
        <v>46073.92869212963</v>
      </c>
      <c r="V1902" t="s">
        <v>54</v>
      </c>
      <c r="W1902" t="s">
        <v>1584</v>
      </c>
      <c r="X1902" t="s">
        <v>134</v>
      </c>
      <c r="Y1902" t="s">
        <v>7756</v>
      </c>
      <c r="Z1902" t="s">
        <v>5594</v>
      </c>
      <c r="AA1902" t="s">
        <v>54</v>
      </c>
      <c r="AB1902" t="s">
        <v>1701</v>
      </c>
      <c r="AC1902" t="s">
        <v>85</v>
      </c>
      <c r="AD1902" t="s">
        <v>116</v>
      </c>
      <c r="AE1902" t="s">
        <v>117</v>
      </c>
      <c r="AF1902" t="s">
        <v>144</v>
      </c>
      <c r="AG1902" t="s">
        <v>5594</v>
      </c>
      <c r="AK1902">
        <v>1</v>
      </c>
      <c r="AL1902" t="s">
        <v>61</v>
      </c>
      <c r="AM1902" t="s">
        <v>1701</v>
      </c>
      <c r="AN1902" t="s">
        <v>1702</v>
      </c>
    </row>
    <row r="1903" spans="1:40" x14ac:dyDescent="0.35">
      <c r="A1903" t="s">
        <v>37</v>
      </c>
      <c r="B1903" t="s">
        <v>7757</v>
      </c>
      <c r="C1903" t="s">
        <v>39</v>
      </c>
      <c r="D1903" t="s">
        <v>761</v>
      </c>
      <c r="E1903" t="s">
        <v>7758</v>
      </c>
      <c r="F1903" s="1">
        <v>46073.305625000001</v>
      </c>
      <c r="G1903" t="s">
        <v>771</v>
      </c>
      <c r="H1903" t="s">
        <v>92</v>
      </c>
      <c r="I1903" t="s">
        <v>3030</v>
      </c>
      <c r="J1903" t="s">
        <v>707</v>
      </c>
      <c r="K1903" t="s">
        <v>75</v>
      </c>
      <c r="M1903" t="s">
        <v>47</v>
      </c>
      <c r="O1903" t="s">
        <v>77</v>
      </c>
      <c r="P1903" t="s">
        <v>78</v>
      </c>
      <c r="Q1903" t="s">
        <v>50</v>
      </c>
      <c r="R1903" t="s">
        <v>79</v>
      </c>
      <c r="S1903" t="s">
        <v>1078</v>
      </c>
      <c r="T1903" t="s">
        <v>1078</v>
      </c>
      <c r="U1903" s="1">
        <v>46073.305914351855</v>
      </c>
      <c r="V1903" t="s">
        <v>54</v>
      </c>
      <c r="W1903" t="s">
        <v>55</v>
      </c>
      <c r="X1903" t="s">
        <v>82</v>
      </c>
      <c r="Y1903" t="s">
        <v>3031</v>
      </c>
      <c r="Z1903" t="s">
        <v>5594</v>
      </c>
      <c r="AA1903" t="s">
        <v>54</v>
      </c>
      <c r="AB1903" t="s">
        <v>709</v>
      </c>
      <c r="AC1903" t="s">
        <v>85</v>
      </c>
      <c r="AD1903" t="s">
        <v>79</v>
      </c>
      <c r="AE1903" t="s">
        <v>1078</v>
      </c>
      <c r="AF1903" t="s">
        <v>1078</v>
      </c>
      <c r="AG1903" t="s">
        <v>5594</v>
      </c>
      <c r="AH1903" t="s">
        <v>7759</v>
      </c>
      <c r="AK1903">
        <v>0</v>
      </c>
      <c r="AL1903" t="s">
        <v>61</v>
      </c>
      <c r="AM1903" t="s">
        <v>7760</v>
      </c>
      <c r="AN1903" t="s">
        <v>7761</v>
      </c>
    </row>
    <row r="1904" spans="1:40" x14ac:dyDescent="0.35">
      <c r="A1904" t="s">
        <v>37</v>
      </c>
      <c r="B1904" t="s">
        <v>7762</v>
      </c>
      <c r="C1904" t="s">
        <v>39</v>
      </c>
      <c r="D1904" t="s">
        <v>7763</v>
      </c>
      <c r="E1904" t="s">
        <v>7764</v>
      </c>
      <c r="F1904" s="1">
        <v>46073.29965277778</v>
      </c>
      <c r="G1904" t="s">
        <v>250</v>
      </c>
      <c r="H1904" t="s">
        <v>106</v>
      </c>
      <c r="I1904" t="s">
        <v>7765</v>
      </c>
      <c r="J1904" t="s">
        <v>707</v>
      </c>
      <c r="K1904" t="s">
        <v>75</v>
      </c>
      <c r="M1904" t="s">
        <v>47</v>
      </c>
      <c r="O1904" t="s">
        <v>77</v>
      </c>
      <c r="P1904" t="s">
        <v>78</v>
      </c>
      <c r="Q1904" t="s">
        <v>7766</v>
      </c>
      <c r="R1904" t="s">
        <v>79</v>
      </c>
      <c r="S1904" t="s">
        <v>1078</v>
      </c>
      <c r="T1904" t="s">
        <v>1078</v>
      </c>
      <c r="U1904" s="1">
        <v>46073.299791666665</v>
      </c>
      <c r="V1904" t="s">
        <v>54</v>
      </c>
      <c r="W1904" t="s">
        <v>55</v>
      </c>
      <c r="X1904" t="s">
        <v>82</v>
      </c>
      <c r="Y1904" t="s">
        <v>7765</v>
      </c>
      <c r="Z1904" t="s">
        <v>5594</v>
      </c>
      <c r="AA1904" t="s">
        <v>54</v>
      </c>
      <c r="AB1904" t="s">
        <v>709</v>
      </c>
      <c r="AC1904" t="s">
        <v>85</v>
      </c>
      <c r="AD1904" t="s">
        <v>79</v>
      </c>
      <c r="AE1904" t="s">
        <v>1078</v>
      </c>
      <c r="AF1904" t="s">
        <v>1078</v>
      </c>
      <c r="AG1904" t="s">
        <v>5594</v>
      </c>
      <c r="AH1904">
        <v>3610</v>
      </c>
      <c r="AK1904">
        <v>0</v>
      </c>
      <c r="AL1904" t="s">
        <v>61</v>
      </c>
      <c r="AM1904" t="s">
        <v>7767</v>
      </c>
      <c r="AN1904" t="s">
        <v>7768</v>
      </c>
    </row>
    <row r="1905" spans="1:40" x14ac:dyDescent="0.35">
      <c r="A1905" t="s">
        <v>37</v>
      </c>
      <c r="B1905" t="s">
        <v>7769</v>
      </c>
      <c r="C1905" t="s">
        <v>39</v>
      </c>
      <c r="D1905" t="s">
        <v>7770</v>
      </c>
      <c r="E1905" t="s">
        <v>7771</v>
      </c>
      <c r="F1905" s="1">
        <v>46073.298460648148</v>
      </c>
      <c r="G1905" t="s">
        <v>297</v>
      </c>
      <c r="H1905" t="s">
        <v>287</v>
      </c>
      <c r="I1905" t="s">
        <v>7772</v>
      </c>
      <c r="J1905" t="s">
        <v>707</v>
      </c>
      <c r="K1905" t="s">
        <v>75</v>
      </c>
      <c r="M1905" t="s">
        <v>47</v>
      </c>
      <c r="O1905" t="s">
        <v>77</v>
      </c>
      <c r="P1905" t="s">
        <v>78</v>
      </c>
      <c r="Q1905" t="s">
        <v>50</v>
      </c>
      <c r="R1905" t="s">
        <v>79</v>
      </c>
      <c r="S1905" t="s">
        <v>967</v>
      </c>
      <c r="T1905" t="s">
        <v>1072</v>
      </c>
      <c r="U1905" s="1">
        <v>46073.298807870371</v>
      </c>
      <c r="V1905" t="s">
        <v>54</v>
      </c>
      <c r="W1905" t="s">
        <v>55</v>
      </c>
      <c r="X1905" t="s">
        <v>82</v>
      </c>
      <c r="Y1905" t="s">
        <v>7773</v>
      </c>
      <c r="Z1905" t="s">
        <v>5594</v>
      </c>
      <c r="AA1905" t="s">
        <v>54</v>
      </c>
      <c r="AB1905" t="s">
        <v>709</v>
      </c>
      <c r="AC1905" t="s">
        <v>85</v>
      </c>
      <c r="AD1905" t="s">
        <v>79</v>
      </c>
      <c r="AE1905" t="s">
        <v>967</v>
      </c>
      <c r="AF1905" t="s">
        <v>1072</v>
      </c>
      <c r="AG1905" t="s">
        <v>5594</v>
      </c>
      <c r="AH1905">
        <v>15780</v>
      </c>
      <c r="AK1905">
        <v>0</v>
      </c>
      <c r="AL1905" t="s">
        <v>61</v>
      </c>
      <c r="AM1905" t="s">
        <v>7774</v>
      </c>
      <c r="AN1905" t="s">
        <v>7775</v>
      </c>
    </row>
    <row r="1906" spans="1:40" x14ac:dyDescent="0.35">
      <c r="A1906" t="s">
        <v>37</v>
      </c>
      <c r="B1906" t="s">
        <v>7776</v>
      </c>
      <c r="C1906" t="s">
        <v>102</v>
      </c>
      <c r="D1906" t="s">
        <v>1537</v>
      </c>
      <c r="E1906" t="s">
        <v>1538</v>
      </c>
      <c r="F1906" s="1">
        <v>46073.297719907408</v>
      </c>
      <c r="G1906" t="s">
        <v>105</v>
      </c>
      <c r="H1906" t="s">
        <v>106</v>
      </c>
      <c r="I1906" t="s">
        <v>5624</v>
      </c>
      <c r="J1906" t="s">
        <v>108</v>
      </c>
      <c r="K1906" t="s">
        <v>571</v>
      </c>
      <c r="M1906" t="s">
        <v>47</v>
      </c>
      <c r="O1906" t="s">
        <v>77</v>
      </c>
      <c r="P1906" t="s">
        <v>78</v>
      </c>
      <c r="Q1906" t="s">
        <v>50</v>
      </c>
      <c r="R1906" t="s">
        <v>111</v>
      </c>
      <c r="S1906" t="s">
        <v>51</v>
      </c>
      <c r="T1906" t="s">
        <v>112</v>
      </c>
      <c r="U1906" s="1">
        <v>46073.397094907406</v>
      </c>
      <c r="V1906" t="s">
        <v>54</v>
      </c>
      <c r="W1906" t="s">
        <v>55</v>
      </c>
      <c r="X1906" t="s">
        <v>113</v>
      </c>
      <c r="Y1906" t="s">
        <v>7777</v>
      </c>
      <c r="Z1906" t="s">
        <v>5594</v>
      </c>
      <c r="AA1906" t="s">
        <v>54</v>
      </c>
      <c r="AB1906" t="s">
        <v>115</v>
      </c>
      <c r="AC1906" t="s">
        <v>85</v>
      </c>
      <c r="AD1906" t="s">
        <v>116</v>
      </c>
      <c r="AE1906" t="s">
        <v>574</v>
      </c>
      <c r="AF1906" t="s">
        <v>1377</v>
      </c>
      <c r="AG1906" t="s">
        <v>5594</v>
      </c>
      <c r="AH1906">
        <v>14840</v>
      </c>
      <c r="AK1906">
        <v>1</v>
      </c>
      <c r="AL1906" t="s">
        <v>61</v>
      </c>
      <c r="AM1906" t="s">
        <v>1542</v>
      </c>
      <c r="AN1906" t="s">
        <v>1543</v>
      </c>
    </row>
    <row r="1907" spans="1:40" x14ac:dyDescent="0.35">
      <c r="A1907" t="s">
        <v>37</v>
      </c>
      <c r="B1907" t="s">
        <v>7778</v>
      </c>
      <c r="C1907" t="s">
        <v>102</v>
      </c>
      <c r="D1907" t="s">
        <v>1698</v>
      </c>
      <c r="E1907" t="s">
        <v>584</v>
      </c>
      <c r="F1907" s="1">
        <v>46073.293842592589</v>
      </c>
      <c r="G1907" t="s">
        <v>105</v>
      </c>
      <c r="H1907" t="s">
        <v>106</v>
      </c>
      <c r="I1907" t="s">
        <v>6525</v>
      </c>
      <c r="J1907" t="s">
        <v>108</v>
      </c>
      <c r="K1907" t="s">
        <v>109</v>
      </c>
      <c r="M1907" t="s">
        <v>47</v>
      </c>
      <c r="O1907" t="s">
        <v>77</v>
      </c>
      <c r="P1907" t="s">
        <v>78</v>
      </c>
      <c r="Q1907" t="s">
        <v>50</v>
      </c>
      <c r="R1907" t="s">
        <v>111</v>
      </c>
      <c r="S1907" t="s">
        <v>51</v>
      </c>
      <c r="T1907" t="s">
        <v>112</v>
      </c>
      <c r="U1907" s="1">
        <v>46073.338148148148</v>
      </c>
      <c r="V1907" t="s">
        <v>54</v>
      </c>
      <c r="W1907" t="s">
        <v>55</v>
      </c>
      <c r="X1907" t="s">
        <v>134</v>
      </c>
      <c r="Y1907" t="s">
        <v>7779</v>
      </c>
      <c r="Z1907" t="s">
        <v>5594</v>
      </c>
      <c r="AA1907" t="s">
        <v>54</v>
      </c>
      <c r="AB1907" t="s">
        <v>1701</v>
      </c>
      <c r="AC1907" t="s">
        <v>85</v>
      </c>
      <c r="AD1907" t="s">
        <v>116</v>
      </c>
      <c r="AE1907" t="s">
        <v>117</v>
      </c>
      <c r="AF1907" t="s">
        <v>1706</v>
      </c>
      <c r="AG1907" t="s">
        <v>5594</v>
      </c>
      <c r="AK1907">
        <v>1</v>
      </c>
      <c r="AL1907" t="s">
        <v>61</v>
      </c>
      <c r="AM1907" t="s">
        <v>1701</v>
      </c>
      <c r="AN1907" t="s">
        <v>1702</v>
      </c>
    </row>
    <row r="1908" spans="1:40" x14ac:dyDescent="0.35">
      <c r="A1908" t="s">
        <v>37</v>
      </c>
      <c r="B1908" t="s">
        <v>7780</v>
      </c>
      <c r="C1908" t="s">
        <v>102</v>
      </c>
      <c r="D1908" t="s">
        <v>1698</v>
      </c>
      <c r="E1908" t="s">
        <v>584</v>
      </c>
      <c r="F1908" s="1">
        <v>46073.285370370373</v>
      </c>
      <c r="G1908" t="s">
        <v>105</v>
      </c>
      <c r="H1908" t="s">
        <v>106</v>
      </c>
      <c r="I1908" t="s">
        <v>3192</v>
      </c>
      <c r="J1908" t="s">
        <v>108</v>
      </c>
      <c r="K1908" t="s">
        <v>341</v>
      </c>
      <c r="M1908" t="s">
        <v>47</v>
      </c>
      <c r="O1908" t="s">
        <v>77</v>
      </c>
      <c r="P1908" t="s">
        <v>78</v>
      </c>
      <c r="Q1908" t="s">
        <v>50</v>
      </c>
      <c r="R1908" t="s">
        <v>111</v>
      </c>
      <c r="S1908" t="s">
        <v>51</v>
      </c>
      <c r="T1908" t="s">
        <v>112</v>
      </c>
      <c r="U1908" s="1">
        <v>46073.581006944441</v>
      </c>
      <c r="V1908" t="s">
        <v>54</v>
      </c>
      <c r="X1908" t="s">
        <v>134</v>
      </c>
      <c r="Y1908" t="s">
        <v>7781</v>
      </c>
      <c r="Z1908" t="s">
        <v>5594</v>
      </c>
      <c r="AA1908" t="s">
        <v>54</v>
      </c>
      <c r="AB1908" t="s">
        <v>1701</v>
      </c>
      <c r="AC1908" t="s">
        <v>85</v>
      </c>
      <c r="AD1908" t="s">
        <v>116</v>
      </c>
      <c r="AE1908" t="s">
        <v>117</v>
      </c>
      <c r="AF1908" t="s">
        <v>5255</v>
      </c>
      <c r="AG1908" t="s">
        <v>5594</v>
      </c>
      <c r="AK1908">
        <v>1</v>
      </c>
      <c r="AL1908" t="s">
        <v>61</v>
      </c>
      <c r="AM1908" t="s">
        <v>1701</v>
      </c>
      <c r="AN1908" t="s">
        <v>1702</v>
      </c>
    </row>
    <row r="1909" spans="1:40" x14ac:dyDescent="0.35">
      <c r="A1909" t="s">
        <v>37</v>
      </c>
      <c r="B1909" t="s">
        <v>7782</v>
      </c>
      <c r="C1909" t="s">
        <v>102</v>
      </c>
      <c r="D1909" t="s">
        <v>1698</v>
      </c>
      <c r="E1909" t="s">
        <v>584</v>
      </c>
      <c r="F1909" s="1">
        <v>46073.279675925929</v>
      </c>
      <c r="G1909" t="s">
        <v>105</v>
      </c>
      <c r="H1909" t="s">
        <v>106</v>
      </c>
      <c r="I1909" t="s">
        <v>7783</v>
      </c>
      <c r="J1909" t="s">
        <v>108</v>
      </c>
      <c r="K1909" t="s">
        <v>109</v>
      </c>
      <c r="M1909" t="s">
        <v>47</v>
      </c>
      <c r="O1909" t="s">
        <v>77</v>
      </c>
      <c r="P1909" t="s">
        <v>78</v>
      </c>
      <c r="Q1909" t="s">
        <v>50</v>
      </c>
      <c r="R1909" t="s">
        <v>111</v>
      </c>
      <c r="S1909" t="s">
        <v>51</v>
      </c>
      <c r="T1909" t="s">
        <v>112</v>
      </c>
      <c r="U1909" s="1">
        <v>46073.351805555554</v>
      </c>
      <c r="V1909" t="s">
        <v>54</v>
      </c>
      <c r="W1909" t="s">
        <v>55</v>
      </c>
      <c r="X1909" t="s">
        <v>134</v>
      </c>
      <c r="Y1909" t="s">
        <v>7784</v>
      </c>
      <c r="Z1909" t="s">
        <v>5594</v>
      </c>
      <c r="AA1909" t="s">
        <v>54</v>
      </c>
      <c r="AB1909" t="s">
        <v>1701</v>
      </c>
      <c r="AC1909" t="s">
        <v>85</v>
      </c>
      <c r="AD1909" t="s">
        <v>116</v>
      </c>
      <c r="AE1909" t="s">
        <v>117</v>
      </c>
      <c r="AF1909" t="s">
        <v>118</v>
      </c>
      <c r="AG1909" t="s">
        <v>5594</v>
      </c>
      <c r="AK1909">
        <v>1</v>
      </c>
      <c r="AL1909" t="s">
        <v>61</v>
      </c>
      <c r="AM1909" t="s">
        <v>1701</v>
      </c>
      <c r="AN1909" t="s">
        <v>1702</v>
      </c>
    </row>
    <row r="1910" spans="1:40" x14ac:dyDescent="0.35">
      <c r="A1910" t="s">
        <v>37</v>
      </c>
      <c r="B1910" t="s">
        <v>7785</v>
      </c>
      <c r="C1910" t="s">
        <v>102</v>
      </c>
      <c r="D1910" t="s">
        <v>1537</v>
      </c>
      <c r="E1910" t="s">
        <v>1538</v>
      </c>
      <c r="F1910" s="1">
        <v>46073.277743055558</v>
      </c>
      <c r="G1910" t="s">
        <v>105</v>
      </c>
      <c r="H1910" t="s">
        <v>106</v>
      </c>
      <c r="I1910" t="s">
        <v>7389</v>
      </c>
      <c r="J1910" t="s">
        <v>108</v>
      </c>
      <c r="K1910" t="s">
        <v>109</v>
      </c>
      <c r="M1910" t="s">
        <v>47</v>
      </c>
      <c r="O1910" t="s">
        <v>77</v>
      </c>
      <c r="P1910" t="s">
        <v>78</v>
      </c>
      <c r="Q1910" t="s">
        <v>50</v>
      </c>
      <c r="R1910" t="s">
        <v>111</v>
      </c>
      <c r="S1910" t="s">
        <v>51</v>
      </c>
      <c r="T1910" t="s">
        <v>112</v>
      </c>
      <c r="U1910" s="1">
        <v>46073.933692129627</v>
      </c>
      <c r="V1910" t="s">
        <v>54</v>
      </c>
      <c r="W1910" t="s">
        <v>1584</v>
      </c>
      <c r="X1910" t="s">
        <v>82</v>
      </c>
      <c r="Y1910" t="s">
        <v>7786</v>
      </c>
      <c r="Z1910" t="s">
        <v>5594</v>
      </c>
      <c r="AA1910" t="s">
        <v>54</v>
      </c>
      <c r="AB1910" t="s">
        <v>115</v>
      </c>
      <c r="AC1910" t="s">
        <v>85</v>
      </c>
      <c r="AD1910" t="s">
        <v>116</v>
      </c>
      <c r="AE1910" t="s">
        <v>117</v>
      </c>
      <c r="AF1910" t="s">
        <v>6352</v>
      </c>
      <c r="AG1910" t="s">
        <v>5594</v>
      </c>
      <c r="AH1910">
        <v>14840</v>
      </c>
      <c r="AK1910">
        <v>1</v>
      </c>
      <c r="AL1910" t="s">
        <v>61</v>
      </c>
      <c r="AM1910" t="s">
        <v>1542</v>
      </c>
      <c r="AN1910" t="s">
        <v>1543</v>
      </c>
    </row>
    <row r="1911" spans="1:40" x14ac:dyDescent="0.35">
      <c r="A1911" t="s">
        <v>37</v>
      </c>
      <c r="B1911" t="s">
        <v>7787</v>
      </c>
      <c r="C1911" t="s">
        <v>39</v>
      </c>
      <c r="D1911" t="s">
        <v>761</v>
      </c>
      <c r="E1911" t="s">
        <v>7758</v>
      </c>
      <c r="F1911" s="1">
        <v>46073.277939814812</v>
      </c>
      <c r="G1911" t="s">
        <v>771</v>
      </c>
      <c r="H1911" t="s">
        <v>92</v>
      </c>
      <c r="I1911" t="s">
        <v>3030</v>
      </c>
      <c r="J1911" t="s">
        <v>707</v>
      </c>
      <c r="K1911" t="s">
        <v>75</v>
      </c>
      <c r="M1911" t="s">
        <v>47</v>
      </c>
      <c r="O1911" t="s">
        <v>77</v>
      </c>
      <c r="P1911" t="s">
        <v>78</v>
      </c>
      <c r="Q1911" t="s">
        <v>50</v>
      </c>
      <c r="R1911" t="s">
        <v>79</v>
      </c>
      <c r="S1911" t="s">
        <v>1078</v>
      </c>
      <c r="T1911" t="s">
        <v>1078</v>
      </c>
      <c r="U1911" s="1">
        <v>46073.278090277781</v>
      </c>
      <c r="V1911" t="s">
        <v>54</v>
      </c>
      <c r="W1911" t="s">
        <v>55</v>
      </c>
      <c r="X1911" t="s">
        <v>82</v>
      </c>
      <c r="Y1911" t="s">
        <v>3031</v>
      </c>
      <c r="Z1911" t="s">
        <v>5594</v>
      </c>
      <c r="AA1911" t="s">
        <v>54</v>
      </c>
      <c r="AB1911" t="s">
        <v>709</v>
      </c>
      <c r="AC1911" t="s">
        <v>85</v>
      </c>
      <c r="AD1911" t="s">
        <v>79</v>
      </c>
      <c r="AE1911" t="s">
        <v>1078</v>
      </c>
      <c r="AF1911" t="s">
        <v>1078</v>
      </c>
      <c r="AG1911" t="s">
        <v>5594</v>
      </c>
      <c r="AH1911" t="s">
        <v>7759</v>
      </c>
      <c r="AK1911">
        <v>0</v>
      </c>
      <c r="AL1911" t="s">
        <v>61</v>
      </c>
      <c r="AM1911" t="s">
        <v>7760</v>
      </c>
      <c r="AN1911" t="s">
        <v>7761</v>
      </c>
    </row>
    <row r="1912" spans="1:40" x14ac:dyDescent="0.35">
      <c r="A1912" t="s">
        <v>37</v>
      </c>
      <c r="B1912" t="s">
        <v>7788</v>
      </c>
      <c r="C1912" t="s">
        <v>39</v>
      </c>
      <c r="D1912" t="s">
        <v>40</v>
      </c>
      <c r="E1912" t="s">
        <v>41</v>
      </c>
      <c r="F1912" s="1">
        <v>46073.26666666667</v>
      </c>
      <c r="G1912" t="s">
        <v>42</v>
      </c>
      <c r="H1912" t="s">
        <v>43</v>
      </c>
      <c r="I1912" t="s">
        <v>7789</v>
      </c>
      <c r="J1912" t="s">
        <v>45</v>
      </c>
      <c r="K1912" t="s">
        <v>46</v>
      </c>
      <c r="M1912" t="s">
        <v>47</v>
      </c>
      <c r="O1912" t="s">
        <v>48</v>
      </c>
      <c r="P1912" t="s">
        <v>49</v>
      </c>
      <c r="Q1912" t="s">
        <v>50</v>
      </c>
      <c r="R1912" t="s">
        <v>51</v>
      </c>
      <c r="S1912" t="s">
        <v>52</v>
      </c>
      <c r="T1912" t="s">
        <v>53</v>
      </c>
      <c r="U1912" s="1">
        <v>46073.26835648148</v>
      </c>
      <c r="V1912" t="s">
        <v>54</v>
      </c>
      <c r="W1912" t="s">
        <v>55</v>
      </c>
      <c r="X1912" t="s">
        <v>56</v>
      </c>
      <c r="Y1912" t="s">
        <v>57</v>
      </c>
      <c r="Z1912" t="s">
        <v>5594</v>
      </c>
      <c r="AA1912" t="s">
        <v>54</v>
      </c>
      <c r="AB1912" t="s">
        <v>59</v>
      </c>
      <c r="AC1912" t="s">
        <v>60</v>
      </c>
      <c r="AD1912" t="s">
        <v>51</v>
      </c>
      <c r="AE1912" t="s">
        <v>52</v>
      </c>
      <c r="AF1912" t="s">
        <v>53</v>
      </c>
      <c r="AG1912" t="s">
        <v>5594</v>
      </c>
      <c r="AK1912">
        <v>0</v>
      </c>
      <c r="AL1912" t="s">
        <v>61</v>
      </c>
      <c r="AM1912" t="s">
        <v>59</v>
      </c>
      <c r="AN1912" t="s">
        <v>62</v>
      </c>
    </row>
    <row r="1913" spans="1:40" x14ac:dyDescent="0.35">
      <c r="A1913" t="s">
        <v>37</v>
      </c>
      <c r="B1913" t="s">
        <v>7790</v>
      </c>
      <c r="C1913" t="s">
        <v>102</v>
      </c>
      <c r="D1913" t="s">
        <v>6212</v>
      </c>
      <c r="E1913" t="s">
        <v>6213</v>
      </c>
      <c r="F1913" s="1">
        <v>46073.273113425923</v>
      </c>
      <c r="G1913" t="s">
        <v>355</v>
      </c>
      <c r="H1913" t="s">
        <v>356</v>
      </c>
      <c r="I1913" t="s">
        <v>7791</v>
      </c>
      <c r="J1913" t="s">
        <v>2333</v>
      </c>
      <c r="K1913" t="s">
        <v>1187</v>
      </c>
      <c r="M1913" t="s">
        <v>47</v>
      </c>
      <c r="O1913" t="s">
        <v>1501</v>
      </c>
      <c r="P1913" t="s">
        <v>1502</v>
      </c>
      <c r="Q1913" t="s">
        <v>50</v>
      </c>
      <c r="R1913" t="s">
        <v>79</v>
      </c>
      <c r="S1913" t="s">
        <v>590</v>
      </c>
      <c r="T1913" t="s">
        <v>5987</v>
      </c>
      <c r="U1913" s="1">
        <v>46075.637141203704</v>
      </c>
      <c r="V1913" t="s">
        <v>54</v>
      </c>
      <c r="W1913" t="s">
        <v>55</v>
      </c>
      <c r="X1913" t="s">
        <v>134</v>
      </c>
      <c r="Y1913" t="s">
        <v>7792</v>
      </c>
      <c r="Z1913" t="s">
        <v>5594</v>
      </c>
      <c r="AA1913" t="s">
        <v>54</v>
      </c>
      <c r="AB1913" t="s">
        <v>709</v>
      </c>
      <c r="AC1913" t="s">
        <v>1504</v>
      </c>
      <c r="AD1913" t="s">
        <v>1189</v>
      </c>
      <c r="AE1913" t="s">
        <v>1190</v>
      </c>
      <c r="AF1913" t="s">
        <v>7793</v>
      </c>
      <c r="AG1913" t="s">
        <v>5594</v>
      </c>
      <c r="AH1913" t="s">
        <v>6217</v>
      </c>
      <c r="AK1913">
        <v>1</v>
      </c>
      <c r="AL1913" t="s">
        <v>61</v>
      </c>
      <c r="AM1913" t="s">
        <v>6218</v>
      </c>
      <c r="AN1913" t="s">
        <v>6219</v>
      </c>
    </row>
    <row r="1914" spans="1:40" x14ac:dyDescent="0.35">
      <c r="A1914" t="s">
        <v>37</v>
      </c>
      <c r="B1914" t="s">
        <v>7794</v>
      </c>
      <c r="C1914" t="s">
        <v>102</v>
      </c>
      <c r="D1914" t="s">
        <v>1537</v>
      </c>
      <c r="E1914" t="s">
        <v>1538</v>
      </c>
      <c r="F1914" s="1">
        <v>46073.256863425922</v>
      </c>
      <c r="G1914" t="s">
        <v>105</v>
      </c>
      <c r="H1914" t="s">
        <v>106</v>
      </c>
      <c r="I1914" t="s">
        <v>6973</v>
      </c>
      <c r="J1914" t="s">
        <v>108</v>
      </c>
      <c r="K1914" t="s">
        <v>341</v>
      </c>
      <c r="M1914" t="s">
        <v>47</v>
      </c>
      <c r="O1914" t="s">
        <v>77</v>
      </c>
      <c r="P1914" t="s">
        <v>78</v>
      </c>
      <c r="Q1914" t="s">
        <v>50</v>
      </c>
      <c r="R1914" t="s">
        <v>111</v>
      </c>
      <c r="S1914" t="s">
        <v>51</v>
      </c>
      <c r="T1914" t="s">
        <v>112</v>
      </c>
      <c r="U1914" s="1">
        <v>46073.624652777777</v>
      </c>
      <c r="V1914" t="s">
        <v>54</v>
      </c>
      <c r="X1914" t="s">
        <v>113</v>
      </c>
      <c r="Y1914" t="s">
        <v>6974</v>
      </c>
      <c r="Z1914" t="s">
        <v>5594</v>
      </c>
      <c r="AA1914" t="s">
        <v>54</v>
      </c>
      <c r="AB1914" t="s">
        <v>115</v>
      </c>
      <c r="AC1914" t="s">
        <v>85</v>
      </c>
      <c r="AD1914" t="s">
        <v>116</v>
      </c>
      <c r="AE1914" t="s">
        <v>334</v>
      </c>
      <c r="AF1914" t="s">
        <v>6316</v>
      </c>
      <c r="AG1914" t="s">
        <v>5594</v>
      </c>
      <c r="AH1914">
        <v>14840</v>
      </c>
      <c r="AK1914">
        <v>1</v>
      </c>
      <c r="AL1914" t="s">
        <v>61</v>
      </c>
      <c r="AM1914" t="s">
        <v>1542</v>
      </c>
      <c r="AN1914" t="s">
        <v>1543</v>
      </c>
    </row>
    <row r="1915" spans="1:40" x14ac:dyDescent="0.35">
      <c r="A1915" t="s">
        <v>37</v>
      </c>
      <c r="B1915" t="s">
        <v>7795</v>
      </c>
      <c r="C1915" t="s">
        <v>102</v>
      </c>
      <c r="D1915" t="s">
        <v>1698</v>
      </c>
      <c r="E1915" t="s">
        <v>584</v>
      </c>
      <c r="F1915" s="1">
        <v>46073.255972222221</v>
      </c>
      <c r="G1915" t="s">
        <v>105</v>
      </c>
      <c r="H1915" t="s">
        <v>106</v>
      </c>
      <c r="I1915" t="s">
        <v>5843</v>
      </c>
      <c r="J1915" t="s">
        <v>108</v>
      </c>
      <c r="K1915" t="s">
        <v>109</v>
      </c>
      <c r="M1915" t="s">
        <v>47</v>
      </c>
      <c r="O1915" t="s">
        <v>77</v>
      </c>
      <c r="P1915" t="s">
        <v>78</v>
      </c>
      <c r="Q1915" t="s">
        <v>50</v>
      </c>
      <c r="R1915" t="s">
        <v>111</v>
      </c>
      <c r="S1915" t="s">
        <v>51</v>
      </c>
      <c r="T1915" t="s">
        <v>112</v>
      </c>
      <c r="U1915" s="1">
        <v>46073.489374999997</v>
      </c>
      <c r="V1915" t="s">
        <v>54</v>
      </c>
      <c r="W1915" t="s">
        <v>55</v>
      </c>
      <c r="X1915" t="s">
        <v>134</v>
      </c>
      <c r="Y1915" t="s">
        <v>7796</v>
      </c>
      <c r="Z1915" t="s">
        <v>5594</v>
      </c>
      <c r="AA1915" t="s">
        <v>54</v>
      </c>
      <c r="AB1915" t="s">
        <v>1701</v>
      </c>
      <c r="AC1915" t="s">
        <v>85</v>
      </c>
      <c r="AD1915" t="s">
        <v>116</v>
      </c>
      <c r="AE1915" t="s">
        <v>117</v>
      </c>
      <c r="AF1915" t="s">
        <v>343</v>
      </c>
      <c r="AG1915" t="s">
        <v>5594</v>
      </c>
      <c r="AK1915">
        <v>1</v>
      </c>
      <c r="AL1915" t="s">
        <v>61</v>
      </c>
      <c r="AM1915" t="s">
        <v>1701</v>
      </c>
      <c r="AN1915" t="s">
        <v>1702</v>
      </c>
    </row>
    <row r="1916" spans="1:40" x14ac:dyDescent="0.35">
      <c r="A1916" t="s">
        <v>37</v>
      </c>
      <c r="B1916" t="s">
        <v>7797</v>
      </c>
      <c r="C1916" t="s">
        <v>39</v>
      </c>
      <c r="D1916" t="s">
        <v>40</v>
      </c>
      <c r="E1916" t="s">
        <v>41</v>
      </c>
      <c r="F1916" s="1">
        <v>46073.232071759259</v>
      </c>
      <c r="G1916" t="s">
        <v>42</v>
      </c>
      <c r="H1916" t="s">
        <v>43</v>
      </c>
      <c r="I1916" t="s">
        <v>7798</v>
      </c>
      <c r="J1916" t="s">
        <v>45</v>
      </c>
      <c r="K1916" t="s">
        <v>46</v>
      </c>
      <c r="M1916" t="s">
        <v>47</v>
      </c>
      <c r="O1916" t="s">
        <v>48</v>
      </c>
      <c r="P1916" t="s">
        <v>49</v>
      </c>
      <c r="Q1916" t="s">
        <v>50</v>
      </c>
      <c r="R1916" t="s">
        <v>51</v>
      </c>
      <c r="S1916" t="s">
        <v>52</v>
      </c>
      <c r="T1916" t="s">
        <v>53</v>
      </c>
      <c r="U1916" s="1">
        <v>46073.232731481483</v>
      </c>
      <c r="V1916" t="s">
        <v>54</v>
      </c>
      <c r="W1916" t="s">
        <v>55</v>
      </c>
      <c r="X1916" t="s">
        <v>56</v>
      </c>
      <c r="Y1916" t="s">
        <v>57</v>
      </c>
      <c r="Z1916" t="s">
        <v>5594</v>
      </c>
      <c r="AA1916" t="s">
        <v>54</v>
      </c>
      <c r="AB1916" t="s">
        <v>59</v>
      </c>
      <c r="AC1916" t="s">
        <v>60</v>
      </c>
      <c r="AD1916" t="s">
        <v>51</v>
      </c>
      <c r="AE1916" t="s">
        <v>52</v>
      </c>
      <c r="AF1916" t="s">
        <v>53</v>
      </c>
      <c r="AG1916" t="s">
        <v>5594</v>
      </c>
      <c r="AK1916">
        <v>0</v>
      </c>
      <c r="AL1916" t="s">
        <v>61</v>
      </c>
      <c r="AM1916" t="s">
        <v>59</v>
      </c>
      <c r="AN1916" t="s">
        <v>62</v>
      </c>
    </row>
    <row r="1917" spans="1:40" x14ac:dyDescent="0.35">
      <c r="A1917" t="s">
        <v>37</v>
      </c>
      <c r="B1917" t="s">
        <v>7799</v>
      </c>
      <c r="C1917" t="s">
        <v>102</v>
      </c>
      <c r="D1917" t="s">
        <v>1698</v>
      </c>
      <c r="E1917" t="s">
        <v>584</v>
      </c>
      <c r="F1917" s="1">
        <v>46073.229930555557</v>
      </c>
      <c r="G1917" t="s">
        <v>105</v>
      </c>
      <c r="H1917" t="s">
        <v>106</v>
      </c>
      <c r="I1917" t="s">
        <v>5125</v>
      </c>
      <c r="J1917" t="s">
        <v>108</v>
      </c>
      <c r="K1917" t="s">
        <v>109</v>
      </c>
      <c r="M1917" t="s">
        <v>47</v>
      </c>
      <c r="O1917" t="s">
        <v>77</v>
      </c>
      <c r="P1917" t="s">
        <v>78</v>
      </c>
      <c r="Q1917" t="s">
        <v>50</v>
      </c>
      <c r="R1917" t="s">
        <v>111</v>
      </c>
      <c r="S1917" t="s">
        <v>51</v>
      </c>
      <c r="T1917" t="s">
        <v>112</v>
      </c>
      <c r="U1917" s="1">
        <v>46073.321921296294</v>
      </c>
      <c r="V1917" t="s">
        <v>54</v>
      </c>
      <c r="W1917" t="s">
        <v>55</v>
      </c>
      <c r="X1917" t="s">
        <v>134</v>
      </c>
      <c r="Y1917" t="s">
        <v>7800</v>
      </c>
      <c r="Z1917" t="s">
        <v>5594</v>
      </c>
      <c r="AA1917" t="s">
        <v>54</v>
      </c>
      <c r="AB1917" t="s">
        <v>1701</v>
      </c>
      <c r="AC1917" t="s">
        <v>85</v>
      </c>
      <c r="AD1917" t="s">
        <v>116</v>
      </c>
      <c r="AE1917" t="s">
        <v>117</v>
      </c>
      <c r="AF1917" t="s">
        <v>1874</v>
      </c>
      <c r="AG1917" t="s">
        <v>5594</v>
      </c>
      <c r="AK1917">
        <v>1</v>
      </c>
      <c r="AL1917" t="s">
        <v>61</v>
      </c>
      <c r="AM1917" t="s">
        <v>1701</v>
      </c>
      <c r="AN1917" t="s">
        <v>1702</v>
      </c>
    </row>
    <row r="1918" spans="1:40" x14ac:dyDescent="0.35">
      <c r="A1918" t="s">
        <v>37</v>
      </c>
      <c r="B1918" t="s">
        <v>7801</v>
      </c>
      <c r="C1918" t="s">
        <v>102</v>
      </c>
      <c r="D1918" t="s">
        <v>7802</v>
      </c>
      <c r="E1918" t="s">
        <v>7803</v>
      </c>
      <c r="F1918" s="1">
        <v>46073.22960648148</v>
      </c>
      <c r="G1918" t="s">
        <v>170</v>
      </c>
      <c r="H1918" t="s">
        <v>92</v>
      </c>
      <c r="I1918" t="s">
        <v>7804</v>
      </c>
      <c r="J1918" t="s">
        <v>7805</v>
      </c>
      <c r="K1918" t="s">
        <v>588</v>
      </c>
      <c r="M1918" t="s">
        <v>47</v>
      </c>
      <c r="O1918" t="s">
        <v>237</v>
      </c>
      <c r="P1918" t="s">
        <v>238</v>
      </c>
      <c r="Q1918" t="s">
        <v>50</v>
      </c>
      <c r="R1918" t="s">
        <v>1993</v>
      </c>
      <c r="S1918" t="s">
        <v>2606</v>
      </c>
      <c r="T1918" t="s">
        <v>7806</v>
      </c>
      <c r="U1918" s="1">
        <v>46073.626608796294</v>
      </c>
      <c r="V1918" t="s">
        <v>54</v>
      </c>
      <c r="W1918" t="s">
        <v>55</v>
      </c>
      <c r="X1918" t="s">
        <v>82</v>
      </c>
      <c r="Y1918" t="s">
        <v>7807</v>
      </c>
      <c r="Z1918" t="s">
        <v>5594</v>
      </c>
      <c r="AA1918" t="s">
        <v>54</v>
      </c>
      <c r="AB1918" t="s">
        <v>7808</v>
      </c>
      <c r="AC1918" t="s">
        <v>242</v>
      </c>
      <c r="AD1918" t="s">
        <v>51</v>
      </c>
      <c r="AE1918" t="s">
        <v>2563</v>
      </c>
      <c r="AF1918" t="s">
        <v>2563</v>
      </c>
      <c r="AG1918" t="s">
        <v>5594</v>
      </c>
      <c r="AH1918">
        <v>13279</v>
      </c>
      <c r="AK1918">
        <v>0</v>
      </c>
      <c r="AL1918" t="s">
        <v>61</v>
      </c>
      <c r="AM1918" t="s">
        <v>7809</v>
      </c>
      <c r="AN1918" t="s">
        <v>7810</v>
      </c>
    </row>
    <row r="1919" spans="1:40" x14ac:dyDescent="0.35">
      <c r="A1919" t="s">
        <v>37</v>
      </c>
      <c r="B1919" t="s">
        <v>7811</v>
      </c>
      <c r="C1919" t="s">
        <v>39</v>
      </c>
      <c r="D1919" t="s">
        <v>40</v>
      </c>
      <c r="E1919" t="s">
        <v>41</v>
      </c>
      <c r="F1919" s="1">
        <v>46073.22378472222</v>
      </c>
      <c r="G1919" t="s">
        <v>42</v>
      </c>
      <c r="H1919" t="s">
        <v>43</v>
      </c>
      <c r="I1919" t="s">
        <v>7812</v>
      </c>
      <c r="J1919" t="s">
        <v>45</v>
      </c>
      <c r="K1919" t="s">
        <v>46</v>
      </c>
      <c r="M1919" t="s">
        <v>47</v>
      </c>
      <c r="O1919" t="s">
        <v>48</v>
      </c>
      <c r="P1919" t="s">
        <v>49</v>
      </c>
      <c r="Q1919" t="s">
        <v>50</v>
      </c>
      <c r="R1919" t="s">
        <v>51</v>
      </c>
      <c r="S1919" t="s">
        <v>52</v>
      </c>
      <c r="T1919" t="s">
        <v>53</v>
      </c>
      <c r="U1919" s="1">
        <v>46073.224456018521</v>
      </c>
      <c r="V1919" t="s">
        <v>54</v>
      </c>
      <c r="W1919" t="s">
        <v>55</v>
      </c>
      <c r="X1919" t="s">
        <v>56</v>
      </c>
      <c r="Y1919" t="s">
        <v>57</v>
      </c>
      <c r="Z1919" t="s">
        <v>5594</v>
      </c>
      <c r="AA1919" t="s">
        <v>54</v>
      </c>
      <c r="AB1919" t="s">
        <v>59</v>
      </c>
      <c r="AC1919" t="s">
        <v>60</v>
      </c>
      <c r="AD1919" t="s">
        <v>51</v>
      </c>
      <c r="AE1919" t="s">
        <v>52</v>
      </c>
      <c r="AF1919" t="s">
        <v>53</v>
      </c>
      <c r="AG1919" t="s">
        <v>5594</v>
      </c>
      <c r="AK1919">
        <v>0</v>
      </c>
      <c r="AL1919" t="s">
        <v>61</v>
      </c>
      <c r="AM1919" t="s">
        <v>59</v>
      </c>
      <c r="AN1919" t="s">
        <v>62</v>
      </c>
    </row>
    <row r="1920" spans="1:40" x14ac:dyDescent="0.35">
      <c r="A1920" t="s">
        <v>37</v>
      </c>
      <c r="B1920" t="s">
        <v>7813</v>
      </c>
      <c r="C1920" t="s">
        <v>39</v>
      </c>
      <c r="D1920" t="s">
        <v>40</v>
      </c>
      <c r="E1920" t="s">
        <v>41</v>
      </c>
      <c r="F1920" s="1">
        <v>46073.223738425928</v>
      </c>
      <c r="G1920" t="s">
        <v>42</v>
      </c>
      <c r="H1920" t="s">
        <v>43</v>
      </c>
      <c r="I1920" t="s">
        <v>7814</v>
      </c>
      <c r="J1920" t="s">
        <v>45</v>
      </c>
      <c r="K1920" t="s">
        <v>46</v>
      </c>
      <c r="M1920" t="s">
        <v>47</v>
      </c>
      <c r="O1920" t="s">
        <v>48</v>
      </c>
      <c r="P1920" t="s">
        <v>49</v>
      </c>
      <c r="Q1920" t="s">
        <v>50</v>
      </c>
      <c r="R1920" t="s">
        <v>51</v>
      </c>
      <c r="S1920" t="s">
        <v>52</v>
      </c>
      <c r="T1920" t="s">
        <v>53</v>
      </c>
      <c r="U1920" s="1">
        <v>46073.224479166667</v>
      </c>
      <c r="V1920" t="s">
        <v>54</v>
      </c>
      <c r="W1920" t="s">
        <v>55</v>
      </c>
      <c r="X1920" t="s">
        <v>56</v>
      </c>
      <c r="Y1920" t="s">
        <v>57</v>
      </c>
      <c r="Z1920" t="s">
        <v>5594</v>
      </c>
      <c r="AA1920" t="s">
        <v>54</v>
      </c>
      <c r="AB1920" t="s">
        <v>59</v>
      </c>
      <c r="AC1920" t="s">
        <v>60</v>
      </c>
      <c r="AD1920" t="s">
        <v>51</v>
      </c>
      <c r="AE1920" t="s">
        <v>52</v>
      </c>
      <c r="AF1920" t="s">
        <v>53</v>
      </c>
      <c r="AG1920" t="s">
        <v>5594</v>
      </c>
      <c r="AK1920">
        <v>0</v>
      </c>
      <c r="AL1920" t="s">
        <v>61</v>
      </c>
      <c r="AM1920" t="s">
        <v>59</v>
      </c>
      <c r="AN1920" t="s">
        <v>62</v>
      </c>
    </row>
    <row r="1921" spans="1:40" x14ac:dyDescent="0.35">
      <c r="A1921" t="s">
        <v>37</v>
      </c>
      <c r="B1921" t="s">
        <v>7815</v>
      </c>
      <c r="C1921" t="s">
        <v>102</v>
      </c>
      <c r="D1921" t="s">
        <v>1698</v>
      </c>
      <c r="E1921" t="s">
        <v>584</v>
      </c>
      <c r="F1921" s="1">
        <v>46073.22079861111</v>
      </c>
      <c r="G1921" t="s">
        <v>105</v>
      </c>
      <c r="H1921" t="s">
        <v>106</v>
      </c>
      <c r="I1921" t="s">
        <v>7816</v>
      </c>
      <c r="J1921" t="s">
        <v>108</v>
      </c>
      <c r="K1921" t="s">
        <v>571</v>
      </c>
      <c r="M1921" t="s">
        <v>47</v>
      </c>
      <c r="O1921" t="s">
        <v>77</v>
      </c>
      <c r="P1921" t="s">
        <v>78</v>
      </c>
      <c r="Q1921" t="s">
        <v>50</v>
      </c>
      <c r="R1921" t="s">
        <v>111</v>
      </c>
      <c r="S1921" t="s">
        <v>51</v>
      </c>
      <c r="T1921" t="s">
        <v>112</v>
      </c>
      <c r="U1921" s="1">
        <v>46073.253958333335</v>
      </c>
      <c r="V1921" t="s">
        <v>54</v>
      </c>
      <c r="W1921" t="s">
        <v>55</v>
      </c>
      <c r="X1921" t="s">
        <v>134</v>
      </c>
      <c r="Y1921" t="s">
        <v>1680</v>
      </c>
      <c r="Z1921" t="s">
        <v>5594</v>
      </c>
      <c r="AA1921" t="s">
        <v>54</v>
      </c>
      <c r="AB1921" t="s">
        <v>1701</v>
      </c>
      <c r="AC1921" t="s">
        <v>85</v>
      </c>
      <c r="AD1921" t="s">
        <v>116</v>
      </c>
      <c r="AE1921" t="s">
        <v>574</v>
      </c>
      <c r="AF1921" t="s">
        <v>144</v>
      </c>
      <c r="AG1921" t="s">
        <v>5594</v>
      </c>
      <c r="AK1921">
        <v>1</v>
      </c>
      <c r="AL1921" t="s">
        <v>61</v>
      </c>
      <c r="AM1921" t="s">
        <v>1701</v>
      </c>
      <c r="AN1921" t="s">
        <v>1702</v>
      </c>
    </row>
    <row r="1922" spans="1:40" x14ac:dyDescent="0.35">
      <c r="A1922" t="s">
        <v>37</v>
      </c>
      <c r="B1922" t="s">
        <v>7817</v>
      </c>
      <c r="C1922" t="s">
        <v>39</v>
      </c>
      <c r="D1922" t="s">
        <v>3495</v>
      </c>
      <c r="E1922" t="s">
        <v>3496</v>
      </c>
      <c r="F1922" s="1">
        <v>46073.186319444445</v>
      </c>
      <c r="G1922" t="s">
        <v>355</v>
      </c>
      <c r="H1922" t="s">
        <v>356</v>
      </c>
      <c r="I1922" t="s">
        <v>7818</v>
      </c>
      <c r="J1922" t="s">
        <v>1626</v>
      </c>
      <c r="K1922" t="s">
        <v>1627</v>
      </c>
      <c r="M1922" t="s">
        <v>47</v>
      </c>
      <c r="O1922" t="s">
        <v>77</v>
      </c>
      <c r="P1922" t="s">
        <v>78</v>
      </c>
      <c r="Q1922" t="s">
        <v>50</v>
      </c>
      <c r="R1922" t="s">
        <v>79</v>
      </c>
      <c r="S1922" t="s">
        <v>952</v>
      </c>
      <c r="T1922" t="s">
        <v>1628</v>
      </c>
      <c r="U1922" s="1">
        <v>46073.546585648146</v>
      </c>
      <c r="V1922" t="s">
        <v>54</v>
      </c>
      <c r="W1922" t="s">
        <v>55</v>
      </c>
      <c r="X1922" t="s">
        <v>134</v>
      </c>
      <c r="Y1922" t="s">
        <v>7819</v>
      </c>
      <c r="Z1922" t="s">
        <v>5594</v>
      </c>
      <c r="AA1922" t="s">
        <v>54</v>
      </c>
      <c r="AB1922" t="s">
        <v>709</v>
      </c>
      <c r="AC1922" t="s">
        <v>85</v>
      </c>
      <c r="AD1922" t="s">
        <v>79</v>
      </c>
      <c r="AE1922" t="s">
        <v>952</v>
      </c>
      <c r="AF1922" t="s">
        <v>1630</v>
      </c>
      <c r="AG1922" t="s">
        <v>5594</v>
      </c>
      <c r="AH1922" t="s">
        <v>3499</v>
      </c>
      <c r="AK1922">
        <v>1</v>
      </c>
      <c r="AL1922" t="s">
        <v>61</v>
      </c>
      <c r="AM1922" t="s">
        <v>3500</v>
      </c>
      <c r="AN1922" t="s">
        <v>3501</v>
      </c>
    </row>
    <row r="1923" spans="1:40" x14ac:dyDescent="0.35">
      <c r="A1923" t="s">
        <v>37</v>
      </c>
      <c r="B1923" t="s">
        <v>7820</v>
      </c>
      <c r="C1923" t="s">
        <v>39</v>
      </c>
      <c r="D1923" t="s">
        <v>3495</v>
      </c>
      <c r="E1923" t="s">
        <v>3496</v>
      </c>
      <c r="F1923" s="1">
        <v>46073.186145833337</v>
      </c>
      <c r="G1923" t="s">
        <v>355</v>
      </c>
      <c r="H1923" t="s">
        <v>356</v>
      </c>
      <c r="I1923" t="s">
        <v>7818</v>
      </c>
      <c r="J1923" t="s">
        <v>1626</v>
      </c>
      <c r="K1923" t="s">
        <v>1627</v>
      </c>
      <c r="M1923" t="s">
        <v>47</v>
      </c>
      <c r="O1923" t="s">
        <v>77</v>
      </c>
      <c r="P1923" t="s">
        <v>78</v>
      </c>
      <c r="Q1923" t="s">
        <v>50</v>
      </c>
      <c r="R1923" t="s">
        <v>79</v>
      </c>
      <c r="S1923" t="s">
        <v>952</v>
      </c>
      <c r="T1923" t="s">
        <v>1628</v>
      </c>
      <c r="U1923" s="1">
        <v>46073.545949074076</v>
      </c>
      <c r="V1923" t="s">
        <v>54</v>
      </c>
      <c r="W1923" t="s">
        <v>55</v>
      </c>
      <c r="X1923" t="s">
        <v>134</v>
      </c>
      <c r="Y1923" t="s">
        <v>7821</v>
      </c>
      <c r="Z1923" t="s">
        <v>5594</v>
      </c>
      <c r="AA1923" t="s">
        <v>54</v>
      </c>
      <c r="AB1923" t="s">
        <v>709</v>
      </c>
      <c r="AC1923" t="s">
        <v>85</v>
      </c>
      <c r="AD1923" t="s">
        <v>79</v>
      </c>
      <c r="AE1923" t="s">
        <v>952</v>
      </c>
      <c r="AF1923" t="s">
        <v>1630</v>
      </c>
      <c r="AG1923" t="s">
        <v>5594</v>
      </c>
      <c r="AH1923" t="s">
        <v>3499</v>
      </c>
      <c r="AK1923">
        <v>1</v>
      </c>
      <c r="AL1923" t="s">
        <v>61</v>
      </c>
      <c r="AM1923" t="s">
        <v>3500</v>
      </c>
      <c r="AN1923" t="s">
        <v>3501</v>
      </c>
    </row>
    <row r="1924" spans="1:40" x14ac:dyDescent="0.35">
      <c r="A1924" t="s">
        <v>37</v>
      </c>
      <c r="B1924" t="s">
        <v>7822</v>
      </c>
      <c r="C1924" t="s">
        <v>39</v>
      </c>
      <c r="D1924" t="s">
        <v>3495</v>
      </c>
      <c r="E1924" t="s">
        <v>3496</v>
      </c>
      <c r="F1924" s="1">
        <v>46073.186006944445</v>
      </c>
      <c r="G1924" t="s">
        <v>355</v>
      </c>
      <c r="H1924" t="s">
        <v>356</v>
      </c>
      <c r="I1924" t="s">
        <v>7823</v>
      </c>
      <c r="J1924" t="s">
        <v>1626</v>
      </c>
      <c r="K1924" t="s">
        <v>1627</v>
      </c>
      <c r="M1924" t="s">
        <v>47</v>
      </c>
      <c r="O1924" t="s">
        <v>77</v>
      </c>
      <c r="P1924" t="s">
        <v>78</v>
      </c>
      <c r="Q1924" t="s">
        <v>50</v>
      </c>
      <c r="R1924" t="s">
        <v>79</v>
      </c>
      <c r="S1924" t="s">
        <v>952</v>
      </c>
      <c r="T1924" t="s">
        <v>1628</v>
      </c>
      <c r="U1924" s="1">
        <v>46073.502511574072</v>
      </c>
      <c r="V1924" t="s">
        <v>54</v>
      </c>
      <c r="W1924" t="s">
        <v>55</v>
      </c>
      <c r="X1924" t="s">
        <v>134</v>
      </c>
      <c r="Y1924" t="s">
        <v>7824</v>
      </c>
      <c r="Z1924" t="s">
        <v>5594</v>
      </c>
      <c r="AA1924" t="s">
        <v>54</v>
      </c>
      <c r="AB1924" t="s">
        <v>709</v>
      </c>
      <c r="AC1924" t="s">
        <v>85</v>
      </c>
      <c r="AD1924" t="s">
        <v>79</v>
      </c>
      <c r="AE1924" t="s">
        <v>952</v>
      </c>
      <c r="AF1924" t="s">
        <v>1630</v>
      </c>
      <c r="AG1924" t="s">
        <v>5594</v>
      </c>
      <c r="AH1924" t="s">
        <v>3499</v>
      </c>
      <c r="AK1924">
        <v>1</v>
      </c>
      <c r="AL1924" t="s">
        <v>61</v>
      </c>
      <c r="AM1924" t="s">
        <v>3500</v>
      </c>
      <c r="AN1924" t="s">
        <v>3501</v>
      </c>
    </row>
    <row r="1925" spans="1:40" x14ac:dyDescent="0.35">
      <c r="A1925" t="s">
        <v>37</v>
      </c>
      <c r="B1925" t="s">
        <v>7825</v>
      </c>
      <c r="C1925" t="s">
        <v>39</v>
      </c>
      <c r="D1925" t="s">
        <v>3495</v>
      </c>
      <c r="E1925" t="s">
        <v>3496</v>
      </c>
      <c r="F1925" s="1">
        <v>46073.185868055552</v>
      </c>
      <c r="G1925" t="s">
        <v>355</v>
      </c>
      <c r="H1925" t="s">
        <v>356</v>
      </c>
      <c r="I1925" t="s">
        <v>7823</v>
      </c>
      <c r="J1925" t="s">
        <v>1626</v>
      </c>
      <c r="K1925" t="s">
        <v>1627</v>
      </c>
      <c r="M1925" t="s">
        <v>47</v>
      </c>
      <c r="O1925" t="s">
        <v>77</v>
      </c>
      <c r="P1925" t="s">
        <v>78</v>
      </c>
      <c r="Q1925" t="s">
        <v>50</v>
      </c>
      <c r="R1925" t="s">
        <v>79</v>
      </c>
      <c r="S1925" t="s">
        <v>952</v>
      </c>
      <c r="T1925" t="s">
        <v>1628</v>
      </c>
      <c r="U1925" s="1">
        <v>46073.498506944445</v>
      </c>
      <c r="V1925" t="s">
        <v>54</v>
      </c>
      <c r="W1925" t="s">
        <v>55</v>
      </c>
      <c r="X1925" t="s">
        <v>134</v>
      </c>
      <c r="Y1925" t="s">
        <v>7826</v>
      </c>
      <c r="Z1925" t="s">
        <v>5594</v>
      </c>
      <c r="AA1925" t="s">
        <v>54</v>
      </c>
      <c r="AB1925" t="s">
        <v>709</v>
      </c>
      <c r="AC1925" t="s">
        <v>85</v>
      </c>
      <c r="AD1925" t="s">
        <v>79</v>
      </c>
      <c r="AE1925" t="s">
        <v>952</v>
      </c>
      <c r="AF1925" t="s">
        <v>1630</v>
      </c>
      <c r="AG1925" t="s">
        <v>5594</v>
      </c>
      <c r="AH1925" t="s">
        <v>3499</v>
      </c>
      <c r="AK1925">
        <v>1</v>
      </c>
      <c r="AL1925" t="s">
        <v>61</v>
      </c>
      <c r="AM1925" t="s">
        <v>3500</v>
      </c>
      <c r="AN1925" t="s">
        <v>3501</v>
      </c>
    </row>
    <row r="1926" spans="1:40" x14ac:dyDescent="0.35">
      <c r="A1926" t="s">
        <v>37</v>
      </c>
      <c r="B1926" t="s">
        <v>7827</v>
      </c>
      <c r="C1926" t="s">
        <v>39</v>
      </c>
      <c r="D1926" t="s">
        <v>3495</v>
      </c>
      <c r="E1926" t="s">
        <v>3496</v>
      </c>
      <c r="F1926" s="1">
        <v>46073.185717592591</v>
      </c>
      <c r="G1926" t="s">
        <v>355</v>
      </c>
      <c r="H1926" t="s">
        <v>356</v>
      </c>
      <c r="I1926" t="s">
        <v>7823</v>
      </c>
      <c r="J1926" t="s">
        <v>1626</v>
      </c>
      <c r="K1926" t="s">
        <v>1627</v>
      </c>
      <c r="M1926" t="s">
        <v>47</v>
      </c>
      <c r="O1926" t="s">
        <v>77</v>
      </c>
      <c r="P1926" t="s">
        <v>78</v>
      </c>
      <c r="Q1926" t="s">
        <v>50</v>
      </c>
      <c r="R1926" t="s">
        <v>79</v>
      </c>
      <c r="S1926" t="s">
        <v>952</v>
      </c>
      <c r="T1926" t="s">
        <v>1628</v>
      </c>
      <c r="U1926" s="1">
        <v>46073.497893518521</v>
      </c>
      <c r="V1926" t="s">
        <v>54</v>
      </c>
      <c r="W1926" t="s">
        <v>55</v>
      </c>
      <c r="X1926" t="s">
        <v>134</v>
      </c>
      <c r="Y1926" t="s">
        <v>7828</v>
      </c>
      <c r="Z1926" t="s">
        <v>5594</v>
      </c>
      <c r="AA1926" t="s">
        <v>54</v>
      </c>
      <c r="AB1926" t="s">
        <v>709</v>
      </c>
      <c r="AC1926" t="s">
        <v>85</v>
      </c>
      <c r="AD1926" t="s">
        <v>79</v>
      </c>
      <c r="AE1926" t="s">
        <v>952</v>
      </c>
      <c r="AF1926" t="s">
        <v>1630</v>
      </c>
      <c r="AG1926" t="s">
        <v>5594</v>
      </c>
      <c r="AH1926" t="s">
        <v>3499</v>
      </c>
      <c r="AK1926">
        <v>1</v>
      </c>
      <c r="AL1926" t="s">
        <v>61</v>
      </c>
      <c r="AM1926" t="s">
        <v>3500</v>
      </c>
      <c r="AN1926" t="s">
        <v>3501</v>
      </c>
    </row>
    <row r="1927" spans="1:40" x14ac:dyDescent="0.35">
      <c r="A1927" t="s">
        <v>37</v>
      </c>
      <c r="B1927" t="s">
        <v>7829</v>
      </c>
      <c r="C1927" t="s">
        <v>39</v>
      </c>
      <c r="D1927" t="s">
        <v>40</v>
      </c>
      <c r="E1927" t="s">
        <v>41</v>
      </c>
      <c r="F1927" s="1">
        <v>46073.182118055556</v>
      </c>
      <c r="G1927" t="s">
        <v>42</v>
      </c>
      <c r="H1927" t="s">
        <v>43</v>
      </c>
      <c r="I1927" t="s">
        <v>7830</v>
      </c>
      <c r="J1927" t="s">
        <v>45</v>
      </c>
      <c r="K1927" t="s">
        <v>46</v>
      </c>
      <c r="M1927" t="s">
        <v>47</v>
      </c>
      <c r="O1927" t="s">
        <v>48</v>
      </c>
      <c r="P1927" t="s">
        <v>49</v>
      </c>
      <c r="Q1927" t="s">
        <v>50</v>
      </c>
      <c r="R1927" t="s">
        <v>51</v>
      </c>
      <c r="S1927" t="s">
        <v>52</v>
      </c>
      <c r="T1927" t="s">
        <v>53</v>
      </c>
      <c r="U1927" s="1">
        <v>46073.182708333334</v>
      </c>
      <c r="V1927" t="s">
        <v>54</v>
      </c>
      <c r="W1927" t="s">
        <v>55</v>
      </c>
      <c r="X1927" t="s">
        <v>56</v>
      </c>
      <c r="Y1927" t="s">
        <v>57</v>
      </c>
      <c r="Z1927" t="s">
        <v>5594</v>
      </c>
      <c r="AA1927" t="s">
        <v>54</v>
      </c>
      <c r="AB1927" t="s">
        <v>59</v>
      </c>
      <c r="AC1927" t="s">
        <v>60</v>
      </c>
      <c r="AD1927" t="s">
        <v>51</v>
      </c>
      <c r="AE1927" t="s">
        <v>52</v>
      </c>
      <c r="AF1927" t="s">
        <v>53</v>
      </c>
      <c r="AG1927" t="s">
        <v>5594</v>
      </c>
      <c r="AK1927">
        <v>0</v>
      </c>
      <c r="AL1927" t="s">
        <v>61</v>
      </c>
      <c r="AM1927" t="s">
        <v>59</v>
      </c>
      <c r="AN1927" t="s">
        <v>62</v>
      </c>
    </row>
    <row r="1928" spans="1:40" x14ac:dyDescent="0.35">
      <c r="A1928" t="s">
        <v>37</v>
      </c>
      <c r="B1928" t="s">
        <v>7831</v>
      </c>
      <c r="C1928" t="s">
        <v>39</v>
      </c>
      <c r="D1928" t="s">
        <v>40</v>
      </c>
      <c r="E1928" t="s">
        <v>41</v>
      </c>
      <c r="F1928" s="1">
        <v>46073.182060185187</v>
      </c>
      <c r="G1928" t="s">
        <v>42</v>
      </c>
      <c r="H1928" t="s">
        <v>43</v>
      </c>
      <c r="I1928" t="s">
        <v>7832</v>
      </c>
      <c r="J1928" t="s">
        <v>45</v>
      </c>
      <c r="K1928" t="s">
        <v>46</v>
      </c>
      <c r="M1928" t="s">
        <v>47</v>
      </c>
      <c r="O1928" t="s">
        <v>48</v>
      </c>
      <c r="P1928" t="s">
        <v>49</v>
      </c>
      <c r="Q1928" t="s">
        <v>50</v>
      </c>
      <c r="R1928" t="s">
        <v>51</v>
      </c>
      <c r="S1928" t="s">
        <v>52</v>
      </c>
      <c r="T1928" t="s">
        <v>53</v>
      </c>
      <c r="U1928" s="1">
        <v>46073.182719907411</v>
      </c>
      <c r="V1928" t="s">
        <v>54</v>
      </c>
      <c r="W1928" t="s">
        <v>55</v>
      </c>
      <c r="X1928" t="s">
        <v>56</v>
      </c>
      <c r="Y1928" t="s">
        <v>57</v>
      </c>
      <c r="Z1928" t="s">
        <v>5594</v>
      </c>
      <c r="AA1928" t="s">
        <v>54</v>
      </c>
      <c r="AB1928" t="s">
        <v>59</v>
      </c>
      <c r="AC1928" t="s">
        <v>60</v>
      </c>
      <c r="AD1928" t="s">
        <v>51</v>
      </c>
      <c r="AE1928" t="s">
        <v>52</v>
      </c>
      <c r="AF1928" t="s">
        <v>53</v>
      </c>
      <c r="AG1928" t="s">
        <v>5594</v>
      </c>
      <c r="AK1928">
        <v>0</v>
      </c>
      <c r="AL1928" t="s">
        <v>61</v>
      </c>
      <c r="AM1928" t="s">
        <v>59</v>
      </c>
      <c r="AN1928" t="s">
        <v>62</v>
      </c>
    </row>
    <row r="1929" spans="1:40" x14ac:dyDescent="0.35">
      <c r="A1929" t="s">
        <v>37</v>
      </c>
      <c r="B1929" t="s">
        <v>7833</v>
      </c>
      <c r="C1929" t="s">
        <v>39</v>
      </c>
      <c r="D1929" t="s">
        <v>1646</v>
      </c>
      <c r="E1929" t="s">
        <v>1647</v>
      </c>
      <c r="F1929" s="1">
        <v>46073.180636574078</v>
      </c>
      <c r="G1929" t="s">
        <v>355</v>
      </c>
      <c r="H1929" t="s">
        <v>356</v>
      </c>
      <c r="I1929" t="s">
        <v>7834</v>
      </c>
      <c r="J1929" t="s">
        <v>1649</v>
      </c>
      <c r="K1929" t="s">
        <v>1650</v>
      </c>
      <c r="M1929" t="s">
        <v>47</v>
      </c>
      <c r="O1929" t="s">
        <v>77</v>
      </c>
      <c r="P1929" t="s">
        <v>78</v>
      </c>
      <c r="Q1929" t="s">
        <v>50</v>
      </c>
      <c r="R1929" t="s">
        <v>79</v>
      </c>
      <c r="S1929" t="s">
        <v>1556</v>
      </c>
      <c r="T1929" t="s">
        <v>1557</v>
      </c>
      <c r="U1929" s="1">
        <v>46073.396990740737</v>
      </c>
      <c r="V1929" t="s">
        <v>54</v>
      </c>
      <c r="W1929" t="s">
        <v>55</v>
      </c>
      <c r="X1929" t="s">
        <v>134</v>
      </c>
      <c r="Y1929" t="s">
        <v>7835</v>
      </c>
      <c r="Z1929" t="s">
        <v>5594</v>
      </c>
      <c r="AA1929" t="s">
        <v>54</v>
      </c>
      <c r="AB1929" t="s">
        <v>709</v>
      </c>
      <c r="AC1929" t="s">
        <v>85</v>
      </c>
      <c r="AD1929" t="s">
        <v>79</v>
      </c>
      <c r="AE1929" t="s">
        <v>1556</v>
      </c>
      <c r="AF1929" t="s">
        <v>1557</v>
      </c>
      <c r="AG1929" t="s">
        <v>5594</v>
      </c>
      <c r="AH1929" t="s">
        <v>1652</v>
      </c>
      <c r="AK1929">
        <v>1</v>
      </c>
      <c r="AL1929" t="s">
        <v>61</v>
      </c>
      <c r="AM1929" t="s">
        <v>1653</v>
      </c>
      <c r="AN1929" t="s">
        <v>1654</v>
      </c>
    </row>
    <row r="1930" spans="1:40" x14ac:dyDescent="0.35">
      <c r="A1930" t="s">
        <v>37</v>
      </c>
      <c r="B1930" t="s">
        <v>7836</v>
      </c>
      <c r="C1930" t="s">
        <v>39</v>
      </c>
      <c r="D1930" t="s">
        <v>583</v>
      </c>
      <c r="E1930" t="s">
        <v>584</v>
      </c>
      <c r="F1930" s="1">
        <v>46073.178344907406</v>
      </c>
      <c r="G1930" t="s">
        <v>585</v>
      </c>
      <c r="H1930" t="s">
        <v>356</v>
      </c>
      <c r="I1930" t="s">
        <v>7837</v>
      </c>
      <c r="J1930" t="s">
        <v>2333</v>
      </c>
      <c r="K1930" t="s">
        <v>1187</v>
      </c>
      <c r="M1930" t="s">
        <v>47</v>
      </c>
      <c r="O1930" t="s">
        <v>77</v>
      </c>
      <c r="P1930" t="s">
        <v>78</v>
      </c>
      <c r="Q1930" t="s">
        <v>50</v>
      </c>
      <c r="R1930" t="s">
        <v>79</v>
      </c>
      <c r="S1930" t="s">
        <v>975</v>
      </c>
      <c r="T1930" t="s">
        <v>7838</v>
      </c>
      <c r="U1930" s="1">
        <v>46075.667361111111</v>
      </c>
      <c r="V1930" t="s">
        <v>54</v>
      </c>
      <c r="W1930" t="s">
        <v>55</v>
      </c>
      <c r="X1930" t="s">
        <v>134</v>
      </c>
      <c r="Y1930" t="s">
        <v>7839</v>
      </c>
      <c r="Z1930" t="s">
        <v>5594</v>
      </c>
      <c r="AA1930" t="s">
        <v>54</v>
      </c>
      <c r="AB1930" t="s">
        <v>709</v>
      </c>
      <c r="AC1930" t="s">
        <v>85</v>
      </c>
      <c r="AD1930" t="s">
        <v>214</v>
      </c>
      <c r="AE1930" t="s">
        <v>6479</v>
      </c>
      <c r="AF1930" t="s">
        <v>7840</v>
      </c>
      <c r="AG1930" t="s">
        <v>5594</v>
      </c>
      <c r="AK1930">
        <v>1</v>
      </c>
      <c r="AL1930" t="s">
        <v>61</v>
      </c>
      <c r="AM1930" t="s">
        <v>593</v>
      </c>
      <c r="AN1930" t="s">
        <v>594</v>
      </c>
    </row>
    <row r="1931" spans="1:40" x14ac:dyDescent="0.35">
      <c r="A1931" t="s">
        <v>37</v>
      </c>
      <c r="B1931" t="s">
        <v>7841</v>
      </c>
      <c r="C1931" t="s">
        <v>39</v>
      </c>
      <c r="D1931" t="s">
        <v>583</v>
      </c>
      <c r="E1931" t="s">
        <v>584</v>
      </c>
      <c r="F1931" s="1">
        <v>46073.178495370368</v>
      </c>
      <c r="G1931" t="s">
        <v>585</v>
      </c>
      <c r="H1931" t="s">
        <v>356</v>
      </c>
      <c r="I1931" t="s">
        <v>7837</v>
      </c>
      <c r="J1931" t="s">
        <v>7842</v>
      </c>
      <c r="K1931" t="s">
        <v>2551</v>
      </c>
      <c r="M1931" t="s">
        <v>47</v>
      </c>
      <c r="O1931" t="s">
        <v>77</v>
      </c>
      <c r="P1931" t="s">
        <v>78</v>
      </c>
      <c r="Q1931" t="s">
        <v>50</v>
      </c>
      <c r="R1931" t="s">
        <v>208</v>
      </c>
      <c r="S1931" t="s">
        <v>209</v>
      </c>
      <c r="T1931" t="s">
        <v>2859</v>
      </c>
      <c r="U1931" s="1">
        <v>46073.332291666666</v>
      </c>
      <c r="V1931" t="s">
        <v>54</v>
      </c>
      <c r="W1931" t="s">
        <v>55</v>
      </c>
      <c r="X1931" t="s">
        <v>134</v>
      </c>
      <c r="Y1931" t="s">
        <v>7843</v>
      </c>
      <c r="Z1931" t="s">
        <v>5594</v>
      </c>
      <c r="AA1931" t="s">
        <v>54</v>
      </c>
      <c r="AB1931" t="s">
        <v>709</v>
      </c>
      <c r="AC1931" t="s">
        <v>85</v>
      </c>
      <c r="AD1931" t="s">
        <v>214</v>
      </c>
      <c r="AE1931" t="s">
        <v>2861</v>
      </c>
      <c r="AF1931" t="s">
        <v>3739</v>
      </c>
      <c r="AG1931" t="s">
        <v>5594</v>
      </c>
      <c r="AK1931">
        <v>1</v>
      </c>
      <c r="AL1931" t="s">
        <v>61</v>
      </c>
      <c r="AM1931" t="s">
        <v>593</v>
      </c>
      <c r="AN1931" t="s">
        <v>594</v>
      </c>
    </row>
    <row r="1932" spans="1:40" x14ac:dyDescent="0.35">
      <c r="A1932" t="s">
        <v>37</v>
      </c>
      <c r="B1932" t="s">
        <v>7844</v>
      </c>
      <c r="C1932" t="s">
        <v>656</v>
      </c>
      <c r="D1932" t="s">
        <v>7283</v>
      </c>
      <c r="E1932" t="s">
        <v>7284</v>
      </c>
      <c r="F1932" s="1">
        <v>46073.174479166664</v>
      </c>
      <c r="G1932" t="s">
        <v>355</v>
      </c>
      <c r="H1932" t="s">
        <v>356</v>
      </c>
      <c r="I1932" t="s">
        <v>7845</v>
      </c>
      <c r="J1932" t="s">
        <v>7846</v>
      </c>
      <c r="K1932" t="s">
        <v>7847</v>
      </c>
      <c r="M1932" t="s">
        <v>76</v>
      </c>
      <c r="O1932" t="s">
        <v>77</v>
      </c>
      <c r="P1932" t="s">
        <v>78</v>
      </c>
      <c r="Q1932" t="s">
        <v>7288</v>
      </c>
      <c r="R1932" t="s">
        <v>1321</v>
      </c>
      <c r="S1932" t="s">
        <v>7848</v>
      </c>
      <c r="T1932" t="s">
        <v>1323</v>
      </c>
      <c r="U1932" s="1">
        <v>46078.337060185186</v>
      </c>
      <c r="V1932" t="s">
        <v>54</v>
      </c>
      <c r="W1932" t="s">
        <v>55</v>
      </c>
      <c r="X1932" t="s">
        <v>134</v>
      </c>
      <c r="Y1932" t="s">
        <v>7849</v>
      </c>
      <c r="Z1932" t="s">
        <v>58</v>
      </c>
      <c r="AA1932" t="s">
        <v>54</v>
      </c>
      <c r="AB1932" t="s">
        <v>709</v>
      </c>
      <c r="AC1932" t="s">
        <v>85</v>
      </c>
      <c r="AD1932" t="s">
        <v>1321</v>
      </c>
      <c r="AE1932" t="s">
        <v>7850</v>
      </c>
      <c r="AF1932" t="s">
        <v>1323</v>
      </c>
      <c r="AG1932" t="s">
        <v>58</v>
      </c>
      <c r="AH1932" t="s">
        <v>7294</v>
      </c>
      <c r="AK1932">
        <v>1</v>
      </c>
      <c r="AL1932" t="s">
        <v>61</v>
      </c>
      <c r="AM1932" t="s">
        <v>7295</v>
      </c>
      <c r="AN1932" t="s">
        <v>7296</v>
      </c>
    </row>
    <row r="1933" spans="1:40" x14ac:dyDescent="0.35">
      <c r="A1933" t="s">
        <v>37</v>
      </c>
      <c r="B1933" t="s">
        <v>7851</v>
      </c>
      <c r="C1933" t="s">
        <v>102</v>
      </c>
      <c r="D1933" t="s">
        <v>7852</v>
      </c>
      <c r="E1933" t="s">
        <v>7853</v>
      </c>
      <c r="F1933" s="1">
        <v>46073.167303240742</v>
      </c>
      <c r="G1933" t="s">
        <v>7854</v>
      </c>
      <c r="H1933" t="s">
        <v>92</v>
      </c>
      <c r="I1933" t="s">
        <v>7855</v>
      </c>
      <c r="J1933" t="s">
        <v>7856</v>
      </c>
      <c r="K1933" t="s">
        <v>588</v>
      </c>
      <c r="M1933" t="s">
        <v>47</v>
      </c>
      <c r="O1933" t="s">
        <v>237</v>
      </c>
      <c r="P1933" t="s">
        <v>238</v>
      </c>
      <c r="Q1933" t="s">
        <v>50</v>
      </c>
      <c r="R1933" t="s">
        <v>1993</v>
      </c>
      <c r="S1933" t="s">
        <v>7857</v>
      </c>
      <c r="T1933" t="s">
        <v>7858</v>
      </c>
      <c r="U1933" s="1">
        <v>46073.168483796297</v>
      </c>
      <c r="V1933" t="s">
        <v>54</v>
      </c>
      <c r="W1933" t="s">
        <v>55</v>
      </c>
      <c r="X1933" t="s">
        <v>56</v>
      </c>
      <c r="Y1933" t="s">
        <v>7859</v>
      </c>
      <c r="Z1933" t="s">
        <v>5594</v>
      </c>
      <c r="AA1933" t="s">
        <v>54</v>
      </c>
      <c r="AB1933" t="s">
        <v>7808</v>
      </c>
      <c r="AC1933" t="s">
        <v>242</v>
      </c>
      <c r="AD1933" t="s">
        <v>1993</v>
      </c>
      <c r="AE1933" t="s">
        <v>7860</v>
      </c>
      <c r="AF1933" t="s">
        <v>7861</v>
      </c>
      <c r="AG1933" t="s">
        <v>5594</v>
      </c>
      <c r="AK1933">
        <v>0</v>
      </c>
      <c r="AL1933" t="s">
        <v>61</v>
      </c>
      <c r="AM1933" t="s">
        <v>7862</v>
      </c>
      <c r="AN1933" t="s">
        <v>7863</v>
      </c>
    </row>
    <row r="1934" spans="1:40" x14ac:dyDescent="0.35">
      <c r="A1934" t="s">
        <v>37</v>
      </c>
      <c r="B1934" t="s">
        <v>7864</v>
      </c>
      <c r="C1934" t="s">
        <v>39</v>
      </c>
      <c r="D1934" t="s">
        <v>7865</v>
      </c>
      <c r="E1934" t="s">
        <v>7866</v>
      </c>
      <c r="F1934" s="1">
        <v>46073.160300925927</v>
      </c>
      <c r="G1934" t="s">
        <v>250</v>
      </c>
      <c r="H1934" t="s">
        <v>106</v>
      </c>
      <c r="I1934" t="s">
        <v>7867</v>
      </c>
      <c r="J1934" t="s">
        <v>2550</v>
      </c>
      <c r="K1934" t="s">
        <v>2551</v>
      </c>
      <c r="M1934" t="s">
        <v>131</v>
      </c>
      <c r="O1934" t="s">
        <v>77</v>
      </c>
      <c r="P1934" t="s">
        <v>78</v>
      </c>
      <c r="R1934" t="s">
        <v>208</v>
      </c>
      <c r="S1934" t="s">
        <v>209</v>
      </c>
      <c r="T1934" t="s">
        <v>7868</v>
      </c>
      <c r="U1934" s="1">
        <v>46077.623900462961</v>
      </c>
      <c r="V1934" t="s">
        <v>54</v>
      </c>
      <c r="W1934" t="s">
        <v>55</v>
      </c>
      <c r="X1934" t="s">
        <v>134</v>
      </c>
      <c r="Y1934" t="s">
        <v>7869</v>
      </c>
      <c r="Z1934" t="s">
        <v>58</v>
      </c>
      <c r="AA1934" t="s">
        <v>54</v>
      </c>
      <c r="AB1934" t="s">
        <v>709</v>
      </c>
      <c r="AC1934" t="s">
        <v>85</v>
      </c>
      <c r="AD1934" t="s">
        <v>208</v>
      </c>
      <c r="AE1934" t="s">
        <v>209</v>
      </c>
      <c r="AF1934" t="s">
        <v>7868</v>
      </c>
      <c r="AG1934" t="s">
        <v>58</v>
      </c>
      <c r="AH1934">
        <v>14917</v>
      </c>
      <c r="AK1934">
        <v>2</v>
      </c>
      <c r="AL1934" t="s">
        <v>61</v>
      </c>
      <c r="AM1934" t="s">
        <v>7870</v>
      </c>
      <c r="AN1934" t="s">
        <v>7871</v>
      </c>
    </row>
    <row r="1935" spans="1:40" x14ac:dyDescent="0.35">
      <c r="A1935" t="s">
        <v>37</v>
      </c>
      <c r="B1935" t="s">
        <v>7872</v>
      </c>
      <c r="C1935" t="s">
        <v>39</v>
      </c>
      <c r="D1935" t="s">
        <v>469</v>
      </c>
      <c r="E1935" t="s">
        <v>2014</v>
      </c>
      <c r="F1935" s="1">
        <v>46073.150729166664</v>
      </c>
      <c r="G1935" t="s">
        <v>2015</v>
      </c>
      <c r="H1935" t="s">
        <v>447</v>
      </c>
      <c r="I1935" t="s">
        <v>7873</v>
      </c>
      <c r="J1935" t="s">
        <v>816</v>
      </c>
      <c r="K1935" t="s">
        <v>817</v>
      </c>
      <c r="M1935" t="s">
        <v>47</v>
      </c>
      <c r="O1935" t="s">
        <v>77</v>
      </c>
      <c r="P1935" t="s">
        <v>78</v>
      </c>
      <c r="Q1935" t="s">
        <v>456</v>
      </c>
      <c r="R1935" t="s">
        <v>51</v>
      </c>
      <c r="S1935" t="s">
        <v>819</v>
      </c>
      <c r="T1935" t="s">
        <v>817</v>
      </c>
      <c r="U1935" s="1">
        <v>46073.458611111113</v>
      </c>
      <c r="V1935" t="s">
        <v>54</v>
      </c>
      <c r="W1935" t="s">
        <v>55</v>
      </c>
      <c r="X1935" t="s">
        <v>134</v>
      </c>
      <c r="Y1935" t="s">
        <v>7874</v>
      </c>
      <c r="Z1935" t="s">
        <v>5594</v>
      </c>
      <c r="AA1935" t="s">
        <v>54</v>
      </c>
      <c r="AB1935" t="s">
        <v>709</v>
      </c>
      <c r="AC1935" t="s">
        <v>85</v>
      </c>
      <c r="AD1935" t="s">
        <v>51</v>
      </c>
      <c r="AE1935" t="s">
        <v>819</v>
      </c>
      <c r="AF1935" t="s">
        <v>817</v>
      </c>
      <c r="AG1935" t="s">
        <v>5594</v>
      </c>
      <c r="AH1935">
        <v>543</v>
      </c>
      <c r="AK1935">
        <v>1</v>
      </c>
      <c r="AL1935" t="s">
        <v>61</v>
      </c>
      <c r="AM1935" t="s">
        <v>2016</v>
      </c>
      <c r="AN1935" t="s">
        <v>2017</v>
      </c>
    </row>
    <row r="1936" spans="1:40" x14ac:dyDescent="0.35">
      <c r="A1936" t="s">
        <v>37</v>
      </c>
      <c r="B1936" t="s">
        <v>7875</v>
      </c>
      <c r="C1936" t="s">
        <v>39</v>
      </c>
      <c r="D1936" t="s">
        <v>4348</v>
      </c>
      <c r="E1936" t="s">
        <v>303</v>
      </c>
      <c r="F1936" s="1">
        <v>46073.146689814814</v>
      </c>
      <c r="G1936" t="s">
        <v>297</v>
      </c>
      <c r="H1936" t="s">
        <v>287</v>
      </c>
      <c r="I1936" t="s">
        <v>2152</v>
      </c>
      <c r="J1936" t="s">
        <v>707</v>
      </c>
      <c r="K1936" t="s">
        <v>75</v>
      </c>
      <c r="M1936" t="s">
        <v>47</v>
      </c>
      <c r="O1936" t="s">
        <v>77</v>
      </c>
      <c r="P1936" t="s">
        <v>78</v>
      </c>
      <c r="Q1936" t="s">
        <v>50</v>
      </c>
      <c r="R1936" t="s">
        <v>79</v>
      </c>
      <c r="S1936" t="s">
        <v>967</v>
      </c>
      <c r="T1936" t="s">
        <v>1072</v>
      </c>
      <c r="U1936" s="1">
        <v>46073.147037037037</v>
      </c>
      <c r="V1936" t="s">
        <v>54</v>
      </c>
      <c r="W1936" t="s">
        <v>55</v>
      </c>
      <c r="X1936" t="s">
        <v>82</v>
      </c>
      <c r="Y1936" t="s">
        <v>7876</v>
      </c>
      <c r="Z1936" t="s">
        <v>5594</v>
      </c>
      <c r="AA1936" t="s">
        <v>54</v>
      </c>
      <c r="AB1936" t="s">
        <v>709</v>
      </c>
      <c r="AC1936" t="s">
        <v>85</v>
      </c>
      <c r="AD1936" t="s">
        <v>79</v>
      </c>
      <c r="AE1936" t="s">
        <v>967</v>
      </c>
      <c r="AF1936" t="s">
        <v>1072</v>
      </c>
      <c r="AG1936" t="s">
        <v>5594</v>
      </c>
      <c r="AH1936">
        <v>13678</v>
      </c>
      <c r="AK1936">
        <v>0</v>
      </c>
      <c r="AL1936" t="s">
        <v>61</v>
      </c>
      <c r="AM1936" t="s">
        <v>4351</v>
      </c>
      <c r="AN1936" t="s">
        <v>4352</v>
      </c>
    </row>
    <row r="1937" spans="1:40" x14ac:dyDescent="0.35">
      <c r="A1937" t="s">
        <v>37</v>
      </c>
      <c r="B1937" t="s">
        <v>7877</v>
      </c>
      <c r="C1937" t="s">
        <v>39</v>
      </c>
      <c r="D1937" t="s">
        <v>230</v>
      </c>
      <c r="E1937" t="s">
        <v>7878</v>
      </c>
      <c r="F1937" s="1">
        <v>46073.136458333334</v>
      </c>
      <c r="G1937" t="s">
        <v>304</v>
      </c>
      <c r="H1937" t="s">
        <v>106</v>
      </c>
      <c r="I1937" t="s">
        <v>1408</v>
      </c>
      <c r="J1937" t="s">
        <v>707</v>
      </c>
      <c r="K1937" t="s">
        <v>75</v>
      </c>
      <c r="M1937" t="s">
        <v>47</v>
      </c>
      <c r="O1937" t="s">
        <v>77</v>
      </c>
      <c r="P1937" t="s">
        <v>78</v>
      </c>
      <c r="Q1937" t="s">
        <v>50</v>
      </c>
      <c r="R1937" t="s">
        <v>79</v>
      </c>
      <c r="S1937" t="s">
        <v>1078</v>
      </c>
      <c r="T1937" t="s">
        <v>1078</v>
      </c>
      <c r="U1937" s="1">
        <v>46073.136701388888</v>
      </c>
      <c r="V1937" t="s">
        <v>54</v>
      </c>
      <c r="W1937" t="s">
        <v>55</v>
      </c>
      <c r="X1937" t="s">
        <v>82</v>
      </c>
      <c r="Y1937" t="s">
        <v>1409</v>
      </c>
      <c r="Z1937" t="s">
        <v>5594</v>
      </c>
      <c r="AA1937" t="s">
        <v>54</v>
      </c>
      <c r="AB1937" t="s">
        <v>709</v>
      </c>
      <c r="AC1937" t="s">
        <v>85</v>
      </c>
      <c r="AD1937" t="s">
        <v>79</v>
      </c>
      <c r="AE1937" t="s">
        <v>1078</v>
      </c>
      <c r="AF1937" t="s">
        <v>1078</v>
      </c>
      <c r="AG1937" t="s">
        <v>5594</v>
      </c>
      <c r="AH1937">
        <v>15368</v>
      </c>
      <c r="AK1937">
        <v>0</v>
      </c>
      <c r="AL1937" t="s">
        <v>61</v>
      </c>
      <c r="AM1937" t="s">
        <v>7879</v>
      </c>
      <c r="AN1937" t="s">
        <v>7880</v>
      </c>
    </row>
    <row r="1938" spans="1:40" x14ac:dyDescent="0.35">
      <c r="A1938" t="s">
        <v>37</v>
      </c>
      <c r="B1938" t="s">
        <v>7881</v>
      </c>
      <c r="C1938" t="s">
        <v>102</v>
      </c>
      <c r="D1938" t="s">
        <v>103</v>
      </c>
      <c r="E1938" t="s">
        <v>104</v>
      </c>
      <c r="F1938" s="1">
        <v>46073.135706018518</v>
      </c>
      <c r="G1938" t="s">
        <v>105</v>
      </c>
      <c r="H1938" t="s">
        <v>106</v>
      </c>
      <c r="I1938" t="s">
        <v>7882</v>
      </c>
      <c r="J1938" t="s">
        <v>108</v>
      </c>
      <c r="K1938" t="s">
        <v>571</v>
      </c>
      <c r="M1938" t="s">
        <v>47</v>
      </c>
      <c r="O1938" t="s">
        <v>77</v>
      </c>
      <c r="P1938" t="s">
        <v>78</v>
      </c>
      <c r="Q1938" t="s">
        <v>110</v>
      </c>
      <c r="R1938" t="s">
        <v>111</v>
      </c>
      <c r="S1938" t="s">
        <v>51</v>
      </c>
      <c r="T1938" t="s">
        <v>112</v>
      </c>
      <c r="U1938" s="1">
        <v>46073.182314814818</v>
      </c>
      <c r="V1938" t="s">
        <v>54</v>
      </c>
      <c r="W1938" t="s">
        <v>55</v>
      </c>
      <c r="X1938" t="s">
        <v>113</v>
      </c>
      <c r="Y1938" t="s">
        <v>7883</v>
      </c>
      <c r="Z1938" t="s">
        <v>5594</v>
      </c>
      <c r="AA1938" t="s">
        <v>54</v>
      </c>
      <c r="AB1938" t="s">
        <v>115</v>
      </c>
      <c r="AC1938" t="s">
        <v>85</v>
      </c>
      <c r="AD1938" t="s">
        <v>116</v>
      </c>
      <c r="AE1938" t="s">
        <v>1541</v>
      </c>
      <c r="AF1938" t="s">
        <v>7884</v>
      </c>
      <c r="AG1938" t="s">
        <v>5594</v>
      </c>
      <c r="AH1938">
        <v>5928</v>
      </c>
      <c r="AK1938">
        <v>1</v>
      </c>
      <c r="AL1938" t="s">
        <v>61</v>
      </c>
      <c r="AM1938" t="s">
        <v>119</v>
      </c>
      <c r="AN1938" t="s">
        <v>120</v>
      </c>
    </row>
    <row r="1939" spans="1:40" x14ac:dyDescent="0.35">
      <c r="A1939" t="s">
        <v>37</v>
      </c>
      <c r="B1939" t="s">
        <v>7885</v>
      </c>
      <c r="C1939" t="s">
        <v>39</v>
      </c>
      <c r="D1939" t="s">
        <v>7886</v>
      </c>
      <c r="E1939" t="s">
        <v>7887</v>
      </c>
      <c r="F1939" s="1">
        <v>46073.13113425926</v>
      </c>
      <c r="G1939" t="s">
        <v>826</v>
      </c>
      <c r="H1939" t="s">
        <v>356</v>
      </c>
      <c r="I1939" t="s">
        <v>7888</v>
      </c>
      <c r="J1939" t="s">
        <v>2406</v>
      </c>
      <c r="K1939" t="s">
        <v>1187</v>
      </c>
      <c r="M1939" t="s">
        <v>131</v>
      </c>
      <c r="O1939" t="s">
        <v>77</v>
      </c>
      <c r="P1939" t="s">
        <v>78</v>
      </c>
      <c r="Q1939" t="s">
        <v>50</v>
      </c>
      <c r="R1939" t="s">
        <v>79</v>
      </c>
      <c r="S1939" t="s">
        <v>80</v>
      </c>
      <c r="T1939" t="s">
        <v>1355</v>
      </c>
      <c r="U1939" s="1">
        <v>46076.600393518522</v>
      </c>
      <c r="V1939" t="s">
        <v>54</v>
      </c>
      <c r="W1939" t="s">
        <v>55</v>
      </c>
      <c r="X1939" t="s">
        <v>134</v>
      </c>
      <c r="Y1939" t="s">
        <v>7889</v>
      </c>
      <c r="Z1939" t="s">
        <v>58</v>
      </c>
      <c r="AA1939" t="s">
        <v>54</v>
      </c>
      <c r="AB1939" t="s">
        <v>709</v>
      </c>
      <c r="AC1939" t="s">
        <v>85</v>
      </c>
      <c r="AD1939" t="s">
        <v>1189</v>
      </c>
      <c r="AE1939" t="s">
        <v>1190</v>
      </c>
      <c r="AF1939" t="s">
        <v>3058</v>
      </c>
      <c r="AG1939" t="s">
        <v>58</v>
      </c>
      <c r="AH1939" t="s">
        <v>7890</v>
      </c>
      <c r="AK1939">
        <v>7</v>
      </c>
      <c r="AL1939" t="s">
        <v>61</v>
      </c>
      <c r="AM1939" t="s">
        <v>7891</v>
      </c>
      <c r="AN1939" t="s">
        <v>7892</v>
      </c>
    </row>
    <row r="1940" spans="1:40" x14ac:dyDescent="0.35">
      <c r="A1940" t="s">
        <v>37</v>
      </c>
      <c r="B1940" t="s">
        <v>7893</v>
      </c>
      <c r="C1940" t="s">
        <v>39</v>
      </c>
      <c r="D1940" t="s">
        <v>40</v>
      </c>
      <c r="E1940" t="s">
        <v>41</v>
      </c>
      <c r="F1940" s="1">
        <v>46073.129849537036</v>
      </c>
      <c r="G1940" t="s">
        <v>42</v>
      </c>
      <c r="H1940" t="s">
        <v>43</v>
      </c>
      <c r="I1940" t="s">
        <v>7894</v>
      </c>
      <c r="J1940" t="s">
        <v>45</v>
      </c>
      <c r="K1940" t="s">
        <v>46</v>
      </c>
      <c r="M1940" t="s">
        <v>47</v>
      </c>
      <c r="O1940" t="s">
        <v>48</v>
      </c>
      <c r="P1940" t="s">
        <v>49</v>
      </c>
      <c r="Q1940" t="s">
        <v>50</v>
      </c>
      <c r="R1940" t="s">
        <v>51</v>
      </c>
      <c r="S1940" t="s">
        <v>52</v>
      </c>
      <c r="T1940" t="s">
        <v>53</v>
      </c>
      <c r="U1940" s="1">
        <v>46073.130590277775</v>
      </c>
      <c r="V1940" t="s">
        <v>54</v>
      </c>
      <c r="W1940" t="s">
        <v>55</v>
      </c>
      <c r="X1940" t="s">
        <v>56</v>
      </c>
      <c r="Y1940" t="s">
        <v>65</v>
      </c>
      <c r="Z1940" t="s">
        <v>5594</v>
      </c>
      <c r="AA1940" t="s">
        <v>54</v>
      </c>
      <c r="AB1940" t="s">
        <v>59</v>
      </c>
      <c r="AC1940" t="s">
        <v>60</v>
      </c>
      <c r="AD1940" t="s">
        <v>51</v>
      </c>
      <c r="AE1940" t="s">
        <v>52</v>
      </c>
      <c r="AF1940" t="s">
        <v>53</v>
      </c>
      <c r="AG1940" t="s">
        <v>5594</v>
      </c>
      <c r="AK1940">
        <v>0</v>
      </c>
      <c r="AL1940" t="s">
        <v>61</v>
      </c>
      <c r="AM1940" t="s">
        <v>59</v>
      </c>
      <c r="AN1940" t="s">
        <v>62</v>
      </c>
    </row>
    <row r="1941" spans="1:40" x14ac:dyDescent="0.35">
      <c r="A1941" t="s">
        <v>37</v>
      </c>
      <c r="B1941" t="s">
        <v>7895</v>
      </c>
      <c r="C1941" t="s">
        <v>102</v>
      </c>
      <c r="D1941" t="s">
        <v>103</v>
      </c>
      <c r="E1941" t="s">
        <v>104</v>
      </c>
      <c r="F1941" s="1">
        <v>46073.109872685185</v>
      </c>
      <c r="G1941" t="s">
        <v>105</v>
      </c>
      <c r="H1941" t="s">
        <v>106</v>
      </c>
      <c r="I1941" t="s">
        <v>7896</v>
      </c>
      <c r="J1941" t="s">
        <v>108</v>
      </c>
      <c r="K1941" t="s">
        <v>571</v>
      </c>
      <c r="M1941" t="s">
        <v>47</v>
      </c>
      <c r="O1941" t="s">
        <v>77</v>
      </c>
      <c r="P1941" t="s">
        <v>78</v>
      </c>
      <c r="Q1941" t="s">
        <v>110</v>
      </c>
      <c r="R1941" t="s">
        <v>111</v>
      </c>
      <c r="S1941" t="s">
        <v>51</v>
      </c>
      <c r="T1941" t="s">
        <v>112</v>
      </c>
      <c r="U1941" s="1">
        <v>46073.136203703703</v>
      </c>
      <c r="V1941" t="s">
        <v>54</v>
      </c>
      <c r="W1941" t="s">
        <v>55</v>
      </c>
      <c r="X1941" t="s">
        <v>113</v>
      </c>
      <c r="Y1941" t="s">
        <v>7172</v>
      </c>
      <c r="Z1941" t="s">
        <v>5594</v>
      </c>
      <c r="AA1941" t="s">
        <v>54</v>
      </c>
      <c r="AB1941" t="s">
        <v>115</v>
      </c>
      <c r="AC1941" t="s">
        <v>85</v>
      </c>
      <c r="AD1941" t="s">
        <v>116</v>
      </c>
      <c r="AE1941" t="s">
        <v>1541</v>
      </c>
      <c r="AF1941" t="s">
        <v>2738</v>
      </c>
      <c r="AG1941" t="s">
        <v>5594</v>
      </c>
      <c r="AH1941">
        <v>5928</v>
      </c>
      <c r="AK1941">
        <v>1</v>
      </c>
      <c r="AL1941" t="s">
        <v>61</v>
      </c>
      <c r="AM1941" t="s">
        <v>119</v>
      </c>
      <c r="AN1941" t="s">
        <v>120</v>
      </c>
    </row>
    <row r="1942" spans="1:40" x14ac:dyDescent="0.35">
      <c r="A1942" t="s">
        <v>37</v>
      </c>
      <c r="B1942" t="s">
        <v>7897</v>
      </c>
      <c r="C1942" t="s">
        <v>102</v>
      </c>
      <c r="D1942" t="s">
        <v>1698</v>
      </c>
      <c r="E1942" t="s">
        <v>584</v>
      </c>
      <c r="F1942" s="1">
        <v>46073.108935185184</v>
      </c>
      <c r="G1942" t="s">
        <v>105</v>
      </c>
      <c r="H1942" t="s">
        <v>106</v>
      </c>
      <c r="I1942" t="s">
        <v>2905</v>
      </c>
      <c r="J1942" t="s">
        <v>108</v>
      </c>
      <c r="K1942" t="s">
        <v>571</v>
      </c>
      <c r="M1942" t="s">
        <v>47</v>
      </c>
      <c r="O1942" t="s">
        <v>77</v>
      </c>
      <c r="P1942" t="s">
        <v>78</v>
      </c>
      <c r="Q1942" t="s">
        <v>50</v>
      </c>
      <c r="R1942" t="s">
        <v>111</v>
      </c>
      <c r="S1942" t="s">
        <v>51</v>
      </c>
      <c r="T1942" t="s">
        <v>112</v>
      </c>
      <c r="U1942" s="1">
        <v>46073.253518518519</v>
      </c>
      <c r="V1942" t="s">
        <v>54</v>
      </c>
      <c r="W1942" t="s">
        <v>55</v>
      </c>
      <c r="X1942" t="s">
        <v>134</v>
      </c>
      <c r="Y1942" t="s">
        <v>1680</v>
      </c>
      <c r="Z1942" t="s">
        <v>5594</v>
      </c>
      <c r="AA1942" t="s">
        <v>54</v>
      </c>
      <c r="AB1942" t="s">
        <v>1701</v>
      </c>
      <c r="AC1942" t="s">
        <v>85</v>
      </c>
      <c r="AD1942" t="s">
        <v>116</v>
      </c>
      <c r="AE1942" t="s">
        <v>574</v>
      </c>
      <c r="AF1942" t="s">
        <v>144</v>
      </c>
      <c r="AG1942" t="s">
        <v>5594</v>
      </c>
      <c r="AK1942">
        <v>1</v>
      </c>
      <c r="AL1942" t="s">
        <v>61</v>
      </c>
      <c r="AM1942" t="s">
        <v>1701</v>
      </c>
      <c r="AN1942" t="s">
        <v>1702</v>
      </c>
    </row>
    <row r="1943" spans="1:40" x14ac:dyDescent="0.35">
      <c r="A1943" t="s">
        <v>37</v>
      </c>
      <c r="B1943" t="s">
        <v>7898</v>
      </c>
      <c r="C1943" t="s">
        <v>102</v>
      </c>
      <c r="D1943" t="s">
        <v>103</v>
      </c>
      <c r="E1943" t="s">
        <v>104</v>
      </c>
      <c r="F1943" s="1">
        <v>46073.109189814815</v>
      </c>
      <c r="G1943" t="s">
        <v>105</v>
      </c>
      <c r="H1943" t="s">
        <v>106</v>
      </c>
      <c r="I1943" t="s">
        <v>7899</v>
      </c>
      <c r="J1943" t="s">
        <v>108</v>
      </c>
      <c r="K1943" t="s">
        <v>571</v>
      </c>
      <c r="M1943" t="s">
        <v>47</v>
      </c>
      <c r="O1943" t="s">
        <v>77</v>
      </c>
      <c r="P1943" t="s">
        <v>78</v>
      </c>
      <c r="Q1943" t="s">
        <v>110</v>
      </c>
      <c r="R1943" t="s">
        <v>111</v>
      </c>
      <c r="S1943" t="s">
        <v>51</v>
      </c>
      <c r="T1943" t="s">
        <v>112</v>
      </c>
      <c r="U1943" s="1">
        <v>46074.317754629628</v>
      </c>
      <c r="V1943" t="s">
        <v>54</v>
      </c>
      <c r="W1943" t="s">
        <v>55</v>
      </c>
      <c r="X1943" t="s">
        <v>113</v>
      </c>
      <c r="Y1943" t="s">
        <v>3515</v>
      </c>
      <c r="Z1943" t="s">
        <v>5594</v>
      </c>
      <c r="AA1943" t="s">
        <v>54</v>
      </c>
      <c r="AB1943" t="s">
        <v>115</v>
      </c>
      <c r="AC1943" t="s">
        <v>85</v>
      </c>
      <c r="AD1943" t="s">
        <v>116</v>
      </c>
      <c r="AE1943" t="s">
        <v>574</v>
      </c>
      <c r="AF1943" t="s">
        <v>664</v>
      </c>
      <c r="AG1943" t="s">
        <v>5594</v>
      </c>
      <c r="AH1943">
        <v>5928</v>
      </c>
      <c r="AK1943">
        <v>1</v>
      </c>
      <c r="AL1943" t="s">
        <v>61</v>
      </c>
      <c r="AM1943" t="s">
        <v>119</v>
      </c>
      <c r="AN1943" t="s">
        <v>120</v>
      </c>
    </row>
    <row r="1944" spans="1:40" x14ac:dyDescent="0.35">
      <c r="A1944" t="s">
        <v>37</v>
      </c>
      <c r="B1944" t="s">
        <v>7900</v>
      </c>
      <c r="C1944" t="s">
        <v>102</v>
      </c>
      <c r="D1944" t="s">
        <v>103</v>
      </c>
      <c r="E1944" t="s">
        <v>104</v>
      </c>
      <c r="F1944" s="1">
        <v>46073.108773148146</v>
      </c>
      <c r="G1944" t="s">
        <v>105</v>
      </c>
      <c r="H1944" t="s">
        <v>106</v>
      </c>
      <c r="I1944" t="s">
        <v>7901</v>
      </c>
      <c r="J1944" t="s">
        <v>108</v>
      </c>
      <c r="K1944" t="s">
        <v>571</v>
      </c>
      <c r="M1944" t="s">
        <v>47</v>
      </c>
      <c r="O1944" t="s">
        <v>77</v>
      </c>
      <c r="P1944" t="s">
        <v>78</v>
      </c>
      <c r="Q1944" t="s">
        <v>110</v>
      </c>
      <c r="R1944" t="s">
        <v>111</v>
      </c>
      <c r="S1944" t="s">
        <v>51</v>
      </c>
      <c r="T1944" t="s">
        <v>112</v>
      </c>
      <c r="U1944" s="1">
        <v>46073.350868055553</v>
      </c>
      <c r="V1944" t="s">
        <v>54</v>
      </c>
      <c r="W1944" t="s">
        <v>55</v>
      </c>
      <c r="X1944" t="s">
        <v>113</v>
      </c>
      <c r="Y1944" t="s">
        <v>3515</v>
      </c>
      <c r="Z1944" t="s">
        <v>5594</v>
      </c>
      <c r="AA1944" t="s">
        <v>54</v>
      </c>
      <c r="AB1944" t="s">
        <v>115</v>
      </c>
      <c r="AC1944" t="s">
        <v>85</v>
      </c>
      <c r="AD1944" t="s">
        <v>116</v>
      </c>
      <c r="AE1944" t="s">
        <v>574</v>
      </c>
      <c r="AF1944" t="s">
        <v>664</v>
      </c>
      <c r="AG1944" t="s">
        <v>5594</v>
      </c>
      <c r="AH1944">
        <v>5928</v>
      </c>
      <c r="AK1944">
        <v>1</v>
      </c>
      <c r="AL1944" t="s">
        <v>61</v>
      </c>
      <c r="AM1944" t="s">
        <v>119</v>
      </c>
      <c r="AN1944" t="s">
        <v>120</v>
      </c>
    </row>
    <row r="1945" spans="1:40" x14ac:dyDescent="0.35">
      <c r="A1945" t="s">
        <v>37</v>
      </c>
      <c r="B1945" t="s">
        <v>7902</v>
      </c>
      <c r="C1945" t="s">
        <v>102</v>
      </c>
      <c r="D1945" t="s">
        <v>103</v>
      </c>
      <c r="E1945" t="s">
        <v>104</v>
      </c>
      <c r="F1945" s="1">
        <v>46073.107708333337</v>
      </c>
      <c r="G1945" t="s">
        <v>105</v>
      </c>
      <c r="H1945" t="s">
        <v>106</v>
      </c>
      <c r="I1945" t="s">
        <v>7903</v>
      </c>
      <c r="J1945" t="s">
        <v>108</v>
      </c>
      <c r="K1945" t="s">
        <v>109</v>
      </c>
      <c r="M1945" t="s">
        <v>47</v>
      </c>
      <c r="O1945" t="s">
        <v>77</v>
      </c>
      <c r="P1945" t="s">
        <v>78</v>
      </c>
      <c r="Q1945" t="s">
        <v>110</v>
      </c>
      <c r="R1945" t="s">
        <v>111</v>
      </c>
      <c r="S1945" t="s">
        <v>51</v>
      </c>
      <c r="T1945" t="s">
        <v>1583</v>
      </c>
      <c r="U1945" s="1">
        <v>46073.977175925924</v>
      </c>
      <c r="V1945" t="s">
        <v>54</v>
      </c>
      <c r="W1945" t="s">
        <v>1584</v>
      </c>
      <c r="X1945" t="s">
        <v>113</v>
      </c>
      <c r="Y1945" t="s">
        <v>7904</v>
      </c>
      <c r="Z1945" t="s">
        <v>5594</v>
      </c>
      <c r="AA1945" t="s">
        <v>54</v>
      </c>
      <c r="AB1945" t="s">
        <v>115</v>
      </c>
      <c r="AC1945" t="s">
        <v>85</v>
      </c>
      <c r="AD1945" t="s">
        <v>116</v>
      </c>
      <c r="AE1945" t="s">
        <v>1586</v>
      </c>
      <c r="AF1945" t="s">
        <v>664</v>
      </c>
      <c r="AG1945" t="s">
        <v>5594</v>
      </c>
      <c r="AH1945">
        <v>5928</v>
      </c>
      <c r="AK1945">
        <v>1</v>
      </c>
      <c r="AL1945" t="s">
        <v>61</v>
      </c>
      <c r="AM1945" t="s">
        <v>119</v>
      </c>
      <c r="AN1945" t="s">
        <v>120</v>
      </c>
    </row>
    <row r="1946" spans="1:40" x14ac:dyDescent="0.35">
      <c r="A1946" t="s">
        <v>37</v>
      </c>
      <c r="B1946" t="s">
        <v>7905</v>
      </c>
      <c r="C1946" t="s">
        <v>102</v>
      </c>
      <c r="D1946" t="s">
        <v>103</v>
      </c>
      <c r="E1946" t="s">
        <v>104</v>
      </c>
      <c r="F1946" s="1">
        <v>46073.107314814813</v>
      </c>
      <c r="G1946" t="s">
        <v>105</v>
      </c>
      <c r="H1946" t="s">
        <v>106</v>
      </c>
      <c r="I1946" t="s">
        <v>7906</v>
      </c>
      <c r="J1946" t="s">
        <v>108</v>
      </c>
      <c r="K1946" t="s">
        <v>109</v>
      </c>
      <c r="M1946" t="s">
        <v>47</v>
      </c>
      <c r="O1946" t="s">
        <v>77</v>
      </c>
      <c r="P1946" t="s">
        <v>78</v>
      </c>
      <c r="Q1946" t="s">
        <v>110</v>
      </c>
      <c r="R1946" t="s">
        <v>111</v>
      </c>
      <c r="S1946" t="s">
        <v>51</v>
      </c>
      <c r="T1946" t="s">
        <v>1583</v>
      </c>
      <c r="U1946" s="1">
        <v>46073.976643518516</v>
      </c>
      <c r="V1946" t="s">
        <v>54</v>
      </c>
      <c r="W1946" t="s">
        <v>1584</v>
      </c>
      <c r="X1946" t="s">
        <v>113</v>
      </c>
      <c r="Y1946" t="s">
        <v>7907</v>
      </c>
      <c r="Z1946" t="s">
        <v>5594</v>
      </c>
      <c r="AA1946" t="s">
        <v>54</v>
      </c>
      <c r="AB1946" t="s">
        <v>115</v>
      </c>
      <c r="AC1946" t="s">
        <v>85</v>
      </c>
      <c r="AD1946" t="s">
        <v>116</v>
      </c>
      <c r="AE1946" t="s">
        <v>1586</v>
      </c>
      <c r="AF1946" t="s">
        <v>664</v>
      </c>
      <c r="AG1946" t="s">
        <v>5594</v>
      </c>
      <c r="AH1946">
        <v>5928</v>
      </c>
      <c r="AK1946">
        <v>1</v>
      </c>
      <c r="AL1946" t="s">
        <v>61</v>
      </c>
      <c r="AM1946" t="s">
        <v>119</v>
      </c>
      <c r="AN1946" t="s">
        <v>120</v>
      </c>
    </row>
    <row r="1947" spans="1:40" x14ac:dyDescent="0.35">
      <c r="A1947" t="s">
        <v>37</v>
      </c>
      <c r="B1947" t="s">
        <v>7908</v>
      </c>
      <c r="C1947" t="s">
        <v>102</v>
      </c>
      <c r="D1947" t="s">
        <v>1698</v>
      </c>
      <c r="E1947" t="s">
        <v>584</v>
      </c>
      <c r="F1947" s="1">
        <v>46073.106817129628</v>
      </c>
      <c r="G1947" t="s">
        <v>105</v>
      </c>
      <c r="H1947" t="s">
        <v>106</v>
      </c>
      <c r="I1947" t="s">
        <v>7466</v>
      </c>
      <c r="J1947" t="s">
        <v>108</v>
      </c>
      <c r="K1947" t="s">
        <v>571</v>
      </c>
      <c r="M1947" t="s">
        <v>47</v>
      </c>
      <c r="O1947" t="s">
        <v>77</v>
      </c>
      <c r="P1947" t="s">
        <v>78</v>
      </c>
      <c r="Q1947" t="s">
        <v>50</v>
      </c>
      <c r="R1947" t="s">
        <v>111</v>
      </c>
      <c r="S1947" t="s">
        <v>51</v>
      </c>
      <c r="T1947" t="s">
        <v>112</v>
      </c>
      <c r="U1947" s="1">
        <v>46073.253020833334</v>
      </c>
      <c r="V1947" t="s">
        <v>54</v>
      </c>
      <c r="W1947" t="s">
        <v>55</v>
      </c>
      <c r="X1947" t="s">
        <v>134</v>
      </c>
      <c r="Y1947" t="s">
        <v>1680</v>
      </c>
      <c r="Z1947" t="s">
        <v>5594</v>
      </c>
      <c r="AA1947" t="s">
        <v>54</v>
      </c>
      <c r="AB1947" t="s">
        <v>1701</v>
      </c>
      <c r="AC1947" t="s">
        <v>85</v>
      </c>
      <c r="AD1947" t="s">
        <v>116</v>
      </c>
      <c r="AE1947" t="s">
        <v>574</v>
      </c>
      <c r="AF1947" t="s">
        <v>144</v>
      </c>
      <c r="AG1947" t="s">
        <v>5594</v>
      </c>
      <c r="AK1947">
        <v>1</v>
      </c>
      <c r="AL1947" t="s">
        <v>61</v>
      </c>
      <c r="AM1947" t="s">
        <v>1701</v>
      </c>
      <c r="AN1947" t="s">
        <v>1702</v>
      </c>
    </row>
    <row r="1948" spans="1:40" x14ac:dyDescent="0.35">
      <c r="A1948" t="s">
        <v>37</v>
      </c>
      <c r="B1948" t="s">
        <v>7909</v>
      </c>
      <c r="C1948" t="s">
        <v>102</v>
      </c>
      <c r="D1948" t="s">
        <v>103</v>
      </c>
      <c r="E1948" t="s">
        <v>104</v>
      </c>
      <c r="F1948" s="1">
        <v>46073.106921296298</v>
      </c>
      <c r="G1948" t="s">
        <v>105</v>
      </c>
      <c r="H1948" t="s">
        <v>106</v>
      </c>
      <c r="I1948" t="s">
        <v>7910</v>
      </c>
      <c r="J1948" t="s">
        <v>108</v>
      </c>
      <c r="K1948" t="s">
        <v>109</v>
      </c>
      <c r="M1948" t="s">
        <v>47</v>
      </c>
      <c r="O1948" t="s">
        <v>77</v>
      </c>
      <c r="P1948" t="s">
        <v>78</v>
      </c>
      <c r="Q1948" t="s">
        <v>110</v>
      </c>
      <c r="R1948" t="s">
        <v>111</v>
      </c>
      <c r="S1948" t="s">
        <v>51</v>
      </c>
      <c r="T1948" t="s">
        <v>1583</v>
      </c>
      <c r="U1948" s="1">
        <v>46073.977638888886</v>
      </c>
      <c r="V1948" t="s">
        <v>54</v>
      </c>
      <c r="W1948" t="s">
        <v>1584</v>
      </c>
      <c r="X1948" t="s">
        <v>113</v>
      </c>
      <c r="Y1948" t="s">
        <v>7911</v>
      </c>
      <c r="Z1948" t="s">
        <v>5594</v>
      </c>
      <c r="AA1948" t="s">
        <v>54</v>
      </c>
      <c r="AB1948" t="s">
        <v>115</v>
      </c>
      <c r="AC1948" t="s">
        <v>85</v>
      </c>
      <c r="AD1948" t="s">
        <v>116</v>
      </c>
      <c r="AE1948" t="s">
        <v>1586</v>
      </c>
      <c r="AF1948" t="s">
        <v>664</v>
      </c>
      <c r="AG1948" t="s">
        <v>5594</v>
      </c>
      <c r="AH1948">
        <v>5928</v>
      </c>
      <c r="AK1948">
        <v>1</v>
      </c>
      <c r="AL1948" t="s">
        <v>61</v>
      </c>
      <c r="AM1948" t="s">
        <v>119</v>
      </c>
      <c r="AN1948" t="s">
        <v>120</v>
      </c>
    </row>
    <row r="1949" spans="1:40" x14ac:dyDescent="0.35">
      <c r="A1949" t="s">
        <v>37</v>
      </c>
      <c r="B1949" t="s">
        <v>7912</v>
      </c>
      <c r="C1949" t="s">
        <v>102</v>
      </c>
      <c r="D1949" t="s">
        <v>103</v>
      </c>
      <c r="E1949" t="s">
        <v>104</v>
      </c>
      <c r="F1949" s="1">
        <v>46073.106064814812</v>
      </c>
      <c r="G1949" t="s">
        <v>105</v>
      </c>
      <c r="H1949" t="s">
        <v>106</v>
      </c>
      <c r="I1949" t="s">
        <v>7913</v>
      </c>
      <c r="J1949" t="s">
        <v>108</v>
      </c>
      <c r="K1949" t="s">
        <v>109</v>
      </c>
      <c r="M1949" t="s">
        <v>47</v>
      </c>
      <c r="O1949" t="s">
        <v>77</v>
      </c>
      <c r="P1949" t="s">
        <v>78</v>
      </c>
      <c r="Q1949" t="s">
        <v>110</v>
      </c>
      <c r="R1949" t="s">
        <v>111</v>
      </c>
      <c r="S1949" t="s">
        <v>51</v>
      </c>
      <c r="T1949" t="s">
        <v>1583</v>
      </c>
      <c r="U1949" s="1">
        <v>46073.97079861111</v>
      </c>
      <c r="V1949" t="s">
        <v>54</v>
      </c>
      <c r="W1949" t="s">
        <v>1584</v>
      </c>
      <c r="X1949" t="s">
        <v>113</v>
      </c>
      <c r="Y1949" t="s">
        <v>7914</v>
      </c>
      <c r="Z1949" t="s">
        <v>5594</v>
      </c>
      <c r="AA1949" t="s">
        <v>54</v>
      </c>
      <c r="AB1949" t="s">
        <v>115</v>
      </c>
      <c r="AC1949" t="s">
        <v>85</v>
      </c>
      <c r="AD1949" t="s">
        <v>116</v>
      </c>
      <c r="AE1949" t="s">
        <v>1586</v>
      </c>
      <c r="AF1949" t="s">
        <v>664</v>
      </c>
      <c r="AG1949" t="s">
        <v>5594</v>
      </c>
      <c r="AH1949">
        <v>5928</v>
      </c>
      <c r="AK1949">
        <v>1</v>
      </c>
      <c r="AL1949" t="s">
        <v>61</v>
      </c>
      <c r="AM1949" t="s">
        <v>119</v>
      </c>
      <c r="AN1949" t="s">
        <v>120</v>
      </c>
    </row>
    <row r="1950" spans="1:40" x14ac:dyDescent="0.35">
      <c r="A1950" t="s">
        <v>37</v>
      </c>
      <c r="B1950" t="s">
        <v>7915</v>
      </c>
      <c r="C1950" t="s">
        <v>102</v>
      </c>
      <c r="D1950" t="s">
        <v>103</v>
      </c>
      <c r="E1950" t="s">
        <v>104</v>
      </c>
      <c r="F1950" s="1">
        <v>46073.10565972222</v>
      </c>
      <c r="G1950" t="s">
        <v>105</v>
      </c>
      <c r="H1950" t="s">
        <v>106</v>
      </c>
      <c r="I1950" t="s">
        <v>7916</v>
      </c>
      <c r="J1950" t="s">
        <v>108</v>
      </c>
      <c r="K1950" t="s">
        <v>109</v>
      </c>
      <c r="M1950" t="s">
        <v>47</v>
      </c>
      <c r="O1950" t="s">
        <v>77</v>
      </c>
      <c r="P1950" t="s">
        <v>78</v>
      </c>
      <c r="Q1950" t="s">
        <v>110</v>
      </c>
      <c r="R1950" t="s">
        <v>111</v>
      </c>
      <c r="S1950" t="s">
        <v>51</v>
      </c>
      <c r="T1950" t="s">
        <v>1583</v>
      </c>
      <c r="U1950" s="1">
        <v>46073.932326388887</v>
      </c>
      <c r="V1950" t="s">
        <v>54</v>
      </c>
      <c r="W1950" t="s">
        <v>1584</v>
      </c>
      <c r="X1950" t="s">
        <v>113</v>
      </c>
      <c r="Y1950" t="s">
        <v>7917</v>
      </c>
      <c r="Z1950" t="s">
        <v>5594</v>
      </c>
      <c r="AA1950" t="s">
        <v>54</v>
      </c>
      <c r="AB1950" t="s">
        <v>115</v>
      </c>
      <c r="AC1950" t="s">
        <v>85</v>
      </c>
      <c r="AD1950" t="s">
        <v>116</v>
      </c>
      <c r="AE1950" t="s">
        <v>1586</v>
      </c>
      <c r="AF1950" t="s">
        <v>664</v>
      </c>
      <c r="AG1950" t="s">
        <v>5594</v>
      </c>
      <c r="AH1950">
        <v>5928</v>
      </c>
      <c r="AK1950">
        <v>1</v>
      </c>
      <c r="AL1950" t="s">
        <v>61</v>
      </c>
      <c r="AM1950" t="s">
        <v>119</v>
      </c>
      <c r="AN1950" t="s">
        <v>120</v>
      </c>
    </row>
    <row r="1951" spans="1:40" x14ac:dyDescent="0.35">
      <c r="A1951" t="s">
        <v>37</v>
      </c>
      <c r="B1951" t="s">
        <v>7918</v>
      </c>
      <c r="C1951" t="s">
        <v>102</v>
      </c>
      <c r="D1951" t="s">
        <v>103</v>
      </c>
      <c r="E1951" t="s">
        <v>104</v>
      </c>
      <c r="F1951" s="1">
        <v>46073.105162037034</v>
      </c>
      <c r="G1951" t="s">
        <v>105</v>
      </c>
      <c r="H1951" t="s">
        <v>106</v>
      </c>
      <c r="I1951" t="s">
        <v>7919</v>
      </c>
      <c r="J1951" t="s">
        <v>108</v>
      </c>
      <c r="K1951" t="s">
        <v>109</v>
      </c>
      <c r="M1951" t="s">
        <v>47</v>
      </c>
      <c r="O1951" t="s">
        <v>77</v>
      </c>
      <c r="P1951" t="s">
        <v>78</v>
      </c>
      <c r="Q1951" t="s">
        <v>110</v>
      </c>
      <c r="R1951" t="s">
        <v>111</v>
      </c>
      <c r="S1951" t="s">
        <v>51</v>
      </c>
      <c r="T1951" t="s">
        <v>1583</v>
      </c>
      <c r="U1951" s="1">
        <v>46073.932812500003</v>
      </c>
      <c r="V1951" t="s">
        <v>54</v>
      </c>
      <c r="W1951" t="s">
        <v>1584</v>
      </c>
      <c r="X1951" t="s">
        <v>113</v>
      </c>
      <c r="Y1951" t="s">
        <v>7917</v>
      </c>
      <c r="Z1951" t="s">
        <v>5594</v>
      </c>
      <c r="AA1951" t="s">
        <v>54</v>
      </c>
      <c r="AB1951" t="s">
        <v>115</v>
      </c>
      <c r="AC1951" t="s">
        <v>85</v>
      </c>
      <c r="AD1951" t="s">
        <v>116</v>
      </c>
      <c r="AE1951" t="s">
        <v>1586</v>
      </c>
      <c r="AF1951" t="s">
        <v>664</v>
      </c>
      <c r="AG1951" t="s">
        <v>5594</v>
      </c>
      <c r="AH1951">
        <v>5928</v>
      </c>
      <c r="AK1951">
        <v>1</v>
      </c>
      <c r="AL1951" t="s">
        <v>61</v>
      </c>
      <c r="AM1951" t="s">
        <v>119</v>
      </c>
      <c r="AN1951" t="s">
        <v>120</v>
      </c>
    </row>
    <row r="1952" spans="1:40" x14ac:dyDescent="0.35">
      <c r="A1952" t="s">
        <v>37</v>
      </c>
      <c r="B1952" t="s">
        <v>7920</v>
      </c>
      <c r="C1952" t="s">
        <v>102</v>
      </c>
      <c r="D1952" t="s">
        <v>103</v>
      </c>
      <c r="E1952" t="s">
        <v>104</v>
      </c>
      <c r="F1952" s="1">
        <v>46073.104687500003</v>
      </c>
      <c r="G1952" t="s">
        <v>105</v>
      </c>
      <c r="H1952" t="s">
        <v>106</v>
      </c>
      <c r="I1952" t="s">
        <v>7921</v>
      </c>
      <c r="J1952" t="s">
        <v>108</v>
      </c>
      <c r="K1952" t="s">
        <v>109</v>
      </c>
      <c r="M1952" t="s">
        <v>47</v>
      </c>
      <c r="O1952" t="s">
        <v>77</v>
      </c>
      <c r="P1952" t="s">
        <v>78</v>
      </c>
      <c r="Q1952" t="s">
        <v>110</v>
      </c>
      <c r="R1952" t="s">
        <v>111</v>
      </c>
      <c r="S1952" t="s">
        <v>51</v>
      </c>
      <c r="T1952" t="s">
        <v>1583</v>
      </c>
      <c r="U1952" s="1">
        <v>46073.970381944448</v>
      </c>
      <c r="V1952" t="s">
        <v>54</v>
      </c>
      <c r="W1952" t="s">
        <v>1584</v>
      </c>
      <c r="X1952" t="s">
        <v>113</v>
      </c>
      <c r="Y1952" t="s">
        <v>7922</v>
      </c>
      <c r="Z1952" t="s">
        <v>5594</v>
      </c>
      <c r="AA1952" t="s">
        <v>54</v>
      </c>
      <c r="AB1952" t="s">
        <v>115</v>
      </c>
      <c r="AC1952" t="s">
        <v>85</v>
      </c>
      <c r="AD1952" t="s">
        <v>116</v>
      </c>
      <c r="AE1952" t="s">
        <v>1586</v>
      </c>
      <c r="AF1952" t="s">
        <v>664</v>
      </c>
      <c r="AG1952" t="s">
        <v>5594</v>
      </c>
      <c r="AH1952">
        <v>5928</v>
      </c>
      <c r="AK1952">
        <v>1</v>
      </c>
      <c r="AL1952" t="s">
        <v>61</v>
      </c>
      <c r="AM1952" t="s">
        <v>119</v>
      </c>
      <c r="AN1952" t="s">
        <v>120</v>
      </c>
    </row>
    <row r="1953" spans="1:40" x14ac:dyDescent="0.35">
      <c r="A1953" t="s">
        <v>37</v>
      </c>
      <c r="B1953" t="s">
        <v>7923</v>
      </c>
      <c r="C1953" t="s">
        <v>39</v>
      </c>
      <c r="D1953" t="s">
        <v>7226</v>
      </c>
      <c r="E1953" t="s">
        <v>7227</v>
      </c>
      <c r="F1953" s="1">
        <v>46073.10292824074</v>
      </c>
      <c r="G1953" t="s">
        <v>734</v>
      </c>
      <c r="H1953" t="s">
        <v>356</v>
      </c>
      <c r="I1953" t="s">
        <v>1185</v>
      </c>
      <c r="J1953" t="s">
        <v>707</v>
      </c>
      <c r="K1953" t="s">
        <v>75</v>
      </c>
      <c r="M1953" t="s">
        <v>47</v>
      </c>
      <c r="O1953" t="s">
        <v>77</v>
      </c>
      <c r="P1953" t="s">
        <v>78</v>
      </c>
      <c r="Q1953" t="s">
        <v>2591</v>
      </c>
      <c r="R1953" t="s">
        <v>305</v>
      </c>
      <c r="S1953" t="s">
        <v>306</v>
      </c>
      <c r="T1953" t="s">
        <v>307</v>
      </c>
      <c r="U1953" s="1">
        <v>46073.475115740737</v>
      </c>
      <c r="V1953" t="s">
        <v>54</v>
      </c>
      <c r="W1953" t="s">
        <v>55</v>
      </c>
      <c r="X1953" t="s">
        <v>211</v>
      </c>
      <c r="Y1953" t="s">
        <v>7924</v>
      </c>
      <c r="Z1953" t="s">
        <v>5594</v>
      </c>
      <c r="AA1953" t="s">
        <v>54</v>
      </c>
      <c r="AB1953" t="s">
        <v>213</v>
      </c>
      <c r="AC1953" t="s">
        <v>85</v>
      </c>
      <c r="AD1953" t="s">
        <v>79</v>
      </c>
      <c r="AE1953" t="s">
        <v>172</v>
      </c>
      <c r="AF1953" t="s">
        <v>728</v>
      </c>
      <c r="AG1953" t="s">
        <v>5594</v>
      </c>
      <c r="AH1953">
        <v>3128</v>
      </c>
      <c r="AK1953">
        <v>4</v>
      </c>
      <c r="AL1953" t="s">
        <v>410</v>
      </c>
      <c r="AM1953" t="s">
        <v>7230</v>
      </c>
      <c r="AN1953" t="s">
        <v>7231</v>
      </c>
    </row>
    <row r="1954" spans="1:40" x14ac:dyDescent="0.35">
      <c r="A1954" t="s">
        <v>37</v>
      </c>
      <c r="B1954" t="s">
        <v>7925</v>
      </c>
      <c r="C1954" t="s">
        <v>102</v>
      </c>
      <c r="D1954" t="s">
        <v>103</v>
      </c>
      <c r="E1954" t="s">
        <v>104</v>
      </c>
      <c r="F1954" s="1">
        <v>46073.103217592594</v>
      </c>
      <c r="G1954" t="s">
        <v>105</v>
      </c>
      <c r="H1954" t="s">
        <v>106</v>
      </c>
      <c r="I1954" t="s">
        <v>7926</v>
      </c>
      <c r="J1954" t="s">
        <v>108</v>
      </c>
      <c r="K1954" t="s">
        <v>109</v>
      </c>
      <c r="M1954" t="s">
        <v>47</v>
      </c>
      <c r="O1954" t="s">
        <v>77</v>
      </c>
      <c r="P1954" t="s">
        <v>78</v>
      </c>
      <c r="Q1954" t="s">
        <v>110</v>
      </c>
      <c r="R1954" t="s">
        <v>111</v>
      </c>
      <c r="S1954" t="s">
        <v>51</v>
      </c>
      <c r="T1954" t="s">
        <v>1583</v>
      </c>
      <c r="U1954" s="1">
        <v>46073.969780092593</v>
      </c>
      <c r="V1954" t="s">
        <v>54</v>
      </c>
      <c r="W1954" t="s">
        <v>1584</v>
      </c>
      <c r="X1954" t="s">
        <v>113</v>
      </c>
      <c r="Y1954" t="s">
        <v>7927</v>
      </c>
      <c r="Z1954" t="s">
        <v>5594</v>
      </c>
      <c r="AA1954" t="s">
        <v>54</v>
      </c>
      <c r="AB1954" t="s">
        <v>115</v>
      </c>
      <c r="AC1954" t="s">
        <v>85</v>
      </c>
      <c r="AD1954" t="s">
        <v>116</v>
      </c>
      <c r="AE1954" t="s">
        <v>1586</v>
      </c>
      <c r="AF1954" t="s">
        <v>664</v>
      </c>
      <c r="AG1954" t="s">
        <v>5594</v>
      </c>
      <c r="AH1954">
        <v>5928</v>
      </c>
      <c r="AK1954">
        <v>1</v>
      </c>
      <c r="AL1954" t="s">
        <v>61</v>
      </c>
      <c r="AM1954" t="s">
        <v>119</v>
      </c>
      <c r="AN1954" t="s">
        <v>120</v>
      </c>
    </row>
    <row r="1955" spans="1:40" x14ac:dyDescent="0.35">
      <c r="A1955" t="s">
        <v>37</v>
      </c>
      <c r="B1955" t="s">
        <v>7928</v>
      </c>
      <c r="C1955" t="s">
        <v>102</v>
      </c>
      <c r="D1955" t="s">
        <v>103</v>
      </c>
      <c r="E1955" t="s">
        <v>104</v>
      </c>
      <c r="F1955" s="1">
        <v>46073.102569444447</v>
      </c>
      <c r="G1955" t="s">
        <v>105</v>
      </c>
      <c r="H1955" t="s">
        <v>106</v>
      </c>
      <c r="I1955" t="s">
        <v>7929</v>
      </c>
      <c r="J1955" t="s">
        <v>108</v>
      </c>
      <c r="K1955" t="s">
        <v>109</v>
      </c>
      <c r="M1955" t="s">
        <v>47</v>
      </c>
      <c r="O1955" t="s">
        <v>77</v>
      </c>
      <c r="P1955" t="s">
        <v>78</v>
      </c>
      <c r="Q1955" t="s">
        <v>110</v>
      </c>
      <c r="R1955" t="s">
        <v>111</v>
      </c>
      <c r="S1955" t="s">
        <v>51</v>
      </c>
      <c r="T1955" t="s">
        <v>1583</v>
      </c>
      <c r="U1955" s="1">
        <v>46074.611956018518</v>
      </c>
      <c r="V1955" t="s">
        <v>54</v>
      </c>
      <c r="W1955" t="s">
        <v>1584</v>
      </c>
      <c r="X1955" t="s">
        <v>113</v>
      </c>
      <c r="Y1955" t="s">
        <v>7930</v>
      </c>
      <c r="Z1955" t="s">
        <v>5594</v>
      </c>
      <c r="AA1955" t="s">
        <v>54</v>
      </c>
      <c r="AB1955" t="s">
        <v>115</v>
      </c>
      <c r="AC1955" t="s">
        <v>85</v>
      </c>
      <c r="AD1955" t="s">
        <v>116</v>
      </c>
      <c r="AE1955" t="s">
        <v>1586</v>
      </c>
      <c r="AF1955" t="s">
        <v>664</v>
      </c>
      <c r="AG1955" t="s">
        <v>5594</v>
      </c>
      <c r="AH1955">
        <v>5928</v>
      </c>
      <c r="AK1955">
        <v>1</v>
      </c>
      <c r="AL1955" t="s">
        <v>61</v>
      </c>
      <c r="AM1955" t="s">
        <v>119</v>
      </c>
      <c r="AN1955" t="s">
        <v>120</v>
      </c>
    </row>
    <row r="1956" spans="1:40" x14ac:dyDescent="0.35">
      <c r="A1956" t="s">
        <v>37</v>
      </c>
      <c r="B1956" t="s">
        <v>7931</v>
      </c>
      <c r="C1956" t="s">
        <v>39</v>
      </c>
      <c r="D1956" t="s">
        <v>7932</v>
      </c>
      <c r="E1956" t="s">
        <v>7933</v>
      </c>
      <c r="F1956" s="1">
        <v>46073.100821759261</v>
      </c>
      <c r="G1956" t="s">
        <v>3396</v>
      </c>
      <c r="H1956" t="s">
        <v>106</v>
      </c>
      <c r="I1956" t="s">
        <v>1408</v>
      </c>
      <c r="J1956" t="s">
        <v>707</v>
      </c>
      <c r="K1956" t="s">
        <v>75</v>
      </c>
      <c r="M1956" t="s">
        <v>47</v>
      </c>
      <c r="O1956" t="s">
        <v>77</v>
      </c>
      <c r="P1956" t="s">
        <v>78</v>
      </c>
      <c r="Q1956" t="s">
        <v>2169</v>
      </c>
      <c r="R1956" t="s">
        <v>79</v>
      </c>
      <c r="S1956" t="s">
        <v>1078</v>
      </c>
      <c r="T1956" t="s">
        <v>1078</v>
      </c>
      <c r="U1956" s="1">
        <v>46073.100983796299</v>
      </c>
      <c r="V1956" t="s">
        <v>54</v>
      </c>
      <c r="W1956" t="s">
        <v>55</v>
      </c>
      <c r="X1956" t="s">
        <v>82</v>
      </c>
      <c r="Y1956" t="s">
        <v>1409</v>
      </c>
      <c r="Z1956" t="s">
        <v>5594</v>
      </c>
      <c r="AA1956" t="s">
        <v>54</v>
      </c>
      <c r="AB1956" t="s">
        <v>709</v>
      </c>
      <c r="AC1956" t="s">
        <v>85</v>
      </c>
      <c r="AD1956" t="s">
        <v>79</v>
      </c>
      <c r="AE1956" t="s">
        <v>1078</v>
      </c>
      <c r="AF1956" t="s">
        <v>1078</v>
      </c>
      <c r="AG1956" t="s">
        <v>5594</v>
      </c>
      <c r="AH1956">
        <v>5257</v>
      </c>
      <c r="AK1956">
        <v>0</v>
      </c>
      <c r="AL1956" t="s">
        <v>61</v>
      </c>
      <c r="AM1956" t="s">
        <v>7934</v>
      </c>
      <c r="AN1956" t="s">
        <v>7935</v>
      </c>
    </row>
    <row r="1957" spans="1:40" x14ac:dyDescent="0.35">
      <c r="A1957" t="s">
        <v>37</v>
      </c>
      <c r="B1957" t="s">
        <v>7936</v>
      </c>
      <c r="C1957" t="s">
        <v>102</v>
      </c>
      <c r="D1957" t="s">
        <v>103</v>
      </c>
      <c r="E1957" t="s">
        <v>104</v>
      </c>
      <c r="F1957" s="1">
        <v>46073.099305555559</v>
      </c>
      <c r="G1957" t="s">
        <v>105</v>
      </c>
      <c r="H1957" t="s">
        <v>106</v>
      </c>
      <c r="I1957" t="s">
        <v>7937</v>
      </c>
      <c r="J1957" t="s">
        <v>108</v>
      </c>
      <c r="K1957" t="s">
        <v>109</v>
      </c>
      <c r="M1957" t="s">
        <v>47</v>
      </c>
      <c r="O1957" t="s">
        <v>77</v>
      </c>
      <c r="P1957" t="s">
        <v>78</v>
      </c>
      <c r="Q1957" t="s">
        <v>110</v>
      </c>
      <c r="R1957" t="s">
        <v>111</v>
      </c>
      <c r="S1957" t="s">
        <v>51</v>
      </c>
      <c r="T1957" t="s">
        <v>1583</v>
      </c>
      <c r="U1957" s="1">
        <v>46073.940798611111</v>
      </c>
      <c r="V1957" t="s">
        <v>54</v>
      </c>
      <c r="W1957" t="s">
        <v>1584</v>
      </c>
      <c r="X1957" t="s">
        <v>113</v>
      </c>
      <c r="Y1957" t="s">
        <v>7938</v>
      </c>
      <c r="Z1957" t="s">
        <v>5594</v>
      </c>
      <c r="AA1957" t="s">
        <v>54</v>
      </c>
      <c r="AB1957" t="s">
        <v>115</v>
      </c>
      <c r="AC1957" t="s">
        <v>85</v>
      </c>
      <c r="AD1957" t="s">
        <v>116</v>
      </c>
      <c r="AE1957" t="s">
        <v>1586</v>
      </c>
      <c r="AF1957" t="s">
        <v>664</v>
      </c>
      <c r="AG1957" t="s">
        <v>5594</v>
      </c>
      <c r="AH1957">
        <v>5928</v>
      </c>
      <c r="AK1957">
        <v>1</v>
      </c>
      <c r="AL1957" t="s">
        <v>61</v>
      </c>
      <c r="AM1957" t="s">
        <v>119</v>
      </c>
      <c r="AN1957" t="s">
        <v>120</v>
      </c>
    </row>
    <row r="1958" spans="1:40" x14ac:dyDescent="0.35">
      <c r="A1958" t="s">
        <v>37</v>
      </c>
      <c r="B1958" t="s">
        <v>7939</v>
      </c>
      <c r="C1958" t="s">
        <v>102</v>
      </c>
      <c r="D1958" t="s">
        <v>103</v>
      </c>
      <c r="E1958" t="s">
        <v>104</v>
      </c>
      <c r="F1958" s="1">
        <v>46073.09888888889</v>
      </c>
      <c r="G1958" t="s">
        <v>105</v>
      </c>
      <c r="H1958" t="s">
        <v>106</v>
      </c>
      <c r="I1958" t="s">
        <v>7940</v>
      </c>
      <c r="J1958" t="s">
        <v>108</v>
      </c>
      <c r="K1958" t="s">
        <v>109</v>
      </c>
      <c r="M1958" t="s">
        <v>47</v>
      </c>
      <c r="O1958" t="s">
        <v>77</v>
      </c>
      <c r="P1958" t="s">
        <v>78</v>
      </c>
      <c r="Q1958" t="s">
        <v>110</v>
      </c>
      <c r="R1958" t="s">
        <v>111</v>
      </c>
      <c r="S1958" t="s">
        <v>51</v>
      </c>
      <c r="T1958" t="s">
        <v>1583</v>
      </c>
      <c r="U1958" s="1">
        <v>46073.940428240741</v>
      </c>
      <c r="V1958" t="s">
        <v>54</v>
      </c>
      <c r="W1958" t="s">
        <v>1584</v>
      </c>
      <c r="X1958" t="s">
        <v>113</v>
      </c>
      <c r="Y1958" t="s">
        <v>7938</v>
      </c>
      <c r="Z1958" t="s">
        <v>5594</v>
      </c>
      <c r="AA1958" t="s">
        <v>54</v>
      </c>
      <c r="AB1958" t="s">
        <v>115</v>
      </c>
      <c r="AC1958" t="s">
        <v>85</v>
      </c>
      <c r="AD1958" t="s">
        <v>116</v>
      </c>
      <c r="AE1958" t="s">
        <v>1586</v>
      </c>
      <c r="AF1958" t="s">
        <v>664</v>
      </c>
      <c r="AG1958" t="s">
        <v>5594</v>
      </c>
      <c r="AH1958">
        <v>5928</v>
      </c>
      <c r="AK1958">
        <v>1</v>
      </c>
      <c r="AL1958" t="s">
        <v>61</v>
      </c>
      <c r="AM1958" t="s">
        <v>119</v>
      </c>
      <c r="AN1958" t="s">
        <v>120</v>
      </c>
    </row>
    <row r="1959" spans="1:40" x14ac:dyDescent="0.35">
      <c r="A1959" t="s">
        <v>37</v>
      </c>
      <c r="B1959" t="s">
        <v>7941</v>
      </c>
      <c r="C1959" t="s">
        <v>102</v>
      </c>
      <c r="D1959" t="s">
        <v>103</v>
      </c>
      <c r="E1959" t="s">
        <v>104</v>
      </c>
      <c r="F1959" s="1">
        <v>46073.098356481481</v>
      </c>
      <c r="G1959" t="s">
        <v>105</v>
      </c>
      <c r="H1959" t="s">
        <v>106</v>
      </c>
      <c r="I1959" t="s">
        <v>7942</v>
      </c>
      <c r="J1959" t="s">
        <v>108</v>
      </c>
      <c r="K1959" t="s">
        <v>109</v>
      </c>
      <c r="M1959" t="s">
        <v>47</v>
      </c>
      <c r="O1959" t="s">
        <v>77</v>
      </c>
      <c r="P1959" t="s">
        <v>78</v>
      </c>
      <c r="Q1959" t="s">
        <v>110</v>
      </c>
      <c r="R1959" t="s">
        <v>111</v>
      </c>
      <c r="S1959" t="s">
        <v>51</v>
      </c>
      <c r="T1959" t="s">
        <v>1583</v>
      </c>
      <c r="U1959" s="1">
        <v>46073.934918981482</v>
      </c>
      <c r="V1959" t="s">
        <v>54</v>
      </c>
      <c r="W1959" t="s">
        <v>1584</v>
      </c>
      <c r="X1959" t="s">
        <v>113</v>
      </c>
      <c r="Y1959" t="s">
        <v>7938</v>
      </c>
      <c r="Z1959" t="s">
        <v>5594</v>
      </c>
      <c r="AA1959" t="s">
        <v>54</v>
      </c>
      <c r="AB1959" t="s">
        <v>115</v>
      </c>
      <c r="AC1959" t="s">
        <v>85</v>
      </c>
      <c r="AD1959" t="s">
        <v>116</v>
      </c>
      <c r="AE1959" t="s">
        <v>1586</v>
      </c>
      <c r="AF1959" t="s">
        <v>664</v>
      </c>
      <c r="AG1959" t="s">
        <v>5594</v>
      </c>
      <c r="AH1959">
        <v>5928</v>
      </c>
      <c r="AK1959">
        <v>1</v>
      </c>
      <c r="AL1959" t="s">
        <v>61</v>
      </c>
      <c r="AM1959" t="s">
        <v>119</v>
      </c>
      <c r="AN1959" t="s">
        <v>120</v>
      </c>
    </row>
    <row r="1960" spans="1:40" x14ac:dyDescent="0.35">
      <c r="A1960" t="s">
        <v>37</v>
      </c>
      <c r="B1960" t="s">
        <v>7943</v>
      </c>
      <c r="C1960" t="s">
        <v>102</v>
      </c>
      <c r="D1960" t="s">
        <v>103</v>
      </c>
      <c r="E1960" t="s">
        <v>104</v>
      </c>
      <c r="F1960" s="1">
        <v>46073.09783564815</v>
      </c>
      <c r="G1960" t="s">
        <v>105</v>
      </c>
      <c r="H1960" t="s">
        <v>106</v>
      </c>
      <c r="I1960" t="s">
        <v>7944</v>
      </c>
      <c r="J1960" t="s">
        <v>108</v>
      </c>
      <c r="K1960" t="s">
        <v>109</v>
      </c>
      <c r="M1960" t="s">
        <v>47</v>
      </c>
      <c r="O1960" t="s">
        <v>77</v>
      </c>
      <c r="P1960" t="s">
        <v>78</v>
      </c>
      <c r="Q1960" t="s">
        <v>110</v>
      </c>
      <c r="R1960" t="s">
        <v>111</v>
      </c>
      <c r="S1960" t="s">
        <v>51</v>
      </c>
      <c r="T1960" t="s">
        <v>1583</v>
      </c>
      <c r="U1960" s="1">
        <v>46073.934131944443</v>
      </c>
      <c r="V1960" t="s">
        <v>54</v>
      </c>
      <c r="W1960" t="s">
        <v>1584</v>
      </c>
      <c r="X1960" t="s">
        <v>113</v>
      </c>
      <c r="Y1960" t="s">
        <v>7938</v>
      </c>
      <c r="Z1960" t="s">
        <v>5594</v>
      </c>
      <c r="AA1960" t="s">
        <v>54</v>
      </c>
      <c r="AB1960" t="s">
        <v>115</v>
      </c>
      <c r="AC1960" t="s">
        <v>85</v>
      </c>
      <c r="AD1960" t="s">
        <v>116</v>
      </c>
      <c r="AE1960" t="s">
        <v>1586</v>
      </c>
      <c r="AF1960" t="s">
        <v>664</v>
      </c>
      <c r="AG1960" t="s">
        <v>5594</v>
      </c>
      <c r="AH1960">
        <v>5928</v>
      </c>
      <c r="AK1960">
        <v>1</v>
      </c>
      <c r="AL1960" t="s">
        <v>61</v>
      </c>
      <c r="AM1960" t="s">
        <v>119</v>
      </c>
      <c r="AN1960" t="s">
        <v>120</v>
      </c>
    </row>
    <row r="1961" spans="1:40" x14ac:dyDescent="0.35">
      <c r="A1961" t="s">
        <v>37</v>
      </c>
      <c r="B1961" t="s">
        <v>7945</v>
      </c>
      <c r="C1961" t="s">
        <v>102</v>
      </c>
      <c r="D1961" t="s">
        <v>103</v>
      </c>
      <c r="E1961" t="s">
        <v>104</v>
      </c>
      <c r="F1961" s="1">
        <v>46073.095717592594</v>
      </c>
      <c r="G1961" t="s">
        <v>105</v>
      </c>
      <c r="H1961" t="s">
        <v>106</v>
      </c>
      <c r="I1961" t="s">
        <v>7946</v>
      </c>
      <c r="J1961" t="s">
        <v>108</v>
      </c>
      <c r="K1961" t="s">
        <v>571</v>
      </c>
      <c r="M1961" t="s">
        <v>47</v>
      </c>
      <c r="O1961" t="s">
        <v>77</v>
      </c>
      <c r="P1961" t="s">
        <v>78</v>
      </c>
      <c r="Q1961" t="s">
        <v>110</v>
      </c>
      <c r="R1961" t="s">
        <v>111</v>
      </c>
      <c r="S1961" t="s">
        <v>51</v>
      </c>
      <c r="T1961" t="s">
        <v>112</v>
      </c>
      <c r="U1961" s="1">
        <v>46073.133645833332</v>
      </c>
      <c r="V1961" t="s">
        <v>54</v>
      </c>
      <c r="W1961" t="s">
        <v>55</v>
      </c>
      <c r="X1961" t="s">
        <v>113</v>
      </c>
      <c r="Y1961" t="s">
        <v>7947</v>
      </c>
      <c r="Z1961" t="s">
        <v>5594</v>
      </c>
      <c r="AA1961" t="s">
        <v>54</v>
      </c>
      <c r="AB1961" t="s">
        <v>115</v>
      </c>
      <c r="AC1961" t="s">
        <v>85</v>
      </c>
      <c r="AD1961" t="s">
        <v>116</v>
      </c>
      <c r="AE1961" t="s">
        <v>1541</v>
      </c>
      <c r="AF1961" t="s">
        <v>2738</v>
      </c>
      <c r="AG1961" t="s">
        <v>5594</v>
      </c>
      <c r="AH1961">
        <v>5928</v>
      </c>
      <c r="AK1961">
        <v>1</v>
      </c>
      <c r="AL1961" t="s">
        <v>61</v>
      </c>
      <c r="AM1961" t="s">
        <v>119</v>
      </c>
      <c r="AN1961" t="s">
        <v>120</v>
      </c>
    </row>
    <row r="1962" spans="1:40" x14ac:dyDescent="0.35">
      <c r="A1962" t="s">
        <v>37</v>
      </c>
      <c r="B1962" t="s">
        <v>7948</v>
      </c>
      <c r="C1962" t="s">
        <v>102</v>
      </c>
      <c r="D1962" t="s">
        <v>103</v>
      </c>
      <c r="E1962" t="s">
        <v>104</v>
      </c>
      <c r="F1962" s="1">
        <v>46073.094965277778</v>
      </c>
      <c r="G1962" t="s">
        <v>105</v>
      </c>
      <c r="H1962" t="s">
        <v>106</v>
      </c>
      <c r="I1962" t="s">
        <v>7949</v>
      </c>
      <c r="J1962" t="s">
        <v>108</v>
      </c>
      <c r="K1962" t="s">
        <v>571</v>
      </c>
      <c r="M1962" t="s">
        <v>47</v>
      </c>
      <c r="O1962" t="s">
        <v>77</v>
      </c>
      <c r="P1962" t="s">
        <v>78</v>
      </c>
      <c r="Q1962" t="s">
        <v>110</v>
      </c>
      <c r="R1962" t="s">
        <v>111</v>
      </c>
      <c r="S1962" t="s">
        <v>51</v>
      </c>
      <c r="T1962" t="s">
        <v>112</v>
      </c>
      <c r="U1962" s="1">
        <v>46073.133912037039</v>
      </c>
      <c r="V1962" t="s">
        <v>54</v>
      </c>
      <c r="W1962" t="s">
        <v>55</v>
      </c>
      <c r="X1962" t="s">
        <v>113</v>
      </c>
      <c r="Y1962" t="s">
        <v>7950</v>
      </c>
      <c r="Z1962" t="s">
        <v>5594</v>
      </c>
      <c r="AA1962" t="s">
        <v>54</v>
      </c>
      <c r="AB1962" t="s">
        <v>115</v>
      </c>
      <c r="AC1962" t="s">
        <v>85</v>
      </c>
      <c r="AD1962" t="s">
        <v>116</v>
      </c>
      <c r="AE1962" t="s">
        <v>1541</v>
      </c>
      <c r="AF1962" t="s">
        <v>2738</v>
      </c>
      <c r="AG1962" t="s">
        <v>5594</v>
      </c>
      <c r="AH1962">
        <v>5928</v>
      </c>
      <c r="AK1962">
        <v>1</v>
      </c>
      <c r="AL1962" t="s">
        <v>61</v>
      </c>
      <c r="AM1962" t="s">
        <v>119</v>
      </c>
      <c r="AN1962" t="s">
        <v>120</v>
      </c>
    </row>
    <row r="1963" spans="1:40" x14ac:dyDescent="0.35">
      <c r="A1963" t="s">
        <v>37</v>
      </c>
      <c r="B1963" t="s">
        <v>7951</v>
      </c>
      <c r="C1963" t="s">
        <v>102</v>
      </c>
      <c r="D1963" t="s">
        <v>103</v>
      </c>
      <c r="E1963" t="s">
        <v>104</v>
      </c>
      <c r="F1963" s="1">
        <v>46073.093425925923</v>
      </c>
      <c r="G1963" t="s">
        <v>105</v>
      </c>
      <c r="H1963" t="s">
        <v>106</v>
      </c>
      <c r="I1963" t="s">
        <v>7952</v>
      </c>
      <c r="J1963" t="s">
        <v>108</v>
      </c>
      <c r="K1963" t="s">
        <v>109</v>
      </c>
      <c r="M1963" t="s">
        <v>47</v>
      </c>
      <c r="O1963" t="s">
        <v>77</v>
      </c>
      <c r="P1963" t="s">
        <v>78</v>
      </c>
      <c r="Q1963" t="s">
        <v>110</v>
      </c>
      <c r="R1963" t="s">
        <v>111</v>
      </c>
      <c r="S1963" t="s">
        <v>51</v>
      </c>
      <c r="T1963" t="s">
        <v>112</v>
      </c>
      <c r="U1963" s="1">
        <v>46074.611550925925</v>
      </c>
      <c r="V1963" t="s">
        <v>54</v>
      </c>
      <c r="W1963" t="s">
        <v>1584</v>
      </c>
      <c r="X1963" t="s">
        <v>113</v>
      </c>
      <c r="Y1963" t="s">
        <v>7953</v>
      </c>
      <c r="Z1963" t="s">
        <v>5594</v>
      </c>
      <c r="AA1963" t="s">
        <v>54</v>
      </c>
      <c r="AB1963" t="s">
        <v>115</v>
      </c>
      <c r="AC1963" t="s">
        <v>85</v>
      </c>
      <c r="AD1963" t="s">
        <v>116</v>
      </c>
      <c r="AE1963" t="s">
        <v>117</v>
      </c>
      <c r="AF1963" t="s">
        <v>664</v>
      </c>
      <c r="AG1963" t="s">
        <v>5594</v>
      </c>
      <c r="AH1963">
        <v>5928</v>
      </c>
      <c r="AK1963">
        <v>1</v>
      </c>
      <c r="AL1963" t="s">
        <v>61</v>
      </c>
      <c r="AM1963" t="s">
        <v>119</v>
      </c>
      <c r="AN1963" t="s">
        <v>120</v>
      </c>
    </row>
    <row r="1964" spans="1:40" x14ac:dyDescent="0.35">
      <c r="A1964" t="s">
        <v>37</v>
      </c>
      <c r="B1964" t="s">
        <v>7954</v>
      </c>
      <c r="C1964" t="s">
        <v>102</v>
      </c>
      <c r="D1964" t="s">
        <v>103</v>
      </c>
      <c r="E1964" t="s">
        <v>104</v>
      </c>
      <c r="F1964" s="1">
        <v>46073.092129629629</v>
      </c>
      <c r="G1964" t="s">
        <v>105</v>
      </c>
      <c r="H1964" t="s">
        <v>106</v>
      </c>
      <c r="I1964" t="s">
        <v>7955</v>
      </c>
      <c r="J1964" t="s">
        <v>108</v>
      </c>
      <c r="K1964" t="s">
        <v>109</v>
      </c>
      <c r="M1964" t="s">
        <v>47</v>
      </c>
      <c r="O1964" t="s">
        <v>77</v>
      </c>
      <c r="P1964" t="s">
        <v>78</v>
      </c>
      <c r="Q1964" t="s">
        <v>110</v>
      </c>
      <c r="R1964" t="s">
        <v>111</v>
      </c>
      <c r="S1964" t="s">
        <v>51</v>
      </c>
      <c r="T1964" t="s">
        <v>112</v>
      </c>
      <c r="U1964" s="1">
        <v>46073.971539351849</v>
      </c>
      <c r="V1964" t="s">
        <v>54</v>
      </c>
      <c r="W1964" t="s">
        <v>1584</v>
      </c>
      <c r="X1964" t="s">
        <v>113</v>
      </c>
      <c r="Y1964" t="s">
        <v>7956</v>
      </c>
      <c r="Z1964" t="s">
        <v>5594</v>
      </c>
      <c r="AA1964" t="s">
        <v>54</v>
      </c>
      <c r="AB1964" t="s">
        <v>115</v>
      </c>
      <c r="AC1964" t="s">
        <v>85</v>
      </c>
      <c r="AD1964" t="s">
        <v>116</v>
      </c>
      <c r="AE1964" t="s">
        <v>117</v>
      </c>
      <c r="AF1964" t="s">
        <v>664</v>
      </c>
      <c r="AG1964" t="s">
        <v>5594</v>
      </c>
      <c r="AH1964">
        <v>5928</v>
      </c>
      <c r="AK1964">
        <v>1</v>
      </c>
      <c r="AL1964" t="s">
        <v>61</v>
      </c>
      <c r="AM1964" t="s">
        <v>119</v>
      </c>
      <c r="AN1964" t="s">
        <v>120</v>
      </c>
    </row>
    <row r="1965" spans="1:40" x14ac:dyDescent="0.35">
      <c r="A1965" t="s">
        <v>37</v>
      </c>
      <c r="B1965" t="s">
        <v>7957</v>
      </c>
      <c r="C1965" t="s">
        <v>39</v>
      </c>
      <c r="D1965" t="s">
        <v>40</v>
      </c>
      <c r="E1965" t="s">
        <v>41</v>
      </c>
      <c r="F1965" s="1">
        <v>46073.088159722225</v>
      </c>
      <c r="G1965" t="s">
        <v>42</v>
      </c>
      <c r="H1965" t="s">
        <v>43</v>
      </c>
      <c r="I1965" t="s">
        <v>7958</v>
      </c>
      <c r="J1965" t="s">
        <v>45</v>
      </c>
      <c r="K1965" t="s">
        <v>46</v>
      </c>
      <c r="M1965" t="s">
        <v>47</v>
      </c>
      <c r="O1965" t="s">
        <v>48</v>
      </c>
      <c r="P1965" t="s">
        <v>49</v>
      </c>
      <c r="Q1965" t="s">
        <v>50</v>
      </c>
      <c r="R1965" t="s">
        <v>51</v>
      </c>
      <c r="S1965" t="s">
        <v>52</v>
      </c>
      <c r="T1965" t="s">
        <v>53</v>
      </c>
      <c r="U1965" s="1">
        <v>46073.08898148148</v>
      </c>
      <c r="V1965" t="s">
        <v>54</v>
      </c>
      <c r="W1965" t="s">
        <v>55</v>
      </c>
      <c r="X1965" t="s">
        <v>56</v>
      </c>
      <c r="Y1965" t="s">
        <v>65</v>
      </c>
      <c r="Z1965" t="s">
        <v>5594</v>
      </c>
      <c r="AA1965" t="s">
        <v>54</v>
      </c>
      <c r="AB1965" t="s">
        <v>59</v>
      </c>
      <c r="AC1965" t="s">
        <v>60</v>
      </c>
      <c r="AD1965" t="s">
        <v>51</v>
      </c>
      <c r="AE1965" t="s">
        <v>52</v>
      </c>
      <c r="AF1965" t="s">
        <v>53</v>
      </c>
      <c r="AG1965" t="s">
        <v>5594</v>
      </c>
      <c r="AK1965">
        <v>0</v>
      </c>
      <c r="AL1965" t="s">
        <v>61</v>
      </c>
      <c r="AM1965" t="s">
        <v>59</v>
      </c>
      <c r="AN1965" t="s">
        <v>62</v>
      </c>
    </row>
    <row r="1966" spans="1:40" x14ac:dyDescent="0.35">
      <c r="A1966" t="s">
        <v>37</v>
      </c>
      <c r="B1966" t="s">
        <v>7959</v>
      </c>
      <c r="C1966" t="s">
        <v>102</v>
      </c>
      <c r="D1966" t="s">
        <v>1698</v>
      </c>
      <c r="E1966" t="s">
        <v>584</v>
      </c>
      <c r="F1966" s="1">
        <v>46073.087291666663</v>
      </c>
      <c r="G1966" t="s">
        <v>105</v>
      </c>
      <c r="H1966" t="s">
        <v>106</v>
      </c>
      <c r="I1966" t="s">
        <v>7960</v>
      </c>
      <c r="J1966" t="s">
        <v>108</v>
      </c>
      <c r="K1966" t="s">
        <v>109</v>
      </c>
      <c r="M1966" t="s">
        <v>47</v>
      </c>
      <c r="O1966" t="s">
        <v>77</v>
      </c>
      <c r="P1966" t="s">
        <v>78</v>
      </c>
      <c r="Q1966" t="s">
        <v>50</v>
      </c>
      <c r="R1966" t="s">
        <v>111</v>
      </c>
      <c r="S1966" t="s">
        <v>51</v>
      </c>
      <c r="T1966" t="s">
        <v>1583</v>
      </c>
      <c r="U1966" s="1">
        <v>46073.28025462963</v>
      </c>
      <c r="V1966" t="s">
        <v>54</v>
      </c>
      <c r="W1966" t="s">
        <v>55</v>
      </c>
      <c r="X1966" t="s">
        <v>134</v>
      </c>
      <c r="Y1966" t="s">
        <v>7961</v>
      </c>
      <c r="Z1966" t="s">
        <v>5594</v>
      </c>
      <c r="AA1966" t="s">
        <v>54</v>
      </c>
      <c r="AB1966" t="s">
        <v>1701</v>
      </c>
      <c r="AC1966" t="s">
        <v>85</v>
      </c>
      <c r="AD1966" t="s">
        <v>116</v>
      </c>
      <c r="AE1966" t="s">
        <v>1586</v>
      </c>
      <c r="AF1966" t="s">
        <v>3110</v>
      </c>
      <c r="AG1966" t="s">
        <v>5594</v>
      </c>
      <c r="AK1966">
        <v>1</v>
      </c>
      <c r="AL1966" t="s">
        <v>61</v>
      </c>
      <c r="AM1966" t="s">
        <v>1701</v>
      </c>
      <c r="AN1966" t="s">
        <v>1702</v>
      </c>
    </row>
    <row r="1967" spans="1:40" x14ac:dyDescent="0.35">
      <c r="A1967" t="s">
        <v>37</v>
      </c>
      <c r="B1967" t="s">
        <v>7962</v>
      </c>
      <c r="C1967" t="s">
        <v>39</v>
      </c>
      <c r="D1967" t="s">
        <v>40</v>
      </c>
      <c r="E1967" t="s">
        <v>41</v>
      </c>
      <c r="F1967" s="1">
        <v>46073.057071759256</v>
      </c>
      <c r="G1967" t="s">
        <v>42</v>
      </c>
      <c r="H1967" t="s">
        <v>43</v>
      </c>
      <c r="I1967" t="s">
        <v>7963</v>
      </c>
      <c r="J1967" t="s">
        <v>45</v>
      </c>
      <c r="K1967" t="s">
        <v>46</v>
      </c>
      <c r="M1967" t="s">
        <v>47</v>
      </c>
      <c r="O1967" t="s">
        <v>48</v>
      </c>
      <c r="P1967" t="s">
        <v>49</v>
      </c>
      <c r="Q1967" t="s">
        <v>50</v>
      </c>
      <c r="R1967" t="s">
        <v>51</v>
      </c>
      <c r="S1967" t="s">
        <v>52</v>
      </c>
      <c r="T1967" t="s">
        <v>53</v>
      </c>
      <c r="U1967" s="1">
        <v>46073.057800925926</v>
      </c>
      <c r="V1967" t="s">
        <v>54</v>
      </c>
      <c r="W1967" t="s">
        <v>55</v>
      </c>
      <c r="X1967" t="s">
        <v>56</v>
      </c>
      <c r="Y1967" t="s">
        <v>57</v>
      </c>
      <c r="Z1967" t="s">
        <v>5594</v>
      </c>
      <c r="AA1967" t="s">
        <v>54</v>
      </c>
      <c r="AB1967" t="s">
        <v>59</v>
      </c>
      <c r="AC1967" t="s">
        <v>60</v>
      </c>
      <c r="AD1967" t="s">
        <v>51</v>
      </c>
      <c r="AE1967" t="s">
        <v>52</v>
      </c>
      <c r="AF1967" t="s">
        <v>53</v>
      </c>
      <c r="AG1967" t="s">
        <v>5594</v>
      </c>
      <c r="AK1967">
        <v>0</v>
      </c>
      <c r="AL1967" t="s">
        <v>61</v>
      </c>
      <c r="AM1967" t="s">
        <v>59</v>
      </c>
      <c r="AN1967" t="s">
        <v>62</v>
      </c>
    </row>
    <row r="1968" spans="1:40" x14ac:dyDescent="0.35">
      <c r="A1968" t="s">
        <v>37</v>
      </c>
      <c r="B1968" t="s">
        <v>7964</v>
      </c>
      <c r="C1968" t="s">
        <v>39</v>
      </c>
      <c r="D1968" t="s">
        <v>40</v>
      </c>
      <c r="E1968" t="s">
        <v>41</v>
      </c>
      <c r="F1968" s="1">
        <v>46073.048090277778</v>
      </c>
      <c r="G1968" t="s">
        <v>42</v>
      </c>
      <c r="H1968" t="s">
        <v>43</v>
      </c>
      <c r="I1968" t="s">
        <v>7965</v>
      </c>
      <c r="J1968" t="s">
        <v>45</v>
      </c>
      <c r="K1968" t="s">
        <v>46</v>
      </c>
      <c r="M1968" t="s">
        <v>47</v>
      </c>
      <c r="O1968" t="s">
        <v>48</v>
      </c>
      <c r="P1968" t="s">
        <v>49</v>
      </c>
      <c r="Q1968" t="s">
        <v>50</v>
      </c>
      <c r="R1968" t="s">
        <v>214</v>
      </c>
      <c r="S1968" t="s">
        <v>589</v>
      </c>
      <c r="T1968" t="s">
        <v>3593</v>
      </c>
      <c r="U1968" s="1">
        <v>46073.378888888888</v>
      </c>
      <c r="V1968" t="s">
        <v>54</v>
      </c>
      <c r="W1968" t="s">
        <v>55</v>
      </c>
      <c r="X1968" t="s">
        <v>56</v>
      </c>
      <c r="Y1968" t="s">
        <v>3594</v>
      </c>
      <c r="Z1968" t="s">
        <v>5594</v>
      </c>
      <c r="AA1968" t="s">
        <v>54</v>
      </c>
      <c r="AB1968" t="s">
        <v>59</v>
      </c>
      <c r="AC1968" t="s">
        <v>60</v>
      </c>
      <c r="AD1968" t="s">
        <v>51</v>
      </c>
      <c r="AE1968" t="s">
        <v>52</v>
      </c>
      <c r="AF1968" t="s">
        <v>53</v>
      </c>
      <c r="AG1968" t="s">
        <v>5594</v>
      </c>
      <c r="AK1968">
        <v>0</v>
      </c>
      <c r="AL1968" t="s">
        <v>61</v>
      </c>
      <c r="AM1968" t="s">
        <v>59</v>
      </c>
      <c r="AN1968" t="s">
        <v>62</v>
      </c>
    </row>
    <row r="1969" spans="1:40" x14ac:dyDescent="0.35">
      <c r="A1969" t="s">
        <v>37</v>
      </c>
      <c r="B1969" t="s">
        <v>7966</v>
      </c>
      <c r="C1969" t="s">
        <v>39</v>
      </c>
      <c r="D1969" t="s">
        <v>40</v>
      </c>
      <c r="E1969" t="s">
        <v>41</v>
      </c>
      <c r="F1969" s="1">
        <v>46073.047129629631</v>
      </c>
      <c r="G1969" t="s">
        <v>42</v>
      </c>
      <c r="H1969" t="s">
        <v>43</v>
      </c>
      <c r="I1969" t="s">
        <v>7967</v>
      </c>
      <c r="J1969" t="s">
        <v>45</v>
      </c>
      <c r="K1969" t="s">
        <v>46</v>
      </c>
      <c r="M1969" t="s">
        <v>47</v>
      </c>
      <c r="O1969" t="s">
        <v>48</v>
      </c>
      <c r="P1969" t="s">
        <v>49</v>
      </c>
      <c r="Q1969" t="s">
        <v>50</v>
      </c>
      <c r="R1969" t="s">
        <v>51</v>
      </c>
      <c r="S1969" t="s">
        <v>52</v>
      </c>
      <c r="T1969" t="s">
        <v>53</v>
      </c>
      <c r="U1969" s="1">
        <v>46073.04792824074</v>
      </c>
      <c r="V1969" t="s">
        <v>54</v>
      </c>
      <c r="W1969" t="s">
        <v>55</v>
      </c>
      <c r="X1969" t="s">
        <v>56</v>
      </c>
      <c r="Y1969" t="s">
        <v>65</v>
      </c>
      <c r="Z1969" t="s">
        <v>5594</v>
      </c>
      <c r="AA1969" t="s">
        <v>54</v>
      </c>
      <c r="AB1969" t="s">
        <v>59</v>
      </c>
      <c r="AC1969" t="s">
        <v>60</v>
      </c>
      <c r="AD1969" t="s">
        <v>51</v>
      </c>
      <c r="AE1969" t="s">
        <v>52</v>
      </c>
      <c r="AF1969" t="s">
        <v>53</v>
      </c>
      <c r="AG1969" t="s">
        <v>5594</v>
      </c>
      <c r="AK1969">
        <v>0</v>
      </c>
      <c r="AL1969" t="s">
        <v>61</v>
      </c>
      <c r="AM1969" t="s">
        <v>59</v>
      </c>
      <c r="AN1969" t="s">
        <v>62</v>
      </c>
    </row>
    <row r="1970" spans="1:40" x14ac:dyDescent="0.35">
      <c r="A1970" t="s">
        <v>37</v>
      </c>
      <c r="B1970" t="s">
        <v>7968</v>
      </c>
      <c r="C1970" t="s">
        <v>39</v>
      </c>
      <c r="D1970" t="s">
        <v>40</v>
      </c>
      <c r="E1970" t="s">
        <v>41</v>
      </c>
      <c r="F1970" s="1">
        <v>46073.045023148145</v>
      </c>
      <c r="G1970" t="s">
        <v>42</v>
      </c>
      <c r="H1970" t="s">
        <v>43</v>
      </c>
      <c r="I1970" t="s">
        <v>7969</v>
      </c>
      <c r="J1970" t="s">
        <v>45</v>
      </c>
      <c r="K1970" t="s">
        <v>46</v>
      </c>
      <c r="M1970" t="s">
        <v>47</v>
      </c>
      <c r="O1970" t="s">
        <v>48</v>
      </c>
      <c r="P1970" t="s">
        <v>49</v>
      </c>
      <c r="Q1970" t="s">
        <v>50</v>
      </c>
      <c r="R1970" t="s">
        <v>51</v>
      </c>
      <c r="S1970" t="s">
        <v>52</v>
      </c>
      <c r="T1970" t="s">
        <v>53</v>
      </c>
      <c r="U1970" s="1">
        <v>46073.046041666668</v>
      </c>
      <c r="V1970" t="s">
        <v>54</v>
      </c>
      <c r="W1970" t="s">
        <v>55</v>
      </c>
      <c r="X1970" t="s">
        <v>56</v>
      </c>
      <c r="Y1970" t="s">
        <v>57</v>
      </c>
      <c r="Z1970" t="s">
        <v>5594</v>
      </c>
      <c r="AA1970" t="s">
        <v>54</v>
      </c>
      <c r="AB1970" t="s">
        <v>59</v>
      </c>
      <c r="AC1970" t="s">
        <v>60</v>
      </c>
      <c r="AD1970" t="s">
        <v>51</v>
      </c>
      <c r="AE1970" t="s">
        <v>52</v>
      </c>
      <c r="AF1970" t="s">
        <v>53</v>
      </c>
      <c r="AG1970" t="s">
        <v>5594</v>
      </c>
      <c r="AK1970">
        <v>0</v>
      </c>
      <c r="AL1970" t="s">
        <v>61</v>
      </c>
      <c r="AM1970" t="s">
        <v>59</v>
      </c>
      <c r="AN1970" t="s">
        <v>62</v>
      </c>
    </row>
    <row r="1971" spans="1:40" x14ac:dyDescent="0.35">
      <c r="A1971" t="s">
        <v>37</v>
      </c>
      <c r="B1971" t="s">
        <v>7970</v>
      </c>
      <c r="C1971" t="s">
        <v>39</v>
      </c>
      <c r="D1971" t="s">
        <v>40</v>
      </c>
      <c r="E1971" t="s">
        <v>41</v>
      </c>
      <c r="F1971" s="1">
        <v>46073.036400462966</v>
      </c>
      <c r="G1971" t="s">
        <v>42</v>
      </c>
      <c r="H1971" t="s">
        <v>43</v>
      </c>
      <c r="I1971" t="s">
        <v>7971</v>
      </c>
      <c r="J1971" t="s">
        <v>45</v>
      </c>
      <c r="K1971" t="s">
        <v>46</v>
      </c>
      <c r="M1971" t="s">
        <v>47</v>
      </c>
      <c r="O1971" t="s">
        <v>48</v>
      </c>
      <c r="P1971" t="s">
        <v>49</v>
      </c>
      <c r="Q1971" t="s">
        <v>50</v>
      </c>
      <c r="R1971" t="s">
        <v>51</v>
      </c>
      <c r="S1971" t="s">
        <v>52</v>
      </c>
      <c r="T1971" t="s">
        <v>53</v>
      </c>
      <c r="U1971" s="1">
        <v>46073.037118055552</v>
      </c>
      <c r="V1971" t="s">
        <v>54</v>
      </c>
      <c r="W1971" t="s">
        <v>55</v>
      </c>
      <c r="X1971" t="s">
        <v>56</v>
      </c>
      <c r="Y1971" t="s">
        <v>57</v>
      </c>
      <c r="Z1971" t="s">
        <v>5594</v>
      </c>
      <c r="AA1971" t="s">
        <v>54</v>
      </c>
      <c r="AB1971" t="s">
        <v>59</v>
      </c>
      <c r="AC1971" t="s">
        <v>60</v>
      </c>
      <c r="AD1971" t="s">
        <v>51</v>
      </c>
      <c r="AE1971" t="s">
        <v>52</v>
      </c>
      <c r="AF1971" t="s">
        <v>53</v>
      </c>
      <c r="AG1971" t="s">
        <v>5594</v>
      </c>
      <c r="AK1971">
        <v>0</v>
      </c>
      <c r="AL1971" t="s">
        <v>61</v>
      </c>
      <c r="AM1971" t="s">
        <v>59</v>
      </c>
      <c r="AN1971" t="s">
        <v>62</v>
      </c>
    </row>
    <row r="1972" spans="1:40" x14ac:dyDescent="0.35">
      <c r="A1972" t="s">
        <v>37</v>
      </c>
      <c r="B1972" t="s">
        <v>7972</v>
      </c>
      <c r="C1972" t="s">
        <v>39</v>
      </c>
      <c r="D1972" t="s">
        <v>3918</v>
      </c>
      <c r="E1972" t="s">
        <v>3071</v>
      </c>
      <c r="F1972" s="1">
        <v>46073.014178240737</v>
      </c>
      <c r="G1972" t="s">
        <v>402</v>
      </c>
      <c r="H1972" t="s">
        <v>72</v>
      </c>
      <c r="I1972" t="s">
        <v>7973</v>
      </c>
      <c r="J1972" t="s">
        <v>707</v>
      </c>
      <c r="K1972" t="s">
        <v>75</v>
      </c>
      <c r="M1972" t="s">
        <v>47</v>
      </c>
      <c r="O1972" t="s">
        <v>77</v>
      </c>
      <c r="P1972" t="s">
        <v>78</v>
      </c>
      <c r="Q1972" t="s">
        <v>50</v>
      </c>
      <c r="R1972" t="s">
        <v>79</v>
      </c>
      <c r="S1972" t="s">
        <v>1970</v>
      </c>
      <c r="T1972" t="s">
        <v>1971</v>
      </c>
      <c r="U1972" s="1">
        <v>46073.014560185184</v>
      </c>
      <c r="V1972" t="s">
        <v>54</v>
      </c>
      <c r="W1972" t="s">
        <v>55</v>
      </c>
      <c r="X1972" t="s">
        <v>82</v>
      </c>
      <c r="Y1972" t="s">
        <v>7974</v>
      </c>
      <c r="Z1972" t="s">
        <v>5594</v>
      </c>
      <c r="AA1972" t="s">
        <v>54</v>
      </c>
      <c r="AB1972" t="s">
        <v>709</v>
      </c>
      <c r="AC1972" t="s">
        <v>85</v>
      </c>
      <c r="AD1972" t="s">
        <v>79</v>
      </c>
      <c r="AE1972" t="s">
        <v>1970</v>
      </c>
      <c r="AF1972" t="s">
        <v>1971</v>
      </c>
      <c r="AG1972" t="s">
        <v>5594</v>
      </c>
      <c r="AH1972">
        <v>13877</v>
      </c>
      <c r="AK1972">
        <v>0</v>
      </c>
      <c r="AL1972" t="s">
        <v>61</v>
      </c>
      <c r="AM1972" t="s">
        <v>7975</v>
      </c>
      <c r="AN1972" t="s">
        <v>7976</v>
      </c>
    </row>
    <row r="1973" spans="1:40" x14ac:dyDescent="0.35">
      <c r="A1973" t="s">
        <v>37</v>
      </c>
      <c r="B1973" t="s">
        <v>7977</v>
      </c>
      <c r="C1973" t="s">
        <v>102</v>
      </c>
      <c r="D1973" t="s">
        <v>1698</v>
      </c>
      <c r="E1973" t="s">
        <v>584</v>
      </c>
      <c r="F1973" s="1">
        <v>46072.998333333337</v>
      </c>
      <c r="G1973" t="s">
        <v>105</v>
      </c>
      <c r="H1973" t="s">
        <v>106</v>
      </c>
      <c r="I1973" t="s">
        <v>1742</v>
      </c>
      <c r="J1973" t="s">
        <v>108</v>
      </c>
      <c r="K1973" t="s">
        <v>341</v>
      </c>
      <c r="M1973" t="s">
        <v>47</v>
      </c>
      <c r="O1973" t="s">
        <v>77</v>
      </c>
      <c r="P1973" t="s">
        <v>78</v>
      </c>
      <c r="Q1973" t="s">
        <v>50</v>
      </c>
      <c r="R1973" t="s">
        <v>111</v>
      </c>
      <c r="S1973" t="s">
        <v>51</v>
      </c>
      <c r="T1973" t="s">
        <v>112</v>
      </c>
      <c r="U1973" s="1">
        <v>46073.298344907409</v>
      </c>
      <c r="V1973" t="s">
        <v>54</v>
      </c>
      <c r="X1973" t="s">
        <v>134</v>
      </c>
      <c r="Y1973" t="s">
        <v>7978</v>
      </c>
      <c r="Z1973" t="s">
        <v>5594</v>
      </c>
      <c r="AA1973" t="s">
        <v>54</v>
      </c>
      <c r="AB1973" t="s">
        <v>1701</v>
      </c>
      <c r="AC1973" t="s">
        <v>85</v>
      </c>
      <c r="AD1973" t="s">
        <v>116</v>
      </c>
      <c r="AE1973" t="s">
        <v>117</v>
      </c>
      <c r="AF1973" t="s">
        <v>1740</v>
      </c>
      <c r="AG1973" t="s">
        <v>5594</v>
      </c>
      <c r="AK1973">
        <v>1</v>
      </c>
      <c r="AL1973" t="s">
        <v>61</v>
      </c>
      <c r="AM1973" t="s">
        <v>1701</v>
      </c>
      <c r="AN1973" t="s">
        <v>1702</v>
      </c>
    </row>
    <row r="1974" spans="1:40" x14ac:dyDescent="0.35">
      <c r="A1974" t="s">
        <v>37</v>
      </c>
      <c r="B1974" t="s">
        <v>7979</v>
      </c>
      <c r="C1974" t="s">
        <v>39</v>
      </c>
      <c r="D1974" t="s">
        <v>40</v>
      </c>
      <c r="E1974" t="s">
        <v>41</v>
      </c>
      <c r="F1974" s="1">
        <v>46072.994571759256</v>
      </c>
      <c r="G1974" t="s">
        <v>42</v>
      </c>
      <c r="H1974" t="s">
        <v>43</v>
      </c>
      <c r="I1974" t="s">
        <v>7980</v>
      </c>
      <c r="J1974" t="s">
        <v>45</v>
      </c>
      <c r="K1974" t="s">
        <v>46</v>
      </c>
      <c r="M1974" t="s">
        <v>47</v>
      </c>
      <c r="O1974" t="s">
        <v>48</v>
      </c>
      <c r="P1974" t="s">
        <v>49</v>
      </c>
      <c r="Q1974" t="s">
        <v>50</v>
      </c>
      <c r="R1974" t="s">
        <v>51</v>
      </c>
      <c r="S1974" t="s">
        <v>52</v>
      </c>
      <c r="T1974" t="s">
        <v>53</v>
      </c>
      <c r="U1974" s="1">
        <v>46072.995370370372</v>
      </c>
      <c r="V1974" t="s">
        <v>54</v>
      </c>
      <c r="W1974" t="s">
        <v>55</v>
      </c>
      <c r="X1974" t="s">
        <v>56</v>
      </c>
      <c r="Y1974" t="s">
        <v>57</v>
      </c>
      <c r="Z1974" t="s">
        <v>5594</v>
      </c>
      <c r="AA1974" t="s">
        <v>54</v>
      </c>
      <c r="AB1974" t="s">
        <v>59</v>
      </c>
      <c r="AC1974" t="s">
        <v>60</v>
      </c>
      <c r="AD1974" t="s">
        <v>51</v>
      </c>
      <c r="AE1974" t="s">
        <v>52</v>
      </c>
      <c r="AF1974" t="s">
        <v>53</v>
      </c>
      <c r="AG1974" t="s">
        <v>5594</v>
      </c>
      <c r="AK1974">
        <v>0</v>
      </c>
      <c r="AL1974" t="s">
        <v>61</v>
      </c>
      <c r="AM1974" t="s">
        <v>59</v>
      </c>
      <c r="AN1974" t="s">
        <v>62</v>
      </c>
    </row>
    <row r="1975" spans="1:40" x14ac:dyDescent="0.35">
      <c r="A1975" t="s">
        <v>37</v>
      </c>
      <c r="B1975" t="s">
        <v>7981</v>
      </c>
      <c r="C1975" t="s">
        <v>656</v>
      </c>
      <c r="D1975" t="s">
        <v>1711</v>
      </c>
      <c r="E1975" t="s">
        <v>1712</v>
      </c>
      <c r="F1975" s="1">
        <v>46072.993402777778</v>
      </c>
      <c r="G1975" t="s">
        <v>1713</v>
      </c>
      <c r="H1975" t="s">
        <v>356</v>
      </c>
      <c r="I1975" t="s">
        <v>7982</v>
      </c>
      <c r="J1975" t="s">
        <v>7483</v>
      </c>
      <c r="K1975" t="s">
        <v>436</v>
      </c>
      <c r="M1975" t="s">
        <v>76</v>
      </c>
      <c r="O1975" t="s">
        <v>237</v>
      </c>
      <c r="P1975" t="s">
        <v>238</v>
      </c>
      <c r="Q1975" t="s">
        <v>50</v>
      </c>
      <c r="R1975" t="s">
        <v>51</v>
      </c>
      <c r="S1975" t="s">
        <v>52</v>
      </c>
      <c r="T1975" t="s">
        <v>4080</v>
      </c>
      <c r="U1975" s="1">
        <v>46076.417708333334</v>
      </c>
      <c r="V1975" t="s">
        <v>54</v>
      </c>
      <c r="W1975" t="s">
        <v>55</v>
      </c>
      <c r="X1975" t="s">
        <v>134</v>
      </c>
      <c r="Y1975" t="s">
        <v>7983</v>
      </c>
      <c r="Z1975" t="s">
        <v>58</v>
      </c>
      <c r="AA1975" t="s">
        <v>54</v>
      </c>
      <c r="AB1975" t="s">
        <v>1717</v>
      </c>
      <c r="AC1975" t="s">
        <v>242</v>
      </c>
      <c r="AD1975" t="s">
        <v>52</v>
      </c>
      <c r="AE1975" t="s">
        <v>243</v>
      </c>
      <c r="AF1975" t="s">
        <v>244</v>
      </c>
      <c r="AG1975" t="s">
        <v>58</v>
      </c>
      <c r="AK1975">
        <v>1</v>
      </c>
      <c r="AL1975" t="s">
        <v>61</v>
      </c>
      <c r="AM1975" t="s">
        <v>1717</v>
      </c>
      <c r="AN1975" t="s">
        <v>1720</v>
      </c>
    </row>
    <row r="1976" spans="1:40" x14ac:dyDescent="0.35">
      <c r="A1976" t="s">
        <v>37</v>
      </c>
      <c r="B1976" t="s">
        <v>7984</v>
      </c>
      <c r="C1976" t="s">
        <v>39</v>
      </c>
      <c r="D1976" t="s">
        <v>4462</v>
      </c>
      <c r="E1976" t="s">
        <v>4463</v>
      </c>
      <c r="F1976" s="1">
        <v>46072.977881944447</v>
      </c>
      <c r="G1976" t="s">
        <v>1363</v>
      </c>
      <c r="H1976" t="s">
        <v>106</v>
      </c>
      <c r="I1976" t="s">
        <v>7985</v>
      </c>
      <c r="J1976" t="s">
        <v>435</v>
      </c>
      <c r="K1976" t="s">
        <v>436</v>
      </c>
      <c r="M1976" t="s">
        <v>131</v>
      </c>
      <c r="O1976" t="s">
        <v>48</v>
      </c>
      <c r="P1976" t="s">
        <v>49</v>
      </c>
      <c r="Q1976" t="s">
        <v>818</v>
      </c>
      <c r="R1976" t="s">
        <v>51</v>
      </c>
      <c r="S1976" t="s">
        <v>52</v>
      </c>
      <c r="T1976" t="s">
        <v>240</v>
      </c>
      <c r="U1976" s="1">
        <v>46076.415370370371</v>
      </c>
      <c r="V1976" t="s">
        <v>54</v>
      </c>
      <c r="W1976" t="s">
        <v>55</v>
      </c>
      <c r="X1976" t="s">
        <v>82</v>
      </c>
      <c r="Y1976" t="s">
        <v>7986</v>
      </c>
      <c r="Z1976" t="s">
        <v>58</v>
      </c>
      <c r="AA1976" t="s">
        <v>54</v>
      </c>
      <c r="AB1976" t="s">
        <v>709</v>
      </c>
      <c r="AC1976" t="s">
        <v>60</v>
      </c>
      <c r="AD1976" t="s">
        <v>52</v>
      </c>
      <c r="AE1976" t="s">
        <v>243</v>
      </c>
      <c r="AF1976" t="s">
        <v>1470</v>
      </c>
      <c r="AG1976" t="s">
        <v>58</v>
      </c>
      <c r="AH1976">
        <v>357</v>
      </c>
      <c r="AK1976">
        <v>1</v>
      </c>
      <c r="AL1976" t="s">
        <v>410</v>
      </c>
      <c r="AM1976" t="s">
        <v>4469</v>
      </c>
      <c r="AN1976" t="s">
        <v>4470</v>
      </c>
    </row>
    <row r="1977" spans="1:40" x14ac:dyDescent="0.35">
      <c r="A1977" t="s">
        <v>37</v>
      </c>
      <c r="B1977" t="s">
        <v>7987</v>
      </c>
      <c r="C1977" t="s">
        <v>102</v>
      </c>
      <c r="D1977" t="s">
        <v>1698</v>
      </c>
      <c r="E1977" t="s">
        <v>584</v>
      </c>
      <c r="F1977" s="1">
        <v>46072.969004629631</v>
      </c>
      <c r="G1977" t="s">
        <v>105</v>
      </c>
      <c r="H1977" t="s">
        <v>106</v>
      </c>
      <c r="I1977" t="s">
        <v>1851</v>
      </c>
      <c r="J1977" t="s">
        <v>108</v>
      </c>
      <c r="K1977" t="s">
        <v>109</v>
      </c>
      <c r="M1977" t="s">
        <v>47</v>
      </c>
      <c r="O1977" t="s">
        <v>77</v>
      </c>
      <c r="P1977" t="s">
        <v>78</v>
      </c>
      <c r="Q1977" t="s">
        <v>50</v>
      </c>
      <c r="R1977" t="s">
        <v>111</v>
      </c>
      <c r="S1977" t="s">
        <v>51</v>
      </c>
      <c r="T1977" t="s">
        <v>112</v>
      </c>
      <c r="U1977" s="1">
        <v>46073.595636574071</v>
      </c>
      <c r="V1977" t="s">
        <v>54</v>
      </c>
      <c r="W1977" t="s">
        <v>1584</v>
      </c>
      <c r="X1977" t="s">
        <v>134</v>
      </c>
      <c r="Y1977" t="s">
        <v>7335</v>
      </c>
      <c r="Z1977" t="s">
        <v>5594</v>
      </c>
      <c r="AA1977" t="s">
        <v>54</v>
      </c>
      <c r="AB1977" t="s">
        <v>1701</v>
      </c>
      <c r="AC1977" t="s">
        <v>85</v>
      </c>
      <c r="AD1977" t="s">
        <v>116</v>
      </c>
      <c r="AE1977" t="s">
        <v>117</v>
      </c>
      <c r="AF1977" t="s">
        <v>144</v>
      </c>
      <c r="AG1977" t="s">
        <v>5594</v>
      </c>
      <c r="AK1977">
        <v>1</v>
      </c>
      <c r="AL1977" t="s">
        <v>61</v>
      </c>
      <c r="AM1977" t="s">
        <v>1701</v>
      </c>
      <c r="AN1977" t="s">
        <v>1702</v>
      </c>
    </row>
    <row r="1978" spans="1:40" x14ac:dyDescent="0.35">
      <c r="A1978" t="s">
        <v>37</v>
      </c>
      <c r="B1978" t="s">
        <v>7988</v>
      </c>
      <c r="C1978" t="s">
        <v>656</v>
      </c>
      <c r="D1978" t="s">
        <v>1711</v>
      </c>
      <c r="E1978" t="s">
        <v>1712</v>
      </c>
      <c r="F1978" s="1">
        <v>46072.96197916667</v>
      </c>
      <c r="G1978" t="s">
        <v>1713</v>
      </c>
      <c r="H1978" t="s">
        <v>356</v>
      </c>
      <c r="I1978" t="s">
        <v>7989</v>
      </c>
      <c r="J1978" t="s">
        <v>2406</v>
      </c>
      <c r="K1978" t="s">
        <v>1187</v>
      </c>
      <c r="M1978" t="s">
        <v>131</v>
      </c>
      <c r="O1978" t="s">
        <v>237</v>
      </c>
      <c r="P1978" t="s">
        <v>238</v>
      </c>
      <c r="Q1978" t="s">
        <v>50</v>
      </c>
      <c r="R1978" t="s">
        <v>305</v>
      </c>
      <c r="S1978" t="s">
        <v>306</v>
      </c>
      <c r="T1978" t="s">
        <v>1715</v>
      </c>
      <c r="U1978" s="1">
        <v>46076.59983796296</v>
      </c>
      <c r="V1978" t="s">
        <v>54</v>
      </c>
      <c r="W1978" t="s">
        <v>55</v>
      </c>
      <c r="X1978" t="s">
        <v>134</v>
      </c>
      <c r="Y1978" t="s">
        <v>7990</v>
      </c>
      <c r="Z1978" t="s">
        <v>58</v>
      </c>
      <c r="AA1978" t="s">
        <v>54</v>
      </c>
      <c r="AB1978" t="s">
        <v>1717</v>
      </c>
      <c r="AC1978" t="s">
        <v>242</v>
      </c>
      <c r="AD1978" t="s">
        <v>1189</v>
      </c>
      <c r="AE1978" t="s">
        <v>1190</v>
      </c>
      <c r="AF1978" t="s">
        <v>3058</v>
      </c>
      <c r="AG1978" t="s">
        <v>58</v>
      </c>
      <c r="AK1978">
        <v>1</v>
      </c>
      <c r="AL1978" t="s">
        <v>61</v>
      </c>
      <c r="AM1978" t="s">
        <v>1717</v>
      </c>
      <c r="AN1978" t="s">
        <v>1720</v>
      </c>
    </row>
    <row r="1979" spans="1:40" x14ac:dyDescent="0.35">
      <c r="A1979" t="s">
        <v>37</v>
      </c>
      <c r="B1979" t="s">
        <v>7991</v>
      </c>
      <c r="C1979" t="s">
        <v>39</v>
      </c>
      <c r="D1979" t="s">
        <v>40</v>
      </c>
      <c r="E1979" t="s">
        <v>41</v>
      </c>
      <c r="F1979" s="1">
        <v>46072.953067129631</v>
      </c>
      <c r="G1979" t="s">
        <v>42</v>
      </c>
      <c r="H1979" t="s">
        <v>43</v>
      </c>
      <c r="I1979" t="s">
        <v>7992</v>
      </c>
      <c r="J1979" t="s">
        <v>45</v>
      </c>
      <c r="K1979" t="s">
        <v>46</v>
      </c>
      <c r="M1979" t="s">
        <v>47</v>
      </c>
      <c r="O1979" t="s">
        <v>48</v>
      </c>
      <c r="P1979" t="s">
        <v>49</v>
      </c>
      <c r="Q1979" t="s">
        <v>50</v>
      </c>
      <c r="R1979" t="s">
        <v>51</v>
      </c>
      <c r="S1979" t="s">
        <v>52</v>
      </c>
      <c r="T1979" t="s">
        <v>53</v>
      </c>
      <c r="U1979" s="1">
        <v>46072.953715277778</v>
      </c>
      <c r="V1979" t="s">
        <v>54</v>
      </c>
      <c r="W1979" t="s">
        <v>55</v>
      </c>
      <c r="X1979" t="s">
        <v>56</v>
      </c>
      <c r="Y1979" t="s">
        <v>57</v>
      </c>
      <c r="Z1979" t="s">
        <v>5594</v>
      </c>
      <c r="AA1979" t="s">
        <v>54</v>
      </c>
      <c r="AB1979" t="s">
        <v>59</v>
      </c>
      <c r="AC1979" t="s">
        <v>60</v>
      </c>
      <c r="AD1979" t="s">
        <v>51</v>
      </c>
      <c r="AE1979" t="s">
        <v>52</v>
      </c>
      <c r="AF1979" t="s">
        <v>53</v>
      </c>
      <c r="AG1979" t="s">
        <v>5594</v>
      </c>
      <c r="AK1979">
        <v>0</v>
      </c>
      <c r="AL1979" t="s">
        <v>61</v>
      </c>
      <c r="AM1979" t="s">
        <v>59</v>
      </c>
      <c r="AN1979" t="s">
        <v>62</v>
      </c>
    </row>
    <row r="1980" spans="1:40" x14ac:dyDescent="0.35">
      <c r="A1980" t="s">
        <v>37</v>
      </c>
      <c r="B1980" t="s">
        <v>7993</v>
      </c>
      <c r="C1980" t="s">
        <v>39</v>
      </c>
      <c r="D1980" t="s">
        <v>40</v>
      </c>
      <c r="E1980" t="s">
        <v>41</v>
      </c>
      <c r="F1980" s="1">
        <v>46072.952997685185</v>
      </c>
      <c r="G1980" t="s">
        <v>42</v>
      </c>
      <c r="H1980" t="s">
        <v>43</v>
      </c>
      <c r="I1980" t="s">
        <v>7994</v>
      </c>
      <c r="J1980" t="s">
        <v>45</v>
      </c>
      <c r="K1980" t="s">
        <v>46</v>
      </c>
      <c r="M1980" t="s">
        <v>47</v>
      </c>
      <c r="O1980" t="s">
        <v>48</v>
      </c>
      <c r="P1980" t="s">
        <v>49</v>
      </c>
      <c r="Q1980" t="s">
        <v>50</v>
      </c>
      <c r="R1980" t="s">
        <v>51</v>
      </c>
      <c r="S1980" t="s">
        <v>52</v>
      </c>
      <c r="T1980" t="s">
        <v>53</v>
      </c>
      <c r="U1980" s="1">
        <v>46072.953668981485</v>
      </c>
      <c r="V1980" t="s">
        <v>54</v>
      </c>
      <c r="W1980" t="s">
        <v>55</v>
      </c>
      <c r="X1980" t="s">
        <v>56</v>
      </c>
      <c r="Y1980" t="s">
        <v>57</v>
      </c>
      <c r="Z1980" t="s">
        <v>5594</v>
      </c>
      <c r="AA1980" t="s">
        <v>54</v>
      </c>
      <c r="AB1980" t="s">
        <v>59</v>
      </c>
      <c r="AC1980" t="s">
        <v>60</v>
      </c>
      <c r="AD1980" t="s">
        <v>51</v>
      </c>
      <c r="AE1980" t="s">
        <v>52</v>
      </c>
      <c r="AF1980" t="s">
        <v>53</v>
      </c>
      <c r="AG1980" t="s">
        <v>5594</v>
      </c>
      <c r="AK1980">
        <v>0</v>
      </c>
      <c r="AL1980" t="s">
        <v>61</v>
      </c>
      <c r="AM1980" t="s">
        <v>59</v>
      </c>
      <c r="AN1980" t="s">
        <v>62</v>
      </c>
    </row>
    <row r="1981" spans="1:40" x14ac:dyDescent="0.35">
      <c r="A1981" t="s">
        <v>37</v>
      </c>
      <c r="B1981" t="s">
        <v>7995</v>
      </c>
      <c r="C1981" t="s">
        <v>39</v>
      </c>
      <c r="D1981" t="s">
        <v>40</v>
      </c>
      <c r="E1981" t="s">
        <v>41</v>
      </c>
      <c r="F1981" s="1">
        <v>46072.952928240738</v>
      </c>
      <c r="G1981" t="s">
        <v>42</v>
      </c>
      <c r="H1981" t="s">
        <v>43</v>
      </c>
      <c r="I1981" t="s">
        <v>7996</v>
      </c>
      <c r="J1981" t="s">
        <v>45</v>
      </c>
      <c r="K1981" t="s">
        <v>46</v>
      </c>
      <c r="M1981" t="s">
        <v>47</v>
      </c>
      <c r="O1981" t="s">
        <v>48</v>
      </c>
      <c r="P1981" t="s">
        <v>49</v>
      </c>
      <c r="Q1981" t="s">
        <v>50</v>
      </c>
      <c r="R1981" t="s">
        <v>51</v>
      </c>
      <c r="S1981" t="s">
        <v>52</v>
      </c>
      <c r="T1981" t="s">
        <v>53</v>
      </c>
      <c r="U1981" s="1">
        <v>46072.953668981485</v>
      </c>
      <c r="V1981" t="s">
        <v>54</v>
      </c>
      <c r="W1981" t="s">
        <v>55</v>
      </c>
      <c r="X1981" t="s">
        <v>56</v>
      </c>
      <c r="Y1981" t="s">
        <v>57</v>
      </c>
      <c r="Z1981" t="s">
        <v>5594</v>
      </c>
      <c r="AA1981" t="s">
        <v>54</v>
      </c>
      <c r="AB1981" t="s">
        <v>59</v>
      </c>
      <c r="AC1981" t="s">
        <v>60</v>
      </c>
      <c r="AD1981" t="s">
        <v>51</v>
      </c>
      <c r="AE1981" t="s">
        <v>52</v>
      </c>
      <c r="AF1981" t="s">
        <v>53</v>
      </c>
      <c r="AG1981" t="s">
        <v>5594</v>
      </c>
      <c r="AK1981">
        <v>0</v>
      </c>
      <c r="AL1981" t="s">
        <v>61</v>
      </c>
      <c r="AM1981" t="s">
        <v>59</v>
      </c>
      <c r="AN1981" t="s">
        <v>62</v>
      </c>
    </row>
    <row r="1982" spans="1:40" x14ac:dyDescent="0.35">
      <c r="A1982" t="s">
        <v>37</v>
      </c>
      <c r="B1982" t="s">
        <v>7997</v>
      </c>
      <c r="C1982" t="s">
        <v>102</v>
      </c>
      <c r="D1982" t="s">
        <v>181</v>
      </c>
      <c r="E1982" t="s">
        <v>182</v>
      </c>
      <c r="F1982" s="1">
        <v>46072.952222222222</v>
      </c>
      <c r="G1982" t="s">
        <v>105</v>
      </c>
      <c r="H1982" t="s">
        <v>106</v>
      </c>
      <c r="I1982" t="s">
        <v>1898</v>
      </c>
      <c r="J1982" t="s">
        <v>108</v>
      </c>
      <c r="K1982" t="s">
        <v>109</v>
      </c>
      <c r="M1982" t="s">
        <v>47</v>
      </c>
      <c r="O1982" t="s">
        <v>77</v>
      </c>
      <c r="P1982" t="s">
        <v>78</v>
      </c>
      <c r="Q1982" t="s">
        <v>50</v>
      </c>
      <c r="R1982" t="s">
        <v>111</v>
      </c>
      <c r="S1982" t="s">
        <v>51</v>
      </c>
      <c r="T1982" t="s">
        <v>112</v>
      </c>
      <c r="U1982" s="1">
        <v>46072.961226851854</v>
      </c>
      <c r="V1982" t="s">
        <v>54</v>
      </c>
      <c r="W1982" t="s">
        <v>55</v>
      </c>
      <c r="X1982" t="s">
        <v>82</v>
      </c>
      <c r="Y1982" t="s">
        <v>7998</v>
      </c>
      <c r="Z1982" t="s">
        <v>5594</v>
      </c>
      <c r="AA1982" t="s">
        <v>54</v>
      </c>
      <c r="AB1982" t="s">
        <v>115</v>
      </c>
      <c r="AC1982" t="s">
        <v>85</v>
      </c>
      <c r="AD1982" t="s">
        <v>116</v>
      </c>
      <c r="AE1982" t="s">
        <v>117</v>
      </c>
      <c r="AF1982" t="s">
        <v>118</v>
      </c>
      <c r="AG1982" t="s">
        <v>5594</v>
      </c>
      <c r="AH1982" t="s">
        <v>185</v>
      </c>
      <c r="AK1982">
        <v>1</v>
      </c>
      <c r="AL1982" t="s">
        <v>61</v>
      </c>
      <c r="AM1982" t="s">
        <v>186</v>
      </c>
      <c r="AN1982" t="s">
        <v>187</v>
      </c>
    </row>
    <row r="1983" spans="1:40" x14ac:dyDescent="0.35">
      <c r="A1983" t="s">
        <v>37</v>
      </c>
      <c r="B1983" t="s">
        <v>7999</v>
      </c>
      <c r="C1983" t="s">
        <v>39</v>
      </c>
      <c r="D1983" t="s">
        <v>89</v>
      </c>
      <c r="E1983" t="s">
        <v>8000</v>
      </c>
      <c r="F1983" s="1">
        <v>46072.942777777775</v>
      </c>
      <c r="G1983" t="s">
        <v>170</v>
      </c>
      <c r="H1983" t="s">
        <v>92</v>
      </c>
      <c r="I1983" t="s">
        <v>8001</v>
      </c>
      <c r="J1983" t="s">
        <v>1015</v>
      </c>
      <c r="K1983" t="s">
        <v>75</v>
      </c>
      <c r="M1983" t="s">
        <v>47</v>
      </c>
      <c r="O1983" t="s">
        <v>77</v>
      </c>
      <c r="P1983" t="s">
        <v>78</v>
      </c>
      <c r="Q1983" t="s">
        <v>50</v>
      </c>
      <c r="R1983" t="s">
        <v>79</v>
      </c>
      <c r="S1983" t="s">
        <v>967</v>
      </c>
      <c r="T1983" t="s">
        <v>1072</v>
      </c>
      <c r="U1983" s="1">
        <v>46072.944456018522</v>
      </c>
      <c r="V1983" t="s">
        <v>54</v>
      </c>
      <c r="W1983" t="s">
        <v>55</v>
      </c>
      <c r="X1983" t="s">
        <v>82</v>
      </c>
      <c r="Y1983" t="s">
        <v>1142</v>
      </c>
      <c r="Z1983" t="s">
        <v>5594</v>
      </c>
      <c r="AA1983" t="s">
        <v>54</v>
      </c>
      <c r="AB1983" t="s">
        <v>954</v>
      </c>
      <c r="AC1983" t="s">
        <v>85</v>
      </c>
      <c r="AD1983" t="s">
        <v>79</v>
      </c>
      <c r="AE1983" t="s">
        <v>967</v>
      </c>
      <c r="AF1983" t="s">
        <v>1072</v>
      </c>
      <c r="AG1983" t="s">
        <v>5594</v>
      </c>
      <c r="AH1983">
        <v>15977</v>
      </c>
      <c r="AK1983">
        <v>0</v>
      </c>
      <c r="AL1983" t="s">
        <v>61</v>
      </c>
      <c r="AM1983" t="s">
        <v>8002</v>
      </c>
      <c r="AN1983" t="s">
        <v>8003</v>
      </c>
    </row>
    <row r="1984" spans="1:40" x14ac:dyDescent="0.35">
      <c r="A1984" t="s">
        <v>37</v>
      </c>
      <c r="B1984" t="s">
        <v>8004</v>
      </c>
      <c r="C1984" t="s">
        <v>102</v>
      </c>
      <c r="D1984" t="s">
        <v>146</v>
      </c>
      <c r="E1984" t="s">
        <v>147</v>
      </c>
      <c r="F1984" s="1">
        <v>46072.942685185182</v>
      </c>
      <c r="G1984" t="s">
        <v>71</v>
      </c>
      <c r="H1984" t="s">
        <v>72</v>
      </c>
      <c r="I1984" t="s">
        <v>8005</v>
      </c>
      <c r="J1984" t="s">
        <v>149</v>
      </c>
      <c r="K1984" t="s">
        <v>130</v>
      </c>
      <c r="M1984" t="s">
        <v>47</v>
      </c>
      <c r="O1984" t="s">
        <v>77</v>
      </c>
      <c r="P1984" t="s">
        <v>78</v>
      </c>
      <c r="Q1984" t="s">
        <v>50</v>
      </c>
      <c r="R1984" t="s">
        <v>132</v>
      </c>
      <c r="S1984" t="s">
        <v>133</v>
      </c>
      <c r="T1984" t="s">
        <v>133</v>
      </c>
      <c r="U1984" s="1">
        <v>46073.338854166665</v>
      </c>
      <c r="V1984" t="s">
        <v>54</v>
      </c>
      <c r="W1984" t="s">
        <v>55</v>
      </c>
      <c r="X1984" t="s">
        <v>82</v>
      </c>
      <c r="Y1984" t="s">
        <v>3801</v>
      </c>
      <c r="Z1984" t="s">
        <v>5594</v>
      </c>
      <c r="AA1984" t="s">
        <v>54</v>
      </c>
      <c r="AB1984" t="s">
        <v>152</v>
      </c>
      <c r="AC1984" t="s">
        <v>85</v>
      </c>
      <c r="AD1984" t="s">
        <v>132</v>
      </c>
      <c r="AE1984" t="s">
        <v>133</v>
      </c>
      <c r="AF1984" t="s">
        <v>133</v>
      </c>
      <c r="AG1984" t="s">
        <v>5594</v>
      </c>
      <c r="AH1984" t="s">
        <v>153</v>
      </c>
      <c r="AK1984">
        <v>1</v>
      </c>
      <c r="AL1984" t="s">
        <v>61</v>
      </c>
      <c r="AM1984" t="s">
        <v>152</v>
      </c>
      <c r="AN1984" t="s">
        <v>154</v>
      </c>
    </row>
    <row r="1985" spans="1:40" x14ac:dyDescent="0.35">
      <c r="A1985" t="s">
        <v>37</v>
      </c>
      <c r="B1985" t="s">
        <v>8006</v>
      </c>
      <c r="C1985" t="s">
        <v>102</v>
      </c>
      <c r="D1985" t="s">
        <v>126</v>
      </c>
      <c r="E1985" t="s">
        <v>127</v>
      </c>
      <c r="F1985" s="1">
        <v>46072.936226851853</v>
      </c>
      <c r="G1985" t="s">
        <v>71</v>
      </c>
      <c r="H1985" t="s">
        <v>72</v>
      </c>
      <c r="I1985" t="s">
        <v>8007</v>
      </c>
      <c r="J1985" t="s">
        <v>129</v>
      </c>
      <c r="K1985" t="s">
        <v>565</v>
      </c>
      <c r="M1985" t="s">
        <v>47</v>
      </c>
      <c r="O1985" t="s">
        <v>77</v>
      </c>
      <c r="P1985" t="s">
        <v>78</v>
      </c>
      <c r="Q1985" t="s">
        <v>50</v>
      </c>
      <c r="R1985" t="s">
        <v>51</v>
      </c>
      <c r="S1985" t="s">
        <v>52</v>
      </c>
      <c r="T1985" t="s">
        <v>195</v>
      </c>
      <c r="U1985" s="1">
        <v>46073.409363425926</v>
      </c>
      <c r="V1985" t="s">
        <v>54</v>
      </c>
      <c r="W1985" t="s">
        <v>55</v>
      </c>
      <c r="X1985" t="s">
        <v>134</v>
      </c>
      <c r="Y1985" t="s">
        <v>8008</v>
      </c>
      <c r="Z1985" t="s">
        <v>5594</v>
      </c>
      <c r="AA1985" t="s">
        <v>54</v>
      </c>
      <c r="AB1985" t="s">
        <v>136</v>
      </c>
      <c r="AC1985" t="s">
        <v>85</v>
      </c>
      <c r="AD1985" t="s">
        <v>51</v>
      </c>
      <c r="AE1985" t="s">
        <v>52</v>
      </c>
      <c r="AF1985" t="s">
        <v>195</v>
      </c>
      <c r="AG1985" t="s">
        <v>5594</v>
      </c>
      <c r="AH1985" t="s">
        <v>137</v>
      </c>
      <c r="AK1985">
        <v>1</v>
      </c>
      <c r="AL1985" t="s">
        <v>61</v>
      </c>
      <c r="AM1985" t="s">
        <v>136</v>
      </c>
      <c r="AN1985" t="s">
        <v>138</v>
      </c>
    </row>
    <row r="1986" spans="1:40" x14ac:dyDescent="0.35">
      <c r="A1986" t="s">
        <v>37</v>
      </c>
      <c r="B1986" t="s">
        <v>8009</v>
      </c>
      <c r="C1986" t="s">
        <v>102</v>
      </c>
      <c r="D1986" t="s">
        <v>1698</v>
      </c>
      <c r="E1986" t="s">
        <v>584</v>
      </c>
      <c r="F1986" s="1">
        <v>46072.928576388891</v>
      </c>
      <c r="G1986" t="s">
        <v>105</v>
      </c>
      <c r="H1986" t="s">
        <v>106</v>
      </c>
      <c r="I1986" t="s">
        <v>6690</v>
      </c>
      <c r="J1986" t="s">
        <v>108</v>
      </c>
      <c r="K1986" t="s">
        <v>571</v>
      </c>
      <c r="M1986" t="s">
        <v>47</v>
      </c>
      <c r="O1986" t="s">
        <v>77</v>
      </c>
      <c r="P1986" t="s">
        <v>78</v>
      </c>
      <c r="Q1986" t="s">
        <v>50</v>
      </c>
      <c r="R1986" t="s">
        <v>111</v>
      </c>
      <c r="S1986" t="s">
        <v>51</v>
      </c>
      <c r="T1986" t="s">
        <v>112</v>
      </c>
      <c r="U1986" s="1">
        <v>46072.957662037035</v>
      </c>
      <c r="V1986" t="s">
        <v>54</v>
      </c>
      <c r="W1986" t="s">
        <v>55</v>
      </c>
      <c r="X1986" t="s">
        <v>134</v>
      </c>
      <c r="Y1986" t="s">
        <v>8010</v>
      </c>
      <c r="Z1986" t="s">
        <v>5594</v>
      </c>
      <c r="AA1986" t="s">
        <v>54</v>
      </c>
      <c r="AB1986" t="s">
        <v>1701</v>
      </c>
      <c r="AC1986" t="s">
        <v>85</v>
      </c>
      <c r="AD1986" t="s">
        <v>116</v>
      </c>
      <c r="AE1986" t="s">
        <v>574</v>
      </c>
      <c r="AF1986" t="s">
        <v>4577</v>
      </c>
      <c r="AG1986" t="s">
        <v>5594</v>
      </c>
      <c r="AK1986">
        <v>1</v>
      </c>
      <c r="AL1986" t="s">
        <v>61</v>
      </c>
      <c r="AM1986" t="s">
        <v>1701</v>
      </c>
      <c r="AN1986" t="s">
        <v>1702</v>
      </c>
    </row>
    <row r="1987" spans="1:40" x14ac:dyDescent="0.35">
      <c r="A1987" t="s">
        <v>37</v>
      </c>
      <c r="B1987" t="s">
        <v>8011</v>
      </c>
      <c r="C1987" t="s">
        <v>102</v>
      </c>
      <c r="D1987" t="s">
        <v>1698</v>
      </c>
      <c r="E1987" t="s">
        <v>584</v>
      </c>
      <c r="F1987" s="1">
        <v>46072.924351851849</v>
      </c>
      <c r="G1987" t="s">
        <v>105</v>
      </c>
      <c r="H1987" t="s">
        <v>106</v>
      </c>
      <c r="I1987" t="s">
        <v>570</v>
      </c>
      <c r="J1987" t="s">
        <v>108</v>
      </c>
      <c r="K1987" t="s">
        <v>571</v>
      </c>
      <c r="M1987" t="s">
        <v>47</v>
      </c>
      <c r="O1987" t="s">
        <v>77</v>
      </c>
      <c r="P1987" t="s">
        <v>78</v>
      </c>
      <c r="Q1987" t="s">
        <v>50</v>
      </c>
      <c r="R1987" t="s">
        <v>111</v>
      </c>
      <c r="S1987" t="s">
        <v>51</v>
      </c>
      <c r="T1987" t="s">
        <v>112</v>
      </c>
      <c r="U1987" s="1">
        <v>46072.957280092596</v>
      </c>
      <c r="V1987" t="s">
        <v>54</v>
      </c>
      <c r="W1987" t="s">
        <v>55</v>
      </c>
      <c r="X1987" t="s">
        <v>134</v>
      </c>
      <c r="Y1987" t="s">
        <v>8010</v>
      </c>
      <c r="Z1987" t="s">
        <v>5594</v>
      </c>
      <c r="AA1987" t="s">
        <v>54</v>
      </c>
      <c r="AB1987" t="s">
        <v>1701</v>
      </c>
      <c r="AC1987" t="s">
        <v>85</v>
      </c>
      <c r="AD1987" t="s">
        <v>116</v>
      </c>
      <c r="AE1987" t="s">
        <v>574</v>
      </c>
      <c r="AF1987" t="s">
        <v>4577</v>
      </c>
      <c r="AG1987" t="s">
        <v>5594</v>
      </c>
      <c r="AK1987">
        <v>1</v>
      </c>
      <c r="AL1987" t="s">
        <v>61</v>
      </c>
      <c r="AM1987" t="s">
        <v>1701</v>
      </c>
      <c r="AN1987" t="s">
        <v>1702</v>
      </c>
    </row>
    <row r="1988" spans="1:40" x14ac:dyDescent="0.35">
      <c r="A1988" t="s">
        <v>37</v>
      </c>
      <c r="B1988" t="s">
        <v>8012</v>
      </c>
      <c r="C1988" t="s">
        <v>39</v>
      </c>
      <c r="D1988" t="s">
        <v>40</v>
      </c>
      <c r="E1988" t="s">
        <v>41</v>
      </c>
      <c r="F1988" s="1">
        <v>46072.924097222225</v>
      </c>
      <c r="G1988" t="s">
        <v>42</v>
      </c>
      <c r="H1988" t="s">
        <v>43</v>
      </c>
      <c r="I1988" t="s">
        <v>8013</v>
      </c>
      <c r="J1988" t="s">
        <v>45</v>
      </c>
      <c r="K1988" t="s">
        <v>46</v>
      </c>
      <c r="M1988" t="s">
        <v>47</v>
      </c>
      <c r="O1988" t="s">
        <v>48</v>
      </c>
      <c r="P1988" t="s">
        <v>49</v>
      </c>
      <c r="Q1988" t="s">
        <v>50</v>
      </c>
      <c r="R1988" t="s">
        <v>51</v>
      </c>
      <c r="S1988" t="s">
        <v>52</v>
      </c>
      <c r="T1988" t="s">
        <v>53</v>
      </c>
      <c r="U1988" s="1">
        <v>46072.924837962964</v>
      </c>
      <c r="V1988" t="s">
        <v>54</v>
      </c>
      <c r="W1988" t="s">
        <v>55</v>
      </c>
      <c r="X1988" t="s">
        <v>56</v>
      </c>
      <c r="Y1988" t="s">
        <v>65</v>
      </c>
      <c r="Z1988" t="s">
        <v>5594</v>
      </c>
      <c r="AA1988" t="s">
        <v>54</v>
      </c>
      <c r="AB1988" t="s">
        <v>59</v>
      </c>
      <c r="AC1988" t="s">
        <v>60</v>
      </c>
      <c r="AD1988" t="s">
        <v>51</v>
      </c>
      <c r="AE1988" t="s">
        <v>52</v>
      </c>
      <c r="AF1988" t="s">
        <v>53</v>
      </c>
      <c r="AG1988" t="s">
        <v>5594</v>
      </c>
      <c r="AK1988">
        <v>0</v>
      </c>
      <c r="AL1988" t="s">
        <v>61</v>
      </c>
      <c r="AM1988" t="s">
        <v>59</v>
      </c>
      <c r="AN1988" t="s">
        <v>62</v>
      </c>
    </row>
    <row r="1989" spans="1:40" x14ac:dyDescent="0.35">
      <c r="A1989" t="s">
        <v>37</v>
      </c>
      <c r="B1989" t="s">
        <v>8014</v>
      </c>
      <c r="C1989" t="s">
        <v>102</v>
      </c>
      <c r="D1989" t="s">
        <v>146</v>
      </c>
      <c r="E1989" t="s">
        <v>147</v>
      </c>
      <c r="F1989" s="1">
        <v>46072.921342592592</v>
      </c>
      <c r="G1989" t="s">
        <v>71</v>
      </c>
      <c r="H1989" t="s">
        <v>72</v>
      </c>
      <c r="I1989" t="s">
        <v>8015</v>
      </c>
      <c r="J1989" t="s">
        <v>149</v>
      </c>
      <c r="K1989" t="s">
        <v>130</v>
      </c>
      <c r="M1989" t="s">
        <v>47</v>
      </c>
      <c r="O1989" t="s">
        <v>77</v>
      </c>
      <c r="P1989" t="s">
        <v>78</v>
      </c>
      <c r="Q1989" t="s">
        <v>50</v>
      </c>
      <c r="R1989" t="s">
        <v>132</v>
      </c>
      <c r="S1989" t="s">
        <v>133</v>
      </c>
      <c r="T1989" t="s">
        <v>133</v>
      </c>
      <c r="U1989" s="1">
        <v>46073.409826388888</v>
      </c>
      <c r="V1989" t="s">
        <v>54</v>
      </c>
      <c r="W1989" t="s">
        <v>55</v>
      </c>
      <c r="X1989" t="s">
        <v>82</v>
      </c>
      <c r="Y1989" t="s">
        <v>8016</v>
      </c>
      <c r="Z1989" t="s">
        <v>5594</v>
      </c>
      <c r="AA1989" t="s">
        <v>54</v>
      </c>
      <c r="AB1989" t="s">
        <v>152</v>
      </c>
      <c r="AC1989" t="s">
        <v>85</v>
      </c>
      <c r="AD1989" t="s">
        <v>132</v>
      </c>
      <c r="AE1989" t="s">
        <v>133</v>
      </c>
      <c r="AF1989" t="s">
        <v>133</v>
      </c>
      <c r="AG1989" t="s">
        <v>5594</v>
      </c>
      <c r="AH1989" t="s">
        <v>153</v>
      </c>
      <c r="AK1989">
        <v>1</v>
      </c>
      <c r="AL1989" t="s">
        <v>61</v>
      </c>
      <c r="AM1989" t="s">
        <v>152</v>
      </c>
      <c r="AN1989" t="s">
        <v>154</v>
      </c>
    </row>
    <row r="1990" spans="1:40" x14ac:dyDescent="0.35">
      <c r="A1990" t="s">
        <v>37</v>
      </c>
      <c r="B1990" t="s">
        <v>8017</v>
      </c>
      <c r="C1990" t="s">
        <v>102</v>
      </c>
      <c r="D1990" t="s">
        <v>1698</v>
      </c>
      <c r="E1990" t="s">
        <v>584</v>
      </c>
      <c r="F1990" s="1">
        <v>46072.917268518519</v>
      </c>
      <c r="G1990" t="s">
        <v>105</v>
      </c>
      <c r="H1990" t="s">
        <v>106</v>
      </c>
      <c r="I1990" t="s">
        <v>570</v>
      </c>
      <c r="J1990" t="s">
        <v>108</v>
      </c>
      <c r="K1990" t="s">
        <v>571</v>
      </c>
      <c r="M1990" t="s">
        <v>47</v>
      </c>
      <c r="O1990" t="s">
        <v>77</v>
      </c>
      <c r="P1990" t="s">
        <v>78</v>
      </c>
      <c r="Q1990" t="s">
        <v>50</v>
      </c>
      <c r="R1990" t="s">
        <v>111</v>
      </c>
      <c r="S1990" t="s">
        <v>51</v>
      </c>
      <c r="T1990" t="s">
        <v>112</v>
      </c>
      <c r="U1990" s="1">
        <v>46072.956655092596</v>
      </c>
      <c r="V1990" t="s">
        <v>54</v>
      </c>
      <c r="W1990" t="s">
        <v>55</v>
      </c>
      <c r="X1990" t="s">
        <v>134</v>
      </c>
      <c r="Y1990" t="s">
        <v>8018</v>
      </c>
      <c r="Z1990" t="s">
        <v>5594</v>
      </c>
      <c r="AA1990" t="s">
        <v>54</v>
      </c>
      <c r="AB1990" t="s">
        <v>1701</v>
      </c>
      <c r="AC1990" t="s">
        <v>85</v>
      </c>
      <c r="AD1990" t="s">
        <v>116</v>
      </c>
      <c r="AE1990" t="s">
        <v>574</v>
      </c>
      <c r="AF1990" t="s">
        <v>4577</v>
      </c>
      <c r="AG1990" t="s">
        <v>5594</v>
      </c>
      <c r="AK1990">
        <v>1</v>
      </c>
      <c r="AL1990" t="s">
        <v>61</v>
      </c>
      <c r="AM1990" t="s">
        <v>1701</v>
      </c>
      <c r="AN1990" t="s">
        <v>1702</v>
      </c>
    </row>
    <row r="1991" spans="1:40" x14ac:dyDescent="0.35">
      <c r="A1991" t="s">
        <v>37</v>
      </c>
      <c r="B1991" t="s">
        <v>8019</v>
      </c>
      <c r="C1991" t="s">
        <v>39</v>
      </c>
      <c r="D1991" t="s">
        <v>40</v>
      </c>
      <c r="E1991" t="s">
        <v>41</v>
      </c>
      <c r="F1991" s="1">
        <v>46072.911249999997</v>
      </c>
      <c r="G1991" t="s">
        <v>42</v>
      </c>
      <c r="H1991" t="s">
        <v>43</v>
      </c>
      <c r="I1991" t="s">
        <v>8020</v>
      </c>
      <c r="J1991" t="s">
        <v>45</v>
      </c>
      <c r="K1991" t="s">
        <v>46</v>
      </c>
      <c r="M1991" t="s">
        <v>47</v>
      </c>
      <c r="O1991" t="s">
        <v>48</v>
      </c>
      <c r="P1991" t="s">
        <v>49</v>
      </c>
      <c r="Q1991" t="s">
        <v>50</v>
      </c>
      <c r="R1991" t="s">
        <v>51</v>
      </c>
      <c r="S1991" t="s">
        <v>52</v>
      </c>
      <c r="T1991" t="s">
        <v>53</v>
      </c>
      <c r="U1991" s="1">
        <v>46072.911863425928</v>
      </c>
      <c r="V1991" t="s">
        <v>54</v>
      </c>
      <c r="W1991" t="s">
        <v>55</v>
      </c>
      <c r="X1991" t="s">
        <v>56</v>
      </c>
      <c r="Y1991" t="s">
        <v>57</v>
      </c>
      <c r="Z1991" t="s">
        <v>5594</v>
      </c>
      <c r="AA1991" t="s">
        <v>54</v>
      </c>
      <c r="AB1991" t="s">
        <v>59</v>
      </c>
      <c r="AC1991" t="s">
        <v>60</v>
      </c>
      <c r="AD1991" t="s">
        <v>51</v>
      </c>
      <c r="AE1991" t="s">
        <v>52</v>
      </c>
      <c r="AF1991" t="s">
        <v>53</v>
      </c>
      <c r="AG1991" t="s">
        <v>5594</v>
      </c>
      <c r="AK1991">
        <v>0</v>
      </c>
      <c r="AL1991" t="s">
        <v>61</v>
      </c>
      <c r="AM1991" t="s">
        <v>59</v>
      </c>
      <c r="AN1991" t="s">
        <v>62</v>
      </c>
    </row>
    <row r="1992" spans="1:40" x14ac:dyDescent="0.35">
      <c r="A1992" t="s">
        <v>37</v>
      </c>
      <c r="B1992" t="s">
        <v>8021</v>
      </c>
      <c r="C1992" t="s">
        <v>102</v>
      </c>
      <c r="D1992" t="s">
        <v>7852</v>
      </c>
      <c r="E1992" t="s">
        <v>7853</v>
      </c>
      <c r="F1992" s="1">
        <v>46072.907708333332</v>
      </c>
      <c r="G1992" t="s">
        <v>7854</v>
      </c>
      <c r="H1992" t="s">
        <v>92</v>
      </c>
      <c r="I1992" t="s">
        <v>8022</v>
      </c>
      <c r="J1992" t="s">
        <v>8023</v>
      </c>
      <c r="K1992" t="s">
        <v>588</v>
      </c>
      <c r="M1992" t="s">
        <v>47</v>
      </c>
      <c r="O1992" t="s">
        <v>237</v>
      </c>
      <c r="P1992" t="s">
        <v>238</v>
      </c>
      <c r="Q1992" t="s">
        <v>50</v>
      </c>
      <c r="R1992" t="s">
        <v>79</v>
      </c>
      <c r="S1992" t="s">
        <v>952</v>
      </c>
      <c r="T1992" t="s">
        <v>3080</v>
      </c>
      <c r="U1992" s="1">
        <v>46072.90898148148</v>
      </c>
      <c r="V1992" t="s">
        <v>54</v>
      </c>
      <c r="W1992" t="s">
        <v>55</v>
      </c>
      <c r="X1992" t="s">
        <v>82</v>
      </c>
      <c r="Y1992" t="s">
        <v>8024</v>
      </c>
      <c r="Z1992" t="s">
        <v>5594</v>
      </c>
      <c r="AA1992" t="s">
        <v>54</v>
      </c>
      <c r="AB1992" t="s">
        <v>176</v>
      </c>
      <c r="AC1992" t="s">
        <v>242</v>
      </c>
      <c r="AD1992" t="s">
        <v>79</v>
      </c>
      <c r="AE1992" t="s">
        <v>952</v>
      </c>
      <c r="AF1992" t="s">
        <v>3080</v>
      </c>
      <c r="AG1992" t="s">
        <v>5594</v>
      </c>
      <c r="AK1992">
        <v>0</v>
      </c>
      <c r="AL1992" t="s">
        <v>61</v>
      </c>
      <c r="AM1992" t="s">
        <v>7862</v>
      </c>
      <c r="AN1992" t="s">
        <v>7863</v>
      </c>
    </row>
    <row r="1993" spans="1:40" x14ac:dyDescent="0.35">
      <c r="A1993" t="s">
        <v>37</v>
      </c>
      <c r="B1993" t="s">
        <v>8025</v>
      </c>
      <c r="C1993" t="s">
        <v>102</v>
      </c>
      <c r="D1993" t="s">
        <v>568</v>
      </c>
      <c r="E1993" t="s">
        <v>569</v>
      </c>
      <c r="F1993" s="1">
        <v>46072.903043981481</v>
      </c>
      <c r="G1993" t="s">
        <v>105</v>
      </c>
      <c r="H1993" t="s">
        <v>106</v>
      </c>
      <c r="I1993" t="s">
        <v>8026</v>
      </c>
      <c r="J1993" t="s">
        <v>5597</v>
      </c>
      <c r="K1993" t="s">
        <v>2345</v>
      </c>
      <c r="M1993" t="s">
        <v>47</v>
      </c>
      <c r="O1993" t="s">
        <v>237</v>
      </c>
      <c r="P1993" t="s">
        <v>238</v>
      </c>
      <c r="Q1993" t="s">
        <v>448</v>
      </c>
      <c r="R1993" t="s">
        <v>111</v>
      </c>
      <c r="S1993" t="s">
        <v>51</v>
      </c>
      <c r="T1993" t="s">
        <v>5598</v>
      </c>
      <c r="U1993" s="1">
        <v>46072.904861111114</v>
      </c>
      <c r="V1993" t="s">
        <v>54</v>
      </c>
      <c r="W1993" t="s">
        <v>55</v>
      </c>
      <c r="X1993" t="s">
        <v>56</v>
      </c>
      <c r="Y1993" t="s">
        <v>8027</v>
      </c>
      <c r="Z1993" t="s">
        <v>5594</v>
      </c>
      <c r="AA1993" t="s">
        <v>54</v>
      </c>
      <c r="AB1993" t="s">
        <v>1212</v>
      </c>
      <c r="AC1993" t="s">
        <v>242</v>
      </c>
      <c r="AD1993" t="s">
        <v>51</v>
      </c>
      <c r="AE1993" t="s">
        <v>52</v>
      </c>
      <c r="AF1993" t="s">
        <v>240</v>
      </c>
      <c r="AG1993" t="s">
        <v>5594</v>
      </c>
      <c r="AK1993">
        <v>0</v>
      </c>
      <c r="AL1993" t="s">
        <v>61</v>
      </c>
      <c r="AM1993" t="s">
        <v>576</v>
      </c>
      <c r="AN1993" t="s">
        <v>577</v>
      </c>
    </row>
    <row r="1994" spans="1:40" x14ac:dyDescent="0.35">
      <c r="A1994" t="s">
        <v>37</v>
      </c>
      <c r="B1994" t="s">
        <v>8028</v>
      </c>
      <c r="C1994" t="s">
        <v>102</v>
      </c>
      <c r="D1994" t="s">
        <v>146</v>
      </c>
      <c r="E1994" t="s">
        <v>147</v>
      </c>
      <c r="F1994" s="1">
        <v>46072.902337962965</v>
      </c>
      <c r="G1994" t="s">
        <v>71</v>
      </c>
      <c r="H1994" t="s">
        <v>72</v>
      </c>
      <c r="I1994" t="s">
        <v>8029</v>
      </c>
      <c r="J1994" t="s">
        <v>149</v>
      </c>
      <c r="K1994" t="s">
        <v>130</v>
      </c>
      <c r="M1994" t="s">
        <v>47</v>
      </c>
      <c r="O1994" t="s">
        <v>77</v>
      </c>
      <c r="P1994" t="s">
        <v>78</v>
      </c>
      <c r="Q1994" t="s">
        <v>50</v>
      </c>
      <c r="R1994" t="s">
        <v>132</v>
      </c>
      <c r="S1994" t="s">
        <v>133</v>
      </c>
      <c r="T1994" t="s">
        <v>133</v>
      </c>
      <c r="U1994" s="1">
        <v>46074.693773148145</v>
      </c>
      <c r="V1994" t="s">
        <v>54</v>
      </c>
      <c r="W1994" t="s">
        <v>55</v>
      </c>
      <c r="X1994" t="s">
        <v>82</v>
      </c>
      <c r="Y1994" t="s">
        <v>8030</v>
      </c>
      <c r="Z1994" t="s">
        <v>5594</v>
      </c>
      <c r="AA1994" t="s">
        <v>54</v>
      </c>
      <c r="AB1994" t="s">
        <v>152</v>
      </c>
      <c r="AC1994" t="s">
        <v>85</v>
      </c>
      <c r="AD1994" t="s">
        <v>132</v>
      </c>
      <c r="AE1994" t="s">
        <v>133</v>
      </c>
      <c r="AF1994" t="s">
        <v>133</v>
      </c>
      <c r="AG1994" t="s">
        <v>5594</v>
      </c>
      <c r="AH1994" t="s">
        <v>153</v>
      </c>
      <c r="AK1994">
        <v>1</v>
      </c>
      <c r="AL1994" t="s">
        <v>61</v>
      </c>
      <c r="AM1994" t="s">
        <v>152</v>
      </c>
      <c r="AN1994" t="s">
        <v>154</v>
      </c>
    </row>
    <row r="1995" spans="1:40" x14ac:dyDescent="0.35">
      <c r="A1995" t="s">
        <v>37</v>
      </c>
      <c r="B1995" t="s">
        <v>8031</v>
      </c>
      <c r="C1995" t="s">
        <v>102</v>
      </c>
      <c r="D1995" t="s">
        <v>89</v>
      </c>
      <c r="E1995" t="s">
        <v>1146</v>
      </c>
      <c r="F1995" s="1">
        <v>46072.885648148149</v>
      </c>
      <c r="G1995" t="s">
        <v>71</v>
      </c>
      <c r="H1995" t="s">
        <v>72</v>
      </c>
      <c r="I1995" t="s">
        <v>8032</v>
      </c>
      <c r="J1995" t="s">
        <v>1555</v>
      </c>
      <c r="K1995" t="s">
        <v>951</v>
      </c>
      <c r="M1995" t="s">
        <v>76</v>
      </c>
      <c r="O1995" t="s">
        <v>1501</v>
      </c>
      <c r="P1995" t="s">
        <v>1502</v>
      </c>
      <c r="Q1995" t="s">
        <v>50</v>
      </c>
      <c r="R1995" t="s">
        <v>79</v>
      </c>
      <c r="S1995" t="s">
        <v>590</v>
      </c>
      <c r="T1995" t="s">
        <v>5987</v>
      </c>
      <c r="U1995" s="1">
        <v>46076.365162037036</v>
      </c>
      <c r="V1995" t="s">
        <v>54</v>
      </c>
      <c r="W1995" t="s">
        <v>55</v>
      </c>
      <c r="X1995" t="s">
        <v>134</v>
      </c>
      <c r="Y1995" t="e">
        <f>- Ensured that SEP virus definitions are updated. - Cleaned / deleted Quarantined items. - deleted temporary files, temporary internet files and cookies. - Ran AV full scan. - No Risks were found.</f>
        <v>#NAME?</v>
      </c>
      <c r="Z1995" t="s">
        <v>58</v>
      </c>
      <c r="AA1995" t="s">
        <v>54</v>
      </c>
      <c r="AB1995" t="s">
        <v>954</v>
      </c>
      <c r="AC1995" t="s">
        <v>1504</v>
      </c>
      <c r="AD1995" t="s">
        <v>79</v>
      </c>
      <c r="AE1995" t="s">
        <v>590</v>
      </c>
      <c r="AF1995" t="s">
        <v>5987</v>
      </c>
      <c r="AG1995" t="s">
        <v>58</v>
      </c>
      <c r="AH1995">
        <v>15695</v>
      </c>
      <c r="AK1995">
        <v>4</v>
      </c>
      <c r="AL1995" t="s">
        <v>61</v>
      </c>
      <c r="AM1995" t="s">
        <v>8033</v>
      </c>
      <c r="AN1995" t="s">
        <v>8034</v>
      </c>
    </row>
    <row r="1996" spans="1:40" x14ac:dyDescent="0.35">
      <c r="A1996" t="s">
        <v>37</v>
      </c>
      <c r="B1996" t="s">
        <v>8035</v>
      </c>
      <c r="C1996" t="s">
        <v>39</v>
      </c>
      <c r="D1996" t="s">
        <v>469</v>
      </c>
      <c r="E1996" t="s">
        <v>2003</v>
      </c>
      <c r="F1996" s="1">
        <v>46072.870312500003</v>
      </c>
      <c r="G1996" t="s">
        <v>432</v>
      </c>
      <c r="H1996" t="s">
        <v>433</v>
      </c>
      <c r="I1996" t="s">
        <v>403</v>
      </c>
      <c r="J1996" t="s">
        <v>4338</v>
      </c>
      <c r="K1996" t="s">
        <v>405</v>
      </c>
      <c r="M1996" t="s">
        <v>47</v>
      </c>
      <c r="O1996" t="s">
        <v>77</v>
      </c>
      <c r="P1996" t="s">
        <v>78</v>
      </c>
      <c r="Q1996" t="s">
        <v>50</v>
      </c>
      <c r="R1996" t="s">
        <v>51</v>
      </c>
      <c r="S1996" t="s">
        <v>52</v>
      </c>
      <c r="T1996" t="s">
        <v>240</v>
      </c>
      <c r="U1996" s="1">
        <v>46073.400671296295</v>
      </c>
      <c r="V1996" t="s">
        <v>54</v>
      </c>
      <c r="W1996" t="s">
        <v>55</v>
      </c>
      <c r="X1996" t="s">
        <v>134</v>
      </c>
      <c r="Y1996" t="s">
        <v>8036</v>
      </c>
      <c r="Z1996" t="s">
        <v>5594</v>
      </c>
      <c r="AA1996" t="s">
        <v>54</v>
      </c>
      <c r="AB1996" t="s">
        <v>954</v>
      </c>
      <c r="AC1996" t="s">
        <v>85</v>
      </c>
      <c r="AD1996" t="s">
        <v>52</v>
      </c>
      <c r="AE1996" t="s">
        <v>243</v>
      </c>
      <c r="AF1996" t="s">
        <v>2533</v>
      </c>
      <c r="AG1996" t="s">
        <v>5594</v>
      </c>
      <c r="AH1996">
        <v>1266</v>
      </c>
      <c r="AK1996">
        <v>2</v>
      </c>
      <c r="AL1996" t="s">
        <v>61</v>
      </c>
      <c r="AM1996" t="s">
        <v>2006</v>
      </c>
      <c r="AN1996" t="s">
        <v>2007</v>
      </c>
    </row>
    <row r="1997" spans="1:40" x14ac:dyDescent="0.35">
      <c r="A1997" t="s">
        <v>37</v>
      </c>
      <c r="B1997" t="s">
        <v>8037</v>
      </c>
      <c r="C1997" t="s">
        <v>102</v>
      </c>
      <c r="D1997" t="s">
        <v>126</v>
      </c>
      <c r="E1997" t="s">
        <v>127</v>
      </c>
      <c r="F1997" s="1">
        <v>46072.876087962963</v>
      </c>
      <c r="G1997" t="s">
        <v>71</v>
      </c>
      <c r="H1997" t="s">
        <v>72</v>
      </c>
      <c r="I1997" t="s">
        <v>8038</v>
      </c>
      <c r="J1997" t="s">
        <v>129</v>
      </c>
      <c r="K1997" t="s">
        <v>565</v>
      </c>
      <c r="M1997" t="s">
        <v>47</v>
      </c>
      <c r="O1997" t="s">
        <v>77</v>
      </c>
      <c r="P1997" t="s">
        <v>78</v>
      </c>
      <c r="Q1997" t="s">
        <v>50</v>
      </c>
      <c r="R1997" t="s">
        <v>51</v>
      </c>
      <c r="S1997" t="s">
        <v>52</v>
      </c>
      <c r="T1997" t="s">
        <v>195</v>
      </c>
      <c r="U1997" s="1">
        <v>46073.395613425928</v>
      </c>
      <c r="V1997" t="s">
        <v>54</v>
      </c>
      <c r="W1997" t="s">
        <v>55</v>
      </c>
      <c r="X1997" t="s">
        <v>134</v>
      </c>
      <c r="Y1997" t="s">
        <v>8039</v>
      </c>
      <c r="Z1997" t="s">
        <v>5594</v>
      </c>
      <c r="AA1997" t="s">
        <v>54</v>
      </c>
      <c r="AB1997" t="s">
        <v>136</v>
      </c>
      <c r="AC1997" t="s">
        <v>85</v>
      </c>
      <c r="AD1997" t="s">
        <v>51</v>
      </c>
      <c r="AE1997" t="s">
        <v>52</v>
      </c>
      <c r="AF1997" t="s">
        <v>195</v>
      </c>
      <c r="AG1997" t="s">
        <v>5594</v>
      </c>
      <c r="AH1997" t="s">
        <v>137</v>
      </c>
      <c r="AK1997">
        <v>1</v>
      </c>
      <c r="AL1997" t="s">
        <v>61</v>
      </c>
      <c r="AM1997" t="s">
        <v>136</v>
      </c>
      <c r="AN1997" t="s">
        <v>138</v>
      </c>
    </row>
    <row r="1998" spans="1:40" x14ac:dyDescent="0.35">
      <c r="A1998" t="s">
        <v>37</v>
      </c>
      <c r="B1998" t="s">
        <v>8040</v>
      </c>
      <c r="C1998" t="s">
        <v>102</v>
      </c>
      <c r="D1998" t="s">
        <v>1668</v>
      </c>
      <c r="E1998" t="s">
        <v>1669</v>
      </c>
      <c r="F1998" s="1">
        <v>46072.865636574075</v>
      </c>
      <c r="G1998" t="s">
        <v>286</v>
      </c>
      <c r="H1998" t="s">
        <v>287</v>
      </c>
      <c r="I1998" t="s">
        <v>8041</v>
      </c>
      <c r="J1998" t="s">
        <v>149</v>
      </c>
      <c r="K1998" t="s">
        <v>565</v>
      </c>
      <c r="M1998" t="s">
        <v>47</v>
      </c>
      <c r="O1998" t="s">
        <v>77</v>
      </c>
      <c r="P1998" t="s">
        <v>78</v>
      </c>
      <c r="Q1998" t="s">
        <v>50</v>
      </c>
      <c r="R1998" t="s">
        <v>51</v>
      </c>
      <c r="S1998" t="s">
        <v>52</v>
      </c>
      <c r="T1998" t="s">
        <v>195</v>
      </c>
      <c r="U1998" s="1">
        <v>46073.384317129632</v>
      </c>
      <c r="V1998" t="s">
        <v>54</v>
      </c>
      <c r="W1998" t="s">
        <v>55</v>
      </c>
      <c r="X1998" t="s">
        <v>134</v>
      </c>
      <c r="Y1998" t="s">
        <v>8042</v>
      </c>
      <c r="Z1998" t="s">
        <v>5594</v>
      </c>
      <c r="AA1998" t="s">
        <v>54</v>
      </c>
      <c r="AB1998" t="s">
        <v>1673</v>
      </c>
      <c r="AC1998" t="s">
        <v>85</v>
      </c>
      <c r="AD1998" t="s">
        <v>51</v>
      </c>
      <c r="AE1998" t="s">
        <v>52</v>
      </c>
      <c r="AF1998" t="s">
        <v>195</v>
      </c>
      <c r="AG1998" t="s">
        <v>5594</v>
      </c>
      <c r="AH1998" t="s">
        <v>1674</v>
      </c>
      <c r="AK1998">
        <v>1</v>
      </c>
      <c r="AL1998" t="s">
        <v>61</v>
      </c>
      <c r="AM1998" t="s">
        <v>1673</v>
      </c>
      <c r="AN1998" t="s">
        <v>1675</v>
      </c>
    </row>
    <row r="1999" spans="1:40" x14ac:dyDescent="0.35">
      <c r="A1999" t="s">
        <v>37</v>
      </c>
      <c r="B1999" t="s">
        <v>8043</v>
      </c>
      <c r="C1999" t="s">
        <v>102</v>
      </c>
      <c r="D1999" t="s">
        <v>181</v>
      </c>
      <c r="E1999" t="s">
        <v>182</v>
      </c>
      <c r="F1999" s="1">
        <v>46072.854062500002</v>
      </c>
      <c r="G1999" t="s">
        <v>105</v>
      </c>
      <c r="H1999" t="s">
        <v>106</v>
      </c>
      <c r="I1999" t="s">
        <v>8044</v>
      </c>
      <c r="J1999" t="s">
        <v>108</v>
      </c>
      <c r="K1999" t="s">
        <v>571</v>
      </c>
      <c r="M1999" t="s">
        <v>47</v>
      </c>
      <c r="O1999" t="s">
        <v>77</v>
      </c>
      <c r="P1999" t="s">
        <v>78</v>
      </c>
      <c r="Q1999" t="s">
        <v>50</v>
      </c>
      <c r="R1999" t="s">
        <v>111</v>
      </c>
      <c r="S1999" t="s">
        <v>51</v>
      </c>
      <c r="T1999" t="s">
        <v>112</v>
      </c>
      <c r="U1999" s="1">
        <v>46073.062407407408</v>
      </c>
      <c r="V1999" t="s">
        <v>54</v>
      </c>
      <c r="W1999" t="s">
        <v>55</v>
      </c>
      <c r="X1999" t="s">
        <v>134</v>
      </c>
      <c r="Y1999" t="s">
        <v>8045</v>
      </c>
      <c r="Z1999" t="s">
        <v>5594</v>
      </c>
      <c r="AA1999" t="s">
        <v>54</v>
      </c>
      <c r="AB1999" t="s">
        <v>115</v>
      </c>
      <c r="AC1999" t="s">
        <v>85</v>
      </c>
      <c r="AD1999" t="s">
        <v>116</v>
      </c>
      <c r="AE1999" t="s">
        <v>1541</v>
      </c>
      <c r="AF1999" t="s">
        <v>2738</v>
      </c>
      <c r="AG1999" t="s">
        <v>5594</v>
      </c>
      <c r="AH1999" t="s">
        <v>185</v>
      </c>
      <c r="AK1999">
        <v>1</v>
      </c>
      <c r="AL1999" t="s">
        <v>61</v>
      </c>
      <c r="AM1999" t="s">
        <v>186</v>
      </c>
      <c r="AN1999" t="s">
        <v>187</v>
      </c>
    </row>
    <row r="2000" spans="1:40" x14ac:dyDescent="0.35">
      <c r="A2000" t="s">
        <v>37</v>
      </c>
      <c r="B2000" t="s">
        <v>8046</v>
      </c>
      <c r="C2000" t="s">
        <v>102</v>
      </c>
      <c r="D2000" t="s">
        <v>146</v>
      </c>
      <c r="E2000" t="s">
        <v>147</v>
      </c>
      <c r="F2000" s="1">
        <v>46072.854317129626</v>
      </c>
      <c r="G2000" t="s">
        <v>71</v>
      </c>
      <c r="H2000" t="s">
        <v>72</v>
      </c>
      <c r="I2000" t="s">
        <v>163</v>
      </c>
      <c r="J2000" t="s">
        <v>149</v>
      </c>
      <c r="K2000" t="s">
        <v>130</v>
      </c>
      <c r="M2000" t="s">
        <v>47</v>
      </c>
      <c r="O2000" t="s">
        <v>77</v>
      </c>
      <c r="P2000" t="s">
        <v>78</v>
      </c>
      <c r="Q2000" t="s">
        <v>50</v>
      </c>
      <c r="R2000" t="s">
        <v>132</v>
      </c>
      <c r="S2000" t="s">
        <v>133</v>
      </c>
      <c r="T2000" t="s">
        <v>133</v>
      </c>
      <c r="U2000" s="1">
        <v>46073.444606481484</v>
      </c>
      <c r="V2000" t="s">
        <v>54</v>
      </c>
      <c r="W2000" t="s">
        <v>55</v>
      </c>
      <c r="X2000" t="s">
        <v>82</v>
      </c>
      <c r="Y2000" t="s">
        <v>8047</v>
      </c>
      <c r="Z2000" t="s">
        <v>5594</v>
      </c>
      <c r="AA2000" t="s">
        <v>54</v>
      </c>
      <c r="AB2000" t="s">
        <v>152</v>
      </c>
      <c r="AC2000" t="s">
        <v>85</v>
      </c>
      <c r="AD2000" t="s">
        <v>132</v>
      </c>
      <c r="AE2000" t="s">
        <v>133</v>
      </c>
      <c r="AF2000" t="s">
        <v>133</v>
      </c>
      <c r="AG2000" t="s">
        <v>5594</v>
      </c>
      <c r="AH2000" t="s">
        <v>153</v>
      </c>
      <c r="AK2000">
        <v>1</v>
      </c>
      <c r="AL2000" t="s">
        <v>61</v>
      </c>
      <c r="AM2000" t="s">
        <v>152</v>
      </c>
      <c r="AN2000" t="s">
        <v>154</v>
      </c>
    </row>
    <row r="2001" spans="1:40" x14ac:dyDescent="0.35">
      <c r="A2001" t="s">
        <v>37</v>
      </c>
      <c r="B2001" t="s">
        <v>8048</v>
      </c>
      <c r="C2001" t="s">
        <v>102</v>
      </c>
      <c r="D2001" t="s">
        <v>181</v>
      </c>
      <c r="E2001" t="s">
        <v>182</v>
      </c>
      <c r="F2001" s="1">
        <v>46072.845891203702</v>
      </c>
      <c r="G2001" t="s">
        <v>105</v>
      </c>
      <c r="H2001" t="s">
        <v>106</v>
      </c>
      <c r="I2001" t="s">
        <v>3825</v>
      </c>
      <c r="J2001" t="s">
        <v>108</v>
      </c>
      <c r="K2001" t="s">
        <v>109</v>
      </c>
      <c r="M2001" t="s">
        <v>47</v>
      </c>
      <c r="O2001" t="s">
        <v>77</v>
      </c>
      <c r="P2001" t="s">
        <v>78</v>
      </c>
      <c r="Q2001" t="s">
        <v>50</v>
      </c>
      <c r="R2001" t="s">
        <v>111</v>
      </c>
      <c r="S2001" t="s">
        <v>51</v>
      </c>
      <c r="T2001" t="s">
        <v>112</v>
      </c>
      <c r="U2001" s="1">
        <v>46072.960717592592</v>
      </c>
      <c r="V2001" t="s">
        <v>54</v>
      </c>
      <c r="W2001" t="s">
        <v>55</v>
      </c>
      <c r="X2001" t="s">
        <v>82</v>
      </c>
      <c r="Y2001" t="s">
        <v>8049</v>
      </c>
      <c r="Z2001" t="s">
        <v>5594</v>
      </c>
      <c r="AA2001" t="s">
        <v>54</v>
      </c>
      <c r="AB2001" t="s">
        <v>115</v>
      </c>
      <c r="AC2001" t="s">
        <v>85</v>
      </c>
      <c r="AD2001" t="s">
        <v>116</v>
      </c>
      <c r="AE2001" t="s">
        <v>334</v>
      </c>
      <c r="AF2001" t="s">
        <v>5864</v>
      </c>
      <c r="AG2001" t="s">
        <v>5594</v>
      </c>
      <c r="AH2001" t="s">
        <v>185</v>
      </c>
      <c r="AK2001">
        <v>1</v>
      </c>
      <c r="AL2001" t="s">
        <v>61</v>
      </c>
      <c r="AM2001" t="s">
        <v>186</v>
      </c>
      <c r="AN2001" t="s">
        <v>187</v>
      </c>
    </row>
    <row r="2002" spans="1:40" x14ac:dyDescent="0.35">
      <c r="A2002" t="s">
        <v>37</v>
      </c>
      <c r="B2002" t="s">
        <v>8050</v>
      </c>
      <c r="C2002" t="s">
        <v>102</v>
      </c>
      <c r="D2002" t="s">
        <v>1698</v>
      </c>
      <c r="E2002" t="s">
        <v>584</v>
      </c>
      <c r="F2002" s="1">
        <v>46072.840092592596</v>
      </c>
      <c r="G2002" t="s">
        <v>105</v>
      </c>
      <c r="H2002" t="s">
        <v>106</v>
      </c>
      <c r="I2002" t="s">
        <v>570</v>
      </c>
      <c r="J2002" t="s">
        <v>108</v>
      </c>
      <c r="K2002" t="s">
        <v>571</v>
      </c>
      <c r="M2002" t="s">
        <v>47</v>
      </c>
      <c r="O2002" t="s">
        <v>77</v>
      </c>
      <c r="P2002" t="s">
        <v>78</v>
      </c>
      <c r="Q2002" t="s">
        <v>50</v>
      </c>
      <c r="R2002" t="s">
        <v>111</v>
      </c>
      <c r="S2002" t="s">
        <v>51</v>
      </c>
      <c r="T2002" t="s">
        <v>112</v>
      </c>
      <c r="U2002" s="1">
        <v>46072.955694444441</v>
      </c>
      <c r="V2002" t="s">
        <v>54</v>
      </c>
      <c r="W2002" t="s">
        <v>55</v>
      </c>
      <c r="X2002" t="s">
        <v>134</v>
      </c>
      <c r="Y2002" t="s">
        <v>8018</v>
      </c>
      <c r="Z2002" t="s">
        <v>5594</v>
      </c>
      <c r="AA2002" t="s">
        <v>54</v>
      </c>
      <c r="AB2002" t="s">
        <v>1701</v>
      </c>
      <c r="AC2002" t="s">
        <v>85</v>
      </c>
      <c r="AD2002" t="s">
        <v>116</v>
      </c>
      <c r="AE2002" t="s">
        <v>574</v>
      </c>
      <c r="AF2002" t="s">
        <v>4577</v>
      </c>
      <c r="AG2002" t="s">
        <v>5594</v>
      </c>
      <c r="AK2002">
        <v>1</v>
      </c>
      <c r="AL2002" t="s">
        <v>61</v>
      </c>
      <c r="AM2002" t="s">
        <v>1701</v>
      </c>
      <c r="AN2002" t="s">
        <v>1702</v>
      </c>
    </row>
    <row r="2003" spans="1:40" x14ac:dyDescent="0.35">
      <c r="A2003" t="s">
        <v>37</v>
      </c>
      <c r="B2003" t="s">
        <v>8051</v>
      </c>
      <c r="C2003" t="s">
        <v>39</v>
      </c>
      <c r="D2003" t="s">
        <v>8052</v>
      </c>
      <c r="E2003" t="s">
        <v>8053</v>
      </c>
      <c r="F2003" s="1">
        <v>46072.838043981479</v>
      </c>
      <c r="G2003" t="s">
        <v>286</v>
      </c>
      <c r="H2003" t="s">
        <v>287</v>
      </c>
      <c r="I2003" t="s">
        <v>8054</v>
      </c>
      <c r="J2003" t="s">
        <v>1015</v>
      </c>
      <c r="K2003" t="s">
        <v>75</v>
      </c>
      <c r="M2003" t="s">
        <v>47</v>
      </c>
      <c r="O2003" t="s">
        <v>77</v>
      </c>
      <c r="P2003" t="s">
        <v>78</v>
      </c>
      <c r="Q2003" t="s">
        <v>50</v>
      </c>
      <c r="R2003" t="s">
        <v>79</v>
      </c>
      <c r="S2003" t="s">
        <v>1556</v>
      </c>
      <c r="T2003" t="s">
        <v>1557</v>
      </c>
      <c r="U2003" s="1">
        <v>46072.839687500003</v>
      </c>
      <c r="V2003" t="s">
        <v>54</v>
      </c>
      <c r="W2003" t="s">
        <v>55</v>
      </c>
      <c r="X2003" t="s">
        <v>134</v>
      </c>
      <c r="Y2003" t="s">
        <v>8055</v>
      </c>
      <c r="Z2003" t="s">
        <v>5594</v>
      </c>
      <c r="AA2003" t="s">
        <v>54</v>
      </c>
      <c r="AB2003" t="s">
        <v>954</v>
      </c>
      <c r="AC2003" t="s">
        <v>85</v>
      </c>
      <c r="AD2003" t="s">
        <v>79</v>
      </c>
      <c r="AE2003" t="s">
        <v>1556</v>
      </c>
      <c r="AF2003" t="s">
        <v>1557</v>
      </c>
      <c r="AG2003" t="s">
        <v>5594</v>
      </c>
      <c r="AH2003">
        <v>15828</v>
      </c>
      <c r="AK2003">
        <v>0</v>
      </c>
      <c r="AL2003" t="s">
        <v>61</v>
      </c>
      <c r="AM2003" t="s">
        <v>8056</v>
      </c>
      <c r="AN2003" t="s">
        <v>8057</v>
      </c>
    </row>
    <row r="2004" spans="1:40" x14ac:dyDescent="0.35">
      <c r="A2004" t="s">
        <v>37</v>
      </c>
      <c r="B2004" t="s">
        <v>8058</v>
      </c>
      <c r="C2004" t="s">
        <v>102</v>
      </c>
      <c r="D2004" t="s">
        <v>1698</v>
      </c>
      <c r="E2004" t="s">
        <v>584</v>
      </c>
      <c r="F2004" s="1">
        <v>46072.8358912037</v>
      </c>
      <c r="G2004" t="s">
        <v>105</v>
      </c>
      <c r="H2004" t="s">
        <v>106</v>
      </c>
      <c r="I2004" t="s">
        <v>570</v>
      </c>
      <c r="J2004" t="s">
        <v>108</v>
      </c>
      <c r="K2004" t="s">
        <v>571</v>
      </c>
      <c r="M2004" t="s">
        <v>47</v>
      </c>
      <c r="O2004" t="s">
        <v>77</v>
      </c>
      <c r="P2004" t="s">
        <v>78</v>
      </c>
      <c r="Q2004" t="s">
        <v>50</v>
      </c>
      <c r="R2004" t="s">
        <v>111</v>
      </c>
      <c r="S2004" t="s">
        <v>51</v>
      </c>
      <c r="T2004" t="s">
        <v>112</v>
      </c>
      <c r="U2004" s="1">
        <v>46072.954930555556</v>
      </c>
      <c r="V2004" t="s">
        <v>54</v>
      </c>
      <c r="W2004" t="s">
        <v>55</v>
      </c>
      <c r="X2004" t="s">
        <v>134</v>
      </c>
      <c r="Y2004" t="s">
        <v>8018</v>
      </c>
      <c r="Z2004" t="s">
        <v>5594</v>
      </c>
      <c r="AA2004" t="s">
        <v>54</v>
      </c>
      <c r="AB2004" t="s">
        <v>1701</v>
      </c>
      <c r="AC2004" t="s">
        <v>85</v>
      </c>
      <c r="AD2004" t="s">
        <v>116</v>
      </c>
      <c r="AE2004" t="s">
        <v>574</v>
      </c>
      <c r="AF2004" t="s">
        <v>4577</v>
      </c>
      <c r="AG2004" t="s">
        <v>5594</v>
      </c>
      <c r="AK2004">
        <v>1</v>
      </c>
      <c r="AL2004" t="s">
        <v>61</v>
      </c>
      <c r="AM2004" t="s">
        <v>1701</v>
      </c>
      <c r="AN2004" t="s">
        <v>1702</v>
      </c>
    </row>
    <row r="2005" spans="1:40" x14ac:dyDescent="0.35">
      <c r="A2005" t="s">
        <v>37</v>
      </c>
      <c r="B2005" t="s">
        <v>8059</v>
      </c>
      <c r="C2005" t="s">
        <v>39</v>
      </c>
      <c r="D2005" t="s">
        <v>2134</v>
      </c>
      <c r="E2005" t="s">
        <v>2135</v>
      </c>
      <c r="F2005" s="1">
        <v>46072.834861111114</v>
      </c>
      <c r="G2005" t="s">
        <v>826</v>
      </c>
      <c r="H2005" t="s">
        <v>356</v>
      </c>
      <c r="I2005" t="s">
        <v>8060</v>
      </c>
      <c r="J2005" t="s">
        <v>1015</v>
      </c>
      <c r="K2005" t="s">
        <v>75</v>
      </c>
      <c r="M2005" t="s">
        <v>47</v>
      </c>
      <c r="O2005" t="s">
        <v>77</v>
      </c>
      <c r="P2005" t="s">
        <v>78</v>
      </c>
      <c r="Q2005" t="s">
        <v>50</v>
      </c>
      <c r="R2005" t="s">
        <v>79</v>
      </c>
      <c r="S2005" t="s">
        <v>1556</v>
      </c>
      <c r="T2005" t="s">
        <v>1557</v>
      </c>
      <c r="U2005" s="1">
        <v>46073.902418981481</v>
      </c>
      <c r="V2005" t="s">
        <v>54</v>
      </c>
      <c r="W2005" t="s">
        <v>55</v>
      </c>
      <c r="X2005" t="s">
        <v>134</v>
      </c>
      <c r="Y2005" t="s">
        <v>8061</v>
      </c>
      <c r="Z2005" t="s">
        <v>5594</v>
      </c>
      <c r="AA2005" t="s">
        <v>54</v>
      </c>
      <c r="AB2005" t="s">
        <v>954</v>
      </c>
      <c r="AC2005" t="s">
        <v>85</v>
      </c>
      <c r="AD2005" t="s">
        <v>79</v>
      </c>
      <c r="AE2005" t="s">
        <v>1556</v>
      </c>
      <c r="AF2005" t="s">
        <v>1557</v>
      </c>
      <c r="AG2005" t="s">
        <v>5594</v>
      </c>
      <c r="AH2005" t="s">
        <v>2143</v>
      </c>
      <c r="AK2005">
        <v>0</v>
      </c>
      <c r="AL2005" t="s">
        <v>61</v>
      </c>
      <c r="AM2005" t="s">
        <v>2142</v>
      </c>
      <c r="AN2005" t="s">
        <v>2144</v>
      </c>
    </row>
    <row r="2006" spans="1:40" x14ac:dyDescent="0.35">
      <c r="A2006" t="s">
        <v>37</v>
      </c>
      <c r="B2006" t="s">
        <v>8062</v>
      </c>
      <c r="C2006" t="s">
        <v>102</v>
      </c>
      <c r="D2006" t="s">
        <v>1698</v>
      </c>
      <c r="E2006" t="s">
        <v>584</v>
      </c>
      <c r="F2006" s="1">
        <v>46072.829606481479</v>
      </c>
      <c r="G2006" t="s">
        <v>105</v>
      </c>
      <c r="H2006" t="s">
        <v>106</v>
      </c>
      <c r="I2006" t="s">
        <v>570</v>
      </c>
      <c r="J2006" t="s">
        <v>108</v>
      </c>
      <c r="K2006" t="s">
        <v>571</v>
      </c>
      <c r="M2006" t="s">
        <v>47</v>
      </c>
      <c r="O2006" t="s">
        <v>77</v>
      </c>
      <c r="P2006" t="s">
        <v>78</v>
      </c>
      <c r="Q2006" t="s">
        <v>50</v>
      </c>
      <c r="R2006" t="s">
        <v>111</v>
      </c>
      <c r="S2006" t="s">
        <v>51</v>
      </c>
      <c r="T2006" t="s">
        <v>112</v>
      </c>
      <c r="U2006" s="1">
        <v>46072.954212962963</v>
      </c>
      <c r="V2006" t="s">
        <v>54</v>
      </c>
      <c r="W2006" t="s">
        <v>55</v>
      </c>
      <c r="X2006" t="s">
        <v>134</v>
      </c>
      <c r="Y2006" t="s">
        <v>8063</v>
      </c>
      <c r="Z2006" t="s">
        <v>5594</v>
      </c>
      <c r="AA2006" t="s">
        <v>54</v>
      </c>
      <c r="AB2006" t="s">
        <v>1701</v>
      </c>
      <c r="AC2006" t="s">
        <v>85</v>
      </c>
      <c r="AD2006" t="s">
        <v>116</v>
      </c>
      <c r="AE2006" t="s">
        <v>574</v>
      </c>
      <c r="AF2006" t="s">
        <v>4577</v>
      </c>
      <c r="AG2006" t="s">
        <v>5594</v>
      </c>
      <c r="AK2006">
        <v>1</v>
      </c>
      <c r="AL2006" t="s">
        <v>61</v>
      </c>
      <c r="AM2006" t="s">
        <v>1701</v>
      </c>
      <c r="AN2006" t="s">
        <v>1702</v>
      </c>
    </row>
    <row r="2007" spans="1:40" x14ac:dyDescent="0.35">
      <c r="A2007" t="s">
        <v>37</v>
      </c>
      <c r="B2007" t="s">
        <v>8064</v>
      </c>
      <c r="C2007" t="s">
        <v>102</v>
      </c>
      <c r="D2007" t="s">
        <v>181</v>
      </c>
      <c r="E2007" t="s">
        <v>182</v>
      </c>
      <c r="F2007" s="1">
        <v>46072.823055555556</v>
      </c>
      <c r="G2007" t="s">
        <v>105</v>
      </c>
      <c r="H2007" t="s">
        <v>106</v>
      </c>
      <c r="I2007" t="s">
        <v>8065</v>
      </c>
      <c r="J2007" t="s">
        <v>108</v>
      </c>
      <c r="K2007" t="s">
        <v>109</v>
      </c>
      <c r="M2007" t="s">
        <v>47</v>
      </c>
      <c r="O2007" t="s">
        <v>77</v>
      </c>
      <c r="P2007" t="s">
        <v>78</v>
      </c>
      <c r="Q2007" t="s">
        <v>50</v>
      </c>
      <c r="R2007" t="s">
        <v>111</v>
      </c>
      <c r="S2007" t="s">
        <v>51</v>
      </c>
      <c r="T2007" t="s">
        <v>1583</v>
      </c>
      <c r="U2007" s="1">
        <v>46072.959374999999</v>
      </c>
      <c r="V2007" t="s">
        <v>54</v>
      </c>
      <c r="W2007" t="s">
        <v>55</v>
      </c>
      <c r="X2007" t="s">
        <v>82</v>
      </c>
      <c r="Y2007" t="s">
        <v>8066</v>
      </c>
      <c r="Z2007" t="s">
        <v>5594</v>
      </c>
      <c r="AA2007" t="s">
        <v>54</v>
      </c>
      <c r="AB2007" t="s">
        <v>115</v>
      </c>
      <c r="AC2007" t="s">
        <v>85</v>
      </c>
      <c r="AD2007" t="s">
        <v>116</v>
      </c>
      <c r="AE2007" t="s">
        <v>3814</v>
      </c>
      <c r="AF2007" t="s">
        <v>3110</v>
      </c>
      <c r="AG2007" t="s">
        <v>5594</v>
      </c>
      <c r="AH2007" t="s">
        <v>185</v>
      </c>
      <c r="AK2007">
        <v>1</v>
      </c>
      <c r="AL2007" t="s">
        <v>61</v>
      </c>
      <c r="AM2007" t="s">
        <v>186</v>
      </c>
      <c r="AN2007" t="s">
        <v>187</v>
      </c>
    </row>
    <row r="2008" spans="1:40" x14ac:dyDescent="0.35">
      <c r="A2008" t="s">
        <v>37</v>
      </c>
      <c r="B2008" t="s">
        <v>8067</v>
      </c>
      <c r="C2008" t="s">
        <v>39</v>
      </c>
      <c r="D2008" t="s">
        <v>3010</v>
      </c>
      <c r="E2008" t="s">
        <v>6611</v>
      </c>
      <c r="F2008" s="1">
        <v>46072.816863425927</v>
      </c>
      <c r="G2008" t="s">
        <v>432</v>
      </c>
      <c r="H2008" t="s">
        <v>433</v>
      </c>
      <c r="I2008" t="s">
        <v>8068</v>
      </c>
      <c r="J2008" t="s">
        <v>1015</v>
      </c>
      <c r="K2008" t="s">
        <v>75</v>
      </c>
      <c r="M2008" t="s">
        <v>76</v>
      </c>
      <c r="O2008" t="s">
        <v>77</v>
      </c>
      <c r="P2008" t="s">
        <v>78</v>
      </c>
      <c r="Q2008" t="s">
        <v>50</v>
      </c>
      <c r="R2008" t="s">
        <v>79</v>
      </c>
      <c r="S2008" t="s">
        <v>1556</v>
      </c>
      <c r="T2008" t="s">
        <v>1557</v>
      </c>
      <c r="U2008" s="1">
        <v>46078.394166666665</v>
      </c>
      <c r="V2008" t="s">
        <v>54</v>
      </c>
      <c r="W2008" t="s">
        <v>55</v>
      </c>
      <c r="X2008" t="s">
        <v>134</v>
      </c>
      <c r="Y2008" t="s">
        <v>8069</v>
      </c>
      <c r="Z2008" t="s">
        <v>58</v>
      </c>
      <c r="AA2008" t="s">
        <v>54</v>
      </c>
      <c r="AB2008" t="s">
        <v>954</v>
      </c>
      <c r="AC2008" t="s">
        <v>85</v>
      </c>
      <c r="AD2008" t="s">
        <v>79</v>
      </c>
      <c r="AE2008" t="s">
        <v>1556</v>
      </c>
      <c r="AF2008" t="s">
        <v>1557</v>
      </c>
      <c r="AG2008" t="s">
        <v>58</v>
      </c>
      <c r="AH2008">
        <v>11812</v>
      </c>
      <c r="AK2008">
        <v>0</v>
      </c>
      <c r="AL2008" t="s">
        <v>61</v>
      </c>
      <c r="AM2008" t="s">
        <v>6614</v>
      </c>
      <c r="AN2008" t="s">
        <v>6615</v>
      </c>
    </row>
    <row r="2009" spans="1:40" x14ac:dyDescent="0.35">
      <c r="A2009" t="s">
        <v>37</v>
      </c>
      <c r="B2009" t="s">
        <v>8070</v>
      </c>
      <c r="C2009" t="s">
        <v>102</v>
      </c>
      <c r="D2009" t="s">
        <v>181</v>
      </c>
      <c r="E2009" t="s">
        <v>182</v>
      </c>
      <c r="F2009" s="1">
        <v>46072.808912037035</v>
      </c>
      <c r="G2009" t="s">
        <v>105</v>
      </c>
      <c r="H2009" t="s">
        <v>106</v>
      </c>
      <c r="I2009" t="s">
        <v>8071</v>
      </c>
      <c r="J2009" t="s">
        <v>108</v>
      </c>
      <c r="K2009" t="s">
        <v>109</v>
      </c>
      <c r="M2009" t="s">
        <v>47</v>
      </c>
      <c r="O2009" t="s">
        <v>77</v>
      </c>
      <c r="P2009" t="s">
        <v>78</v>
      </c>
      <c r="Q2009" t="s">
        <v>50</v>
      </c>
      <c r="R2009" t="s">
        <v>111</v>
      </c>
      <c r="S2009" t="s">
        <v>51</v>
      </c>
      <c r="T2009" t="s">
        <v>112</v>
      </c>
      <c r="U2009" s="1">
        <v>46072.852152777778</v>
      </c>
      <c r="V2009" t="s">
        <v>54</v>
      </c>
      <c r="W2009" t="s">
        <v>55</v>
      </c>
      <c r="X2009" t="s">
        <v>113</v>
      </c>
      <c r="Y2009" t="s">
        <v>8072</v>
      </c>
      <c r="Z2009" t="s">
        <v>5594</v>
      </c>
      <c r="AA2009" t="s">
        <v>54</v>
      </c>
      <c r="AB2009" t="s">
        <v>115</v>
      </c>
      <c r="AC2009" t="s">
        <v>85</v>
      </c>
      <c r="AD2009" t="s">
        <v>116</v>
      </c>
      <c r="AE2009" t="s">
        <v>117</v>
      </c>
      <c r="AF2009" t="s">
        <v>118</v>
      </c>
      <c r="AG2009" t="s">
        <v>5594</v>
      </c>
      <c r="AH2009" t="s">
        <v>185</v>
      </c>
      <c r="AK2009">
        <v>1</v>
      </c>
      <c r="AL2009" t="s">
        <v>61</v>
      </c>
      <c r="AM2009" t="s">
        <v>186</v>
      </c>
      <c r="AN2009" t="s">
        <v>187</v>
      </c>
    </row>
    <row r="2010" spans="1:40" x14ac:dyDescent="0.35">
      <c r="A2010" t="s">
        <v>37</v>
      </c>
      <c r="B2010" t="s">
        <v>8073</v>
      </c>
      <c r="C2010" t="s">
        <v>102</v>
      </c>
      <c r="D2010" t="s">
        <v>1698</v>
      </c>
      <c r="E2010" t="s">
        <v>584</v>
      </c>
      <c r="F2010" s="1">
        <v>46072.807337962964</v>
      </c>
      <c r="G2010" t="s">
        <v>105</v>
      </c>
      <c r="H2010" t="s">
        <v>106</v>
      </c>
      <c r="I2010" t="s">
        <v>8074</v>
      </c>
      <c r="J2010" t="s">
        <v>108</v>
      </c>
      <c r="K2010" t="s">
        <v>109</v>
      </c>
      <c r="M2010" t="s">
        <v>150</v>
      </c>
      <c r="O2010" t="s">
        <v>77</v>
      </c>
      <c r="P2010" t="s">
        <v>78</v>
      </c>
      <c r="Q2010" t="s">
        <v>50</v>
      </c>
      <c r="R2010" t="s">
        <v>111</v>
      </c>
      <c r="S2010" t="s">
        <v>51</v>
      </c>
      <c r="T2010" t="s">
        <v>112</v>
      </c>
      <c r="U2010" s="1">
        <v>46077.994189814817</v>
      </c>
      <c r="V2010" t="s">
        <v>54</v>
      </c>
      <c r="W2010" t="s">
        <v>1584</v>
      </c>
      <c r="X2010" t="s">
        <v>134</v>
      </c>
      <c r="Y2010" t="s">
        <v>8075</v>
      </c>
      <c r="Z2010" t="s">
        <v>58</v>
      </c>
      <c r="AA2010" t="s">
        <v>54</v>
      </c>
      <c r="AB2010" t="s">
        <v>1701</v>
      </c>
      <c r="AC2010" t="s">
        <v>85</v>
      </c>
      <c r="AD2010" t="s">
        <v>116</v>
      </c>
      <c r="AE2010" t="s">
        <v>117</v>
      </c>
      <c r="AF2010" t="s">
        <v>161</v>
      </c>
      <c r="AG2010" t="s">
        <v>58</v>
      </c>
      <c r="AK2010">
        <v>1</v>
      </c>
      <c r="AL2010" t="s">
        <v>61</v>
      </c>
      <c r="AM2010" t="s">
        <v>1701</v>
      </c>
      <c r="AN2010" t="s">
        <v>1702</v>
      </c>
    </row>
    <row r="2011" spans="1:40" x14ac:dyDescent="0.35">
      <c r="A2011" t="s">
        <v>37</v>
      </c>
      <c r="B2011" t="s">
        <v>8076</v>
      </c>
      <c r="C2011" t="s">
        <v>39</v>
      </c>
      <c r="D2011" t="s">
        <v>2044</v>
      </c>
      <c r="E2011" t="s">
        <v>8077</v>
      </c>
      <c r="F2011" s="1">
        <v>46072.807256944441</v>
      </c>
      <c r="G2011" t="s">
        <v>71</v>
      </c>
      <c r="H2011" t="s">
        <v>72</v>
      </c>
      <c r="I2011" t="s">
        <v>5051</v>
      </c>
      <c r="J2011" t="s">
        <v>1015</v>
      </c>
      <c r="K2011" t="s">
        <v>75</v>
      </c>
      <c r="M2011" t="s">
        <v>47</v>
      </c>
      <c r="O2011" t="s">
        <v>77</v>
      </c>
      <c r="P2011" t="s">
        <v>78</v>
      </c>
      <c r="Q2011" t="s">
        <v>50</v>
      </c>
      <c r="R2011" t="s">
        <v>79</v>
      </c>
      <c r="S2011" t="s">
        <v>172</v>
      </c>
      <c r="T2011" t="s">
        <v>5052</v>
      </c>
      <c r="U2011" s="1">
        <v>46072.808252314811</v>
      </c>
      <c r="V2011" t="s">
        <v>54</v>
      </c>
      <c r="W2011" t="s">
        <v>55</v>
      </c>
      <c r="X2011" t="s">
        <v>82</v>
      </c>
      <c r="Y2011" t="e">
        <f>- the password has been reset successfully.  - it has been shared with the Users privately SMS</f>
        <v>#NAME?</v>
      </c>
      <c r="Z2011" t="s">
        <v>5594</v>
      </c>
      <c r="AA2011" t="s">
        <v>54</v>
      </c>
      <c r="AB2011" t="s">
        <v>954</v>
      </c>
      <c r="AC2011" t="s">
        <v>85</v>
      </c>
      <c r="AD2011" t="s">
        <v>79</v>
      </c>
      <c r="AE2011" t="s">
        <v>172</v>
      </c>
      <c r="AF2011" t="s">
        <v>5054</v>
      </c>
      <c r="AG2011" t="s">
        <v>5594</v>
      </c>
      <c r="AH2011" t="s">
        <v>8078</v>
      </c>
      <c r="AK2011">
        <v>0</v>
      </c>
      <c r="AL2011" t="s">
        <v>61</v>
      </c>
      <c r="AM2011" t="s">
        <v>8079</v>
      </c>
      <c r="AN2011" t="s">
        <v>8080</v>
      </c>
    </row>
    <row r="2012" spans="1:40" x14ac:dyDescent="0.35">
      <c r="A2012" t="s">
        <v>37</v>
      </c>
      <c r="B2012" t="s">
        <v>8081</v>
      </c>
      <c r="C2012" t="s">
        <v>102</v>
      </c>
      <c r="D2012" t="s">
        <v>146</v>
      </c>
      <c r="E2012" t="s">
        <v>147</v>
      </c>
      <c r="F2012" s="1">
        <v>46072.806423611109</v>
      </c>
      <c r="G2012" t="s">
        <v>71</v>
      </c>
      <c r="H2012" t="s">
        <v>72</v>
      </c>
      <c r="I2012" t="s">
        <v>8082</v>
      </c>
      <c r="J2012" t="s">
        <v>149</v>
      </c>
      <c r="K2012" t="s">
        <v>130</v>
      </c>
      <c r="M2012" t="s">
        <v>47</v>
      </c>
      <c r="O2012" t="s">
        <v>77</v>
      </c>
      <c r="P2012" t="s">
        <v>78</v>
      </c>
      <c r="Q2012" t="s">
        <v>50</v>
      </c>
      <c r="R2012" t="s">
        <v>132</v>
      </c>
      <c r="S2012" t="s">
        <v>133</v>
      </c>
      <c r="T2012" t="s">
        <v>133</v>
      </c>
      <c r="U2012" s="1">
        <v>46073.33489583333</v>
      </c>
      <c r="V2012" t="s">
        <v>54</v>
      </c>
      <c r="W2012" t="s">
        <v>55</v>
      </c>
      <c r="X2012" t="s">
        <v>82</v>
      </c>
      <c r="Y2012" t="s">
        <v>8083</v>
      </c>
      <c r="Z2012" t="s">
        <v>5594</v>
      </c>
      <c r="AA2012" t="s">
        <v>54</v>
      </c>
      <c r="AB2012" t="s">
        <v>152</v>
      </c>
      <c r="AC2012" t="s">
        <v>85</v>
      </c>
      <c r="AD2012" t="s">
        <v>132</v>
      </c>
      <c r="AE2012" t="s">
        <v>133</v>
      </c>
      <c r="AF2012" t="s">
        <v>133</v>
      </c>
      <c r="AG2012" t="s">
        <v>5594</v>
      </c>
      <c r="AH2012" t="s">
        <v>153</v>
      </c>
      <c r="AK2012">
        <v>1</v>
      </c>
      <c r="AL2012" t="s">
        <v>61</v>
      </c>
      <c r="AM2012" t="s">
        <v>152</v>
      </c>
      <c r="AN2012" t="s">
        <v>154</v>
      </c>
    </row>
    <row r="2013" spans="1:40" x14ac:dyDescent="0.35">
      <c r="A2013" t="s">
        <v>37</v>
      </c>
      <c r="B2013" t="s">
        <v>8084</v>
      </c>
      <c r="C2013" t="s">
        <v>102</v>
      </c>
      <c r="D2013" t="s">
        <v>6105</v>
      </c>
      <c r="E2013" t="s">
        <v>6106</v>
      </c>
      <c r="F2013" s="1">
        <v>46072.803437499999</v>
      </c>
      <c r="G2013" t="s">
        <v>250</v>
      </c>
      <c r="H2013" t="s">
        <v>106</v>
      </c>
      <c r="I2013" t="s">
        <v>8085</v>
      </c>
      <c r="J2013" t="s">
        <v>1015</v>
      </c>
      <c r="K2013" t="s">
        <v>75</v>
      </c>
      <c r="M2013" t="s">
        <v>47</v>
      </c>
      <c r="O2013" t="s">
        <v>237</v>
      </c>
      <c r="P2013" t="s">
        <v>238</v>
      </c>
      <c r="Q2013" t="s">
        <v>6108</v>
      </c>
      <c r="R2013" t="s">
        <v>79</v>
      </c>
      <c r="S2013" t="s">
        <v>696</v>
      </c>
      <c r="T2013" t="s">
        <v>8086</v>
      </c>
      <c r="U2013" s="1">
        <v>46072.806898148148</v>
      </c>
      <c r="V2013" t="s">
        <v>54</v>
      </c>
      <c r="W2013" t="s">
        <v>55</v>
      </c>
      <c r="X2013" t="s">
        <v>82</v>
      </c>
      <c r="Y2013" t="s">
        <v>8087</v>
      </c>
      <c r="Z2013" t="s">
        <v>5594</v>
      </c>
      <c r="AA2013" t="s">
        <v>54</v>
      </c>
      <c r="AB2013" t="s">
        <v>954</v>
      </c>
      <c r="AC2013" t="s">
        <v>242</v>
      </c>
      <c r="AD2013" t="s">
        <v>79</v>
      </c>
      <c r="AE2013" t="s">
        <v>696</v>
      </c>
      <c r="AF2013" t="s">
        <v>1019</v>
      </c>
      <c r="AG2013" t="s">
        <v>5594</v>
      </c>
      <c r="AH2013">
        <v>4868</v>
      </c>
      <c r="AK2013">
        <v>0</v>
      </c>
      <c r="AL2013" t="s">
        <v>61</v>
      </c>
      <c r="AM2013" t="s">
        <v>6110</v>
      </c>
      <c r="AN2013" t="s">
        <v>6111</v>
      </c>
    </row>
    <row r="2014" spans="1:40" x14ac:dyDescent="0.35">
      <c r="A2014" t="s">
        <v>37</v>
      </c>
      <c r="B2014" t="s">
        <v>8088</v>
      </c>
      <c r="C2014" t="s">
        <v>102</v>
      </c>
      <c r="D2014" t="s">
        <v>1698</v>
      </c>
      <c r="E2014" t="s">
        <v>584</v>
      </c>
      <c r="F2014" s="1">
        <v>46072.794027777774</v>
      </c>
      <c r="G2014" t="s">
        <v>105</v>
      </c>
      <c r="H2014" t="s">
        <v>106</v>
      </c>
      <c r="I2014" t="s">
        <v>8089</v>
      </c>
      <c r="J2014" t="s">
        <v>108</v>
      </c>
      <c r="K2014" t="s">
        <v>571</v>
      </c>
      <c r="M2014" t="s">
        <v>47</v>
      </c>
      <c r="O2014" t="s">
        <v>77</v>
      </c>
      <c r="P2014" t="s">
        <v>78</v>
      </c>
      <c r="Q2014" t="s">
        <v>50</v>
      </c>
      <c r="R2014" t="s">
        <v>111</v>
      </c>
      <c r="S2014" t="s">
        <v>51</v>
      </c>
      <c r="T2014" t="s">
        <v>112</v>
      </c>
      <c r="U2014" s="1">
        <v>46072.848356481481</v>
      </c>
      <c r="V2014" t="s">
        <v>54</v>
      </c>
      <c r="W2014" t="s">
        <v>55</v>
      </c>
      <c r="X2014" t="s">
        <v>134</v>
      </c>
      <c r="Y2014" t="s">
        <v>1816</v>
      </c>
      <c r="Z2014" t="s">
        <v>5594</v>
      </c>
      <c r="AA2014" t="s">
        <v>54</v>
      </c>
      <c r="AB2014" t="s">
        <v>1701</v>
      </c>
      <c r="AC2014" t="s">
        <v>85</v>
      </c>
      <c r="AD2014" t="s">
        <v>116</v>
      </c>
      <c r="AE2014" t="s">
        <v>574</v>
      </c>
      <c r="AF2014" t="s">
        <v>144</v>
      </c>
      <c r="AG2014" t="s">
        <v>5594</v>
      </c>
      <c r="AK2014">
        <v>1</v>
      </c>
      <c r="AL2014" t="s">
        <v>61</v>
      </c>
      <c r="AM2014" t="s">
        <v>1701</v>
      </c>
      <c r="AN2014" t="s">
        <v>1702</v>
      </c>
    </row>
    <row r="2015" spans="1:40" x14ac:dyDescent="0.35">
      <c r="A2015" t="s">
        <v>37</v>
      </c>
      <c r="B2015" t="s">
        <v>8090</v>
      </c>
      <c r="C2015" t="s">
        <v>102</v>
      </c>
      <c r="D2015" t="s">
        <v>469</v>
      </c>
      <c r="E2015" t="s">
        <v>8091</v>
      </c>
      <c r="F2015" s="1">
        <v>46072.777708333335</v>
      </c>
      <c r="G2015" t="s">
        <v>170</v>
      </c>
      <c r="H2015" t="s">
        <v>92</v>
      </c>
      <c r="I2015" t="s">
        <v>8092</v>
      </c>
      <c r="J2015" t="s">
        <v>8023</v>
      </c>
      <c r="K2015" t="s">
        <v>588</v>
      </c>
      <c r="M2015" t="s">
        <v>47</v>
      </c>
      <c r="O2015" t="s">
        <v>237</v>
      </c>
      <c r="P2015" t="s">
        <v>238</v>
      </c>
      <c r="Q2015" t="s">
        <v>50</v>
      </c>
      <c r="R2015" t="s">
        <v>79</v>
      </c>
      <c r="S2015" t="s">
        <v>975</v>
      </c>
      <c r="T2015" t="s">
        <v>976</v>
      </c>
      <c r="U2015" s="1">
        <v>46072.777997685182</v>
      </c>
      <c r="V2015" t="s">
        <v>54</v>
      </c>
      <c r="W2015" t="s">
        <v>55</v>
      </c>
      <c r="X2015" t="s">
        <v>82</v>
      </c>
      <c r="Y2015" t="s">
        <v>8093</v>
      </c>
      <c r="Z2015" t="s">
        <v>5594</v>
      </c>
      <c r="AA2015" t="s">
        <v>54</v>
      </c>
      <c r="AB2015" t="s">
        <v>176</v>
      </c>
      <c r="AC2015" t="s">
        <v>242</v>
      </c>
      <c r="AD2015" t="s">
        <v>79</v>
      </c>
      <c r="AE2015" t="s">
        <v>936</v>
      </c>
      <c r="AF2015" t="s">
        <v>939</v>
      </c>
      <c r="AG2015" t="s">
        <v>5594</v>
      </c>
      <c r="AH2015">
        <v>12821</v>
      </c>
      <c r="AK2015">
        <v>0</v>
      </c>
      <c r="AL2015" t="s">
        <v>61</v>
      </c>
      <c r="AM2015" t="s">
        <v>8094</v>
      </c>
      <c r="AN2015" t="s">
        <v>8095</v>
      </c>
    </row>
    <row r="2016" spans="1:40" x14ac:dyDescent="0.35">
      <c r="A2016" t="s">
        <v>37</v>
      </c>
      <c r="B2016" t="s">
        <v>8096</v>
      </c>
      <c r="C2016" t="s">
        <v>102</v>
      </c>
      <c r="D2016" t="s">
        <v>7802</v>
      </c>
      <c r="E2016" t="s">
        <v>7803</v>
      </c>
      <c r="F2016" s="1">
        <v>46072.775312500002</v>
      </c>
      <c r="G2016" t="s">
        <v>170</v>
      </c>
      <c r="H2016" t="s">
        <v>92</v>
      </c>
      <c r="I2016" t="s">
        <v>8092</v>
      </c>
      <c r="J2016" t="s">
        <v>8023</v>
      </c>
      <c r="K2016" t="s">
        <v>588</v>
      </c>
      <c r="M2016" t="s">
        <v>47</v>
      </c>
      <c r="O2016" t="s">
        <v>237</v>
      </c>
      <c r="P2016" t="s">
        <v>238</v>
      </c>
      <c r="Q2016" t="s">
        <v>50</v>
      </c>
      <c r="R2016" t="s">
        <v>79</v>
      </c>
      <c r="S2016" t="s">
        <v>975</v>
      </c>
      <c r="T2016" t="s">
        <v>976</v>
      </c>
      <c r="U2016" s="1">
        <v>46072.776469907411</v>
      </c>
      <c r="V2016" t="s">
        <v>54</v>
      </c>
      <c r="W2016" t="s">
        <v>55</v>
      </c>
      <c r="X2016" t="s">
        <v>82</v>
      </c>
      <c r="Y2016" t="s">
        <v>8093</v>
      </c>
      <c r="Z2016" t="s">
        <v>5594</v>
      </c>
      <c r="AA2016" t="s">
        <v>54</v>
      </c>
      <c r="AB2016" t="s">
        <v>176</v>
      </c>
      <c r="AC2016" t="s">
        <v>242</v>
      </c>
      <c r="AD2016" t="s">
        <v>79</v>
      </c>
      <c r="AE2016" t="s">
        <v>975</v>
      </c>
      <c r="AF2016" t="s">
        <v>3622</v>
      </c>
      <c r="AG2016" t="s">
        <v>5594</v>
      </c>
      <c r="AH2016">
        <v>13279</v>
      </c>
      <c r="AK2016">
        <v>0</v>
      </c>
      <c r="AL2016" t="s">
        <v>61</v>
      </c>
      <c r="AM2016" t="s">
        <v>7809</v>
      </c>
      <c r="AN2016" t="s">
        <v>7810</v>
      </c>
    </row>
    <row r="2017" spans="1:40" x14ac:dyDescent="0.35">
      <c r="A2017" t="s">
        <v>37</v>
      </c>
      <c r="B2017" t="s">
        <v>8097</v>
      </c>
      <c r="C2017" t="s">
        <v>102</v>
      </c>
      <c r="D2017" t="s">
        <v>1698</v>
      </c>
      <c r="E2017" t="s">
        <v>584</v>
      </c>
      <c r="F2017" s="1">
        <v>46072.768958333334</v>
      </c>
      <c r="G2017" t="s">
        <v>105</v>
      </c>
      <c r="H2017" t="s">
        <v>106</v>
      </c>
      <c r="I2017" t="s">
        <v>6031</v>
      </c>
      <c r="J2017" t="s">
        <v>108</v>
      </c>
      <c r="K2017" t="s">
        <v>109</v>
      </c>
      <c r="M2017" t="s">
        <v>47</v>
      </c>
      <c r="O2017" t="s">
        <v>77</v>
      </c>
      <c r="P2017" t="s">
        <v>78</v>
      </c>
      <c r="Q2017" t="s">
        <v>50</v>
      </c>
      <c r="R2017" t="s">
        <v>111</v>
      </c>
      <c r="S2017" t="s">
        <v>51</v>
      </c>
      <c r="T2017" t="s">
        <v>112</v>
      </c>
      <c r="U2017" s="1">
        <v>46072.787199074075</v>
      </c>
      <c r="V2017" t="s">
        <v>54</v>
      </c>
      <c r="W2017" t="s">
        <v>55</v>
      </c>
      <c r="X2017" t="s">
        <v>134</v>
      </c>
      <c r="Y2017" t="s">
        <v>8098</v>
      </c>
      <c r="Z2017" t="s">
        <v>5594</v>
      </c>
      <c r="AA2017" t="s">
        <v>54</v>
      </c>
      <c r="AB2017" t="s">
        <v>1701</v>
      </c>
      <c r="AC2017" t="s">
        <v>85</v>
      </c>
      <c r="AD2017" t="s">
        <v>116</v>
      </c>
      <c r="AE2017" t="s">
        <v>117</v>
      </c>
      <c r="AF2017" t="s">
        <v>161</v>
      </c>
      <c r="AG2017" t="s">
        <v>5594</v>
      </c>
      <c r="AK2017">
        <v>1</v>
      </c>
      <c r="AL2017" t="s">
        <v>61</v>
      </c>
      <c r="AM2017" t="s">
        <v>1701</v>
      </c>
      <c r="AN2017" t="s">
        <v>1702</v>
      </c>
    </row>
    <row r="2018" spans="1:40" x14ac:dyDescent="0.35">
      <c r="A2018" t="s">
        <v>37</v>
      </c>
      <c r="B2018" t="s">
        <v>8099</v>
      </c>
      <c r="C2018" t="s">
        <v>656</v>
      </c>
      <c r="D2018" t="s">
        <v>1711</v>
      </c>
      <c r="E2018" t="s">
        <v>1712</v>
      </c>
      <c r="F2018" s="1">
        <v>46072.766064814816</v>
      </c>
      <c r="G2018" t="s">
        <v>1713</v>
      </c>
      <c r="H2018" t="s">
        <v>356</v>
      </c>
      <c r="I2018" t="s">
        <v>8100</v>
      </c>
      <c r="J2018" t="s">
        <v>8101</v>
      </c>
      <c r="K2018" t="s">
        <v>1484</v>
      </c>
      <c r="M2018" t="s">
        <v>47</v>
      </c>
      <c r="O2018" t="s">
        <v>237</v>
      </c>
      <c r="P2018" t="s">
        <v>238</v>
      </c>
      <c r="Q2018" t="s">
        <v>50</v>
      </c>
      <c r="R2018" t="s">
        <v>305</v>
      </c>
      <c r="S2018" t="s">
        <v>306</v>
      </c>
      <c r="T2018" t="s">
        <v>1715</v>
      </c>
      <c r="U2018" s="1">
        <v>46073.562083333331</v>
      </c>
      <c r="V2018" t="s">
        <v>54</v>
      </c>
      <c r="W2018" t="s">
        <v>55</v>
      </c>
      <c r="X2018" t="s">
        <v>134</v>
      </c>
      <c r="Y2018" t="s">
        <v>8102</v>
      </c>
      <c r="Z2018" t="s">
        <v>5594</v>
      </c>
      <c r="AA2018" t="s">
        <v>54</v>
      </c>
      <c r="AB2018" t="s">
        <v>1717</v>
      </c>
      <c r="AC2018" t="s">
        <v>242</v>
      </c>
      <c r="AD2018" t="s">
        <v>51</v>
      </c>
      <c r="AE2018" t="s">
        <v>52</v>
      </c>
      <c r="AF2018" t="s">
        <v>240</v>
      </c>
      <c r="AG2018" t="s">
        <v>5594</v>
      </c>
      <c r="AK2018">
        <v>1</v>
      </c>
      <c r="AL2018" t="s">
        <v>61</v>
      </c>
      <c r="AM2018" t="s">
        <v>1717</v>
      </c>
      <c r="AN2018" t="s">
        <v>1720</v>
      </c>
    </row>
    <row r="2019" spans="1:40" x14ac:dyDescent="0.35">
      <c r="A2019" t="s">
        <v>37</v>
      </c>
      <c r="B2019" t="s">
        <v>8103</v>
      </c>
      <c r="C2019" t="s">
        <v>39</v>
      </c>
      <c r="D2019" t="s">
        <v>747</v>
      </c>
      <c r="E2019" t="s">
        <v>8104</v>
      </c>
      <c r="F2019" s="1">
        <v>46072.760335648149</v>
      </c>
      <c r="G2019" t="s">
        <v>446</v>
      </c>
      <c r="H2019" t="s">
        <v>447</v>
      </c>
      <c r="I2019" t="s">
        <v>8105</v>
      </c>
      <c r="J2019" t="s">
        <v>2256</v>
      </c>
      <c r="K2019" t="s">
        <v>2257</v>
      </c>
      <c r="M2019" t="s">
        <v>47</v>
      </c>
      <c r="O2019" t="s">
        <v>77</v>
      </c>
      <c r="P2019" t="s">
        <v>78</v>
      </c>
      <c r="Q2019" t="s">
        <v>856</v>
      </c>
      <c r="R2019" t="s">
        <v>51</v>
      </c>
      <c r="S2019" t="s">
        <v>52</v>
      </c>
      <c r="T2019" t="s">
        <v>240</v>
      </c>
      <c r="U2019" s="1">
        <v>46073.455185185187</v>
      </c>
      <c r="V2019" t="s">
        <v>54</v>
      </c>
      <c r="W2019" t="s">
        <v>55</v>
      </c>
      <c r="X2019" t="s">
        <v>134</v>
      </c>
      <c r="Y2019" t="s">
        <v>8106</v>
      </c>
      <c r="Z2019" t="s">
        <v>5594</v>
      </c>
      <c r="AA2019" t="s">
        <v>54</v>
      </c>
      <c r="AB2019" t="s">
        <v>954</v>
      </c>
      <c r="AC2019" t="s">
        <v>85</v>
      </c>
      <c r="AD2019" t="s">
        <v>52</v>
      </c>
      <c r="AE2019" t="s">
        <v>2140</v>
      </c>
      <c r="AF2019" t="s">
        <v>5204</v>
      </c>
      <c r="AG2019" t="s">
        <v>5594</v>
      </c>
      <c r="AH2019">
        <v>4412</v>
      </c>
      <c r="AK2019">
        <v>1</v>
      </c>
      <c r="AL2019" t="s">
        <v>61</v>
      </c>
      <c r="AM2019" t="s">
        <v>8107</v>
      </c>
      <c r="AN2019" t="s">
        <v>8108</v>
      </c>
    </row>
    <row r="2020" spans="1:40" x14ac:dyDescent="0.35">
      <c r="A2020" t="s">
        <v>37</v>
      </c>
      <c r="B2020" t="s">
        <v>8109</v>
      </c>
      <c r="C2020" t="s">
        <v>39</v>
      </c>
      <c r="D2020" t="s">
        <v>469</v>
      </c>
      <c r="E2020" t="s">
        <v>2014</v>
      </c>
      <c r="F2020" s="1">
        <v>46072.758483796293</v>
      </c>
      <c r="G2020" t="s">
        <v>2015</v>
      </c>
      <c r="H2020" t="s">
        <v>447</v>
      </c>
      <c r="I2020" t="s">
        <v>6630</v>
      </c>
      <c r="J2020" t="s">
        <v>6631</v>
      </c>
      <c r="K2020" t="s">
        <v>6632</v>
      </c>
      <c r="M2020" t="s">
        <v>47</v>
      </c>
      <c r="O2020" t="s">
        <v>77</v>
      </c>
      <c r="P2020" t="s">
        <v>78</v>
      </c>
      <c r="Q2020" t="s">
        <v>456</v>
      </c>
      <c r="R2020" t="s">
        <v>51</v>
      </c>
      <c r="S2020" t="s">
        <v>52</v>
      </c>
      <c r="T2020" t="s">
        <v>997</v>
      </c>
      <c r="U2020" s="1">
        <v>46073.534548611111</v>
      </c>
      <c r="V2020" t="s">
        <v>54</v>
      </c>
      <c r="W2020" t="s">
        <v>55</v>
      </c>
      <c r="X2020" t="s">
        <v>134</v>
      </c>
      <c r="Y2020" t="s">
        <v>8110</v>
      </c>
      <c r="Z2020" t="s">
        <v>5594</v>
      </c>
      <c r="AA2020" t="s">
        <v>54</v>
      </c>
      <c r="AB2020" t="s">
        <v>954</v>
      </c>
      <c r="AC2020" t="s">
        <v>85</v>
      </c>
      <c r="AD2020" t="s">
        <v>52</v>
      </c>
      <c r="AE2020" t="s">
        <v>999</v>
      </c>
      <c r="AF2020" t="s">
        <v>1000</v>
      </c>
      <c r="AG2020" t="s">
        <v>5594</v>
      </c>
      <c r="AH2020">
        <v>543</v>
      </c>
      <c r="AK2020">
        <v>1</v>
      </c>
      <c r="AL2020" t="s">
        <v>61</v>
      </c>
      <c r="AM2020" t="s">
        <v>2016</v>
      </c>
      <c r="AN2020" t="s">
        <v>2017</v>
      </c>
    </row>
    <row r="2021" spans="1:40" x14ac:dyDescent="0.35">
      <c r="A2021" t="s">
        <v>37</v>
      </c>
      <c r="B2021" t="s">
        <v>8111</v>
      </c>
      <c r="C2021" t="s">
        <v>102</v>
      </c>
      <c r="D2021" t="s">
        <v>1668</v>
      </c>
      <c r="E2021" t="s">
        <v>1669</v>
      </c>
      <c r="F2021" s="1">
        <v>46072.758518518516</v>
      </c>
      <c r="G2021" t="s">
        <v>286</v>
      </c>
      <c r="H2021" t="s">
        <v>287</v>
      </c>
      <c r="I2021" t="s">
        <v>8112</v>
      </c>
      <c r="J2021" t="s">
        <v>1671</v>
      </c>
      <c r="K2021" t="s">
        <v>130</v>
      </c>
      <c r="M2021" t="s">
        <v>47</v>
      </c>
      <c r="O2021" t="s">
        <v>77</v>
      </c>
      <c r="P2021" t="s">
        <v>78</v>
      </c>
      <c r="Q2021" t="s">
        <v>50</v>
      </c>
      <c r="R2021" t="s">
        <v>51</v>
      </c>
      <c r="S2021" t="s">
        <v>195</v>
      </c>
      <c r="T2021" t="s">
        <v>680</v>
      </c>
      <c r="U2021" s="1">
        <v>46073.337719907409</v>
      </c>
      <c r="V2021" t="s">
        <v>54</v>
      </c>
      <c r="W2021" t="s">
        <v>55</v>
      </c>
      <c r="X2021" t="s">
        <v>134</v>
      </c>
      <c r="Y2021" t="s">
        <v>8113</v>
      </c>
      <c r="Z2021" t="s">
        <v>5594</v>
      </c>
      <c r="AA2021" t="s">
        <v>54</v>
      </c>
      <c r="AB2021" t="s">
        <v>1673</v>
      </c>
      <c r="AC2021" t="s">
        <v>85</v>
      </c>
      <c r="AD2021" t="s">
        <v>51</v>
      </c>
      <c r="AE2021" t="s">
        <v>195</v>
      </c>
      <c r="AF2021" t="s">
        <v>680</v>
      </c>
      <c r="AG2021" t="s">
        <v>5594</v>
      </c>
      <c r="AH2021" t="s">
        <v>1674</v>
      </c>
      <c r="AK2021">
        <v>1</v>
      </c>
      <c r="AL2021" t="s">
        <v>61</v>
      </c>
      <c r="AM2021" t="s">
        <v>1673</v>
      </c>
      <c r="AN2021" t="s">
        <v>1675</v>
      </c>
    </row>
    <row r="2022" spans="1:40" x14ac:dyDescent="0.35">
      <c r="A2022" t="s">
        <v>37</v>
      </c>
      <c r="B2022" t="s">
        <v>8114</v>
      </c>
      <c r="C2022" t="s">
        <v>102</v>
      </c>
      <c r="D2022" t="s">
        <v>1668</v>
      </c>
      <c r="E2022" t="s">
        <v>1669</v>
      </c>
      <c r="F2022" s="1">
        <v>46072.741863425923</v>
      </c>
      <c r="G2022" t="s">
        <v>286</v>
      </c>
      <c r="H2022" t="s">
        <v>287</v>
      </c>
      <c r="I2022" t="s">
        <v>8115</v>
      </c>
      <c r="J2022" t="s">
        <v>1671</v>
      </c>
      <c r="K2022" t="s">
        <v>130</v>
      </c>
      <c r="M2022" t="s">
        <v>47</v>
      </c>
      <c r="O2022" t="s">
        <v>77</v>
      </c>
      <c r="P2022" t="s">
        <v>78</v>
      </c>
      <c r="Q2022" t="s">
        <v>50</v>
      </c>
      <c r="R2022" t="s">
        <v>51</v>
      </c>
      <c r="S2022" t="s">
        <v>195</v>
      </c>
      <c r="T2022" t="s">
        <v>680</v>
      </c>
      <c r="U2022" s="1">
        <v>46073.450891203705</v>
      </c>
      <c r="V2022" t="s">
        <v>54</v>
      </c>
      <c r="W2022" t="s">
        <v>55</v>
      </c>
      <c r="X2022" t="s">
        <v>134</v>
      </c>
      <c r="Y2022" t="s">
        <v>8116</v>
      </c>
      <c r="Z2022" t="s">
        <v>5594</v>
      </c>
      <c r="AA2022" t="s">
        <v>54</v>
      </c>
      <c r="AB2022" t="s">
        <v>1673</v>
      </c>
      <c r="AC2022" t="s">
        <v>85</v>
      </c>
      <c r="AD2022" t="s">
        <v>51</v>
      </c>
      <c r="AE2022" t="s">
        <v>195</v>
      </c>
      <c r="AF2022" t="s">
        <v>680</v>
      </c>
      <c r="AG2022" t="s">
        <v>5594</v>
      </c>
      <c r="AH2022" t="s">
        <v>1674</v>
      </c>
      <c r="AK2022">
        <v>1</v>
      </c>
      <c r="AL2022" t="s">
        <v>61</v>
      </c>
      <c r="AM2022" t="s">
        <v>1673</v>
      </c>
      <c r="AN2022" t="s">
        <v>1675</v>
      </c>
    </row>
    <row r="2023" spans="1:40" x14ac:dyDescent="0.35">
      <c r="A2023" t="s">
        <v>37</v>
      </c>
      <c r="B2023" t="s">
        <v>8117</v>
      </c>
      <c r="C2023" t="s">
        <v>39</v>
      </c>
      <c r="D2023" t="s">
        <v>1151</v>
      </c>
      <c r="E2023" t="s">
        <v>8118</v>
      </c>
      <c r="F2023" s="1">
        <v>46072.741724537038</v>
      </c>
      <c r="G2023" t="s">
        <v>487</v>
      </c>
      <c r="H2023" t="s">
        <v>447</v>
      </c>
      <c r="I2023" t="s">
        <v>1087</v>
      </c>
      <c r="J2023" t="s">
        <v>1015</v>
      </c>
      <c r="K2023" t="s">
        <v>75</v>
      </c>
      <c r="M2023" t="s">
        <v>47</v>
      </c>
      <c r="O2023" t="s">
        <v>77</v>
      </c>
      <c r="P2023" t="s">
        <v>78</v>
      </c>
      <c r="Q2023" t="s">
        <v>8119</v>
      </c>
      <c r="R2023" t="s">
        <v>79</v>
      </c>
      <c r="S2023" t="s">
        <v>1078</v>
      </c>
      <c r="T2023" t="s">
        <v>1078</v>
      </c>
      <c r="U2023" s="1">
        <v>46072.742824074077</v>
      </c>
      <c r="V2023" t="s">
        <v>54</v>
      </c>
      <c r="W2023" t="s">
        <v>55</v>
      </c>
      <c r="X2023" t="s">
        <v>82</v>
      </c>
      <c r="Y2023" t="s">
        <v>8120</v>
      </c>
      <c r="Z2023" t="s">
        <v>5594</v>
      </c>
      <c r="AA2023" t="s">
        <v>54</v>
      </c>
      <c r="AB2023" t="s">
        <v>954</v>
      </c>
      <c r="AC2023" t="s">
        <v>85</v>
      </c>
      <c r="AD2023" t="s">
        <v>79</v>
      </c>
      <c r="AE2023" t="s">
        <v>1078</v>
      </c>
      <c r="AF2023" t="s">
        <v>1078</v>
      </c>
      <c r="AG2023" t="s">
        <v>5594</v>
      </c>
      <c r="AH2023">
        <v>3686</v>
      </c>
      <c r="AK2023">
        <v>0</v>
      </c>
      <c r="AL2023" t="s">
        <v>61</v>
      </c>
      <c r="AM2023" t="s">
        <v>8121</v>
      </c>
      <c r="AN2023" t="s">
        <v>8122</v>
      </c>
    </row>
    <row r="2024" spans="1:40" x14ac:dyDescent="0.35">
      <c r="A2024" t="s">
        <v>37</v>
      </c>
      <c r="B2024" t="s">
        <v>8123</v>
      </c>
      <c r="C2024" t="s">
        <v>102</v>
      </c>
      <c r="D2024" t="s">
        <v>8124</v>
      </c>
      <c r="E2024" t="s">
        <v>8125</v>
      </c>
      <c r="F2024" s="1">
        <v>46072.734444444446</v>
      </c>
      <c r="G2024" t="s">
        <v>71</v>
      </c>
      <c r="H2024" t="s">
        <v>72</v>
      </c>
      <c r="I2024" t="s">
        <v>8126</v>
      </c>
      <c r="J2024" t="s">
        <v>8127</v>
      </c>
      <c r="K2024" t="s">
        <v>1627</v>
      </c>
      <c r="M2024" t="s">
        <v>131</v>
      </c>
      <c r="O2024" t="s">
        <v>1501</v>
      </c>
      <c r="P2024" t="s">
        <v>1502</v>
      </c>
      <c r="Q2024" t="s">
        <v>1027</v>
      </c>
      <c r="R2024" t="s">
        <v>2670</v>
      </c>
      <c r="S2024" t="s">
        <v>967</v>
      </c>
      <c r="T2024" t="s">
        <v>8128</v>
      </c>
      <c r="U2024" s="1">
        <v>46078.491851851853</v>
      </c>
      <c r="V2024" t="s">
        <v>54</v>
      </c>
      <c r="W2024" t="s">
        <v>55</v>
      </c>
      <c r="X2024" t="s">
        <v>134</v>
      </c>
      <c r="Y2024" t="s">
        <v>8129</v>
      </c>
      <c r="Z2024" t="s">
        <v>58</v>
      </c>
      <c r="AA2024" t="s">
        <v>54</v>
      </c>
      <c r="AB2024" t="s">
        <v>954</v>
      </c>
      <c r="AC2024" t="s">
        <v>1504</v>
      </c>
      <c r="AD2024" t="s">
        <v>2670</v>
      </c>
      <c r="AE2024" t="s">
        <v>8130</v>
      </c>
      <c r="AF2024" t="s">
        <v>8131</v>
      </c>
      <c r="AG2024" t="s">
        <v>58</v>
      </c>
      <c r="AH2024">
        <v>10711</v>
      </c>
      <c r="AK2024">
        <v>1</v>
      </c>
      <c r="AL2024" t="s">
        <v>61</v>
      </c>
      <c r="AM2024" t="s">
        <v>8132</v>
      </c>
      <c r="AN2024" t="s">
        <v>8133</v>
      </c>
    </row>
    <row r="2025" spans="1:40" x14ac:dyDescent="0.35">
      <c r="A2025" t="s">
        <v>37</v>
      </c>
      <c r="B2025" t="s">
        <v>8134</v>
      </c>
      <c r="C2025" t="s">
        <v>102</v>
      </c>
      <c r="D2025" t="s">
        <v>1698</v>
      </c>
      <c r="E2025" t="s">
        <v>584</v>
      </c>
      <c r="F2025" s="1">
        <v>46072.725046296298</v>
      </c>
      <c r="G2025" t="s">
        <v>105</v>
      </c>
      <c r="H2025" t="s">
        <v>106</v>
      </c>
      <c r="I2025" t="s">
        <v>1375</v>
      </c>
      <c r="J2025" t="s">
        <v>108</v>
      </c>
      <c r="K2025" t="s">
        <v>571</v>
      </c>
      <c r="M2025" t="s">
        <v>47</v>
      </c>
      <c r="O2025" t="s">
        <v>77</v>
      </c>
      <c r="P2025" t="s">
        <v>78</v>
      </c>
      <c r="Q2025" t="s">
        <v>50</v>
      </c>
      <c r="R2025" t="s">
        <v>111</v>
      </c>
      <c r="S2025" t="s">
        <v>51</v>
      </c>
      <c r="T2025" t="s">
        <v>112</v>
      </c>
      <c r="U2025" s="1">
        <v>46072.847592592596</v>
      </c>
      <c r="V2025" t="s">
        <v>54</v>
      </c>
      <c r="W2025" t="s">
        <v>55</v>
      </c>
      <c r="X2025" t="s">
        <v>134</v>
      </c>
      <c r="Y2025" t="s">
        <v>1816</v>
      </c>
      <c r="Z2025" t="s">
        <v>5594</v>
      </c>
      <c r="AA2025" t="s">
        <v>54</v>
      </c>
      <c r="AB2025" t="s">
        <v>1701</v>
      </c>
      <c r="AC2025" t="s">
        <v>85</v>
      </c>
      <c r="AD2025" t="s">
        <v>116</v>
      </c>
      <c r="AE2025" t="s">
        <v>574</v>
      </c>
      <c r="AF2025" t="s">
        <v>144</v>
      </c>
      <c r="AG2025" t="s">
        <v>5594</v>
      </c>
      <c r="AK2025">
        <v>1</v>
      </c>
      <c r="AL2025" t="s">
        <v>61</v>
      </c>
      <c r="AM2025" t="s">
        <v>1701</v>
      </c>
      <c r="AN2025" t="s">
        <v>1702</v>
      </c>
    </row>
    <row r="2026" spans="1:40" x14ac:dyDescent="0.35">
      <c r="A2026" t="s">
        <v>37</v>
      </c>
      <c r="B2026" t="s">
        <v>8135</v>
      </c>
      <c r="C2026" t="s">
        <v>102</v>
      </c>
      <c r="D2026" t="s">
        <v>146</v>
      </c>
      <c r="E2026" t="s">
        <v>147</v>
      </c>
      <c r="F2026" s="1">
        <v>46072.725717592592</v>
      </c>
      <c r="G2026" t="s">
        <v>71</v>
      </c>
      <c r="H2026" t="s">
        <v>72</v>
      </c>
      <c r="I2026" t="s">
        <v>8136</v>
      </c>
      <c r="J2026" t="s">
        <v>149</v>
      </c>
      <c r="K2026" t="s">
        <v>130</v>
      </c>
      <c r="M2026" t="s">
        <v>47</v>
      </c>
      <c r="O2026" t="s">
        <v>77</v>
      </c>
      <c r="P2026" t="s">
        <v>78</v>
      </c>
      <c r="Q2026" t="s">
        <v>50</v>
      </c>
      <c r="R2026" t="s">
        <v>132</v>
      </c>
      <c r="S2026" t="s">
        <v>133</v>
      </c>
      <c r="T2026" t="s">
        <v>133</v>
      </c>
      <c r="U2026" s="1">
        <v>46073.410995370374</v>
      </c>
      <c r="V2026" t="s">
        <v>54</v>
      </c>
      <c r="W2026" t="s">
        <v>55</v>
      </c>
      <c r="X2026" t="s">
        <v>82</v>
      </c>
      <c r="Y2026" t="s">
        <v>8137</v>
      </c>
      <c r="Z2026" t="s">
        <v>5594</v>
      </c>
      <c r="AA2026" t="s">
        <v>54</v>
      </c>
      <c r="AB2026" t="s">
        <v>152</v>
      </c>
      <c r="AC2026" t="s">
        <v>85</v>
      </c>
      <c r="AD2026" t="s">
        <v>132</v>
      </c>
      <c r="AE2026" t="s">
        <v>133</v>
      </c>
      <c r="AF2026" t="s">
        <v>133</v>
      </c>
      <c r="AG2026" t="s">
        <v>5594</v>
      </c>
      <c r="AH2026" t="s">
        <v>153</v>
      </c>
      <c r="AK2026">
        <v>1</v>
      </c>
      <c r="AL2026" t="s">
        <v>61</v>
      </c>
      <c r="AM2026" t="s">
        <v>152</v>
      </c>
      <c r="AN2026" t="s">
        <v>154</v>
      </c>
    </row>
    <row r="2027" spans="1:40" x14ac:dyDescent="0.35">
      <c r="A2027" t="s">
        <v>37</v>
      </c>
      <c r="B2027" t="s">
        <v>8138</v>
      </c>
      <c r="C2027" t="s">
        <v>39</v>
      </c>
      <c r="D2027" t="s">
        <v>320</v>
      </c>
      <c r="E2027" t="s">
        <v>8139</v>
      </c>
      <c r="F2027" s="1">
        <v>46072.722696759258</v>
      </c>
      <c r="G2027" t="s">
        <v>446</v>
      </c>
      <c r="H2027" t="s">
        <v>447</v>
      </c>
      <c r="I2027" t="s">
        <v>8140</v>
      </c>
      <c r="J2027" t="s">
        <v>8141</v>
      </c>
      <c r="K2027" t="s">
        <v>951</v>
      </c>
      <c r="M2027" t="s">
        <v>76</v>
      </c>
      <c r="O2027" t="s">
        <v>77</v>
      </c>
      <c r="P2027" t="s">
        <v>78</v>
      </c>
      <c r="Q2027" t="s">
        <v>50</v>
      </c>
      <c r="R2027" t="s">
        <v>79</v>
      </c>
      <c r="S2027" t="s">
        <v>1556</v>
      </c>
      <c r="T2027" t="s">
        <v>1557</v>
      </c>
      <c r="U2027" s="1">
        <v>46076.37945601852</v>
      </c>
      <c r="V2027" t="s">
        <v>54</v>
      </c>
      <c r="W2027" t="s">
        <v>55</v>
      </c>
      <c r="X2027" t="s">
        <v>134</v>
      </c>
      <c r="Y2027" t="s">
        <v>8142</v>
      </c>
      <c r="Z2027" t="s">
        <v>58</v>
      </c>
      <c r="AA2027" t="s">
        <v>54</v>
      </c>
      <c r="AB2027" t="s">
        <v>954</v>
      </c>
      <c r="AC2027" t="s">
        <v>85</v>
      </c>
      <c r="AD2027" t="s">
        <v>79</v>
      </c>
      <c r="AE2027" t="s">
        <v>1556</v>
      </c>
      <c r="AF2027" t="s">
        <v>1557</v>
      </c>
      <c r="AG2027" t="s">
        <v>58</v>
      </c>
      <c r="AH2027">
        <v>12642</v>
      </c>
      <c r="AK2027">
        <v>1</v>
      </c>
      <c r="AL2027" t="s">
        <v>61</v>
      </c>
      <c r="AM2027" t="s">
        <v>8143</v>
      </c>
      <c r="AN2027" t="s">
        <v>8144</v>
      </c>
    </row>
    <row r="2028" spans="1:40" x14ac:dyDescent="0.35">
      <c r="A2028" t="s">
        <v>37</v>
      </c>
      <c r="B2028" t="s">
        <v>8145</v>
      </c>
      <c r="C2028" t="s">
        <v>102</v>
      </c>
      <c r="D2028" t="s">
        <v>146</v>
      </c>
      <c r="E2028" t="s">
        <v>147</v>
      </c>
      <c r="F2028" s="1">
        <v>46072.719756944447</v>
      </c>
      <c r="G2028" t="s">
        <v>71</v>
      </c>
      <c r="H2028" t="s">
        <v>72</v>
      </c>
      <c r="I2028" t="s">
        <v>8146</v>
      </c>
      <c r="J2028" t="s">
        <v>149</v>
      </c>
      <c r="K2028" t="s">
        <v>130</v>
      </c>
      <c r="M2028" t="s">
        <v>47</v>
      </c>
      <c r="O2028" t="s">
        <v>77</v>
      </c>
      <c r="P2028" t="s">
        <v>78</v>
      </c>
      <c r="Q2028" t="s">
        <v>50</v>
      </c>
      <c r="R2028" t="s">
        <v>132</v>
      </c>
      <c r="S2028" t="s">
        <v>133</v>
      </c>
      <c r="T2028" t="s">
        <v>133</v>
      </c>
      <c r="U2028" s="1">
        <v>46073.336921296293</v>
      </c>
      <c r="V2028" t="s">
        <v>54</v>
      </c>
      <c r="W2028" t="s">
        <v>55</v>
      </c>
      <c r="X2028" t="s">
        <v>82</v>
      </c>
      <c r="Y2028" t="s">
        <v>8147</v>
      </c>
      <c r="Z2028" t="s">
        <v>5594</v>
      </c>
      <c r="AA2028" t="s">
        <v>54</v>
      </c>
      <c r="AB2028" t="s">
        <v>152</v>
      </c>
      <c r="AC2028" t="s">
        <v>85</v>
      </c>
      <c r="AD2028" t="s">
        <v>132</v>
      </c>
      <c r="AE2028" t="s">
        <v>133</v>
      </c>
      <c r="AF2028" t="s">
        <v>133</v>
      </c>
      <c r="AG2028" t="s">
        <v>5594</v>
      </c>
      <c r="AH2028" t="s">
        <v>153</v>
      </c>
      <c r="AK2028">
        <v>1</v>
      </c>
      <c r="AL2028" t="s">
        <v>61</v>
      </c>
      <c r="AM2028" t="s">
        <v>152</v>
      </c>
      <c r="AN2028" t="s">
        <v>154</v>
      </c>
    </row>
    <row r="2029" spans="1:40" x14ac:dyDescent="0.35">
      <c r="A2029" t="s">
        <v>37</v>
      </c>
      <c r="B2029" t="s">
        <v>8148</v>
      </c>
      <c r="C2029" t="s">
        <v>39</v>
      </c>
      <c r="D2029" t="s">
        <v>8149</v>
      </c>
      <c r="E2029" t="s">
        <v>469</v>
      </c>
      <c r="F2029" s="1">
        <v>46072.716192129628</v>
      </c>
      <c r="G2029" t="s">
        <v>446</v>
      </c>
      <c r="H2029" t="s">
        <v>447</v>
      </c>
      <c r="I2029" t="s">
        <v>8150</v>
      </c>
      <c r="J2029" t="s">
        <v>1015</v>
      </c>
      <c r="K2029" t="s">
        <v>75</v>
      </c>
      <c r="M2029" t="s">
        <v>76</v>
      </c>
      <c r="O2029" t="s">
        <v>77</v>
      </c>
      <c r="P2029" t="s">
        <v>78</v>
      </c>
      <c r="Q2029" t="s">
        <v>50</v>
      </c>
      <c r="R2029" t="s">
        <v>79</v>
      </c>
      <c r="S2029" t="s">
        <v>1556</v>
      </c>
      <c r="T2029" t="s">
        <v>1557</v>
      </c>
      <c r="U2029" s="1">
        <v>46078.560370370367</v>
      </c>
      <c r="V2029" t="s">
        <v>54</v>
      </c>
      <c r="W2029" t="s">
        <v>55</v>
      </c>
      <c r="X2029" t="s">
        <v>134</v>
      </c>
      <c r="Y2029" t="s">
        <v>8151</v>
      </c>
      <c r="Z2029" t="s">
        <v>58</v>
      </c>
      <c r="AA2029" t="s">
        <v>54</v>
      </c>
      <c r="AB2029" t="s">
        <v>954</v>
      </c>
      <c r="AC2029" t="s">
        <v>85</v>
      </c>
      <c r="AD2029" t="s">
        <v>79</v>
      </c>
      <c r="AE2029" t="s">
        <v>1556</v>
      </c>
      <c r="AF2029" t="s">
        <v>1557</v>
      </c>
      <c r="AG2029" t="s">
        <v>58</v>
      </c>
      <c r="AH2029" t="s">
        <v>8152</v>
      </c>
      <c r="AK2029">
        <v>0</v>
      </c>
      <c r="AL2029" t="s">
        <v>61</v>
      </c>
      <c r="AM2029" t="s">
        <v>8153</v>
      </c>
      <c r="AN2029" t="s">
        <v>8154</v>
      </c>
    </row>
    <row r="2030" spans="1:40" x14ac:dyDescent="0.35">
      <c r="A2030" t="s">
        <v>37</v>
      </c>
      <c r="B2030" t="s">
        <v>8155</v>
      </c>
      <c r="C2030" t="s">
        <v>102</v>
      </c>
      <c r="D2030" t="s">
        <v>1698</v>
      </c>
      <c r="E2030" t="s">
        <v>584</v>
      </c>
      <c r="F2030" s="1">
        <v>46072.715231481481</v>
      </c>
      <c r="G2030" t="s">
        <v>105</v>
      </c>
      <c r="H2030" t="s">
        <v>106</v>
      </c>
      <c r="I2030" t="s">
        <v>3402</v>
      </c>
      <c r="J2030" t="s">
        <v>108</v>
      </c>
      <c r="K2030" t="s">
        <v>341</v>
      </c>
      <c r="M2030" t="s">
        <v>47</v>
      </c>
      <c r="O2030" t="s">
        <v>77</v>
      </c>
      <c r="P2030" t="s">
        <v>78</v>
      </c>
      <c r="Q2030" t="s">
        <v>50</v>
      </c>
      <c r="R2030" t="s">
        <v>111</v>
      </c>
      <c r="S2030" t="s">
        <v>51</v>
      </c>
      <c r="T2030" t="s">
        <v>112</v>
      </c>
      <c r="U2030" s="1">
        <v>46072.9533912037</v>
      </c>
      <c r="V2030" t="s">
        <v>54</v>
      </c>
      <c r="X2030" t="s">
        <v>134</v>
      </c>
      <c r="Y2030" t="s">
        <v>8156</v>
      </c>
      <c r="Z2030" t="s">
        <v>5594</v>
      </c>
      <c r="AA2030" t="s">
        <v>54</v>
      </c>
      <c r="AB2030" t="s">
        <v>1701</v>
      </c>
      <c r="AC2030" t="s">
        <v>85</v>
      </c>
      <c r="AD2030" t="s">
        <v>116</v>
      </c>
      <c r="AE2030" t="s">
        <v>117</v>
      </c>
      <c r="AF2030" t="s">
        <v>1740</v>
      </c>
      <c r="AG2030" t="s">
        <v>5594</v>
      </c>
      <c r="AK2030">
        <v>1</v>
      </c>
      <c r="AL2030" t="s">
        <v>61</v>
      </c>
      <c r="AM2030" t="s">
        <v>1701</v>
      </c>
      <c r="AN2030" t="s">
        <v>1702</v>
      </c>
    </row>
    <row r="2031" spans="1:40" x14ac:dyDescent="0.35">
      <c r="A2031" t="s">
        <v>37</v>
      </c>
      <c r="B2031" t="s">
        <v>8157</v>
      </c>
      <c r="C2031" t="s">
        <v>102</v>
      </c>
      <c r="D2031" t="s">
        <v>4455</v>
      </c>
      <c r="E2031" t="s">
        <v>4456</v>
      </c>
      <c r="F2031" s="1">
        <v>46072.715243055558</v>
      </c>
      <c r="G2031" t="s">
        <v>261</v>
      </c>
      <c r="H2031" t="s">
        <v>72</v>
      </c>
      <c r="I2031" t="s">
        <v>8158</v>
      </c>
      <c r="J2031" t="s">
        <v>950</v>
      </c>
      <c r="K2031" t="s">
        <v>951</v>
      </c>
      <c r="M2031" t="s">
        <v>76</v>
      </c>
      <c r="O2031" t="s">
        <v>1501</v>
      </c>
      <c r="P2031" t="s">
        <v>1502</v>
      </c>
      <c r="Q2031" t="s">
        <v>50</v>
      </c>
      <c r="R2031" t="s">
        <v>79</v>
      </c>
      <c r="S2031" t="s">
        <v>590</v>
      </c>
      <c r="T2031" t="s">
        <v>5987</v>
      </c>
      <c r="U2031" s="1">
        <v>46076.522893518515</v>
      </c>
      <c r="V2031" t="s">
        <v>54</v>
      </c>
      <c r="W2031" t="s">
        <v>55</v>
      </c>
      <c r="X2031" t="s">
        <v>134</v>
      </c>
      <c r="Y2031" t="s">
        <v>8159</v>
      </c>
      <c r="Z2031" t="s">
        <v>58</v>
      </c>
      <c r="AA2031" t="s">
        <v>54</v>
      </c>
      <c r="AB2031" t="s">
        <v>954</v>
      </c>
      <c r="AC2031" t="s">
        <v>1504</v>
      </c>
      <c r="AD2031" t="s">
        <v>79</v>
      </c>
      <c r="AE2031" t="s">
        <v>590</v>
      </c>
      <c r="AF2031" t="s">
        <v>5987</v>
      </c>
      <c r="AG2031" t="s">
        <v>58</v>
      </c>
      <c r="AH2031">
        <v>14560</v>
      </c>
      <c r="AK2031">
        <v>1</v>
      </c>
      <c r="AL2031" t="s">
        <v>61</v>
      </c>
      <c r="AM2031" t="s">
        <v>4459</v>
      </c>
      <c r="AN2031" t="s">
        <v>4460</v>
      </c>
    </row>
    <row r="2032" spans="1:40" x14ac:dyDescent="0.35">
      <c r="A2032" t="s">
        <v>37</v>
      </c>
      <c r="B2032" t="s">
        <v>8160</v>
      </c>
      <c r="C2032" t="s">
        <v>102</v>
      </c>
      <c r="D2032" t="s">
        <v>3106</v>
      </c>
      <c r="E2032" t="s">
        <v>3107</v>
      </c>
      <c r="F2032" s="1">
        <v>46072.713368055556</v>
      </c>
      <c r="G2032" t="s">
        <v>105</v>
      </c>
      <c r="H2032" t="s">
        <v>106</v>
      </c>
      <c r="I2032" t="s">
        <v>8161</v>
      </c>
      <c r="J2032" t="s">
        <v>108</v>
      </c>
      <c r="K2032" t="s">
        <v>571</v>
      </c>
      <c r="M2032" t="s">
        <v>47</v>
      </c>
      <c r="O2032" t="s">
        <v>77</v>
      </c>
      <c r="P2032" t="s">
        <v>78</v>
      </c>
      <c r="Q2032" t="s">
        <v>50</v>
      </c>
      <c r="R2032" t="s">
        <v>111</v>
      </c>
      <c r="S2032" t="s">
        <v>51</v>
      </c>
      <c r="T2032" t="s">
        <v>112</v>
      </c>
      <c r="U2032" s="1">
        <v>46073.111516203702</v>
      </c>
      <c r="V2032" t="s">
        <v>54</v>
      </c>
      <c r="W2032" t="s">
        <v>55</v>
      </c>
      <c r="X2032" t="s">
        <v>113</v>
      </c>
      <c r="Y2032" t="s">
        <v>8162</v>
      </c>
      <c r="Z2032" t="s">
        <v>5594</v>
      </c>
      <c r="AA2032" t="s">
        <v>54</v>
      </c>
      <c r="AB2032" t="s">
        <v>115</v>
      </c>
      <c r="AC2032" t="s">
        <v>85</v>
      </c>
      <c r="AD2032" t="s">
        <v>116</v>
      </c>
      <c r="AE2032" t="s">
        <v>1541</v>
      </c>
      <c r="AF2032" t="s">
        <v>2738</v>
      </c>
      <c r="AG2032" t="s">
        <v>5594</v>
      </c>
      <c r="AH2032" t="s">
        <v>3111</v>
      </c>
      <c r="AK2032">
        <v>1</v>
      </c>
      <c r="AL2032" t="s">
        <v>61</v>
      </c>
      <c r="AM2032" t="s">
        <v>3112</v>
      </c>
      <c r="AN2032" t="s">
        <v>3113</v>
      </c>
    </row>
    <row r="2033" spans="1:40" x14ac:dyDescent="0.35">
      <c r="A2033" t="s">
        <v>37</v>
      </c>
      <c r="B2033" t="s">
        <v>8163</v>
      </c>
      <c r="C2033" t="s">
        <v>39</v>
      </c>
      <c r="D2033" t="s">
        <v>8164</v>
      </c>
      <c r="E2033" t="s">
        <v>8165</v>
      </c>
      <c r="F2033" s="1">
        <v>46072.696666666663</v>
      </c>
      <c r="G2033" t="s">
        <v>3050</v>
      </c>
      <c r="H2033" t="s">
        <v>233</v>
      </c>
      <c r="I2033" t="s">
        <v>3679</v>
      </c>
      <c r="J2033" t="s">
        <v>8166</v>
      </c>
      <c r="K2033" t="s">
        <v>3681</v>
      </c>
      <c r="M2033" t="s">
        <v>47</v>
      </c>
      <c r="O2033" t="s">
        <v>77</v>
      </c>
      <c r="P2033" t="s">
        <v>78</v>
      </c>
      <c r="Q2033" t="s">
        <v>50</v>
      </c>
      <c r="R2033" t="s">
        <v>51</v>
      </c>
      <c r="S2033" t="s">
        <v>52</v>
      </c>
      <c r="T2033" t="s">
        <v>240</v>
      </c>
      <c r="U2033" s="1">
        <v>46073.515555555554</v>
      </c>
      <c r="V2033" t="s">
        <v>54</v>
      </c>
      <c r="W2033" t="s">
        <v>55</v>
      </c>
      <c r="X2033" t="s">
        <v>134</v>
      </c>
      <c r="Y2033" t="s">
        <v>8167</v>
      </c>
      <c r="Z2033" t="s">
        <v>5594</v>
      </c>
      <c r="AA2033" t="s">
        <v>54</v>
      </c>
      <c r="AB2033" t="s">
        <v>954</v>
      </c>
      <c r="AC2033" t="s">
        <v>85</v>
      </c>
      <c r="AD2033" t="s">
        <v>52</v>
      </c>
      <c r="AE2033" t="s">
        <v>243</v>
      </c>
      <c r="AF2033" t="s">
        <v>1470</v>
      </c>
      <c r="AG2033" t="s">
        <v>5594</v>
      </c>
      <c r="AH2033">
        <v>15722</v>
      </c>
      <c r="AK2033">
        <v>1</v>
      </c>
      <c r="AL2033" t="s">
        <v>410</v>
      </c>
      <c r="AM2033" t="s">
        <v>8168</v>
      </c>
      <c r="AN2033" t="s">
        <v>8169</v>
      </c>
    </row>
    <row r="2034" spans="1:40" x14ac:dyDescent="0.35">
      <c r="A2034" t="s">
        <v>37</v>
      </c>
      <c r="B2034" t="s">
        <v>8170</v>
      </c>
      <c r="C2034" t="s">
        <v>102</v>
      </c>
      <c r="D2034" t="s">
        <v>284</v>
      </c>
      <c r="E2034" t="s">
        <v>285</v>
      </c>
      <c r="F2034" s="1">
        <v>46072.699120370373</v>
      </c>
      <c r="G2034" t="s">
        <v>286</v>
      </c>
      <c r="H2034" t="s">
        <v>287</v>
      </c>
      <c r="I2034" t="s">
        <v>2212</v>
      </c>
      <c r="J2034" t="s">
        <v>289</v>
      </c>
      <c r="K2034" t="s">
        <v>130</v>
      </c>
      <c r="M2034" t="s">
        <v>47</v>
      </c>
      <c r="O2034" t="s">
        <v>77</v>
      </c>
      <c r="P2034" t="s">
        <v>78</v>
      </c>
      <c r="Q2034" t="s">
        <v>50</v>
      </c>
      <c r="R2034" t="s">
        <v>132</v>
      </c>
      <c r="S2034" t="s">
        <v>133</v>
      </c>
      <c r="T2034" t="s">
        <v>133</v>
      </c>
      <c r="U2034" s="1">
        <v>46073.337314814817</v>
      </c>
      <c r="V2034" t="s">
        <v>54</v>
      </c>
      <c r="W2034" t="s">
        <v>55</v>
      </c>
      <c r="X2034" t="s">
        <v>134</v>
      </c>
      <c r="Y2034" t="s">
        <v>8171</v>
      </c>
      <c r="Z2034" t="s">
        <v>5594</v>
      </c>
      <c r="AA2034" t="s">
        <v>54</v>
      </c>
      <c r="AB2034" t="s">
        <v>291</v>
      </c>
      <c r="AC2034" t="s">
        <v>85</v>
      </c>
      <c r="AD2034" t="s">
        <v>132</v>
      </c>
      <c r="AE2034" t="s">
        <v>133</v>
      </c>
      <c r="AF2034" t="s">
        <v>133</v>
      </c>
      <c r="AG2034" t="s">
        <v>5594</v>
      </c>
      <c r="AH2034" t="s">
        <v>292</v>
      </c>
      <c r="AK2034">
        <v>1</v>
      </c>
      <c r="AL2034" t="s">
        <v>61</v>
      </c>
      <c r="AM2034" t="s">
        <v>291</v>
      </c>
      <c r="AN2034" t="s">
        <v>293</v>
      </c>
    </row>
    <row r="2035" spans="1:40" x14ac:dyDescent="0.35">
      <c r="A2035" t="s">
        <v>37</v>
      </c>
      <c r="B2035" t="s">
        <v>8172</v>
      </c>
      <c r="C2035" t="s">
        <v>102</v>
      </c>
      <c r="D2035" t="s">
        <v>1698</v>
      </c>
      <c r="E2035" t="s">
        <v>584</v>
      </c>
      <c r="F2035" s="1">
        <v>46072.69427083333</v>
      </c>
      <c r="G2035" t="s">
        <v>105</v>
      </c>
      <c r="H2035" t="s">
        <v>106</v>
      </c>
      <c r="I2035" t="s">
        <v>8173</v>
      </c>
      <c r="J2035" t="s">
        <v>108</v>
      </c>
      <c r="K2035" t="s">
        <v>109</v>
      </c>
      <c r="M2035" t="s">
        <v>47</v>
      </c>
      <c r="O2035" t="s">
        <v>77</v>
      </c>
      <c r="P2035" t="s">
        <v>78</v>
      </c>
      <c r="Q2035" t="s">
        <v>50</v>
      </c>
      <c r="R2035" t="s">
        <v>111</v>
      </c>
      <c r="S2035" t="s">
        <v>51</v>
      </c>
      <c r="T2035" t="s">
        <v>112</v>
      </c>
      <c r="U2035" s="1">
        <v>46072.71675925926</v>
      </c>
      <c r="V2035" t="s">
        <v>54</v>
      </c>
      <c r="W2035" t="s">
        <v>55</v>
      </c>
      <c r="X2035" t="s">
        <v>134</v>
      </c>
      <c r="Y2035" t="s">
        <v>8174</v>
      </c>
      <c r="Z2035" t="s">
        <v>5594</v>
      </c>
      <c r="AA2035" t="s">
        <v>54</v>
      </c>
      <c r="AB2035" t="s">
        <v>1701</v>
      </c>
      <c r="AC2035" t="s">
        <v>85</v>
      </c>
      <c r="AD2035" t="s">
        <v>116</v>
      </c>
      <c r="AE2035" t="s">
        <v>117</v>
      </c>
      <c r="AF2035" t="s">
        <v>1706</v>
      </c>
      <c r="AG2035" t="s">
        <v>5594</v>
      </c>
      <c r="AK2035">
        <v>1</v>
      </c>
      <c r="AL2035" t="s">
        <v>61</v>
      </c>
      <c r="AM2035" t="s">
        <v>1701</v>
      </c>
      <c r="AN2035" t="s">
        <v>1702</v>
      </c>
    </row>
    <row r="2036" spans="1:40" x14ac:dyDescent="0.35">
      <c r="A2036" t="s">
        <v>37</v>
      </c>
      <c r="B2036" t="s">
        <v>8175</v>
      </c>
      <c r="C2036" t="s">
        <v>656</v>
      </c>
      <c r="D2036" t="s">
        <v>8176</v>
      </c>
      <c r="E2036" t="s">
        <v>8177</v>
      </c>
      <c r="F2036" s="1">
        <v>46072.69263888889</v>
      </c>
      <c r="G2036" t="s">
        <v>355</v>
      </c>
      <c r="H2036" t="s">
        <v>356</v>
      </c>
      <c r="I2036" t="s">
        <v>8178</v>
      </c>
      <c r="J2036" t="s">
        <v>2406</v>
      </c>
      <c r="K2036" t="s">
        <v>1187</v>
      </c>
      <c r="M2036" t="s">
        <v>131</v>
      </c>
      <c r="O2036" t="s">
        <v>77</v>
      </c>
      <c r="P2036" t="s">
        <v>78</v>
      </c>
      <c r="Q2036" t="s">
        <v>8179</v>
      </c>
      <c r="R2036" t="s">
        <v>1189</v>
      </c>
      <c r="S2036" t="s">
        <v>2407</v>
      </c>
      <c r="T2036" t="s">
        <v>8180</v>
      </c>
      <c r="U2036" s="1">
        <v>46076.598090277781</v>
      </c>
      <c r="V2036" t="s">
        <v>54</v>
      </c>
      <c r="W2036" t="s">
        <v>55</v>
      </c>
      <c r="X2036" t="s">
        <v>134</v>
      </c>
      <c r="Y2036" t="s">
        <v>8181</v>
      </c>
      <c r="Z2036" t="s">
        <v>58</v>
      </c>
      <c r="AA2036" t="s">
        <v>54</v>
      </c>
      <c r="AB2036" t="s">
        <v>954</v>
      </c>
      <c r="AC2036" t="s">
        <v>85</v>
      </c>
      <c r="AD2036" t="s">
        <v>1189</v>
      </c>
      <c r="AE2036" t="s">
        <v>3746</v>
      </c>
      <c r="AF2036" t="s">
        <v>8182</v>
      </c>
      <c r="AG2036" t="s">
        <v>58</v>
      </c>
      <c r="AH2036" t="s">
        <v>8183</v>
      </c>
      <c r="AK2036">
        <v>3</v>
      </c>
      <c r="AL2036" t="s">
        <v>61</v>
      </c>
      <c r="AM2036" t="s">
        <v>8184</v>
      </c>
      <c r="AN2036" t="s">
        <v>8185</v>
      </c>
    </row>
    <row r="2037" spans="1:40" x14ac:dyDescent="0.35">
      <c r="A2037" t="s">
        <v>37</v>
      </c>
      <c r="B2037" t="s">
        <v>8186</v>
      </c>
      <c r="C2037" t="s">
        <v>102</v>
      </c>
      <c r="D2037" t="s">
        <v>1698</v>
      </c>
      <c r="E2037" t="s">
        <v>584</v>
      </c>
      <c r="F2037" s="1">
        <v>46072.685162037036</v>
      </c>
      <c r="G2037" t="s">
        <v>105</v>
      </c>
      <c r="H2037" t="s">
        <v>106</v>
      </c>
      <c r="I2037" t="s">
        <v>3414</v>
      </c>
      <c r="J2037" t="s">
        <v>108</v>
      </c>
      <c r="K2037" t="s">
        <v>109</v>
      </c>
      <c r="M2037" t="s">
        <v>47</v>
      </c>
      <c r="O2037" t="s">
        <v>77</v>
      </c>
      <c r="P2037" t="s">
        <v>78</v>
      </c>
      <c r="Q2037" t="s">
        <v>50</v>
      </c>
      <c r="R2037" t="s">
        <v>111</v>
      </c>
      <c r="S2037" t="s">
        <v>51</v>
      </c>
      <c r="T2037" t="s">
        <v>112</v>
      </c>
      <c r="U2037" s="1">
        <v>46072.716180555559</v>
      </c>
      <c r="V2037" t="s">
        <v>54</v>
      </c>
      <c r="W2037" t="s">
        <v>55</v>
      </c>
      <c r="X2037" t="s">
        <v>134</v>
      </c>
      <c r="Y2037" t="s">
        <v>8174</v>
      </c>
      <c r="Z2037" t="s">
        <v>5594</v>
      </c>
      <c r="AA2037" t="s">
        <v>54</v>
      </c>
      <c r="AB2037" t="s">
        <v>1701</v>
      </c>
      <c r="AC2037" t="s">
        <v>85</v>
      </c>
      <c r="AD2037" t="s">
        <v>116</v>
      </c>
      <c r="AE2037" t="s">
        <v>117</v>
      </c>
      <c r="AF2037" t="s">
        <v>1706</v>
      </c>
      <c r="AG2037" t="s">
        <v>5594</v>
      </c>
      <c r="AK2037">
        <v>1</v>
      </c>
      <c r="AL2037" t="s">
        <v>61</v>
      </c>
      <c r="AM2037" t="s">
        <v>1701</v>
      </c>
      <c r="AN2037" t="s">
        <v>1702</v>
      </c>
    </row>
    <row r="2038" spans="1:40" x14ac:dyDescent="0.35">
      <c r="A2038" t="s">
        <v>37</v>
      </c>
      <c r="B2038" t="s">
        <v>8187</v>
      </c>
      <c r="C2038" t="s">
        <v>39</v>
      </c>
      <c r="D2038" t="s">
        <v>40</v>
      </c>
      <c r="E2038" t="s">
        <v>41</v>
      </c>
      <c r="F2038" s="1">
        <v>46072.68273148148</v>
      </c>
      <c r="G2038" t="s">
        <v>42</v>
      </c>
      <c r="H2038" t="s">
        <v>43</v>
      </c>
      <c r="I2038" t="s">
        <v>8188</v>
      </c>
      <c r="J2038" t="s">
        <v>45</v>
      </c>
      <c r="K2038" t="s">
        <v>46</v>
      </c>
      <c r="M2038" t="s">
        <v>47</v>
      </c>
      <c r="O2038" t="s">
        <v>48</v>
      </c>
      <c r="P2038" t="s">
        <v>49</v>
      </c>
      <c r="Q2038" t="s">
        <v>50</v>
      </c>
      <c r="R2038" t="s">
        <v>51</v>
      </c>
      <c r="S2038" t="s">
        <v>52</v>
      </c>
      <c r="T2038" t="s">
        <v>53</v>
      </c>
      <c r="U2038" s="1">
        <v>46072.68377314815</v>
      </c>
      <c r="V2038" t="s">
        <v>54</v>
      </c>
      <c r="W2038" t="s">
        <v>55</v>
      </c>
      <c r="X2038" t="s">
        <v>56</v>
      </c>
      <c r="Y2038" t="s">
        <v>57</v>
      </c>
      <c r="Z2038" t="s">
        <v>5594</v>
      </c>
      <c r="AA2038" t="s">
        <v>54</v>
      </c>
      <c r="AB2038" t="s">
        <v>59</v>
      </c>
      <c r="AC2038" t="s">
        <v>60</v>
      </c>
      <c r="AD2038" t="s">
        <v>51</v>
      </c>
      <c r="AE2038" t="s">
        <v>52</v>
      </c>
      <c r="AF2038" t="s">
        <v>53</v>
      </c>
      <c r="AG2038" t="s">
        <v>5594</v>
      </c>
      <c r="AK2038">
        <v>0</v>
      </c>
      <c r="AL2038" t="s">
        <v>61</v>
      </c>
      <c r="AM2038" t="s">
        <v>59</v>
      </c>
      <c r="AN2038" t="s">
        <v>62</v>
      </c>
    </row>
    <row r="2039" spans="1:40" x14ac:dyDescent="0.35">
      <c r="A2039" t="s">
        <v>37</v>
      </c>
      <c r="B2039" t="s">
        <v>8189</v>
      </c>
      <c r="C2039" t="s">
        <v>39</v>
      </c>
      <c r="D2039" t="s">
        <v>40</v>
      </c>
      <c r="E2039" t="s">
        <v>41</v>
      </c>
      <c r="F2039" s="1">
        <v>46072.682523148149</v>
      </c>
      <c r="G2039" t="s">
        <v>42</v>
      </c>
      <c r="H2039" t="s">
        <v>43</v>
      </c>
      <c r="I2039" t="s">
        <v>8190</v>
      </c>
      <c r="J2039" t="s">
        <v>45</v>
      </c>
      <c r="K2039" t="s">
        <v>46</v>
      </c>
      <c r="M2039" t="s">
        <v>47</v>
      </c>
      <c r="O2039" t="s">
        <v>48</v>
      </c>
      <c r="P2039" t="s">
        <v>49</v>
      </c>
      <c r="Q2039" t="s">
        <v>50</v>
      </c>
      <c r="R2039" t="s">
        <v>51</v>
      </c>
      <c r="S2039" t="s">
        <v>52</v>
      </c>
      <c r="T2039" t="s">
        <v>53</v>
      </c>
      <c r="U2039" s="1">
        <v>46072.683391203704</v>
      </c>
      <c r="V2039" t="s">
        <v>54</v>
      </c>
      <c r="W2039" t="s">
        <v>55</v>
      </c>
      <c r="X2039" t="s">
        <v>56</v>
      </c>
      <c r="Y2039" t="s">
        <v>57</v>
      </c>
      <c r="Z2039" t="s">
        <v>5594</v>
      </c>
      <c r="AA2039" t="s">
        <v>54</v>
      </c>
      <c r="AB2039" t="s">
        <v>59</v>
      </c>
      <c r="AC2039" t="s">
        <v>60</v>
      </c>
      <c r="AD2039" t="s">
        <v>51</v>
      </c>
      <c r="AE2039" t="s">
        <v>52</v>
      </c>
      <c r="AF2039" t="s">
        <v>53</v>
      </c>
      <c r="AG2039" t="s">
        <v>5594</v>
      </c>
      <c r="AK2039">
        <v>0</v>
      </c>
      <c r="AL2039" t="s">
        <v>61</v>
      </c>
      <c r="AM2039" t="s">
        <v>59</v>
      </c>
      <c r="AN2039" t="s">
        <v>62</v>
      </c>
    </row>
    <row r="2040" spans="1:40" x14ac:dyDescent="0.35">
      <c r="A2040" t="s">
        <v>37</v>
      </c>
      <c r="B2040" t="s">
        <v>8191</v>
      </c>
      <c r="C2040" t="s">
        <v>102</v>
      </c>
      <c r="D2040" t="s">
        <v>284</v>
      </c>
      <c r="E2040" t="s">
        <v>285</v>
      </c>
      <c r="F2040" s="1">
        <v>46072.6796412037</v>
      </c>
      <c r="G2040" t="s">
        <v>286</v>
      </c>
      <c r="H2040" t="s">
        <v>287</v>
      </c>
      <c r="I2040" t="s">
        <v>8192</v>
      </c>
      <c r="J2040" t="s">
        <v>289</v>
      </c>
      <c r="K2040" t="s">
        <v>130</v>
      </c>
      <c r="M2040" t="s">
        <v>47</v>
      </c>
      <c r="O2040" t="s">
        <v>77</v>
      </c>
      <c r="P2040" t="s">
        <v>78</v>
      </c>
      <c r="Q2040" t="s">
        <v>50</v>
      </c>
      <c r="R2040" t="s">
        <v>132</v>
      </c>
      <c r="S2040" t="s">
        <v>133</v>
      </c>
      <c r="T2040" t="s">
        <v>133</v>
      </c>
      <c r="U2040" s="1">
        <v>46074.694398148145</v>
      </c>
      <c r="V2040" t="s">
        <v>54</v>
      </c>
      <c r="W2040" t="s">
        <v>55</v>
      </c>
      <c r="X2040" t="s">
        <v>134</v>
      </c>
      <c r="Y2040" t="s">
        <v>8193</v>
      </c>
      <c r="Z2040" t="s">
        <v>5594</v>
      </c>
      <c r="AA2040" t="s">
        <v>54</v>
      </c>
      <c r="AB2040" t="s">
        <v>291</v>
      </c>
      <c r="AC2040" t="s">
        <v>85</v>
      </c>
      <c r="AD2040" t="s">
        <v>132</v>
      </c>
      <c r="AE2040" t="s">
        <v>133</v>
      </c>
      <c r="AF2040" t="s">
        <v>133</v>
      </c>
      <c r="AG2040" t="s">
        <v>5594</v>
      </c>
      <c r="AH2040" t="s">
        <v>292</v>
      </c>
      <c r="AK2040">
        <v>1</v>
      </c>
      <c r="AL2040" t="s">
        <v>61</v>
      </c>
      <c r="AM2040" t="s">
        <v>291</v>
      </c>
      <c r="AN2040" t="s">
        <v>293</v>
      </c>
    </row>
    <row r="2041" spans="1:40" x14ac:dyDescent="0.35">
      <c r="A2041" t="s">
        <v>37</v>
      </c>
      <c r="B2041" t="s">
        <v>8194</v>
      </c>
      <c r="C2041" t="s">
        <v>39</v>
      </c>
      <c r="D2041" t="s">
        <v>40</v>
      </c>
      <c r="E2041" t="s">
        <v>41</v>
      </c>
      <c r="F2041" s="1">
        <v>46072.674479166664</v>
      </c>
      <c r="G2041" t="s">
        <v>42</v>
      </c>
      <c r="H2041" t="s">
        <v>43</v>
      </c>
      <c r="I2041" t="s">
        <v>8195</v>
      </c>
      <c r="J2041" t="s">
        <v>45</v>
      </c>
      <c r="K2041" t="s">
        <v>46</v>
      </c>
      <c r="M2041" t="s">
        <v>47</v>
      </c>
      <c r="O2041" t="s">
        <v>48</v>
      </c>
      <c r="P2041" t="s">
        <v>49</v>
      </c>
      <c r="Q2041" t="s">
        <v>50</v>
      </c>
      <c r="R2041" t="s">
        <v>51</v>
      </c>
      <c r="S2041" t="s">
        <v>52</v>
      </c>
      <c r="T2041" t="s">
        <v>53</v>
      </c>
      <c r="U2041" s="1">
        <v>46072.676122685189</v>
      </c>
      <c r="V2041" t="s">
        <v>54</v>
      </c>
      <c r="W2041" t="s">
        <v>55</v>
      </c>
      <c r="X2041" t="s">
        <v>56</v>
      </c>
      <c r="Y2041" t="s">
        <v>65</v>
      </c>
      <c r="Z2041" t="s">
        <v>5594</v>
      </c>
      <c r="AA2041" t="s">
        <v>54</v>
      </c>
      <c r="AB2041" t="s">
        <v>59</v>
      </c>
      <c r="AC2041" t="s">
        <v>60</v>
      </c>
      <c r="AD2041" t="s">
        <v>51</v>
      </c>
      <c r="AE2041" t="s">
        <v>52</v>
      </c>
      <c r="AF2041" t="s">
        <v>53</v>
      </c>
      <c r="AG2041" t="s">
        <v>5594</v>
      </c>
      <c r="AK2041">
        <v>0</v>
      </c>
      <c r="AL2041" t="s">
        <v>61</v>
      </c>
      <c r="AM2041" t="s">
        <v>59</v>
      </c>
      <c r="AN2041" t="s">
        <v>62</v>
      </c>
    </row>
    <row r="2042" spans="1:40" x14ac:dyDescent="0.35">
      <c r="A2042" t="s">
        <v>37</v>
      </c>
      <c r="B2042" t="s">
        <v>8196</v>
      </c>
      <c r="C2042" t="s">
        <v>39</v>
      </c>
      <c r="D2042" t="s">
        <v>2780</v>
      </c>
      <c r="E2042" t="s">
        <v>321</v>
      </c>
      <c r="F2042" s="1">
        <v>46072.674675925926</v>
      </c>
      <c r="G2042" t="s">
        <v>688</v>
      </c>
      <c r="H2042" t="s">
        <v>43</v>
      </c>
      <c r="I2042" t="s">
        <v>4185</v>
      </c>
      <c r="J2042" t="s">
        <v>206</v>
      </c>
      <c r="K2042" t="s">
        <v>207</v>
      </c>
      <c r="M2042" t="s">
        <v>47</v>
      </c>
      <c r="O2042" t="s">
        <v>77</v>
      </c>
      <c r="P2042" t="s">
        <v>78</v>
      </c>
      <c r="Q2042" t="s">
        <v>50</v>
      </c>
      <c r="R2042" t="s">
        <v>79</v>
      </c>
      <c r="S2042" t="s">
        <v>967</v>
      </c>
      <c r="T2042" t="s">
        <v>1072</v>
      </c>
      <c r="U2042" s="1">
        <v>46072.678819444445</v>
      </c>
      <c r="V2042" t="s">
        <v>54</v>
      </c>
      <c r="W2042" t="s">
        <v>55</v>
      </c>
      <c r="X2042" t="s">
        <v>134</v>
      </c>
      <c r="Y2042" t="s">
        <v>8197</v>
      </c>
      <c r="Z2042" t="s">
        <v>5594</v>
      </c>
      <c r="AA2042" t="s">
        <v>54</v>
      </c>
      <c r="AB2042" t="s">
        <v>954</v>
      </c>
      <c r="AC2042" t="s">
        <v>85</v>
      </c>
      <c r="AD2042" t="s">
        <v>79</v>
      </c>
      <c r="AE2042" t="s">
        <v>967</v>
      </c>
      <c r="AF2042" t="s">
        <v>1072</v>
      </c>
      <c r="AG2042" t="s">
        <v>5594</v>
      </c>
      <c r="AH2042">
        <v>14462</v>
      </c>
      <c r="AK2042">
        <v>2</v>
      </c>
      <c r="AL2042" t="s">
        <v>61</v>
      </c>
      <c r="AM2042" t="s">
        <v>8198</v>
      </c>
      <c r="AN2042" t="s">
        <v>8199</v>
      </c>
    </row>
    <row r="2043" spans="1:40" x14ac:dyDescent="0.35">
      <c r="A2043" t="s">
        <v>37</v>
      </c>
      <c r="B2043" t="s">
        <v>8200</v>
      </c>
      <c r="C2043" t="s">
        <v>102</v>
      </c>
      <c r="D2043" t="s">
        <v>284</v>
      </c>
      <c r="E2043" t="s">
        <v>285</v>
      </c>
      <c r="F2043" s="1">
        <v>46072.674675925926</v>
      </c>
      <c r="G2043" t="s">
        <v>286</v>
      </c>
      <c r="H2043" t="s">
        <v>287</v>
      </c>
      <c r="I2043" t="s">
        <v>8201</v>
      </c>
      <c r="J2043" t="s">
        <v>289</v>
      </c>
      <c r="K2043" t="s">
        <v>130</v>
      </c>
      <c r="M2043" t="s">
        <v>47</v>
      </c>
      <c r="O2043" t="s">
        <v>77</v>
      </c>
      <c r="P2043" t="s">
        <v>78</v>
      </c>
      <c r="Q2043" t="s">
        <v>50</v>
      </c>
      <c r="R2043" t="s">
        <v>132</v>
      </c>
      <c r="S2043" t="s">
        <v>133</v>
      </c>
      <c r="T2043" t="s">
        <v>133</v>
      </c>
      <c r="U2043" s="1">
        <v>46073.338090277779</v>
      </c>
      <c r="V2043" t="s">
        <v>54</v>
      </c>
      <c r="W2043" t="s">
        <v>55</v>
      </c>
      <c r="X2043" t="s">
        <v>134</v>
      </c>
      <c r="Y2043" t="s">
        <v>3062</v>
      </c>
      <c r="Z2043" t="s">
        <v>5594</v>
      </c>
      <c r="AA2043" t="s">
        <v>54</v>
      </c>
      <c r="AB2043" t="s">
        <v>291</v>
      </c>
      <c r="AC2043" t="s">
        <v>85</v>
      </c>
      <c r="AD2043" t="s">
        <v>132</v>
      </c>
      <c r="AE2043" t="s">
        <v>133</v>
      </c>
      <c r="AF2043" t="s">
        <v>133</v>
      </c>
      <c r="AG2043" t="s">
        <v>5594</v>
      </c>
      <c r="AH2043" t="s">
        <v>292</v>
      </c>
      <c r="AK2043">
        <v>1</v>
      </c>
      <c r="AL2043" t="s">
        <v>61</v>
      </c>
      <c r="AM2043" t="s">
        <v>291</v>
      </c>
      <c r="AN2043" t="s">
        <v>293</v>
      </c>
    </row>
    <row r="2044" spans="1:40" x14ac:dyDescent="0.35">
      <c r="A2044" t="s">
        <v>37</v>
      </c>
      <c r="B2044" t="s">
        <v>8202</v>
      </c>
      <c r="C2044" t="s">
        <v>39</v>
      </c>
      <c r="D2044" t="s">
        <v>8203</v>
      </c>
      <c r="E2044" t="s">
        <v>8204</v>
      </c>
      <c r="F2044" s="1">
        <v>46072.667013888888</v>
      </c>
      <c r="G2044" t="s">
        <v>355</v>
      </c>
      <c r="H2044" t="s">
        <v>356</v>
      </c>
      <c r="I2044" t="s">
        <v>8205</v>
      </c>
      <c r="J2044" t="s">
        <v>5027</v>
      </c>
      <c r="K2044" t="s">
        <v>951</v>
      </c>
      <c r="M2044" t="s">
        <v>76</v>
      </c>
      <c r="O2044" t="s">
        <v>77</v>
      </c>
      <c r="P2044" t="s">
        <v>78</v>
      </c>
      <c r="Q2044" t="s">
        <v>1370</v>
      </c>
      <c r="R2044" t="s">
        <v>2670</v>
      </c>
      <c r="S2044" t="s">
        <v>8206</v>
      </c>
      <c r="T2044" t="s">
        <v>8207</v>
      </c>
      <c r="U2044" s="1">
        <v>46078.473668981482</v>
      </c>
      <c r="V2044" t="s">
        <v>54</v>
      </c>
      <c r="W2044" t="s">
        <v>55</v>
      </c>
      <c r="X2044" t="s">
        <v>134</v>
      </c>
      <c r="Y2044" t="s">
        <v>8208</v>
      </c>
      <c r="Z2044" t="s">
        <v>58</v>
      </c>
      <c r="AA2044" t="s">
        <v>54</v>
      </c>
      <c r="AB2044" t="s">
        <v>8209</v>
      </c>
      <c r="AC2044" t="s">
        <v>85</v>
      </c>
      <c r="AD2044" t="s">
        <v>2670</v>
      </c>
      <c r="AE2044" t="s">
        <v>8206</v>
      </c>
      <c r="AF2044" t="s">
        <v>8207</v>
      </c>
      <c r="AG2044" t="s">
        <v>58</v>
      </c>
      <c r="AJ2044">
        <v>191742</v>
      </c>
      <c r="AK2044">
        <v>6</v>
      </c>
      <c r="AL2044" t="s">
        <v>61</v>
      </c>
      <c r="AM2044" t="s">
        <v>8209</v>
      </c>
      <c r="AN2044" t="s">
        <v>8210</v>
      </c>
    </row>
    <row r="2045" spans="1:40" x14ac:dyDescent="0.35">
      <c r="A2045" t="s">
        <v>37</v>
      </c>
      <c r="B2045" t="s">
        <v>8211</v>
      </c>
      <c r="C2045" t="s">
        <v>39</v>
      </c>
      <c r="D2045" t="s">
        <v>8203</v>
      </c>
      <c r="E2045" t="s">
        <v>8204</v>
      </c>
      <c r="F2045" s="1">
        <v>46072.667013888888</v>
      </c>
      <c r="G2045" t="s">
        <v>355</v>
      </c>
      <c r="H2045" t="s">
        <v>356</v>
      </c>
      <c r="I2045" t="s">
        <v>8212</v>
      </c>
      <c r="J2045" t="s">
        <v>5588</v>
      </c>
      <c r="K2045" t="s">
        <v>951</v>
      </c>
      <c r="M2045" t="s">
        <v>150</v>
      </c>
      <c r="O2045" t="s">
        <v>77</v>
      </c>
      <c r="P2045" t="s">
        <v>78</v>
      </c>
      <c r="Q2045" t="s">
        <v>1370</v>
      </c>
      <c r="R2045" t="s">
        <v>2670</v>
      </c>
      <c r="S2045" t="s">
        <v>8206</v>
      </c>
      <c r="T2045" t="s">
        <v>8207</v>
      </c>
      <c r="U2045" s="1">
        <v>46076.362881944442</v>
      </c>
      <c r="V2045" t="s">
        <v>54</v>
      </c>
      <c r="W2045" t="s">
        <v>55</v>
      </c>
      <c r="X2045" t="s">
        <v>134</v>
      </c>
      <c r="Y2045" t="s">
        <v>8213</v>
      </c>
      <c r="Z2045" t="s">
        <v>58</v>
      </c>
      <c r="AA2045" t="s">
        <v>54</v>
      </c>
      <c r="AB2045" t="s">
        <v>8209</v>
      </c>
      <c r="AC2045" t="s">
        <v>85</v>
      </c>
      <c r="AD2045" t="s">
        <v>2670</v>
      </c>
      <c r="AE2045" t="s">
        <v>8206</v>
      </c>
      <c r="AF2045" t="s">
        <v>8207</v>
      </c>
      <c r="AG2045" t="s">
        <v>58</v>
      </c>
      <c r="AK2045">
        <v>4</v>
      </c>
      <c r="AL2045" t="s">
        <v>61</v>
      </c>
      <c r="AM2045" t="s">
        <v>8209</v>
      </c>
      <c r="AN2045" t="s">
        <v>8210</v>
      </c>
    </row>
    <row r="2046" spans="1:40" x14ac:dyDescent="0.35">
      <c r="A2046" t="s">
        <v>37</v>
      </c>
      <c r="B2046" t="s">
        <v>8214</v>
      </c>
      <c r="C2046" t="s">
        <v>39</v>
      </c>
      <c r="D2046" t="s">
        <v>40</v>
      </c>
      <c r="E2046" t="s">
        <v>41</v>
      </c>
      <c r="F2046" s="1">
        <v>46072.661261574074</v>
      </c>
      <c r="G2046" t="s">
        <v>42</v>
      </c>
      <c r="H2046" t="s">
        <v>43</v>
      </c>
      <c r="I2046" t="s">
        <v>8215</v>
      </c>
      <c r="J2046" t="s">
        <v>45</v>
      </c>
      <c r="K2046" t="s">
        <v>46</v>
      </c>
      <c r="M2046" t="s">
        <v>47</v>
      </c>
      <c r="O2046" t="s">
        <v>48</v>
      </c>
      <c r="P2046" t="s">
        <v>49</v>
      </c>
      <c r="Q2046" t="s">
        <v>50</v>
      </c>
      <c r="R2046" t="s">
        <v>51</v>
      </c>
      <c r="S2046" t="s">
        <v>52</v>
      </c>
      <c r="T2046" t="s">
        <v>53</v>
      </c>
      <c r="U2046" s="1">
        <v>46072.661863425928</v>
      </c>
      <c r="V2046" t="s">
        <v>54</v>
      </c>
      <c r="W2046" t="s">
        <v>55</v>
      </c>
      <c r="X2046" t="s">
        <v>56</v>
      </c>
      <c r="Y2046" t="s">
        <v>57</v>
      </c>
      <c r="Z2046" t="s">
        <v>5594</v>
      </c>
      <c r="AA2046" t="s">
        <v>54</v>
      </c>
      <c r="AB2046" t="s">
        <v>59</v>
      </c>
      <c r="AC2046" t="s">
        <v>60</v>
      </c>
      <c r="AD2046" t="s">
        <v>51</v>
      </c>
      <c r="AE2046" t="s">
        <v>52</v>
      </c>
      <c r="AF2046" t="s">
        <v>53</v>
      </c>
      <c r="AG2046" t="s">
        <v>5594</v>
      </c>
      <c r="AK2046">
        <v>0</v>
      </c>
      <c r="AL2046" t="s">
        <v>61</v>
      </c>
      <c r="AM2046" t="s">
        <v>59</v>
      </c>
      <c r="AN2046" t="s">
        <v>62</v>
      </c>
    </row>
    <row r="2047" spans="1:40" x14ac:dyDescent="0.35">
      <c r="A2047" t="s">
        <v>37</v>
      </c>
      <c r="B2047" t="s">
        <v>8216</v>
      </c>
      <c r="C2047" t="s">
        <v>39</v>
      </c>
      <c r="D2047" t="s">
        <v>8217</v>
      </c>
      <c r="E2047" t="s">
        <v>934</v>
      </c>
      <c r="F2047" s="1">
        <v>46072.653194444443</v>
      </c>
      <c r="G2047" t="s">
        <v>71</v>
      </c>
      <c r="H2047" t="s">
        <v>72</v>
      </c>
      <c r="I2047" t="s">
        <v>1222</v>
      </c>
      <c r="J2047" t="s">
        <v>1058</v>
      </c>
      <c r="K2047" t="s">
        <v>436</v>
      </c>
      <c r="M2047" t="s">
        <v>47</v>
      </c>
      <c r="O2047" t="s">
        <v>77</v>
      </c>
      <c r="P2047" t="s">
        <v>78</v>
      </c>
      <c r="Q2047" t="s">
        <v>50</v>
      </c>
      <c r="R2047" t="s">
        <v>51</v>
      </c>
      <c r="S2047" t="s">
        <v>52</v>
      </c>
      <c r="T2047" t="s">
        <v>240</v>
      </c>
      <c r="U2047" s="1">
        <v>46073.33388888889</v>
      </c>
      <c r="V2047" t="s">
        <v>54</v>
      </c>
      <c r="W2047" t="s">
        <v>55</v>
      </c>
      <c r="X2047" t="s">
        <v>211</v>
      </c>
      <c r="Y2047" t="s">
        <v>8218</v>
      </c>
      <c r="Z2047" t="s">
        <v>5594</v>
      </c>
      <c r="AA2047" t="s">
        <v>54</v>
      </c>
      <c r="AB2047" t="s">
        <v>213</v>
      </c>
      <c r="AC2047" t="s">
        <v>85</v>
      </c>
      <c r="AD2047" t="s">
        <v>52</v>
      </c>
      <c r="AE2047" t="s">
        <v>438</v>
      </c>
      <c r="AF2047" t="s">
        <v>775</v>
      </c>
      <c r="AG2047" t="s">
        <v>5594</v>
      </c>
      <c r="AH2047" t="s">
        <v>8219</v>
      </c>
      <c r="AK2047">
        <v>2</v>
      </c>
      <c r="AL2047" t="s">
        <v>61</v>
      </c>
      <c r="AM2047" t="s">
        <v>8220</v>
      </c>
      <c r="AN2047" t="s">
        <v>8221</v>
      </c>
    </row>
    <row r="2048" spans="1:40" x14ac:dyDescent="0.35">
      <c r="A2048" t="s">
        <v>37</v>
      </c>
      <c r="B2048" t="s">
        <v>8222</v>
      </c>
      <c r="C2048" t="s">
        <v>102</v>
      </c>
      <c r="D2048" t="s">
        <v>3106</v>
      </c>
      <c r="E2048" t="s">
        <v>3107</v>
      </c>
      <c r="F2048" s="1">
        <v>46072.651944444442</v>
      </c>
      <c r="G2048" t="s">
        <v>105</v>
      </c>
      <c r="H2048" t="s">
        <v>106</v>
      </c>
      <c r="I2048" t="s">
        <v>8223</v>
      </c>
      <c r="J2048" t="s">
        <v>108</v>
      </c>
      <c r="K2048" t="s">
        <v>571</v>
      </c>
      <c r="M2048" t="s">
        <v>47</v>
      </c>
      <c r="O2048" t="s">
        <v>77</v>
      </c>
      <c r="P2048" t="s">
        <v>78</v>
      </c>
      <c r="Q2048" t="s">
        <v>50</v>
      </c>
      <c r="R2048" t="s">
        <v>111</v>
      </c>
      <c r="S2048" t="s">
        <v>51</v>
      </c>
      <c r="T2048" t="s">
        <v>112</v>
      </c>
      <c r="U2048" s="1">
        <v>46073.078969907408</v>
      </c>
      <c r="V2048" t="s">
        <v>54</v>
      </c>
      <c r="W2048" t="s">
        <v>55</v>
      </c>
      <c r="X2048" t="s">
        <v>113</v>
      </c>
      <c r="Y2048" t="s">
        <v>8224</v>
      </c>
      <c r="Z2048" t="s">
        <v>5594</v>
      </c>
      <c r="AA2048" t="s">
        <v>54</v>
      </c>
      <c r="AB2048" t="s">
        <v>115</v>
      </c>
      <c r="AC2048" t="s">
        <v>85</v>
      </c>
      <c r="AD2048" t="s">
        <v>116</v>
      </c>
      <c r="AE2048" t="s">
        <v>1541</v>
      </c>
      <c r="AF2048" t="s">
        <v>1569</v>
      </c>
      <c r="AG2048" t="s">
        <v>5594</v>
      </c>
      <c r="AH2048" t="s">
        <v>3111</v>
      </c>
      <c r="AK2048">
        <v>1</v>
      </c>
      <c r="AL2048" t="s">
        <v>61</v>
      </c>
      <c r="AM2048" t="s">
        <v>3112</v>
      </c>
      <c r="AN2048" t="s">
        <v>3113</v>
      </c>
    </row>
    <row r="2049" spans="1:40" x14ac:dyDescent="0.35">
      <c r="A2049" t="s">
        <v>37</v>
      </c>
      <c r="B2049" t="s">
        <v>8225</v>
      </c>
      <c r="C2049" t="s">
        <v>39</v>
      </c>
      <c r="D2049" t="s">
        <v>8217</v>
      </c>
      <c r="E2049" t="s">
        <v>934</v>
      </c>
      <c r="F2049" s="1">
        <v>46072.649837962963</v>
      </c>
      <c r="G2049" t="s">
        <v>71</v>
      </c>
      <c r="H2049" t="s">
        <v>72</v>
      </c>
      <c r="I2049" t="s">
        <v>1222</v>
      </c>
      <c r="J2049" t="s">
        <v>455</v>
      </c>
      <c r="K2049" t="s">
        <v>436</v>
      </c>
      <c r="M2049" t="s">
        <v>47</v>
      </c>
      <c r="O2049" t="s">
        <v>77</v>
      </c>
      <c r="P2049" t="s">
        <v>78</v>
      </c>
      <c r="Q2049" t="s">
        <v>50</v>
      </c>
      <c r="R2049" t="s">
        <v>51</v>
      </c>
      <c r="S2049" t="s">
        <v>52</v>
      </c>
      <c r="T2049" t="s">
        <v>240</v>
      </c>
      <c r="U2049" s="1">
        <v>46073.337685185186</v>
      </c>
      <c r="V2049" t="s">
        <v>54</v>
      </c>
      <c r="W2049" t="s">
        <v>55</v>
      </c>
      <c r="X2049" t="s">
        <v>211</v>
      </c>
      <c r="Y2049" t="s">
        <v>8226</v>
      </c>
      <c r="Z2049" t="s">
        <v>5594</v>
      </c>
      <c r="AA2049" t="s">
        <v>54</v>
      </c>
      <c r="AB2049" t="s">
        <v>213</v>
      </c>
      <c r="AC2049" t="s">
        <v>85</v>
      </c>
      <c r="AD2049" t="s">
        <v>52</v>
      </c>
      <c r="AE2049" t="s">
        <v>438</v>
      </c>
      <c r="AF2049" t="s">
        <v>775</v>
      </c>
      <c r="AG2049" t="s">
        <v>5594</v>
      </c>
      <c r="AH2049" t="s">
        <v>8219</v>
      </c>
      <c r="AK2049">
        <v>2</v>
      </c>
      <c r="AL2049" t="s">
        <v>61</v>
      </c>
      <c r="AM2049" t="s">
        <v>8220</v>
      </c>
      <c r="AN2049" t="s">
        <v>8221</v>
      </c>
    </row>
    <row r="2050" spans="1:40" x14ac:dyDescent="0.35">
      <c r="A2050" t="s">
        <v>37</v>
      </c>
      <c r="B2050" t="s">
        <v>8227</v>
      </c>
      <c r="C2050" t="s">
        <v>102</v>
      </c>
      <c r="D2050" t="s">
        <v>191</v>
      </c>
      <c r="E2050" t="s">
        <v>192</v>
      </c>
      <c r="F2050" s="1">
        <v>46072.648530092592</v>
      </c>
      <c r="G2050" t="s">
        <v>71</v>
      </c>
      <c r="H2050" t="s">
        <v>72</v>
      </c>
      <c r="I2050" t="s">
        <v>8228</v>
      </c>
      <c r="J2050" t="s">
        <v>194</v>
      </c>
      <c r="K2050" t="s">
        <v>565</v>
      </c>
      <c r="M2050" t="s">
        <v>47</v>
      </c>
      <c r="O2050" t="s">
        <v>77</v>
      </c>
      <c r="P2050" t="s">
        <v>78</v>
      </c>
      <c r="Q2050" t="s">
        <v>50</v>
      </c>
      <c r="R2050" t="s">
        <v>51</v>
      </c>
      <c r="S2050" t="s">
        <v>52</v>
      </c>
      <c r="T2050" t="s">
        <v>195</v>
      </c>
      <c r="U2050" s="1">
        <v>46072.707002314812</v>
      </c>
      <c r="V2050" t="s">
        <v>54</v>
      </c>
      <c r="W2050" t="s">
        <v>55</v>
      </c>
      <c r="X2050" t="s">
        <v>134</v>
      </c>
      <c r="Y2050" t="s">
        <v>8229</v>
      </c>
      <c r="Z2050" t="s">
        <v>5594</v>
      </c>
      <c r="AA2050" t="s">
        <v>54</v>
      </c>
      <c r="AB2050" t="s">
        <v>198</v>
      </c>
      <c r="AC2050" t="s">
        <v>85</v>
      </c>
      <c r="AD2050" t="s">
        <v>51</v>
      </c>
      <c r="AE2050" t="s">
        <v>52</v>
      </c>
      <c r="AF2050" t="s">
        <v>195</v>
      </c>
      <c r="AG2050" t="s">
        <v>5594</v>
      </c>
      <c r="AH2050" t="s">
        <v>199</v>
      </c>
      <c r="AK2050">
        <v>1</v>
      </c>
      <c r="AL2050" t="s">
        <v>61</v>
      </c>
      <c r="AM2050" t="s">
        <v>198</v>
      </c>
      <c r="AN2050" t="s">
        <v>200</v>
      </c>
    </row>
    <row r="2051" spans="1:40" x14ac:dyDescent="0.35">
      <c r="A2051" t="s">
        <v>37</v>
      </c>
      <c r="B2051" t="s">
        <v>8230</v>
      </c>
      <c r="C2051" t="s">
        <v>39</v>
      </c>
      <c r="D2051" t="s">
        <v>3481</v>
      </c>
      <c r="E2051" t="s">
        <v>8231</v>
      </c>
      <c r="F2051" s="1">
        <v>46072.64570601852</v>
      </c>
      <c r="G2051" t="s">
        <v>355</v>
      </c>
      <c r="H2051" t="s">
        <v>356</v>
      </c>
      <c r="I2051" t="s">
        <v>8232</v>
      </c>
      <c r="J2051" t="s">
        <v>7483</v>
      </c>
      <c r="K2051" t="s">
        <v>436</v>
      </c>
      <c r="M2051" t="s">
        <v>47</v>
      </c>
      <c r="O2051" t="s">
        <v>237</v>
      </c>
      <c r="P2051" t="s">
        <v>238</v>
      </c>
      <c r="Q2051" t="s">
        <v>50</v>
      </c>
      <c r="R2051" t="s">
        <v>51</v>
      </c>
      <c r="S2051" t="s">
        <v>52</v>
      </c>
      <c r="T2051" t="s">
        <v>4080</v>
      </c>
      <c r="U2051" s="1">
        <v>46073.522326388891</v>
      </c>
      <c r="V2051" t="s">
        <v>54</v>
      </c>
      <c r="W2051" t="s">
        <v>55</v>
      </c>
      <c r="X2051" t="s">
        <v>211</v>
      </c>
      <c r="Y2051" t="s">
        <v>8233</v>
      </c>
      <c r="Z2051" t="s">
        <v>5594</v>
      </c>
      <c r="AA2051" t="s">
        <v>54</v>
      </c>
      <c r="AB2051" t="s">
        <v>213</v>
      </c>
      <c r="AC2051" t="s">
        <v>242</v>
      </c>
      <c r="AD2051" t="s">
        <v>52</v>
      </c>
      <c r="AE2051" t="s">
        <v>438</v>
      </c>
      <c r="AF2051" t="s">
        <v>439</v>
      </c>
      <c r="AG2051" t="s">
        <v>5594</v>
      </c>
      <c r="AH2051" t="s">
        <v>8234</v>
      </c>
      <c r="AK2051">
        <v>2</v>
      </c>
      <c r="AL2051" t="s">
        <v>61</v>
      </c>
      <c r="AM2051" t="s">
        <v>8235</v>
      </c>
      <c r="AN2051" t="s">
        <v>8236</v>
      </c>
    </row>
    <row r="2052" spans="1:40" x14ac:dyDescent="0.35">
      <c r="A2052" t="s">
        <v>37</v>
      </c>
      <c r="B2052" t="s">
        <v>8237</v>
      </c>
      <c r="C2052" t="s">
        <v>39</v>
      </c>
      <c r="D2052" t="s">
        <v>469</v>
      </c>
      <c r="E2052" t="s">
        <v>2014</v>
      </c>
      <c r="F2052" s="1">
        <v>46072.645138888889</v>
      </c>
      <c r="G2052" t="s">
        <v>2015</v>
      </c>
      <c r="H2052" t="s">
        <v>447</v>
      </c>
      <c r="I2052" t="s">
        <v>815</v>
      </c>
      <c r="J2052" t="s">
        <v>816</v>
      </c>
      <c r="K2052" t="s">
        <v>817</v>
      </c>
      <c r="M2052" t="s">
        <v>76</v>
      </c>
      <c r="O2052" t="s">
        <v>77</v>
      </c>
      <c r="P2052" t="s">
        <v>78</v>
      </c>
      <c r="Q2052" t="s">
        <v>456</v>
      </c>
      <c r="R2052" t="s">
        <v>51</v>
      </c>
      <c r="S2052" t="s">
        <v>819</v>
      </c>
      <c r="T2052" t="s">
        <v>817</v>
      </c>
      <c r="U2052" s="1">
        <v>46076.423564814817</v>
      </c>
      <c r="V2052" t="s">
        <v>54</v>
      </c>
      <c r="W2052" t="s">
        <v>55</v>
      </c>
      <c r="X2052" t="s">
        <v>134</v>
      </c>
      <c r="Y2052" t="s">
        <v>8238</v>
      </c>
      <c r="Z2052" t="s">
        <v>58</v>
      </c>
      <c r="AA2052" t="s">
        <v>54</v>
      </c>
      <c r="AB2052" t="s">
        <v>954</v>
      </c>
      <c r="AC2052" t="s">
        <v>85</v>
      </c>
      <c r="AD2052" t="s">
        <v>51</v>
      </c>
      <c r="AE2052" t="s">
        <v>819</v>
      </c>
      <c r="AF2052" t="s">
        <v>817</v>
      </c>
      <c r="AG2052" t="s">
        <v>58</v>
      </c>
      <c r="AH2052">
        <v>543</v>
      </c>
      <c r="AK2052">
        <v>1</v>
      </c>
      <c r="AL2052" t="s">
        <v>61</v>
      </c>
      <c r="AM2052" t="s">
        <v>2016</v>
      </c>
      <c r="AN2052" t="s">
        <v>2017</v>
      </c>
    </row>
    <row r="2053" spans="1:40" x14ac:dyDescent="0.35">
      <c r="A2053" t="s">
        <v>37</v>
      </c>
      <c r="B2053" t="s">
        <v>8239</v>
      </c>
      <c r="C2053" t="s">
        <v>39</v>
      </c>
      <c r="D2053" t="s">
        <v>325</v>
      </c>
      <c r="E2053" t="s">
        <v>8240</v>
      </c>
      <c r="F2053" s="1">
        <v>46072.643460648149</v>
      </c>
      <c r="G2053" t="s">
        <v>3396</v>
      </c>
      <c r="H2053" t="s">
        <v>106</v>
      </c>
      <c r="I2053" t="s">
        <v>2543</v>
      </c>
      <c r="J2053" t="s">
        <v>2256</v>
      </c>
      <c r="K2053" t="s">
        <v>2257</v>
      </c>
      <c r="M2053" t="s">
        <v>47</v>
      </c>
      <c r="O2053" t="s">
        <v>77</v>
      </c>
      <c r="P2053" t="s">
        <v>78</v>
      </c>
      <c r="Q2053" t="s">
        <v>50</v>
      </c>
      <c r="R2053" t="s">
        <v>51</v>
      </c>
      <c r="S2053" t="s">
        <v>52</v>
      </c>
      <c r="T2053" t="s">
        <v>773</v>
      </c>
      <c r="U2053" s="1">
        <v>46073.45449074074</v>
      </c>
      <c r="V2053" t="s">
        <v>54</v>
      </c>
      <c r="W2053" t="s">
        <v>55</v>
      </c>
      <c r="X2053" t="s">
        <v>134</v>
      </c>
      <c r="Y2053" t="s">
        <v>8241</v>
      </c>
      <c r="Z2053" t="s">
        <v>5594</v>
      </c>
      <c r="AA2053" t="s">
        <v>54</v>
      </c>
      <c r="AB2053" t="s">
        <v>954</v>
      </c>
      <c r="AC2053" t="s">
        <v>85</v>
      </c>
      <c r="AD2053" t="s">
        <v>52</v>
      </c>
      <c r="AE2053" t="s">
        <v>438</v>
      </c>
      <c r="AF2053" t="s">
        <v>2204</v>
      </c>
      <c r="AG2053" t="s">
        <v>5594</v>
      </c>
      <c r="AH2053">
        <v>13382</v>
      </c>
      <c r="AK2053">
        <v>1</v>
      </c>
      <c r="AL2053" t="s">
        <v>61</v>
      </c>
      <c r="AM2053" t="s">
        <v>8242</v>
      </c>
      <c r="AN2053" t="s">
        <v>8243</v>
      </c>
    </row>
    <row r="2054" spans="1:40" x14ac:dyDescent="0.35">
      <c r="A2054" t="s">
        <v>37</v>
      </c>
      <c r="B2054" t="s">
        <v>8244</v>
      </c>
      <c r="C2054" t="s">
        <v>102</v>
      </c>
      <c r="D2054" t="s">
        <v>651</v>
      </c>
      <c r="E2054" t="s">
        <v>2151</v>
      </c>
      <c r="F2054" s="1">
        <v>46072.642337962963</v>
      </c>
      <c r="G2054" t="s">
        <v>597</v>
      </c>
      <c r="H2054" t="s">
        <v>287</v>
      </c>
      <c r="I2054" t="s">
        <v>8245</v>
      </c>
      <c r="J2054" t="s">
        <v>620</v>
      </c>
      <c r="K2054" t="s">
        <v>565</v>
      </c>
      <c r="M2054" t="s">
        <v>76</v>
      </c>
      <c r="O2054" t="s">
        <v>237</v>
      </c>
      <c r="P2054" t="s">
        <v>238</v>
      </c>
      <c r="Q2054" t="s">
        <v>2153</v>
      </c>
      <c r="R2054" t="s">
        <v>305</v>
      </c>
      <c r="S2054" t="s">
        <v>306</v>
      </c>
      <c r="T2054" t="s">
        <v>307</v>
      </c>
      <c r="U2054" s="1">
        <v>46076.437314814815</v>
      </c>
      <c r="V2054" t="s">
        <v>54</v>
      </c>
      <c r="W2054" t="s">
        <v>55</v>
      </c>
      <c r="X2054" t="s">
        <v>211</v>
      </c>
      <c r="Y2054" t="s">
        <v>8246</v>
      </c>
      <c r="Z2054" t="s">
        <v>58</v>
      </c>
      <c r="AA2054" t="s">
        <v>54</v>
      </c>
      <c r="AB2054" t="s">
        <v>213</v>
      </c>
      <c r="AC2054" t="s">
        <v>242</v>
      </c>
      <c r="AD2054" t="s">
        <v>305</v>
      </c>
      <c r="AE2054" t="s">
        <v>306</v>
      </c>
      <c r="AF2054" t="s">
        <v>307</v>
      </c>
      <c r="AG2054" t="s">
        <v>58</v>
      </c>
      <c r="AH2054">
        <v>5448</v>
      </c>
      <c r="AK2054">
        <v>2</v>
      </c>
      <c r="AL2054" t="s">
        <v>61</v>
      </c>
      <c r="AM2054" t="s">
        <v>2155</v>
      </c>
      <c r="AN2054" t="s">
        <v>2156</v>
      </c>
    </row>
    <row r="2055" spans="1:40" x14ac:dyDescent="0.35">
      <c r="A2055" t="s">
        <v>37</v>
      </c>
      <c r="B2055" t="s">
        <v>8247</v>
      </c>
      <c r="C2055" t="s">
        <v>39</v>
      </c>
      <c r="D2055" t="s">
        <v>2915</v>
      </c>
      <c r="E2055" t="s">
        <v>2916</v>
      </c>
      <c r="F2055" s="1">
        <v>46072.641736111109</v>
      </c>
      <c r="G2055" t="s">
        <v>327</v>
      </c>
      <c r="H2055" t="s">
        <v>72</v>
      </c>
      <c r="I2055" t="s">
        <v>8248</v>
      </c>
      <c r="J2055" t="s">
        <v>1058</v>
      </c>
      <c r="K2055" t="s">
        <v>436</v>
      </c>
      <c r="M2055" t="s">
        <v>47</v>
      </c>
      <c r="O2055" t="s">
        <v>77</v>
      </c>
      <c r="P2055" t="s">
        <v>78</v>
      </c>
      <c r="Q2055" t="s">
        <v>50</v>
      </c>
      <c r="R2055" t="s">
        <v>51</v>
      </c>
      <c r="S2055" t="s">
        <v>52</v>
      </c>
      <c r="T2055" t="s">
        <v>240</v>
      </c>
      <c r="U2055" s="1">
        <v>46073.323020833333</v>
      </c>
      <c r="V2055" t="s">
        <v>54</v>
      </c>
      <c r="W2055" t="s">
        <v>55</v>
      </c>
      <c r="X2055" t="s">
        <v>134</v>
      </c>
      <c r="Y2055" t="s">
        <v>8249</v>
      </c>
      <c r="Z2055" t="s">
        <v>5594</v>
      </c>
      <c r="AA2055" t="s">
        <v>54</v>
      </c>
      <c r="AB2055" t="s">
        <v>954</v>
      </c>
      <c r="AC2055" t="s">
        <v>85</v>
      </c>
      <c r="AD2055" t="s">
        <v>52</v>
      </c>
      <c r="AE2055" t="s">
        <v>438</v>
      </c>
      <c r="AF2055" t="s">
        <v>775</v>
      </c>
      <c r="AG2055" t="s">
        <v>5594</v>
      </c>
      <c r="AH2055" t="s">
        <v>2919</v>
      </c>
      <c r="AK2055">
        <v>1</v>
      </c>
      <c r="AL2055" t="s">
        <v>61</v>
      </c>
      <c r="AM2055" t="s">
        <v>2920</v>
      </c>
      <c r="AN2055" t="s">
        <v>2921</v>
      </c>
    </row>
    <row r="2056" spans="1:40" x14ac:dyDescent="0.35">
      <c r="A2056" t="s">
        <v>37</v>
      </c>
      <c r="B2056" t="s">
        <v>8250</v>
      </c>
      <c r="C2056" t="s">
        <v>39</v>
      </c>
      <c r="D2056" t="s">
        <v>40</v>
      </c>
      <c r="E2056" t="s">
        <v>41</v>
      </c>
      <c r="F2056" s="1">
        <v>46072.640914351854</v>
      </c>
      <c r="G2056" t="s">
        <v>42</v>
      </c>
      <c r="H2056" t="s">
        <v>43</v>
      </c>
      <c r="I2056" t="s">
        <v>8251</v>
      </c>
      <c r="J2056" t="s">
        <v>45</v>
      </c>
      <c r="K2056" t="s">
        <v>46</v>
      </c>
      <c r="M2056" t="s">
        <v>47</v>
      </c>
      <c r="O2056" t="s">
        <v>48</v>
      </c>
      <c r="P2056" t="s">
        <v>49</v>
      </c>
      <c r="Q2056" t="s">
        <v>50</v>
      </c>
      <c r="R2056" t="s">
        <v>51</v>
      </c>
      <c r="S2056" t="s">
        <v>52</v>
      </c>
      <c r="T2056" t="s">
        <v>53</v>
      </c>
      <c r="U2056" s="1">
        <v>46072.641446759262</v>
      </c>
      <c r="V2056" t="s">
        <v>54</v>
      </c>
      <c r="W2056" t="s">
        <v>55</v>
      </c>
      <c r="X2056" t="s">
        <v>56</v>
      </c>
      <c r="Y2056" t="s">
        <v>57</v>
      </c>
      <c r="Z2056" t="s">
        <v>5594</v>
      </c>
      <c r="AA2056" t="s">
        <v>54</v>
      </c>
      <c r="AB2056" t="s">
        <v>59</v>
      </c>
      <c r="AC2056" t="s">
        <v>60</v>
      </c>
      <c r="AD2056" t="s">
        <v>51</v>
      </c>
      <c r="AE2056" t="s">
        <v>52</v>
      </c>
      <c r="AF2056" t="s">
        <v>53</v>
      </c>
      <c r="AG2056" t="s">
        <v>5594</v>
      </c>
      <c r="AK2056">
        <v>0</v>
      </c>
      <c r="AL2056" t="s">
        <v>61</v>
      </c>
      <c r="AM2056" t="s">
        <v>59</v>
      </c>
      <c r="AN2056" t="s">
        <v>62</v>
      </c>
    </row>
    <row r="2057" spans="1:40" x14ac:dyDescent="0.35">
      <c r="A2057" t="s">
        <v>37</v>
      </c>
      <c r="B2057" t="s">
        <v>8252</v>
      </c>
      <c r="C2057" t="s">
        <v>39</v>
      </c>
      <c r="D2057" t="s">
        <v>40</v>
      </c>
      <c r="E2057" t="s">
        <v>41</v>
      </c>
      <c r="F2057" s="1">
        <v>46072.640821759262</v>
      </c>
      <c r="G2057" t="s">
        <v>42</v>
      </c>
      <c r="H2057" t="s">
        <v>43</v>
      </c>
      <c r="I2057" t="s">
        <v>8253</v>
      </c>
      <c r="J2057" t="s">
        <v>45</v>
      </c>
      <c r="K2057" t="s">
        <v>46</v>
      </c>
      <c r="M2057" t="s">
        <v>47</v>
      </c>
      <c r="O2057" t="s">
        <v>48</v>
      </c>
      <c r="P2057" t="s">
        <v>49</v>
      </c>
      <c r="Q2057" t="s">
        <v>50</v>
      </c>
      <c r="R2057" t="s">
        <v>51</v>
      </c>
      <c r="S2057" t="s">
        <v>52</v>
      </c>
      <c r="T2057" t="s">
        <v>53</v>
      </c>
      <c r="U2057" s="1">
        <v>46072.641342592593</v>
      </c>
      <c r="V2057" t="s">
        <v>54</v>
      </c>
      <c r="W2057" t="s">
        <v>55</v>
      </c>
      <c r="X2057" t="s">
        <v>56</v>
      </c>
      <c r="Y2057" t="s">
        <v>57</v>
      </c>
      <c r="Z2057" t="s">
        <v>5594</v>
      </c>
      <c r="AA2057" t="s">
        <v>54</v>
      </c>
      <c r="AB2057" t="s">
        <v>59</v>
      </c>
      <c r="AC2057" t="s">
        <v>60</v>
      </c>
      <c r="AD2057" t="s">
        <v>51</v>
      </c>
      <c r="AE2057" t="s">
        <v>52</v>
      </c>
      <c r="AF2057" t="s">
        <v>53</v>
      </c>
      <c r="AG2057" t="s">
        <v>5594</v>
      </c>
      <c r="AK2057">
        <v>0</v>
      </c>
      <c r="AL2057" t="s">
        <v>61</v>
      </c>
      <c r="AM2057" t="s">
        <v>59</v>
      </c>
      <c r="AN2057" t="s">
        <v>62</v>
      </c>
    </row>
    <row r="2058" spans="1:40" x14ac:dyDescent="0.35">
      <c r="A2058" t="s">
        <v>37</v>
      </c>
      <c r="B2058" t="s">
        <v>8254</v>
      </c>
      <c r="C2058" t="s">
        <v>39</v>
      </c>
      <c r="D2058" t="s">
        <v>8255</v>
      </c>
      <c r="E2058" t="s">
        <v>8256</v>
      </c>
      <c r="F2058" s="1">
        <v>46072.640787037039</v>
      </c>
      <c r="G2058" t="s">
        <v>71</v>
      </c>
      <c r="H2058" t="s">
        <v>72</v>
      </c>
      <c r="I2058" t="s">
        <v>1185</v>
      </c>
      <c r="J2058" t="s">
        <v>2406</v>
      </c>
      <c r="K2058" t="s">
        <v>1187</v>
      </c>
      <c r="M2058" t="s">
        <v>131</v>
      </c>
      <c r="O2058" t="s">
        <v>77</v>
      </c>
      <c r="P2058" t="s">
        <v>78</v>
      </c>
      <c r="Q2058" t="s">
        <v>50</v>
      </c>
      <c r="R2058" t="s">
        <v>305</v>
      </c>
      <c r="S2058" t="s">
        <v>306</v>
      </c>
      <c r="T2058" t="s">
        <v>307</v>
      </c>
      <c r="U2058" s="1">
        <v>46077.545740740738</v>
      </c>
      <c r="V2058" t="s">
        <v>54</v>
      </c>
      <c r="W2058" t="s">
        <v>55</v>
      </c>
      <c r="X2058" t="s">
        <v>211</v>
      </c>
      <c r="Y2058" t="s">
        <v>8257</v>
      </c>
      <c r="Z2058" t="s">
        <v>58</v>
      </c>
      <c r="AA2058" t="s">
        <v>54</v>
      </c>
      <c r="AB2058" t="s">
        <v>213</v>
      </c>
      <c r="AC2058" t="s">
        <v>85</v>
      </c>
      <c r="AD2058" t="s">
        <v>1189</v>
      </c>
      <c r="AE2058" t="s">
        <v>1190</v>
      </c>
      <c r="AF2058" t="s">
        <v>1191</v>
      </c>
      <c r="AG2058" t="s">
        <v>58</v>
      </c>
      <c r="AH2058" t="s">
        <v>8258</v>
      </c>
      <c r="AK2058">
        <v>4</v>
      </c>
      <c r="AL2058" t="s">
        <v>61</v>
      </c>
      <c r="AM2058" t="s">
        <v>8259</v>
      </c>
      <c r="AN2058" t="s">
        <v>8260</v>
      </c>
    </row>
    <row r="2059" spans="1:40" x14ac:dyDescent="0.35">
      <c r="A2059" t="s">
        <v>37</v>
      </c>
      <c r="B2059" t="s">
        <v>8261</v>
      </c>
      <c r="C2059" t="s">
        <v>39</v>
      </c>
      <c r="D2059" t="s">
        <v>40</v>
      </c>
      <c r="E2059" t="s">
        <v>41</v>
      </c>
      <c r="F2059" s="1">
        <v>46072.6406712963</v>
      </c>
      <c r="G2059" t="s">
        <v>42</v>
      </c>
      <c r="H2059" t="s">
        <v>43</v>
      </c>
      <c r="I2059" t="s">
        <v>8262</v>
      </c>
      <c r="J2059" t="s">
        <v>45</v>
      </c>
      <c r="K2059" t="s">
        <v>46</v>
      </c>
      <c r="M2059" t="s">
        <v>47</v>
      </c>
      <c r="O2059" t="s">
        <v>48</v>
      </c>
      <c r="P2059" t="s">
        <v>49</v>
      </c>
      <c r="Q2059" t="s">
        <v>50</v>
      </c>
      <c r="R2059" t="s">
        <v>51</v>
      </c>
      <c r="S2059" t="s">
        <v>52</v>
      </c>
      <c r="T2059" t="s">
        <v>53</v>
      </c>
      <c r="U2059" s="1">
        <v>46072.641238425924</v>
      </c>
      <c r="V2059" t="s">
        <v>54</v>
      </c>
      <c r="W2059" t="s">
        <v>55</v>
      </c>
      <c r="X2059" t="s">
        <v>56</v>
      </c>
      <c r="Y2059" t="s">
        <v>57</v>
      </c>
      <c r="Z2059" t="s">
        <v>5594</v>
      </c>
      <c r="AA2059" t="s">
        <v>54</v>
      </c>
      <c r="AB2059" t="s">
        <v>59</v>
      </c>
      <c r="AC2059" t="s">
        <v>60</v>
      </c>
      <c r="AD2059" t="s">
        <v>51</v>
      </c>
      <c r="AE2059" t="s">
        <v>52</v>
      </c>
      <c r="AF2059" t="s">
        <v>53</v>
      </c>
      <c r="AG2059" t="s">
        <v>5594</v>
      </c>
      <c r="AK2059">
        <v>0</v>
      </c>
      <c r="AL2059" t="s">
        <v>61</v>
      </c>
      <c r="AM2059" t="s">
        <v>59</v>
      </c>
      <c r="AN2059" t="s">
        <v>62</v>
      </c>
    </row>
    <row r="2060" spans="1:40" x14ac:dyDescent="0.35">
      <c r="A2060" t="s">
        <v>37</v>
      </c>
      <c r="B2060" t="s">
        <v>8263</v>
      </c>
      <c r="C2060" t="s">
        <v>39</v>
      </c>
      <c r="D2060" t="s">
        <v>40</v>
      </c>
      <c r="E2060" t="s">
        <v>41</v>
      </c>
      <c r="F2060" s="1">
        <v>46072.640497685185</v>
      </c>
      <c r="G2060" t="s">
        <v>42</v>
      </c>
      <c r="H2060" t="s">
        <v>43</v>
      </c>
      <c r="I2060" t="s">
        <v>8264</v>
      </c>
      <c r="J2060" t="s">
        <v>45</v>
      </c>
      <c r="K2060" t="s">
        <v>46</v>
      </c>
      <c r="M2060" t="s">
        <v>47</v>
      </c>
      <c r="O2060" t="s">
        <v>48</v>
      </c>
      <c r="P2060" t="s">
        <v>49</v>
      </c>
      <c r="Q2060" t="s">
        <v>50</v>
      </c>
      <c r="R2060" t="s">
        <v>51</v>
      </c>
      <c r="S2060" t="s">
        <v>52</v>
      </c>
      <c r="T2060" t="s">
        <v>53</v>
      </c>
      <c r="U2060" s="1">
        <v>46072.641076388885</v>
      </c>
      <c r="V2060" t="s">
        <v>54</v>
      </c>
      <c r="W2060" t="s">
        <v>55</v>
      </c>
      <c r="X2060" t="s">
        <v>56</v>
      </c>
      <c r="Y2060" t="s">
        <v>57</v>
      </c>
      <c r="Z2060" t="s">
        <v>5594</v>
      </c>
      <c r="AA2060" t="s">
        <v>54</v>
      </c>
      <c r="AB2060" t="s">
        <v>59</v>
      </c>
      <c r="AC2060" t="s">
        <v>60</v>
      </c>
      <c r="AD2060" t="s">
        <v>51</v>
      </c>
      <c r="AE2060" t="s">
        <v>52</v>
      </c>
      <c r="AF2060" t="s">
        <v>53</v>
      </c>
      <c r="AG2060" t="s">
        <v>5594</v>
      </c>
      <c r="AK2060">
        <v>0</v>
      </c>
      <c r="AL2060" t="s">
        <v>61</v>
      </c>
      <c r="AM2060" t="s">
        <v>59</v>
      </c>
      <c r="AN2060" t="s">
        <v>62</v>
      </c>
    </row>
    <row r="2061" spans="1:40" x14ac:dyDescent="0.35">
      <c r="A2061" t="s">
        <v>37</v>
      </c>
      <c r="B2061" t="s">
        <v>8265</v>
      </c>
      <c r="C2061" t="s">
        <v>39</v>
      </c>
      <c r="D2061" t="s">
        <v>6251</v>
      </c>
      <c r="E2061" t="s">
        <v>6252</v>
      </c>
      <c r="F2061" s="1">
        <v>46072.639432870368</v>
      </c>
      <c r="G2061" t="s">
        <v>2053</v>
      </c>
      <c r="H2061" t="s">
        <v>106</v>
      </c>
      <c r="I2061" t="s">
        <v>6253</v>
      </c>
      <c r="J2061" t="s">
        <v>455</v>
      </c>
      <c r="K2061" t="s">
        <v>436</v>
      </c>
      <c r="M2061" t="s">
        <v>47</v>
      </c>
      <c r="O2061" t="s">
        <v>237</v>
      </c>
      <c r="P2061" t="s">
        <v>238</v>
      </c>
      <c r="Q2061" t="s">
        <v>50</v>
      </c>
      <c r="R2061" t="s">
        <v>51</v>
      </c>
      <c r="S2061" t="s">
        <v>52</v>
      </c>
      <c r="T2061" t="s">
        <v>240</v>
      </c>
      <c r="U2061" s="1">
        <v>46073.369432870371</v>
      </c>
      <c r="V2061" t="s">
        <v>54</v>
      </c>
      <c r="W2061" t="s">
        <v>55</v>
      </c>
      <c r="X2061" t="s">
        <v>211</v>
      </c>
      <c r="Y2061" t="s">
        <v>8266</v>
      </c>
      <c r="Z2061" t="s">
        <v>5594</v>
      </c>
      <c r="AA2061" t="s">
        <v>54</v>
      </c>
      <c r="AB2061" t="s">
        <v>213</v>
      </c>
      <c r="AC2061" t="s">
        <v>242</v>
      </c>
      <c r="AD2061" t="s">
        <v>52</v>
      </c>
      <c r="AE2061" t="s">
        <v>438</v>
      </c>
      <c r="AF2061" t="s">
        <v>439</v>
      </c>
      <c r="AG2061" t="s">
        <v>5594</v>
      </c>
      <c r="AH2061" t="s">
        <v>6255</v>
      </c>
      <c r="AK2061">
        <v>1</v>
      </c>
      <c r="AL2061" t="s">
        <v>61</v>
      </c>
      <c r="AM2061" t="s">
        <v>6256</v>
      </c>
      <c r="AN2061" t="s">
        <v>6257</v>
      </c>
    </row>
    <row r="2062" spans="1:40" x14ac:dyDescent="0.35">
      <c r="A2062" t="s">
        <v>37</v>
      </c>
      <c r="B2062" t="s">
        <v>8267</v>
      </c>
      <c r="C2062" t="s">
        <v>39</v>
      </c>
      <c r="D2062" t="s">
        <v>6251</v>
      </c>
      <c r="E2062" t="s">
        <v>6252</v>
      </c>
      <c r="F2062" s="1">
        <v>46072.636261574073</v>
      </c>
      <c r="G2062" t="s">
        <v>2053</v>
      </c>
      <c r="H2062" t="s">
        <v>106</v>
      </c>
      <c r="I2062" t="s">
        <v>6253</v>
      </c>
      <c r="J2062" t="s">
        <v>455</v>
      </c>
      <c r="K2062" t="s">
        <v>436</v>
      </c>
      <c r="M2062" t="s">
        <v>47</v>
      </c>
      <c r="O2062" t="s">
        <v>237</v>
      </c>
      <c r="P2062" t="s">
        <v>238</v>
      </c>
      <c r="Q2062" t="s">
        <v>50</v>
      </c>
      <c r="R2062" t="s">
        <v>51</v>
      </c>
      <c r="S2062" t="s">
        <v>52</v>
      </c>
      <c r="T2062" t="s">
        <v>240</v>
      </c>
      <c r="U2062" s="1">
        <v>46073.372511574074</v>
      </c>
      <c r="V2062" t="s">
        <v>54</v>
      </c>
      <c r="W2062" t="s">
        <v>55</v>
      </c>
      <c r="X2062" t="s">
        <v>211</v>
      </c>
      <c r="Y2062" t="s">
        <v>8266</v>
      </c>
      <c r="Z2062" t="s">
        <v>5594</v>
      </c>
      <c r="AA2062" t="s">
        <v>54</v>
      </c>
      <c r="AB2062" t="s">
        <v>213</v>
      </c>
      <c r="AC2062" t="s">
        <v>242</v>
      </c>
      <c r="AD2062" t="s">
        <v>52</v>
      </c>
      <c r="AE2062" t="s">
        <v>438</v>
      </c>
      <c r="AF2062" t="s">
        <v>439</v>
      </c>
      <c r="AG2062" t="s">
        <v>5594</v>
      </c>
      <c r="AH2062" t="s">
        <v>6255</v>
      </c>
      <c r="AK2062">
        <v>1</v>
      </c>
      <c r="AL2062" t="s">
        <v>61</v>
      </c>
      <c r="AM2062" t="s">
        <v>6256</v>
      </c>
      <c r="AN2062" t="s">
        <v>6257</v>
      </c>
    </row>
    <row r="2063" spans="1:40" x14ac:dyDescent="0.35">
      <c r="A2063" t="s">
        <v>37</v>
      </c>
      <c r="B2063" t="s">
        <v>8268</v>
      </c>
      <c r="C2063" t="s">
        <v>39</v>
      </c>
      <c r="D2063" t="s">
        <v>6251</v>
      </c>
      <c r="E2063" t="s">
        <v>6252</v>
      </c>
      <c r="F2063" s="1">
        <v>46072.633263888885</v>
      </c>
      <c r="G2063" t="s">
        <v>2053</v>
      </c>
      <c r="H2063" t="s">
        <v>106</v>
      </c>
      <c r="I2063" t="s">
        <v>193</v>
      </c>
      <c r="J2063" t="s">
        <v>455</v>
      </c>
      <c r="K2063" t="s">
        <v>436</v>
      </c>
      <c r="M2063" t="s">
        <v>47</v>
      </c>
      <c r="O2063" t="s">
        <v>237</v>
      </c>
      <c r="P2063" t="s">
        <v>238</v>
      </c>
      <c r="Q2063" t="s">
        <v>50</v>
      </c>
      <c r="R2063" t="s">
        <v>51</v>
      </c>
      <c r="S2063" t="s">
        <v>52</v>
      </c>
      <c r="T2063" t="s">
        <v>240</v>
      </c>
      <c r="U2063" s="1">
        <v>46073.375335648147</v>
      </c>
      <c r="V2063" t="s">
        <v>54</v>
      </c>
      <c r="W2063" t="s">
        <v>55</v>
      </c>
      <c r="X2063" t="s">
        <v>211</v>
      </c>
      <c r="Y2063" t="s">
        <v>8266</v>
      </c>
      <c r="Z2063" t="s">
        <v>5594</v>
      </c>
      <c r="AA2063" t="s">
        <v>54</v>
      </c>
      <c r="AB2063" t="s">
        <v>213</v>
      </c>
      <c r="AC2063" t="s">
        <v>242</v>
      </c>
      <c r="AD2063" t="s">
        <v>52</v>
      </c>
      <c r="AE2063" t="s">
        <v>438</v>
      </c>
      <c r="AF2063" t="s">
        <v>439</v>
      </c>
      <c r="AG2063" t="s">
        <v>5594</v>
      </c>
      <c r="AH2063" t="s">
        <v>6255</v>
      </c>
      <c r="AK2063">
        <v>1</v>
      </c>
      <c r="AL2063" t="s">
        <v>61</v>
      </c>
      <c r="AM2063" t="s">
        <v>6256</v>
      </c>
      <c r="AN2063" t="s">
        <v>6257</v>
      </c>
    </row>
    <row r="2064" spans="1:40" x14ac:dyDescent="0.35">
      <c r="A2064" t="s">
        <v>37</v>
      </c>
      <c r="B2064" t="s">
        <v>8269</v>
      </c>
      <c r="C2064" t="s">
        <v>102</v>
      </c>
      <c r="D2064" t="s">
        <v>747</v>
      </c>
      <c r="E2064" t="s">
        <v>8270</v>
      </c>
      <c r="F2064" s="1">
        <v>46072.630381944444</v>
      </c>
      <c r="G2064" t="s">
        <v>71</v>
      </c>
      <c r="H2064" t="s">
        <v>43</v>
      </c>
      <c r="I2064" t="s">
        <v>8271</v>
      </c>
      <c r="J2064" t="s">
        <v>235</v>
      </c>
      <c r="K2064" t="s">
        <v>236</v>
      </c>
      <c r="M2064" t="s">
        <v>47</v>
      </c>
      <c r="O2064" t="s">
        <v>237</v>
      </c>
      <c r="P2064" t="s">
        <v>238</v>
      </c>
      <c r="Q2064" t="s">
        <v>50</v>
      </c>
      <c r="R2064" t="s">
        <v>51</v>
      </c>
      <c r="S2064" t="s">
        <v>52</v>
      </c>
      <c r="T2064" t="s">
        <v>240</v>
      </c>
      <c r="U2064" s="1">
        <v>46072.798425925925</v>
      </c>
      <c r="V2064" t="s">
        <v>54</v>
      </c>
      <c r="W2064" t="s">
        <v>55</v>
      </c>
      <c r="X2064" t="s">
        <v>211</v>
      </c>
      <c r="Y2064" t="s">
        <v>8272</v>
      </c>
      <c r="Z2064" t="s">
        <v>5594</v>
      </c>
      <c r="AA2064" t="s">
        <v>54</v>
      </c>
      <c r="AB2064" t="s">
        <v>213</v>
      </c>
      <c r="AC2064" t="s">
        <v>242</v>
      </c>
      <c r="AD2064" t="s">
        <v>52</v>
      </c>
      <c r="AE2064" t="s">
        <v>243</v>
      </c>
      <c r="AF2064" t="s">
        <v>244</v>
      </c>
      <c r="AG2064" t="s">
        <v>5594</v>
      </c>
      <c r="AH2064">
        <v>12108</v>
      </c>
      <c r="AK2064">
        <v>1</v>
      </c>
      <c r="AL2064" t="s">
        <v>61</v>
      </c>
      <c r="AM2064" t="s">
        <v>8273</v>
      </c>
      <c r="AN2064" t="s">
        <v>8274</v>
      </c>
    </row>
    <row r="2065" spans="1:40" x14ac:dyDescent="0.35">
      <c r="A2065" t="s">
        <v>37</v>
      </c>
      <c r="B2065" t="s">
        <v>8275</v>
      </c>
      <c r="C2065" t="s">
        <v>102</v>
      </c>
      <c r="D2065" t="s">
        <v>676</v>
      </c>
      <c r="E2065" t="s">
        <v>677</v>
      </c>
      <c r="F2065" s="1">
        <v>46072.627870370372</v>
      </c>
      <c r="G2065" t="s">
        <v>71</v>
      </c>
      <c r="H2065" t="s">
        <v>72</v>
      </c>
      <c r="I2065" t="s">
        <v>8276</v>
      </c>
      <c r="J2065" t="s">
        <v>679</v>
      </c>
      <c r="K2065" t="s">
        <v>130</v>
      </c>
      <c r="M2065" t="s">
        <v>47</v>
      </c>
      <c r="O2065" t="s">
        <v>77</v>
      </c>
      <c r="P2065" t="s">
        <v>78</v>
      </c>
      <c r="Q2065" t="s">
        <v>50</v>
      </c>
      <c r="R2065" t="s">
        <v>51</v>
      </c>
      <c r="S2065" t="s">
        <v>195</v>
      </c>
      <c r="T2065" t="s">
        <v>680</v>
      </c>
      <c r="U2065" s="1">
        <v>46073.335798611108</v>
      </c>
      <c r="V2065" t="s">
        <v>54</v>
      </c>
      <c r="W2065" t="s">
        <v>55</v>
      </c>
      <c r="X2065" t="s">
        <v>134</v>
      </c>
      <c r="Y2065" t="s">
        <v>8277</v>
      </c>
      <c r="Z2065" t="s">
        <v>5594</v>
      </c>
      <c r="AA2065" t="s">
        <v>54</v>
      </c>
      <c r="AB2065" t="s">
        <v>682</v>
      </c>
      <c r="AC2065" t="s">
        <v>85</v>
      </c>
      <c r="AD2065" t="s">
        <v>51</v>
      </c>
      <c r="AE2065" t="s">
        <v>195</v>
      </c>
      <c r="AF2065" t="s">
        <v>680</v>
      </c>
      <c r="AG2065" t="s">
        <v>5594</v>
      </c>
      <c r="AH2065" t="s">
        <v>683</v>
      </c>
      <c r="AK2065">
        <v>1</v>
      </c>
      <c r="AL2065" t="s">
        <v>61</v>
      </c>
      <c r="AM2065" t="s">
        <v>682</v>
      </c>
      <c r="AN2065" t="s">
        <v>684</v>
      </c>
    </row>
    <row r="2066" spans="1:40" x14ac:dyDescent="0.35">
      <c r="A2066" t="s">
        <v>37</v>
      </c>
      <c r="B2066" t="s">
        <v>8278</v>
      </c>
      <c r="C2066" t="s">
        <v>102</v>
      </c>
      <c r="D2066" t="s">
        <v>3106</v>
      </c>
      <c r="E2066" t="s">
        <v>3107</v>
      </c>
      <c r="F2066" s="1">
        <v>46072.626655092594</v>
      </c>
      <c r="G2066" t="s">
        <v>105</v>
      </c>
      <c r="H2066" t="s">
        <v>106</v>
      </c>
      <c r="I2066" t="s">
        <v>8279</v>
      </c>
      <c r="J2066" t="s">
        <v>108</v>
      </c>
      <c r="K2066" t="s">
        <v>571</v>
      </c>
      <c r="M2066" t="s">
        <v>47</v>
      </c>
      <c r="O2066" t="s">
        <v>77</v>
      </c>
      <c r="P2066" t="s">
        <v>78</v>
      </c>
      <c r="Q2066" t="s">
        <v>50</v>
      </c>
      <c r="R2066" t="s">
        <v>111</v>
      </c>
      <c r="S2066" t="s">
        <v>51</v>
      </c>
      <c r="T2066" t="s">
        <v>112</v>
      </c>
      <c r="U2066" s="1">
        <v>46073.111863425926</v>
      </c>
      <c r="V2066" t="s">
        <v>54</v>
      </c>
      <c r="W2066" t="s">
        <v>55</v>
      </c>
      <c r="X2066" t="s">
        <v>113</v>
      </c>
      <c r="Y2066" t="s">
        <v>8280</v>
      </c>
      <c r="Z2066" t="s">
        <v>5594</v>
      </c>
      <c r="AA2066" t="s">
        <v>54</v>
      </c>
      <c r="AB2066" t="s">
        <v>115</v>
      </c>
      <c r="AC2066" t="s">
        <v>85</v>
      </c>
      <c r="AD2066" t="s">
        <v>116</v>
      </c>
      <c r="AE2066" t="s">
        <v>1541</v>
      </c>
      <c r="AF2066" t="s">
        <v>1569</v>
      </c>
      <c r="AG2066" t="s">
        <v>5594</v>
      </c>
      <c r="AH2066" t="s">
        <v>3111</v>
      </c>
      <c r="AK2066">
        <v>1</v>
      </c>
      <c r="AL2066" t="s">
        <v>61</v>
      </c>
      <c r="AM2066" t="s">
        <v>3112</v>
      </c>
      <c r="AN2066" t="s">
        <v>3113</v>
      </c>
    </row>
    <row r="2067" spans="1:40" x14ac:dyDescent="0.35">
      <c r="A2067" t="s">
        <v>37</v>
      </c>
      <c r="B2067" t="s">
        <v>8281</v>
      </c>
      <c r="C2067" t="s">
        <v>39</v>
      </c>
      <c r="D2067" t="s">
        <v>391</v>
      </c>
      <c r="E2067" t="s">
        <v>147</v>
      </c>
      <c r="F2067" s="1">
        <v>46072.624710648146</v>
      </c>
      <c r="G2067" t="s">
        <v>204</v>
      </c>
      <c r="H2067" t="s">
        <v>92</v>
      </c>
      <c r="I2067" t="s">
        <v>1078</v>
      </c>
      <c r="J2067" t="s">
        <v>557</v>
      </c>
      <c r="K2067" t="s">
        <v>75</v>
      </c>
      <c r="M2067" t="s">
        <v>47</v>
      </c>
      <c r="O2067" t="s">
        <v>77</v>
      </c>
      <c r="P2067" t="s">
        <v>78</v>
      </c>
      <c r="Q2067" t="s">
        <v>2054</v>
      </c>
      <c r="R2067" t="s">
        <v>79</v>
      </c>
      <c r="S2067" t="s">
        <v>1078</v>
      </c>
      <c r="T2067" t="s">
        <v>1078</v>
      </c>
      <c r="U2067" s="1">
        <v>46072.625462962962</v>
      </c>
      <c r="V2067" t="s">
        <v>54</v>
      </c>
      <c r="W2067" t="s">
        <v>55</v>
      </c>
      <c r="X2067" t="s">
        <v>82</v>
      </c>
      <c r="Y2067" t="s">
        <v>8282</v>
      </c>
      <c r="Z2067" t="s">
        <v>5594</v>
      </c>
      <c r="AA2067" t="s">
        <v>54</v>
      </c>
      <c r="AB2067" t="s">
        <v>645</v>
      </c>
      <c r="AC2067" t="s">
        <v>85</v>
      </c>
      <c r="AD2067" t="s">
        <v>79</v>
      </c>
      <c r="AE2067" t="s">
        <v>1078</v>
      </c>
      <c r="AF2067" t="s">
        <v>1078</v>
      </c>
      <c r="AG2067" t="s">
        <v>5594</v>
      </c>
      <c r="AH2067">
        <v>2850</v>
      </c>
      <c r="AK2067">
        <v>0</v>
      </c>
      <c r="AL2067" t="s">
        <v>61</v>
      </c>
      <c r="AM2067" t="s">
        <v>3933</v>
      </c>
      <c r="AN2067" t="s">
        <v>3934</v>
      </c>
    </row>
    <row r="2068" spans="1:40" x14ac:dyDescent="0.35">
      <c r="A2068" t="s">
        <v>37</v>
      </c>
      <c r="B2068" t="s">
        <v>8283</v>
      </c>
      <c r="C2068" t="s">
        <v>39</v>
      </c>
      <c r="D2068" t="s">
        <v>1151</v>
      </c>
      <c r="E2068" t="s">
        <v>303</v>
      </c>
      <c r="F2068" s="1">
        <v>46072.62327546296</v>
      </c>
      <c r="G2068" t="s">
        <v>355</v>
      </c>
      <c r="H2068" t="s">
        <v>356</v>
      </c>
      <c r="I2068" t="s">
        <v>8284</v>
      </c>
      <c r="J2068" t="s">
        <v>557</v>
      </c>
      <c r="K2068" t="s">
        <v>75</v>
      </c>
      <c r="M2068" t="s">
        <v>47</v>
      </c>
      <c r="O2068" t="s">
        <v>77</v>
      </c>
      <c r="P2068" t="s">
        <v>78</v>
      </c>
      <c r="R2068" t="s">
        <v>79</v>
      </c>
      <c r="S2068" t="s">
        <v>1016</v>
      </c>
      <c r="T2068" t="s">
        <v>4181</v>
      </c>
      <c r="U2068" s="1">
        <v>46072.625879629632</v>
      </c>
      <c r="V2068" t="s">
        <v>54</v>
      </c>
      <c r="W2068" t="s">
        <v>55</v>
      </c>
      <c r="X2068" t="s">
        <v>82</v>
      </c>
      <c r="Y2068" t="s">
        <v>8285</v>
      </c>
      <c r="Z2068" t="s">
        <v>5594</v>
      </c>
      <c r="AA2068" t="s">
        <v>54</v>
      </c>
      <c r="AB2068" t="s">
        <v>645</v>
      </c>
      <c r="AC2068" t="s">
        <v>85</v>
      </c>
      <c r="AD2068" t="s">
        <v>79</v>
      </c>
      <c r="AE2068" t="s">
        <v>1016</v>
      </c>
      <c r="AF2068" t="s">
        <v>4181</v>
      </c>
      <c r="AG2068" t="s">
        <v>5594</v>
      </c>
      <c r="AH2068">
        <v>10670</v>
      </c>
      <c r="AK2068">
        <v>0</v>
      </c>
      <c r="AL2068" t="s">
        <v>61</v>
      </c>
      <c r="AM2068" t="s">
        <v>8286</v>
      </c>
      <c r="AN2068" t="s">
        <v>8287</v>
      </c>
    </row>
    <row r="2069" spans="1:40" x14ac:dyDescent="0.35">
      <c r="A2069" t="s">
        <v>37</v>
      </c>
      <c r="B2069" t="s">
        <v>8288</v>
      </c>
      <c r="C2069" t="s">
        <v>39</v>
      </c>
      <c r="D2069" t="s">
        <v>1230</v>
      </c>
      <c r="E2069" t="s">
        <v>1231</v>
      </c>
      <c r="F2069" s="1">
        <v>46072.617280092592</v>
      </c>
      <c r="G2069" t="s">
        <v>913</v>
      </c>
      <c r="H2069" t="s">
        <v>72</v>
      </c>
      <c r="I2069" t="s">
        <v>205</v>
      </c>
      <c r="J2069" t="s">
        <v>206</v>
      </c>
      <c r="K2069" t="s">
        <v>207</v>
      </c>
      <c r="M2069" t="s">
        <v>47</v>
      </c>
      <c r="O2069" t="s">
        <v>77</v>
      </c>
      <c r="P2069" t="s">
        <v>78</v>
      </c>
      <c r="Q2069" t="s">
        <v>50</v>
      </c>
      <c r="R2069" t="s">
        <v>208</v>
      </c>
      <c r="S2069" t="s">
        <v>209</v>
      </c>
      <c r="T2069" t="s">
        <v>210</v>
      </c>
      <c r="U2069" s="1">
        <v>46072.677523148152</v>
      </c>
      <c r="V2069" t="s">
        <v>54</v>
      </c>
      <c r="W2069" t="s">
        <v>55</v>
      </c>
      <c r="X2069" t="s">
        <v>211</v>
      </c>
      <c r="Y2069" t="s">
        <v>8289</v>
      </c>
      <c r="Z2069" t="s">
        <v>5594</v>
      </c>
      <c r="AA2069" t="s">
        <v>54</v>
      </c>
      <c r="AB2069" t="s">
        <v>213</v>
      </c>
      <c r="AC2069" t="s">
        <v>85</v>
      </c>
      <c r="AD2069" t="s">
        <v>214</v>
      </c>
      <c r="AE2069" t="s">
        <v>215</v>
      </c>
      <c r="AF2069" t="s">
        <v>216</v>
      </c>
      <c r="AG2069" t="s">
        <v>5594</v>
      </c>
      <c r="AH2069">
        <v>13189</v>
      </c>
      <c r="AK2069">
        <v>2</v>
      </c>
      <c r="AL2069" t="s">
        <v>61</v>
      </c>
      <c r="AM2069" t="s">
        <v>1232</v>
      </c>
      <c r="AN2069" t="s">
        <v>1233</v>
      </c>
    </row>
    <row r="2070" spans="1:40" x14ac:dyDescent="0.35">
      <c r="A2070" t="s">
        <v>37</v>
      </c>
      <c r="B2070" t="s">
        <v>8290</v>
      </c>
      <c r="C2070" t="s">
        <v>39</v>
      </c>
      <c r="D2070" t="s">
        <v>4700</v>
      </c>
      <c r="E2070" t="s">
        <v>800</v>
      </c>
      <c r="F2070" s="1">
        <v>46072.617847222224</v>
      </c>
      <c r="G2070" t="s">
        <v>402</v>
      </c>
      <c r="H2070" t="s">
        <v>72</v>
      </c>
      <c r="I2070" t="s">
        <v>2881</v>
      </c>
      <c r="J2070" t="s">
        <v>1454</v>
      </c>
      <c r="K2070" t="s">
        <v>75</v>
      </c>
      <c r="M2070" t="s">
        <v>47</v>
      </c>
      <c r="O2070" t="s">
        <v>77</v>
      </c>
      <c r="P2070" t="s">
        <v>78</v>
      </c>
      <c r="Q2070" t="s">
        <v>50</v>
      </c>
      <c r="R2070" t="s">
        <v>79</v>
      </c>
      <c r="S2070" t="s">
        <v>967</v>
      </c>
      <c r="T2070" t="s">
        <v>1072</v>
      </c>
      <c r="U2070" s="1">
        <v>46072.619421296295</v>
      </c>
      <c r="V2070" t="s">
        <v>54</v>
      </c>
      <c r="W2070" t="s">
        <v>55</v>
      </c>
      <c r="X2070" t="s">
        <v>82</v>
      </c>
      <c r="Y2070" t="s">
        <v>2883</v>
      </c>
      <c r="Z2070" t="s">
        <v>5594</v>
      </c>
      <c r="AA2070" t="s">
        <v>54</v>
      </c>
      <c r="AB2070" t="s">
        <v>2721</v>
      </c>
      <c r="AC2070" t="s">
        <v>85</v>
      </c>
      <c r="AD2070" t="s">
        <v>79</v>
      </c>
      <c r="AE2070" t="s">
        <v>967</v>
      </c>
      <c r="AF2070" t="s">
        <v>1072</v>
      </c>
      <c r="AG2070" t="s">
        <v>5594</v>
      </c>
      <c r="AH2070">
        <v>15951</v>
      </c>
      <c r="AK2070">
        <v>0</v>
      </c>
      <c r="AL2070" t="s">
        <v>61</v>
      </c>
      <c r="AM2070" t="s">
        <v>8291</v>
      </c>
      <c r="AN2070" t="s">
        <v>8292</v>
      </c>
    </row>
    <row r="2071" spans="1:40" x14ac:dyDescent="0.35">
      <c r="A2071" t="s">
        <v>37</v>
      </c>
      <c r="B2071" t="s">
        <v>8293</v>
      </c>
      <c r="C2071" t="s">
        <v>39</v>
      </c>
      <c r="D2071" t="s">
        <v>8294</v>
      </c>
      <c r="E2071" t="s">
        <v>8295</v>
      </c>
      <c r="F2071" s="1">
        <v>46072.616365740738</v>
      </c>
      <c r="G2071" t="s">
        <v>913</v>
      </c>
      <c r="H2071" t="s">
        <v>72</v>
      </c>
      <c r="I2071" t="s">
        <v>205</v>
      </c>
      <c r="J2071" t="s">
        <v>603</v>
      </c>
      <c r="K2071" t="s">
        <v>207</v>
      </c>
      <c r="M2071" t="s">
        <v>47</v>
      </c>
      <c r="O2071" t="s">
        <v>77</v>
      </c>
      <c r="P2071" t="s">
        <v>78</v>
      </c>
      <c r="Q2071" t="s">
        <v>50</v>
      </c>
      <c r="R2071" t="s">
        <v>208</v>
      </c>
      <c r="S2071" t="s">
        <v>209</v>
      </c>
      <c r="T2071" t="s">
        <v>210</v>
      </c>
      <c r="U2071" s="1">
        <v>46072.676261574074</v>
      </c>
      <c r="V2071" t="s">
        <v>54</v>
      </c>
      <c r="W2071" t="s">
        <v>55</v>
      </c>
      <c r="X2071" t="s">
        <v>211</v>
      </c>
      <c r="Y2071" t="s">
        <v>604</v>
      </c>
      <c r="Z2071" t="s">
        <v>5594</v>
      </c>
      <c r="AA2071" t="s">
        <v>54</v>
      </c>
      <c r="AB2071" t="s">
        <v>213</v>
      </c>
      <c r="AC2071" t="s">
        <v>85</v>
      </c>
      <c r="AD2071" t="s">
        <v>214</v>
      </c>
      <c r="AE2071" t="s">
        <v>215</v>
      </c>
      <c r="AF2071" t="s">
        <v>216</v>
      </c>
      <c r="AG2071" t="s">
        <v>5594</v>
      </c>
      <c r="AH2071">
        <v>12272</v>
      </c>
      <c r="AK2071">
        <v>1</v>
      </c>
      <c r="AL2071" t="s">
        <v>61</v>
      </c>
      <c r="AM2071" t="s">
        <v>8296</v>
      </c>
      <c r="AN2071" t="s">
        <v>8297</v>
      </c>
    </row>
    <row r="2072" spans="1:40" x14ac:dyDescent="0.35">
      <c r="A2072" t="s">
        <v>37</v>
      </c>
      <c r="B2072" t="s">
        <v>8298</v>
      </c>
      <c r="C2072" t="s">
        <v>102</v>
      </c>
      <c r="D2072" t="s">
        <v>284</v>
      </c>
      <c r="E2072" t="s">
        <v>285</v>
      </c>
      <c r="F2072" s="1">
        <v>46072.617928240739</v>
      </c>
      <c r="G2072" t="s">
        <v>286</v>
      </c>
      <c r="H2072" t="s">
        <v>287</v>
      </c>
      <c r="I2072" t="s">
        <v>8299</v>
      </c>
      <c r="J2072" t="s">
        <v>289</v>
      </c>
      <c r="K2072" t="s">
        <v>130</v>
      </c>
      <c r="M2072" t="s">
        <v>131</v>
      </c>
      <c r="O2072" t="s">
        <v>77</v>
      </c>
      <c r="P2072" t="s">
        <v>78</v>
      </c>
      <c r="Q2072" t="s">
        <v>50</v>
      </c>
      <c r="R2072" t="s">
        <v>132</v>
      </c>
      <c r="S2072" t="s">
        <v>133</v>
      </c>
      <c r="T2072" t="s">
        <v>133</v>
      </c>
      <c r="U2072" s="1">
        <v>46076.450057870374</v>
      </c>
      <c r="V2072" t="s">
        <v>54</v>
      </c>
      <c r="W2072" t="s">
        <v>55</v>
      </c>
      <c r="X2072" t="s">
        <v>134</v>
      </c>
      <c r="Y2072" t="s">
        <v>8300</v>
      </c>
      <c r="Z2072" t="s">
        <v>58</v>
      </c>
      <c r="AA2072" t="s">
        <v>54</v>
      </c>
      <c r="AB2072" t="s">
        <v>291</v>
      </c>
      <c r="AC2072" t="s">
        <v>85</v>
      </c>
      <c r="AD2072" t="s">
        <v>132</v>
      </c>
      <c r="AE2072" t="s">
        <v>133</v>
      </c>
      <c r="AF2072" t="s">
        <v>133</v>
      </c>
      <c r="AG2072" t="s">
        <v>58</v>
      </c>
      <c r="AH2072" t="s">
        <v>292</v>
      </c>
      <c r="AK2072">
        <v>1</v>
      </c>
      <c r="AL2072" t="s">
        <v>61</v>
      </c>
      <c r="AM2072" t="s">
        <v>291</v>
      </c>
      <c r="AN2072" t="s">
        <v>293</v>
      </c>
    </row>
    <row r="2073" spans="1:40" x14ac:dyDescent="0.35">
      <c r="A2073" t="s">
        <v>37</v>
      </c>
      <c r="B2073" t="s">
        <v>8301</v>
      </c>
      <c r="C2073" t="s">
        <v>39</v>
      </c>
      <c r="D2073" t="s">
        <v>8302</v>
      </c>
      <c r="E2073" t="s">
        <v>8303</v>
      </c>
      <c r="F2073" s="1">
        <v>46072.614050925928</v>
      </c>
      <c r="G2073" t="s">
        <v>913</v>
      </c>
      <c r="H2073" t="s">
        <v>72</v>
      </c>
      <c r="I2073" t="s">
        <v>205</v>
      </c>
      <c r="J2073" t="s">
        <v>603</v>
      </c>
      <c r="K2073" t="s">
        <v>207</v>
      </c>
      <c r="M2073" t="s">
        <v>47</v>
      </c>
      <c r="O2073" t="s">
        <v>77</v>
      </c>
      <c r="P2073" t="s">
        <v>78</v>
      </c>
      <c r="Q2073" t="s">
        <v>2895</v>
      </c>
      <c r="R2073" t="s">
        <v>208</v>
      </c>
      <c r="S2073" t="s">
        <v>209</v>
      </c>
      <c r="T2073" t="s">
        <v>210</v>
      </c>
      <c r="U2073" s="1">
        <v>46072.675474537034</v>
      </c>
      <c r="V2073" t="s">
        <v>54</v>
      </c>
      <c r="W2073" t="s">
        <v>55</v>
      </c>
      <c r="X2073" t="s">
        <v>211</v>
      </c>
      <c r="Y2073" t="s">
        <v>604</v>
      </c>
      <c r="Z2073" t="s">
        <v>5594</v>
      </c>
      <c r="AA2073" t="s">
        <v>54</v>
      </c>
      <c r="AB2073" t="s">
        <v>213</v>
      </c>
      <c r="AC2073" t="s">
        <v>85</v>
      </c>
      <c r="AD2073" t="s">
        <v>214</v>
      </c>
      <c r="AE2073" t="s">
        <v>215</v>
      </c>
      <c r="AF2073" t="s">
        <v>216</v>
      </c>
      <c r="AG2073" t="s">
        <v>5594</v>
      </c>
      <c r="AH2073">
        <v>11418</v>
      </c>
      <c r="AK2073">
        <v>1</v>
      </c>
      <c r="AL2073" t="s">
        <v>61</v>
      </c>
      <c r="AM2073" t="s">
        <v>8304</v>
      </c>
      <c r="AN2073" t="s">
        <v>8305</v>
      </c>
    </row>
    <row r="2074" spans="1:40" x14ac:dyDescent="0.35">
      <c r="A2074" t="s">
        <v>37</v>
      </c>
      <c r="B2074" t="s">
        <v>8306</v>
      </c>
      <c r="C2074" t="s">
        <v>39</v>
      </c>
      <c r="D2074" t="s">
        <v>8307</v>
      </c>
      <c r="E2074" t="s">
        <v>8308</v>
      </c>
      <c r="F2074" s="1">
        <v>46072.613344907404</v>
      </c>
      <c r="G2074" t="s">
        <v>913</v>
      </c>
      <c r="H2074" t="s">
        <v>72</v>
      </c>
      <c r="I2074" t="s">
        <v>205</v>
      </c>
      <c r="J2074" t="s">
        <v>8309</v>
      </c>
      <c r="K2074" t="s">
        <v>207</v>
      </c>
      <c r="M2074" t="s">
        <v>131</v>
      </c>
      <c r="O2074" t="s">
        <v>77</v>
      </c>
      <c r="P2074" t="s">
        <v>78</v>
      </c>
      <c r="Q2074" t="s">
        <v>50</v>
      </c>
      <c r="R2074" t="s">
        <v>305</v>
      </c>
      <c r="S2074" t="s">
        <v>306</v>
      </c>
      <c r="T2074" t="s">
        <v>307</v>
      </c>
      <c r="U2074" s="1">
        <v>46076.591944444444</v>
      </c>
      <c r="V2074" t="s">
        <v>54</v>
      </c>
      <c r="W2074" t="s">
        <v>55</v>
      </c>
      <c r="X2074" t="s">
        <v>211</v>
      </c>
      <c r="Y2074" t="s">
        <v>8310</v>
      </c>
      <c r="Z2074" t="s">
        <v>58</v>
      </c>
      <c r="AA2074" t="s">
        <v>54</v>
      </c>
      <c r="AB2074" t="s">
        <v>213</v>
      </c>
      <c r="AC2074" t="s">
        <v>85</v>
      </c>
      <c r="AD2074" t="s">
        <v>214</v>
      </c>
      <c r="AE2074" t="s">
        <v>215</v>
      </c>
      <c r="AF2074" t="s">
        <v>216</v>
      </c>
      <c r="AG2074" t="s">
        <v>58</v>
      </c>
      <c r="AH2074">
        <v>11645</v>
      </c>
      <c r="AK2074">
        <v>2</v>
      </c>
      <c r="AL2074" t="s">
        <v>61</v>
      </c>
      <c r="AM2074" t="s">
        <v>8311</v>
      </c>
      <c r="AN2074" t="s">
        <v>8312</v>
      </c>
    </row>
    <row r="2075" spans="1:40" x14ac:dyDescent="0.35">
      <c r="A2075" t="s">
        <v>37</v>
      </c>
      <c r="B2075" t="s">
        <v>8313</v>
      </c>
      <c r="C2075" t="s">
        <v>39</v>
      </c>
      <c r="D2075" t="s">
        <v>8314</v>
      </c>
      <c r="E2075" t="s">
        <v>8315</v>
      </c>
      <c r="F2075" s="1">
        <v>46072.61109953704</v>
      </c>
      <c r="G2075" t="s">
        <v>2031</v>
      </c>
      <c r="H2075" t="s">
        <v>106</v>
      </c>
      <c r="I2075" t="s">
        <v>205</v>
      </c>
      <c r="J2075" t="s">
        <v>603</v>
      </c>
      <c r="K2075" t="s">
        <v>207</v>
      </c>
      <c r="M2075" t="s">
        <v>47</v>
      </c>
      <c r="O2075" t="s">
        <v>77</v>
      </c>
      <c r="P2075" t="s">
        <v>78</v>
      </c>
      <c r="Q2075" t="s">
        <v>50</v>
      </c>
      <c r="R2075" t="s">
        <v>208</v>
      </c>
      <c r="S2075" t="s">
        <v>209</v>
      </c>
      <c r="T2075" t="s">
        <v>210</v>
      </c>
      <c r="U2075" s="1">
        <v>46072.614942129629</v>
      </c>
      <c r="V2075" t="s">
        <v>54</v>
      </c>
      <c r="W2075" t="s">
        <v>55</v>
      </c>
      <c r="X2075" t="s">
        <v>211</v>
      </c>
      <c r="Y2075" t="s">
        <v>604</v>
      </c>
      <c r="Z2075" t="s">
        <v>5594</v>
      </c>
      <c r="AA2075" t="s">
        <v>54</v>
      </c>
      <c r="AB2075" t="s">
        <v>213</v>
      </c>
      <c r="AC2075" t="s">
        <v>85</v>
      </c>
      <c r="AD2075" t="s">
        <v>214</v>
      </c>
      <c r="AE2075" t="s">
        <v>215</v>
      </c>
      <c r="AF2075" t="s">
        <v>216</v>
      </c>
      <c r="AG2075" t="s">
        <v>5594</v>
      </c>
      <c r="AH2075" t="s">
        <v>8316</v>
      </c>
      <c r="AK2075">
        <v>1</v>
      </c>
      <c r="AL2075" t="s">
        <v>61</v>
      </c>
      <c r="AM2075" t="s">
        <v>8317</v>
      </c>
      <c r="AN2075" t="s">
        <v>8318</v>
      </c>
    </row>
    <row r="2076" spans="1:40" x14ac:dyDescent="0.35">
      <c r="A2076" t="s">
        <v>37</v>
      </c>
      <c r="B2076" t="s">
        <v>8319</v>
      </c>
      <c r="C2076" t="s">
        <v>39</v>
      </c>
      <c r="D2076" t="s">
        <v>7445</v>
      </c>
      <c r="E2076" t="s">
        <v>1316</v>
      </c>
      <c r="F2076" s="1">
        <v>46072.61142361111</v>
      </c>
      <c r="G2076" t="s">
        <v>286</v>
      </c>
      <c r="H2076" t="s">
        <v>287</v>
      </c>
      <c r="I2076" t="s">
        <v>8320</v>
      </c>
      <c r="J2076" t="s">
        <v>7447</v>
      </c>
      <c r="K2076" t="s">
        <v>7448</v>
      </c>
      <c r="M2076" t="s">
        <v>131</v>
      </c>
      <c r="O2076" t="s">
        <v>77</v>
      </c>
      <c r="P2076" t="s">
        <v>78</v>
      </c>
      <c r="Q2076" t="s">
        <v>50</v>
      </c>
      <c r="R2076" t="s">
        <v>51</v>
      </c>
      <c r="S2076" t="s">
        <v>52</v>
      </c>
      <c r="T2076" t="s">
        <v>240</v>
      </c>
      <c r="U2076" s="1">
        <v>46078.399710648147</v>
      </c>
      <c r="V2076" t="s">
        <v>54</v>
      </c>
      <c r="W2076" t="s">
        <v>55</v>
      </c>
      <c r="X2076" t="s">
        <v>134</v>
      </c>
      <c r="Y2076" t="s">
        <v>8321</v>
      </c>
      <c r="Z2076" t="s">
        <v>58</v>
      </c>
      <c r="AA2076" t="s">
        <v>54</v>
      </c>
      <c r="AB2076" t="s">
        <v>7450</v>
      </c>
      <c r="AC2076" t="s">
        <v>85</v>
      </c>
      <c r="AD2076" t="s">
        <v>51</v>
      </c>
      <c r="AE2076" t="s">
        <v>834</v>
      </c>
      <c r="AF2076" t="s">
        <v>834</v>
      </c>
      <c r="AG2076" t="s">
        <v>58</v>
      </c>
      <c r="AK2076">
        <v>0</v>
      </c>
      <c r="AL2076" t="s">
        <v>61</v>
      </c>
      <c r="AM2076" t="s">
        <v>7451</v>
      </c>
      <c r="AN2076" t="s">
        <v>7452</v>
      </c>
    </row>
    <row r="2077" spans="1:40" x14ac:dyDescent="0.35">
      <c r="A2077" t="s">
        <v>37</v>
      </c>
      <c r="B2077" t="s">
        <v>8322</v>
      </c>
      <c r="C2077" t="s">
        <v>39</v>
      </c>
      <c r="D2077" t="s">
        <v>8323</v>
      </c>
      <c r="E2077" t="s">
        <v>8324</v>
      </c>
      <c r="F2077" s="1">
        <v>46072.611261574071</v>
      </c>
      <c r="G2077" t="s">
        <v>370</v>
      </c>
      <c r="H2077" t="s">
        <v>371</v>
      </c>
      <c r="I2077" t="s">
        <v>8325</v>
      </c>
      <c r="J2077" t="s">
        <v>4338</v>
      </c>
      <c r="K2077" t="s">
        <v>405</v>
      </c>
      <c r="M2077" t="s">
        <v>76</v>
      </c>
      <c r="O2077" t="s">
        <v>77</v>
      </c>
      <c r="P2077" t="s">
        <v>78</v>
      </c>
      <c r="Q2077" t="s">
        <v>50</v>
      </c>
      <c r="R2077" t="s">
        <v>51</v>
      </c>
      <c r="S2077" t="s">
        <v>52</v>
      </c>
      <c r="T2077" t="s">
        <v>240</v>
      </c>
      <c r="U2077" s="1">
        <v>46076.28979166667</v>
      </c>
      <c r="V2077" t="s">
        <v>54</v>
      </c>
      <c r="W2077" t="s">
        <v>55</v>
      </c>
      <c r="X2077" t="s">
        <v>134</v>
      </c>
      <c r="Y2077" t="s">
        <v>8326</v>
      </c>
      <c r="Z2077" t="s">
        <v>58</v>
      </c>
      <c r="AA2077" t="s">
        <v>54</v>
      </c>
      <c r="AB2077" t="s">
        <v>612</v>
      </c>
      <c r="AC2077" t="s">
        <v>85</v>
      </c>
      <c r="AD2077" t="s">
        <v>52</v>
      </c>
      <c r="AE2077" t="s">
        <v>438</v>
      </c>
      <c r="AF2077" t="s">
        <v>775</v>
      </c>
      <c r="AG2077" t="s">
        <v>58</v>
      </c>
      <c r="AH2077">
        <v>15566</v>
      </c>
      <c r="AK2077">
        <v>1</v>
      </c>
      <c r="AL2077" t="s">
        <v>61</v>
      </c>
      <c r="AM2077" t="s">
        <v>8327</v>
      </c>
      <c r="AN2077" t="s">
        <v>8328</v>
      </c>
    </row>
    <row r="2078" spans="1:40" x14ac:dyDescent="0.35">
      <c r="A2078" t="s">
        <v>37</v>
      </c>
      <c r="B2078" t="s">
        <v>8329</v>
      </c>
      <c r="C2078" t="s">
        <v>39</v>
      </c>
      <c r="D2078" t="s">
        <v>1982</v>
      </c>
      <c r="E2078" t="s">
        <v>4431</v>
      </c>
      <c r="F2078" s="1">
        <v>46072.609270833331</v>
      </c>
      <c r="G2078" t="s">
        <v>515</v>
      </c>
      <c r="H2078" t="s">
        <v>92</v>
      </c>
      <c r="I2078" t="s">
        <v>8330</v>
      </c>
      <c r="J2078" t="s">
        <v>3257</v>
      </c>
      <c r="K2078" t="s">
        <v>1834</v>
      </c>
      <c r="M2078" t="s">
        <v>47</v>
      </c>
      <c r="O2078" t="s">
        <v>77</v>
      </c>
      <c r="P2078" t="s">
        <v>78</v>
      </c>
      <c r="Q2078" t="s">
        <v>50</v>
      </c>
      <c r="R2078" t="s">
        <v>51</v>
      </c>
      <c r="S2078" t="s">
        <v>52</v>
      </c>
      <c r="T2078" t="s">
        <v>240</v>
      </c>
      <c r="U2078" s="1">
        <v>46073.530763888892</v>
      </c>
      <c r="V2078" t="s">
        <v>54</v>
      </c>
      <c r="W2078" t="s">
        <v>55</v>
      </c>
      <c r="X2078" t="s">
        <v>134</v>
      </c>
      <c r="Y2078" t="s">
        <v>3258</v>
      </c>
      <c r="Z2078" t="s">
        <v>5594</v>
      </c>
      <c r="AA2078" t="s">
        <v>54</v>
      </c>
      <c r="AB2078" t="s">
        <v>3259</v>
      </c>
      <c r="AC2078" t="s">
        <v>85</v>
      </c>
      <c r="AD2078" t="s">
        <v>52</v>
      </c>
      <c r="AE2078" t="s">
        <v>243</v>
      </c>
      <c r="AF2078" t="s">
        <v>1470</v>
      </c>
      <c r="AG2078" t="s">
        <v>5594</v>
      </c>
      <c r="AH2078">
        <v>14297</v>
      </c>
      <c r="AK2078">
        <v>0</v>
      </c>
      <c r="AL2078" t="s">
        <v>61</v>
      </c>
      <c r="AM2078" t="s">
        <v>8331</v>
      </c>
      <c r="AN2078" t="s">
        <v>8332</v>
      </c>
    </row>
    <row r="2079" spans="1:40" x14ac:dyDescent="0.35">
      <c r="A2079" t="s">
        <v>37</v>
      </c>
      <c r="B2079" t="s">
        <v>8333</v>
      </c>
      <c r="C2079" t="s">
        <v>39</v>
      </c>
      <c r="D2079" t="s">
        <v>6490</v>
      </c>
      <c r="E2079" t="s">
        <v>6491</v>
      </c>
      <c r="F2079" s="1">
        <v>46072.607893518521</v>
      </c>
      <c r="G2079" t="s">
        <v>250</v>
      </c>
      <c r="H2079" t="s">
        <v>106</v>
      </c>
      <c r="I2079" t="s">
        <v>6492</v>
      </c>
      <c r="J2079" t="s">
        <v>435</v>
      </c>
      <c r="K2079" t="s">
        <v>436</v>
      </c>
      <c r="M2079" t="s">
        <v>76</v>
      </c>
      <c r="O2079" t="s">
        <v>77</v>
      </c>
      <c r="P2079" t="s">
        <v>78</v>
      </c>
      <c r="Q2079" t="s">
        <v>50</v>
      </c>
      <c r="R2079" t="s">
        <v>51</v>
      </c>
      <c r="S2079" t="s">
        <v>52</v>
      </c>
      <c r="T2079" t="s">
        <v>4080</v>
      </c>
      <c r="U2079" s="1">
        <v>46076.493981481479</v>
      </c>
      <c r="V2079" t="s">
        <v>54</v>
      </c>
      <c r="W2079" t="s">
        <v>55</v>
      </c>
      <c r="X2079" t="s">
        <v>134</v>
      </c>
      <c r="Y2079" t="s">
        <v>8334</v>
      </c>
      <c r="Z2079" t="s">
        <v>58</v>
      </c>
      <c r="AA2079" t="s">
        <v>54</v>
      </c>
      <c r="AB2079" t="s">
        <v>612</v>
      </c>
      <c r="AC2079" t="s">
        <v>85</v>
      </c>
      <c r="AD2079" t="s">
        <v>52</v>
      </c>
      <c r="AE2079" t="s">
        <v>438</v>
      </c>
      <c r="AF2079" t="s">
        <v>439</v>
      </c>
      <c r="AG2079" t="s">
        <v>58</v>
      </c>
      <c r="AH2079" t="s">
        <v>6495</v>
      </c>
      <c r="AK2079">
        <v>1</v>
      </c>
      <c r="AL2079" t="s">
        <v>61</v>
      </c>
      <c r="AM2079" t="s">
        <v>6496</v>
      </c>
      <c r="AN2079" t="s">
        <v>6497</v>
      </c>
    </row>
    <row r="2080" spans="1:40" x14ac:dyDescent="0.35">
      <c r="A2080" t="s">
        <v>37</v>
      </c>
      <c r="B2080" t="s">
        <v>8335</v>
      </c>
      <c r="C2080" t="s">
        <v>656</v>
      </c>
      <c r="D2080" t="s">
        <v>7886</v>
      </c>
      <c r="E2080" t="s">
        <v>7887</v>
      </c>
      <c r="F2080" s="1">
        <v>46072.605682870373</v>
      </c>
      <c r="G2080" t="s">
        <v>826</v>
      </c>
      <c r="H2080" t="s">
        <v>356</v>
      </c>
      <c r="I2080" t="s">
        <v>8336</v>
      </c>
      <c r="J2080" t="s">
        <v>1926</v>
      </c>
      <c r="K2080" t="s">
        <v>1927</v>
      </c>
      <c r="M2080" t="s">
        <v>76</v>
      </c>
      <c r="O2080" t="s">
        <v>77</v>
      </c>
      <c r="P2080" t="s">
        <v>78</v>
      </c>
      <c r="Q2080" t="s">
        <v>50</v>
      </c>
      <c r="R2080" t="s">
        <v>1927</v>
      </c>
      <c r="S2080" t="s">
        <v>8337</v>
      </c>
      <c r="T2080" t="s">
        <v>967</v>
      </c>
      <c r="U2080" s="1">
        <v>46077.601030092592</v>
      </c>
      <c r="V2080" t="s">
        <v>54</v>
      </c>
      <c r="W2080" t="s">
        <v>55</v>
      </c>
      <c r="X2080" t="s">
        <v>134</v>
      </c>
      <c r="Y2080" t="s">
        <v>8338</v>
      </c>
      <c r="Z2080" t="s">
        <v>58</v>
      </c>
      <c r="AA2080" t="s">
        <v>54</v>
      </c>
      <c r="AB2080" t="s">
        <v>612</v>
      </c>
      <c r="AC2080" t="s">
        <v>85</v>
      </c>
      <c r="AD2080" t="s">
        <v>1189</v>
      </c>
      <c r="AE2080" t="s">
        <v>2407</v>
      </c>
      <c r="AF2080" t="s">
        <v>2408</v>
      </c>
      <c r="AG2080" t="s">
        <v>58</v>
      </c>
      <c r="AH2080" t="s">
        <v>7890</v>
      </c>
      <c r="AK2080">
        <v>1</v>
      </c>
      <c r="AL2080" t="s">
        <v>61</v>
      </c>
      <c r="AM2080" t="s">
        <v>7891</v>
      </c>
      <c r="AN2080" t="s">
        <v>7892</v>
      </c>
    </row>
    <row r="2081" spans="1:40" x14ac:dyDescent="0.35">
      <c r="A2081" t="s">
        <v>37</v>
      </c>
      <c r="B2081" t="s">
        <v>8339</v>
      </c>
      <c r="C2081" t="s">
        <v>656</v>
      </c>
      <c r="D2081" t="s">
        <v>732</v>
      </c>
      <c r="E2081" t="s">
        <v>733</v>
      </c>
      <c r="F2081" s="1">
        <v>46072.601631944446</v>
      </c>
      <c r="G2081" t="s">
        <v>734</v>
      </c>
      <c r="H2081" t="s">
        <v>356</v>
      </c>
      <c r="I2081" t="s">
        <v>8340</v>
      </c>
      <c r="J2081" t="s">
        <v>2357</v>
      </c>
      <c r="K2081" t="s">
        <v>2358</v>
      </c>
      <c r="M2081" t="s">
        <v>47</v>
      </c>
      <c r="O2081" t="s">
        <v>77</v>
      </c>
      <c r="P2081" t="s">
        <v>78</v>
      </c>
      <c r="Q2081" t="s">
        <v>50</v>
      </c>
      <c r="R2081" t="s">
        <v>3056</v>
      </c>
      <c r="S2081" t="s">
        <v>3057</v>
      </c>
      <c r="T2081" t="s">
        <v>8341</v>
      </c>
      <c r="U2081" s="1">
        <v>46073.389803240738</v>
      </c>
      <c r="V2081" t="s">
        <v>54</v>
      </c>
      <c r="W2081" t="s">
        <v>55</v>
      </c>
      <c r="X2081" t="s">
        <v>134</v>
      </c>
      <c r="Y2081" t="s">
        <v>8342</v>
      </c>
      <c r="Z2081" t="s">
        <v>5594</v>
      </c>
      <c r="AA2081" t="s">
        <v>54</v>
      </c>
      <c r="AB2081" t="s">
        <v>612</v>
      </c>
      <c r="AC2081" t="s">
        <v>85</v>
      </c>
      <c r="AD2081" t="s">
        <v>8343</v>
      </c>
      <c r="AE2081" t="s">
        <v>8344</v>
      </c>
      <c r="AF2081" t="s">
        <v>8345</v>
      </c>
      <c r="AG2081" t="s">
        <v>5594</v>
      </c>
      <c r="AH2081">
        <v>15860</v>
      </c>
      <c r="AK2081">
        <v>1</v>
      </c>
      <c r="AL2081" t="s">
        <v>61</v>
      </c>
      <c r="AM2081" t="s">
        <v>736</v>
      </c>
      <c r="AN2081" t="s">
        <v>737</v>
      </c>
    </row>
    <row r="2082" spans="1:40" x14ac:dyDescent="0.35">
      <c r="A2082" t="s">
        <v>37</v>
      </c>
      <c r="B2082" t="s">
        <v>8346</v>
      </c>
      <c r="C2082" t="s">
        <v>39</v>
      </c>
      <c r="D2082" t="s">
        <v>40</v>
      </c>
      <c r="E2082" t="s">
        <v>41</v>
      </c>
      <c r="F2082" s="1">
        <v>46072.599062499998</v>
      </c>
      <c r="G2082" t="s">
        <v>42</v>
      </c>
      <c r="H2082" t="s">
        <v>43</v>
      </c>
      <c r="I2082" t="s">
        <v>8347</v>
      </c>
      <c r="J2082" t="s">
        <v>45</v>
      </c>
      <c r="K2082" t="s">
        <v>46</v>
      </c>
      <c r="M2082" t="s">
        <v>47</v>
      </c>
      <c r="O2082" t="s">
        <v>48</v>
      </c>
      <c r="P2082" t="s">
        <v>49</v>
      </c>
      <c r="Q2082" t="s">
        <v>50</v>
      </c>
      <c r="R2082" t="s">
        <v>51</v>
      </c>
      <c r="S2082" t="s">
        <v>52</v>
      </c>
      <c r="T2082" t="s">
        <v>53</v>
      </c>
      <c r="U2082" s="1">
        <v>46072.599803240744</v>
      </c>
      <c r="V2082" t="s">
        <v>54</v>
      </c>
      <c r="W2082" t="s">
        <v>55</v>
      </c>
      <c r="X2082" t="s">
        <v>56</v>
      </c>
      <c r="Y2082" t="s">
        <v>57</v>
      </c>
      <c r="Z2082" t="s">
        <v>5594</v>
      </c>
      <c r="AA2082" t="s">
        <v>54</v>
      </c>
      <c r="AB2082" t="s">
        <v>59</v>
      </c>
      <c r="AC2082" t="s">
        <v>60</v>
      </c>
      <c r="AD2082" t="s">
        <v>51</v>
      </c>
      <c r="AE2082" t="s">
        <v>52</v>
      </c>
      <c r="AF2082" t="s">
        <v>53</v>
      </c>
      <c r="AG2082" t="s">
        <v>5594</v>
      </c>
      <c r="AK2082">
        <v>0</v>
      </c>
      <c r="AL2082" t="s">
        <v>61</v>
      </c>
      <c r="AM2082" t="s">
        <v>59</v>
      </c>
      <c r="AN2082" t="s">
        <v>62</v>
      </c>
    </row>
    <row r="2083" spans="1:40" x14ac:dyDescent="0.35">
      <c r="A2083" t="s">
        <v>37</v>
      </c>
      <c r="B2083" t="s">
        <v>8348</v>
      </c>
      <c r="C2083" t="s">
        <v>39</v>
      </c>
      <c r="D2083" t="s">
        <v>40</v>
      </c>
      <c r="E2083" t="s">
        <v>41</v>
      </c>
      <c r="F2083" s="1">
        <v>46072.598993055559</v>
      </c>
      <c r="G2083" t="s">
        <v>42</v>
      </c>
      <c r="H2083" t="s">
        <v>43</v>
      </c>
      <c r="I2083" t="s">
        <v>8349</v>
      </c>
      <c r="J2083" t="s">
        <v>45</v>
      </c>
      <c r="K2083" t="s">
        <v>46</v>
      </c>
      <c r="M2083" t="s">
        <v>47</v>
      </c>
      <c r="O2083" t="s">
        <v>48</v>
      </c>
      <c r="P2083" t="s">
        <v>49</v>
      </c>
      <c r="Q2083" t="s">
        <v>50</v>
      </c>
      <c r="R2083" t="s">
        <v>51</v>
      </c>
      <c r="S2083" t="s">
        <v>52</v>
      </c>
      <c r="T2083" t="s">
        <v>53</v>
      </c>
      <c r="U2083" s="1">
        <v>46072.599618055552</v>
      </c>
      <c r="V2083" t="s">
        <v>54</v>
      </c>
      <c r="W2083" t="s">
        <v>55</v>
      </c>
      <c r="X2083" t="s">
        <v>56</v>
      </c>
      <c r="Y2083" t="s">
        <v>57</v>
      </c>
      <c r="Z2083" t="s">
        <v>5594</v>
      </c>
      <c r="AA2083" t="s">
        <v>54</v>
      </c>
      <c r="AB2083" t="s">
        <v>59</v>
      </c>
      <c r="AC2083" t="s">
        <v>60</v>
      </c>
      <c r="AD2083" t="s">
        <v>51</v>
      </c>
      <c r="AE2083" t="s">
        <v>52</v>
      </c>
      <c r="AF2083" t="s">
        <v>53</v>
      </c>
      <c r="AG2083" t="s">
        <v>5594</v>
      </c>
      <c r="AK2083">
        <v>0</v>
      </c>
      <c r="AL2083" t="s">
        <v>61</v>
      </c>
      <c r="AM2083" t="s">
        <v>59</v>
      </c>
      <c r="AN2083" t="s">
        <v>62</v>
      </c>
    </row>
    <row r="2084" spans="1:40" x14ac:dyDescent="0.35">
      <c r="A2084" t="s">
        <v>37</v>
      </c>
      <c r="B2084" t="s">
        <v>8350</v>
      </c>
      <c r="C2084" t="s">
        <v>39</v>
      </c>
      <c r="D2084" t="s">
        <v>40</v>
      </c>
      <c r="E2084" t="s">
        <v>41</v>
      </c>
      <c r="F2084" s="1">
        <v>46072.598807870374</v>
      </c>
      <c r="G2084" t="s">
        <v>42</v>
      </c>
      <c r="H2084" t="s">
        <v>43</v>
      </c>
      <c r="I2084" t="s">
        <v>8351</v>
      </c>
      <c r="J2084" t="s">
        <v>45</v>
      </c>
      <c r="K2084" t="s">
        <v>46</v>
      </c>
      <c r="M2084" t="s">
        <v>47</v>
      </c>
      <c r="O2084" t="s">
        <v>48</v>
      </c>
      <c r="P2084" t="s">
        <v>49</v>
      </c>
      <c r="Q2084" t="s">
        <v>50</v>
      </c>
      <c r="R2084" t="s">
        <v>51</v>
      </c>
      <c r="S2084" t="s">
        <v>52</v>
      </c>
      <c r="T2084" t="s">
        <v>53</v>
      </c>
      <c r="U2084" s="1">
        <v>46072.599537037036</v>
      </c>
      <c r="V2084" t="s">
        <v>54</v>
      </c>
      <c r="W2084" t="s">
        <v>55</v>
      </c>
      <c r="X2084" t="s">
        <v>56</v>
      </c>
      <c r="Y2084" t="s">
        <v>57</v>
      </c>
      <c r="Z2084" t="s">
        <v>5594</v>
      </c>
      <c r="AA2084" t="s">
        <v>54</v>
      </c>
      <c r="AB2084" t="s">
        <v>59</v>
      </c>
      <c r="AC2084" t="s">
        <v>60</v>
      </c>
      <c r="AD2084" t="s">
        <v>51</v>
      </c>
      <c r="AE2084" t="s">
        <v>52</v>
      </c>
      <c r="AF2084" t="s">
        <v>53</v>
      </c>
      <c r="AG2084" t="s">
        <v>5594</v>
      </c>
      <c r="AK2084">
        <v>0</v>
      </c>
      <c r="AL2084" t="s">
        <v>61</v>
      </c>
      <c r="AM2084" t="s">
        <v>59</v>
      </c>
      <c r="AN2084" t="s">
        <v>62</v>
      </c>
    </row>
    <row r="2085" spans="1:40" x14ac:dyDescent="0.35">
      <c r="A2085" t="s">
        <v>37</v>
      </c>
      <c r="B2085" t="s">
        <v>8352</v>
      </c>
      <c r="C2085" t="s">
        <v>39</v>
      </c>
      <c r="D2085" t="s">
        <v>202</v>
      </c>
      <c r="E2085" t="s">
        <v>203</v>
      </c>
      <c r="F2085" s="1">
        <v>46072.597060185188</v>
      </c>
      <c r="G2085" t="s">
        <v>204</v>
      </c>
      <c r="H2085" t="s">
        <v>92</v>
      </c>
      <c r="I2085" t="s">
        <v>8353</v>
      </c>
      <c r="J2085" t="s">
        <v>8354</v>
      </c>
      <c r="K2085" t="s">
        <v>8355</v>
      </c>
      <c r="M2085" t="s">
        <v>131</v>
      </c>
      <c r="O2085" t="s">
        <v>77</v>
      </c>
      <c r="P2085" t="s">
        <v>78</v>
      </c>
      <c r="Q2085" t="s">
        <v>50</v>
      </c>
      <c r="R2085" t="s">
        <v>51</v>
      </c>
      <c r="S2085" t="s">
        <v>52</v>
      </c>
      <c r="T2085" t="s">
        <v>240</v>
      </c>
      <c r="U2085" s="1">
        <v>46076.3046412037</v>
      </c>
      <c r="V2085" t="s">
        <v>54</v>
      </c>
      <c r="W2085" t="s">
        <v>55</v>
      </c>
      <c r="X2085" t="s">
        <v>134</v>
      </c>
      <c r="Y2085" t="s">
        <v>8356</v>
      </c>
      <c r="Z2085" t="s">
        <v>58</v>
      </c>
      <c r="AA2085" t="s">
        <v>54</v>
      </c>
      <c r="AB2085" t="s">
        <v>612</v>
      </c>
      <c r="AC2085" t="s">
        <v>85</v>
      </c>
      <c r="AD2085" t="s">
        <v>52</v>
      </c>
      <c r="AE2085" t="s">
        <v>243</v>
      </c>
      <c r="AF2085" t="s">
        <v>1470</v>
      </c>
      <c r="AG2085" t="s">
        <v>58</v>
      </c>
      <c r="AH2085">
        <v>13874</v>
      </c>
      <c r="AK2085">
        <v>1</v>
      </c>
      <c r="AL2085" t="s">
        <v>61</v>
      </c>
      <c r="AM2085" t="s">
        <v>217</v>
      </c>
      <c r="AN2085" t="s">
        <v>218</v>
      </c>
    </row>
    <row r="2086" spans="1:40" x14ac:dyDescent="0.35">
      <c r="A2086" t="s">
        <v>37</v>
      </c>
      <c r="B2086" t="s">
        <v>8357</v>
      </c>
      <c r="C2086" t="s">
        <v>39</v>
      </c>
      <c r="D2086" t="s">
        <v>8358</v>
      </c>
      <c r="E2086" t="s">
        <v>8359</v>
      </c>
      <c r="F2086" s="1">
        <v>46072.59302083333</v>
      </c>
      <c r="G2086" t="s">
        <v>1249</v>
      </c>
      <c r="H2086" t="s">
        <v>233</v>
      </c>
      <c r="I2086" t="s">
        <v>1446</v>
      </c>
      <c r="J2086" t="s">
        <v>557</v>
      </c>
      <c r="K2086" t="s">
        <v>75</v>
      </c>
      <c r="M2086" t="s">
        <v>76</v>
      </c>
      <c r="O2086" t="s">
        <v>77</v>
      </c>
      <c r="P2086" t="s">
        <v>78</v>
      </c>
      <c r="Q2086" t="s">
        <v>50</v>
      </c>
      <c r="R2086" t="s">
        <v>305</v>
      </c>
      <c r="S2086" t="s">
        <v>306</v>
      </c>
      <c r="T2086" t="s">
        <v>307</v>
      </c>
      <c r="U2086" s="1">
        <v>46076.476168981484</v>
      </c>
      <c r="V2086" t="s">
        <v>54</v>
      </c>
      <c r="W2086" t="s">
        <v>55</v>
      </c>
      <c r="X2086" t="s">
        <v>211</v>
      </c>
      <c r="Y2086" t="s">
        <v>8360</v>
      </c>
      <c r="Z2086" t="s">
        <v>58</v>
      </c>
      <c r="AA2086" t="s">
        <v>54</v>
      </c>
      <c r="AB2086" t="s">
        <v>213</v>
      </c>
      <c r="AC2086" t="s">
        <v>85</v>
      </c>
      <c r="AD2086" t="s">
        <v>79</v>
      </c>
      <c r="AE2086" t="s">
        <v>1016</v>
      </c>
      <c r="AF2086" t="s">
        <v>4181</v>
      </c>
      <c r="AG2086" t="s">
        <v>58</v>
      </c>
      <c r="AH2086">
        <v>15947</v>
      </c>
      <c r="AK2086">
        <v>6</v>
      </c>
      <c r="AL2086" t="s">
        <v>61</v>
      </c>
      <c r="AM2086" t="s">
        <v>8361</v>
      </c>
      <c r="AN2086" t="s">
        <v>8362</v>
      </c>
    </row>
    <row r="2087" spans="1:40" x14ac:dyDescent="0.35">
      <c r="A2087" t="s">
        <v>37</v>
      </c>
      <c r="B2087" t="s">
        <v>8363</v>
      </c>
      <c r="C2087" t="s">
        <v>39</v>
      </c>
      <c r="D2087" t="s">
        <v>40</v>
      </c>
      <c r="E2087" t="s">
        <v>41</v>
      </c>
      <c r="F2087" s="1">
        <v>46072.591168981482</v>
      </c>
      <c r="G2087" t="s">
        <v>42</v>
      </c>
      <c r="H2087" t="s">
        <v>43</v>
      </c>
      <c r="I2087" t="s">
        <v>8364</v>
      </c>
      <c r="J2087" t="s">
        <v>45</v>
      </c>
      <c r="K2087" t="s">
        <v>46</v>
      </c>
      <c r="M2087" t="s">
        <v>47</v>
      </c>
      <c r="O2087" t="s">
        <v>48</v>
      </c>
      <c r="P2087" t="s">
        <v>49</v>
      </c>
      <c r="Q2087" t="s">
        <v>50</v>
      </c>
      <c r="R2087" t="s">
        <v>51</v>
      </c>
      <c r="S2087" t="s">
        <v>52</v>
      </c>
      <c r="T2087" t="s">
        <v>53</v>
      </c>
      <c r="U2087" s="1">
        <v>46072.592013888891</v>
      </c>
      <c r="V2087" t="s">
        <v>54</v>
      </c>
      <c r="W2087" t="s">
        <v>55</v>
      </c>
      <c r="X2087" t="s">
        <v>56</v>
      </c>
      <c r="Y2087" t="s">
        <v>65</v>
      </c>
      <c r="Z2087" t="s">
        <v>5594</v>
      </c>
      <c r="AA2087" t="s">
        <v>54</v>
      </c>
      <c r="AB2087" t="s">
        <v>59</v>
      </c>
      <c r="AC2087" t="s">
        <v>60</v>
      </c>
      <c r="AD2087" t="s">
        <v>51</v>
      </c>
      <c r="AE2087" t="s">
        <v>52</v>
      </c>
      <c r="AF2087" t="s">
        <v>53</v>
      </c>
      <c r="AG2087" t="s">
        <v>5594</v>
      </c>
      <c r="AK2087">
        <v>0</v>
      </c>
      <c r="AL2087" t="s">
        <v>61</v>
      </c>
      <c r="AM2087" t="s">
        <v>59</v>
      </c>
      <c r="AN2087" t="s">
        <v>62</v>
      </c>
    </row>
    <row r="2088" spans="1:40" x14ac:dyDescent="0.35">
      <c r="A2088" t="s">
        <v>37</v>
      </c>
      <c r="B2088" t="s">
        <v>8365</v>
      </c>
      <c r="C2088" t="s">
        <v>39</v>
      </c>
      <c r="D2088" t="s">
        <v>191</v>
      </c>
      <c r="E2088" t="s">
        <v>192</v>
      </c>
      <c r="F2088" s="1">
        <v>46072.584629629629</v>
      </c>
      <c r="G2088" t="s">
        <v>71</v>
      </c>
      <c r="H2088" t="s">
        <v>72</v>
      </c>
      <c r="I2088" t="s">
        <v>8366</v>
      </c>
      <c r="J2088" t="s">
        <v>194</v>
      </c>
      <c r="K2088" t="s">
        <v>565</v>
      </c>
      <c r="M2088" t="s">
        <v>47</v>
      </c>
      <c r="O2088" t="s">
        <v>77</v>
      </c>
      <c r="P2088" t="s">
        <v>78</v>
      </c>
      <c r="Q2088" t="s">
        <v>50</v>
      </c>
      <c r="R2088" t="s">
        <v>51</v>
      </c>
      <c r="S2088" t="s">
        <v>52</v>
      </c>
      <c r="T2088" t="s">
        <v>195</v>
      </c>
      <c r="U2088" s="1">
        <v>46072.642500000002</v>
      </c>
      <c r="V2088" t="s">
        <v>54</v>
      </c>
      <c r="W2088" t="s">
        <v>55</v>
      </c>
      <c r="X2088" t="s">
        <v>134</v>
      </c>
      <c r="Y2088" t="s">
        <v>8367</v>
      </c>
      <c r="Z2088" t="s">
        <v>5594</v>
      </c>
      <c r="AA2088" t="s">
        <v>54</v>
      </c>
      <c r="AB2088" t="s">
        <v>198</v>
      </c>
      <c r="AC2088" t="s">
        <v>85</v>
      </c>
      <c r="AD2088" t="s">
        <v>51</v>
      </c>
      <c r="AE2088" t="s">
        <v>52</v>
      </c>
      <c r="AF2088" t="s">
        <v>195</v>
      </c>
      <c r="AG2088" t="s">
        <v>5594</v>
      </c>
      <c r="AH2088" t="s">
        <v>199</v>
      </c>
      <c r="AK2088">
        <v>1</v>
      </c>
      <c r="AL2088" t="s">
        <v>61</v>
      </c>
      <c r="AM2088" t="s">
        <v>198</v>
      </c>
      <c r="AN2088" t="s">
        <v>200</v>
      </c>
    </row>
    <row r="2089" spans="1:40" x14ac:dyDescent="0.35">
      <c r="A2089" t="s">
        <v>37</v>
      </c>
      <c r="B2089" t="s">
        <v>8368</v>
      </c>
      <c r="C2089" t="s">
        <v>39</v>
      </c>
      <c r="D2089" t="s">
        <v>303</v>
      </c>
      <c r="E2089" t="s">
        <v>8369</v>
      </c>
      <c r="F2089" s="1">
        <v>46072.583506944444</v>
      </c>
      <c r="G2089" t="s">
        <v>2015</v>
      </c>
      <c r="H2089" t="s">
        <v>447</v>
      </c>
      <c r="I2089" t="s">
        <v>1078</v>
      </c>
      <c r="J2089" t="s">
        <v>557</v>
      </c>
      <c r="K2089" t="s">
        <v>75</v>
      </c>
      <c r="M2089" t="s">
        <v>47</v>
      </c>
      <c r="O2089" t="s">
        <v>77</v>
      </c>
      <c r="P2089" t="s">
        <v>78</v>
      </c>
      <c r="R2089" t="s">
        <v>79</v>
      </c>
      <c r="S2089" t="s">
        <v>1078</v>
      </c>
      <c r="T2089" t="s">
        <v>1078</v>
      </c>
      <c r="U2089" s="1">
        <v>46072.6252662037</v>
      </c>
      <c r="V2089" t="s">
        <v>54</v>
      </c>
      <c r="W2089" t="s">
        <v>55</v>
      </c>
      <c r="X2089" t="s">
        <v>82</v>
      </c>
      <c r="Y2089" t="s">
        <v>8282</v>
      </c>
      <c r="Z2089" t="s">
        <v>5594</v>
      </c>
      <c r="AA2089" t="s">
        <v>54</v>
      </c>
      <c r="AB2089" t="s">
        <v>645</v>
      </c>
      <c r="AC2089" t="s">
        <v>85</v>
      </c>
      <c r="AD2089" t="s">
        <v>79</v>
      </c>
      <c r="AE2089" t="s">
        <v>1078</v>
      </c>
      <c r="AF2089" t="s">
        <v>1078</v>
      </c>
      <c r="AG2089" t="s">
        <v>5594</v>
      </c>
      <c r="AH2089">
        <v>6353</v>
      </c>
      <c r="AK2089">
        <v>0</v>
      </c>
      <c r="AL2089" t="s">
        <v>61</v>
      </c>
      <c r="AM2089" t="s">
        <v>8370</v>
      </c>
      <c r="AN2089" t="s">
        <v>8371</v>
      </c>
    </row>
    <row r="2090" spans="1:40" x14ac:dyDescent="0.35">
      <c r="A2090" t="s">
        <v>37</v>
      </c>
      <c r="B2090" t="s">
        <v>8372</v>
      </c>
      <c r="C2090" t="s">
        <v>39</v>
      </c>
      <c r="D2090" t="s">
        <v>2341</v>
      </c>
      <c r="E2090" t="s">
        <v>2342</v>
      </c>
      <c r="F2090" s="1">
        <v>46072.578668981485</v>
      </c>
      <c r="G2090" t="s">
        <v>105</v>
      </c>
      <c r="H2090" t="s">
        <v>106</v>
      </c>
      <c r="I2090" t="s">
        <v>8373</v>
      </c>
      <c r="J2090" t="s">
        <v>2344</v>
      </c>
      <c r="K2090" t="s">
        <v>2345</v>
      </c>
      <c r="M2090" t="s">
        <v>47</v>
      </c>
      <c r="O2090" t="s">
        <v>237</v>
      </c>
      <c r="P2090" t="s">
        <v>238</v>
      </c>
      <c r="Q2090" t="s">
        <v>50</v>
      </c>
      <c r="R2090" t="s">
        <v>111</v>
      </c>
      <c r="S2090" t="s">
        <v>2346</v>
      </c>
      <c r="T2090" t="s">
        <v>2347</v>
      </c>
      <c r="U2090" s="1">
        <v>46072.579050925924</v>
      </c>
      <c r="V2090" t="s">
        <v>54</v>
      </c>
      <c r="W2090" t="s">
        <v>55</v>
      </c>
      <c r="X2090" t="s">
        <v>134</v>
      </c>
      <c r="Y2090" t="s">
        <v>8374</v>
      </c>
      <c r="Z2090" t="s">
        <v>5594</v>
      </c>
      <c r="AA2090" t="s">
        <v>54</v>
      </c>
      <c r="AB2090" t="s">
        <v>2349</v>
      </c>
      <c r="AC2090" t="s">
        <v>242</v>
      </c>
      <c r="AD2090" t="s">
        <v>2350</v>
      </c>
      <c r="AE2090" t="s">
        <v>2351</v>
      </c>
      <c r="AF2090" t="s">
        <v>2352</v>
      </c>
      <c r="AG2090" t="s">
        <v>5594</v>
      </c>
      <c r="AH2090">
        <v>15148</v>
      </c>
      <c r="AK2090">
        <v>0</v>
      </c>
      <c r="AL2090" t="s">
        <v>61</v>
      </c>
      <c r="AM2090" t="s">
        <v>2353</v>
      </c>
      <c r="AN2090" t="s">
        <v>2354</v>
      </c>
    </row>
    <row r="2091" spans="1:40" x14ac:dyDescent="0.35">
      <c r="A2091" t="s">
        <v>37</v>
      </c>
      <c r="B2091" t="s">
        <v>8375</v>
      </c>
      <c r="C2091" t="s">
        <v>39</v>
      </c>
      <c r="D2091" t="s">
        <v>277</v>
      </c>
      <c r="E2091" t="s">
        <v>2372</v>
      </c>
      <c r="F2091" s="1">
        <v>46072.577719907407</v>
      </c>
      <c r="G2091" t="s">
        <v>105</v>
      </c>
      <c r="H2091" t="s">
        <v>106</v>
      </c>
      <c r="I2091" t="s">
        <v>8376</v>
      </c>
      <c r="J2091" t="s">
        <v>2344</v>
      </c>
      <c r="K2091" t="s">
        <v>2345</v>
      </c>
      <c r="M2091" t="s">
        <v>47</v>
      </c>
      <c r="O2091" t="s">
        <v>237</v>
      </c>
      <c r="P2091" t="s">
        <v>238</v>
      </c>
      <c r="Q2091" t="s">
        <v>110</v>
      </c>
      <c r="R2091" t="s">
        <v>111</v>
      </c>
      <c r="S2091" t="s">
        <v>2346</v>
      </c>
      <c r="T2091" t="s">
        <v>2347</v>
      </c>
      <c r="U2091" s="1">
        <v>46072.578009259261</v>
      </c>
      <c r="V2091" t="s">
        <v>54</v>
      </c>
      <c r="W2091" t="s">
        <v>55</v>
      </c>
      <c r="X2091" t="s">
        <v>134</v>
      </c>
      <c r="Y2091" t="s">
        <v>8377</v>
      </c>
      <c r="Z2091" t="s">
        <v>5594</v>
      </c>
      <c r="AA2091" t="s">
        <v>54</v>
      </c>
      <c r="AB2091" t="s">
        <v>2349</v>
      </c>
      <c r="AC2091" t="s">
        <v>242</v>
      </c>
      <c r="AD2091" t="s">
        <v>2350</v>
      </c>
      <c r="AE2091" t="s">
        <v>2351</v>
      </c>
      <c r="AF2091" t="s">
        <v>2352</v>
      </c>
      <c r="AG2091" t="s">
        <v>5594</v>
      </c>
      <c r="AH2091">
        <v>10352</v>
      </c>
      <c r="AK2091">
        <v>0</v>
      </c>
      <c r="AL2091" t="s">
        <v>61</v>
      </c>
      <c r="AM2091" t="s">
        <v>2375</v>
      </c>
      <c r="AN2091" t="s">
        <v>2376</v>
      </c>
    </row>
    <row r="2092" spans="1:40" x14ac:dyDescent="0.35">
      <c r="A2092" t="s">
        <v>37</v>
      </c>
      <c r="B2092" t="s">
        <v>8378</v>
      </c>
      <c r="C2092" t="s">
        <v>102</v>
      </c>
      <c r="D2092" t="s">
        <v>284</v>
      </c>
      <c r="E2092" t="s">
        <v>285</v>
      </c>
      <c r="F2092" s="1">
        <v>46072.578877314816</v>
      </c>
      <c r="G2092" t="s">
        <v>286</v>
      </c>
      <c r="H2092" t="s">
        <v>287</v>
      </c>
      <c r="I2092" t="s">
        <v>8379</v>
      </c>
      <c r="J2092" t="s">
        <v>289</v>
      </c>
      <c r="K2092" t="s">
        <v>565</v>
      </c>
      <c r="M2092" t="s">
        <v>47</v>
      </c>
      <c r="O2092" t="s">
        <v>77</v>
      </c>
      <c r="P2092" t="s">
        <v>78</v>
      </c>
      <c r="Q2092" t="s">
        <v>50</v>
      </c>
      <c r="R2092" t="s">
        <v>132</v>
      </c>
      <c r="S2092" t="s">
        <v>133</v>
      </c>
      <c r="T2092" t="s">
        <v>133</v>
      </c>
      <c r="U2092" s="1">
        <v>46072.639270833337</v>
      </c>
      <c r="V2092" t="s">
        <v>54</v>
      </c>
      <c r="W2092" t="s">
        <v>55</v>
      </c>
      <c r="X2092" t="s">
        <v>134</v>
      </c>
      <c r="Y2092" t="s">
        <v>8380</v>
      </c>
      <c r="Z2092" t="s">
        <v>5594</v>
      </c>
      <c r="AA2092" t="s">
        <v>54</v>
      </c>
      <c r="AB2092" t="s">
        <v>291</v>
      </c>
      <c r="AC2092" t="s">
        <v>85</v>
      </c>
      <c r="AD2092" t="s">
        <v>132</v>
      </c>
      <c r="AE2092" t="s">
        <v>133</v>
      </c>
      <c r="AF2092" t="s">
        <v>133</v>
      </c>
      <c r="AG2092" t="s">
        <v>5594</v>
      </c>
      <c r="AH2092" t="s">
        <v>292</v>
      </c>
      <c r="AK2092">
        <v>1</v>
      </c>
      <c r="AL2092" t="s">
        <v>61</v>
      </c>
      <c r="AM2092" t="s">
        <v>291</v>
      </c>
      <c r="AN2092" t="s">
        <v>293</v>
      </c>
    </row>
    <row r="2093" spans="1:40" x14ac:dyDescent="0.35">
      <c r="A2093" t="s">
        <v>37</v>
      </c>
      <c r="B2093" t="s">
        <v>8381</v>
      </c>
      <c r="C2093" t="s">
        <v>39</v>
      </c>
      <c r="D2093" t="s">
        <v>277</v>
      </c>
      <c r="E2093" t="s">
        <v>2372</v>
      </c>
      <c r="F2093" s="1">
        <v>46072.575497685182</v>
      </c>
      <c r="G2093" t="s">
        <v>105</v>
      </c>
      <c r="H2093" t="s">
        <v>106</v>
      </c>
      <c r="I2093" t="s">
        <v>8382</v>
      </c>
      <c r="J2093" t="s">
        <v>2344</v>
      </c>
      <c r="K2093" t="s">
        <v>2345</v>
      </c>
      <c r="M2093" t="s">
        <v>47</v>
      </c>
      <c r="O2093" t="s">
        <v>237</v>
      </c>
      <c r="P2093" t="s">
        <v>238</v>
      </c>
      <c r="Q2093" t="s">
        <v>110</v>
      </c>
      <c r="R2093" t="s">
        <v>111</v>
      </c>
      <c r="S2093" t="s">
        <v>2346</v>
      </c>
      <c r="T2093" t="s">
        <v>3998</v>
      </c>
      <c r="U2093" s="1">
        <v>46072.576828703706</v>
      </c>
      <c r="V2093" t="s">
        <v>54</v>
      </c>
      <c r="W2093" t="s">
        <v>55</v>
      </c>
      <c r="X2093" t="s">
        <v>134</v>
      </c>
      <c r="Y2093" t="s">
        <v>8383</v>
      </c>
      <c r="Z2093" t="s">
        <v>5594</v>
      </c>
      <c r="AA2093" t="s">
        <v>54</v>
      </c>
      <c r="AB2093" t="s">
        <v>2349</v>
      </c>
      <c r="AC2093" t="s">
        <v>242</v>
      </c>
      <c r="AD2093" t="s">
        <v>2350</v>
      </c>
      <c r="AE2093" t="s">
        <v>2351</v>
      </c>
      <c r="AF2093" t="s">
        <v>2352</v>
      </c>
      <c r="AG2093" t="s">
        <v>5594</v>
      </c>
      <c r="AH2093">
        <v>10352</v>
      </c>
      <c r="AK2093">
        <v>0</v>
      </c>
      <c r="AL2093" t="s">
        <v>61</v>
      </c>
      <c r="AM2093" t="s">
        <v>2375</v>
      </c>
      <c r="AN2093" t="s">
        <v>2376</v>
      </c>
    </row>
    <row r="2094" spans="1:40" x14ac:dyDescent="0.35">
      <c r="A2094" t="s">
        <v>37</v>
      </c>
      <c r="B2094" t="s">
        <v>8384</v>
      </c>
      <c r="C2094" t="s">
        <v>39</v>
      </c>
      <c r="D2094" t="s">
        <v>400</v>
      </c>
      <c r="E2094" t="s">
        <v>401</v>
      </c>
      <c r="F2094" s="1">
        <v>46072.574733796297</v>
      </c>
      <c r="G2094" t="s">
        <v>402</v>
      </c>
      <c r="H2094" t="s">
        <v>72</v>
      </c>
      <c r="I2094" t="s">
        <v>403</v>
      </c>
      <c r="J2094" t="s">
        <v>404</v>
      </c>
      <c r="K2094" t="s">
        <v>405</v>
      </c>
      <c r="M2094" t="s">
        <v>76</v>
      </c>
      <c r="O2094" t="s">
        <v>77</v>
      </c>
      <c r="P2094" t="s">
        <v>78</v>
      </c>
      <c r="Q2094" t="s">
        <v>406</v>
      </c>
      <c r="R2094" t="s">
        <v>51</v>
      </c>
      <c r="S2094" t="s">
        <v>52</v>
      </c>
      <c r="T2094" t="s">
        <v>240</v>
      </c>
      <c r="U2094" s="1">
        <v>46076.532870370371</v>
      </c>
      <c r="V2094" t="s">
        <v>54</v>
      </c>
      <c r="W2094" t="s">
        <v>55</v>
      </c>
      <c r="X2094" t="s">
        <v>134</v>
      </c>
      <c r="Y2094" t="s">
        <v>8385</v>
      </c>
      <c r="Z2094" t="s">
        <v>58</v>
      </c>
      <c r="AA2094" t="s">
        <v>54</v>
      </c>
      <c r="AB2094" t="s">
        <v>408</v>
      </c>
      <c r="AC2094" t="s">
        <v>85</v>
      </c>
      <c r="AD2094" t="s">
        <v>52</v>
      </c>
      <c r="AE2094" t="s">
        <v>243</v>
      </c>
      <c r="AF2094" t="s">
        <v>244</v>
      </c>
      <c r="AG2094" t="s">
        <v>58</v>
      </c>
      <c r="AH2094">
        <v>3008</v>
      </c>
      <c r="AK2094">
        <v>1</v>
      </c>
      <c r="AL2094" t="s">
        <v>410</v>
      </c>
      <c r="AM2094" t="s">
        <v>411</v>
      </c>
      <c r="AN2094" t="s">
        <v>412</v>
      </c>
    </row>
    <row r="2095" spans="1:40" x14ac:dyDescent="0.35">
      <c r="A2095" t="s">
        <v>37</v>
      </c>
      <c r="B2095" t="s">
        <v>8386</v>
      </c>
      <c r="C2095" t="s">
        <v>102</v>
      </c>
      <c r="D2095" t="s">
        <v>3106</v>
      </c>
      <c r="E2095" t="s">
        <v>3107</v>
      </c>
      <c r="F2095" s="1">
        <v>46072.572812500002</v>
      </c>
      <c r="G2095" t="s">
        <v>105</v>
      </c>
      <c r="H2095" t="s">
        <v>106</v>
      </c>
      <c r="I2095" t="s">
        <v>1571</v>
      </c>
      <c r="J2095" t="s">
        <v>108</v>
      </c>
      <c r="K2095" t="s">
        <v>571</v>
      </c>
      <c r="M2095" t="s">
        <v>47</v>
      </c>
      <c r="O2095" t="s">
        <v>77</v>
      </c>
      <c r="P2095" t="s">
        <v>78</v>
      </c>
      <c r="Q2095" t="s">
        <v>50</v>
      </c>
      <c r="R2095" t="s">
        <v>111</v>
      </c>
      <c r="S2095" t="s">
        <v>51</v>
      </c>
      <c r="T2095" t="s">
        <v>112</v>
      </c>
      <c r="U2095" s="1">
        <v>46073.059942129628</v>
      </c>
      <c r="V2095" t="s">
        <v>54</v>
      </c>
      <c r="W2095" t="s">
        <v>55</v>
      </c>
      <c r="X2095" t="s">
        <v>113</v>
      </c>
      <c r="Y2095" t="s">
        <v>8387</v>
      </c>
      <c r="Z2095" t="s">
        <v>5594</v>
      </c>
      <c r="AA2095" t="s">
        <v>54</v>
      </c>
      <c r="AB2095" t="s">
        <v>115</v>
      </c>
      <c r="AC2095" t="s">
        <v>85</v>
      </c>
      <c r="AD2095" t="s">
        <v>116</v>
      </c>
      <c r="AE2095" t="s">
        <v>1541</v>
      </c>
      <c r="AF2095" t="s">
        <v>1569</v>
      </c>
      <c r="AG2095" t="s">
        <v>5594</v>
      </c>
      <c r="AH2095" t="s">
        <v>3111</v>
      </c>
      <c r="AK2095">
        <v>1</v>
      </c>
      <c r="AL2095" t="s">
        <v>61</v>
      </c>
      <c r="AM2095" t="s">
        <v>3112</v>
      </c>
      <c r="AN2095" t="s">
        <v>3113</v>
      </c>
    </row>
    <row r="2096" spans="1:40" x14ac:dyDescent="0.35">
      <c r="A2096" t="s">
        <v>37</v>
      </c>
      <c r="B2096" t="s">
        <v>8388</v>
      </c>
      <c r="C2096" t="s">
        <v>656</v>
      </c>
      <c r="D2096" t="s">
        <v>4191</v>
      </c>
      <c r="E2096" t="s">
        <v>4192</v>
      </c>
      <c r="F2096" s="1">
        <v>46072.569571759261</v>
      </c>
      <c r="G2096" t="s">
        <v>42</v>
      </c>
      <c r="H2096" t="s">
        <v>43</v>
      </c>
      <c r="I2096" t="s">
        <v>3776</v>
      </c>
      <c r="J2096" t="s">
        <v>7842</v>
      </c>
      <c r="K2096" t="s">
        <v>2551</v>
      </c>
      <c r="M2096" t="s">
        <v>47</v>
      </c>
      <c r="O2096" t="s">
        <v>77</v>
      </c>
      <c r="P2096" t="s">
        <v>78</v>
      </c>
      <c r="Q2096" t="s">
        <v>50</v>
      </c>
      <c r="R2096" t="s">
        <v>662</v>
      </c>
      <c r="S2096" t="s">
        <v>209</v>
      </c>
      <c r="T2096" t="s">
        <v>8389</v>
      </c>
      <c r="U2096" s="1">
        <v>46075.998553240737</v>
      </c>
      <c r="V2096" t="s">
        <v>54</v>
      </c>
      <c r="W2096" t="s">
        <v>55</v>
      </c>
      <c r="X2096" t="s">
        <v>134</v>
      </c>
      <c r="Y2096" t="s">
        <v>8390</v>
      </c>
      <c r="Z2096" t="s">
        <v>5594</v>
      </c>
      <c r="AA2096" t="s">
        <v>54</v>
      </c>
      <c r="AB2096" t="s">
        <v>612</v>
      </c>
      <c r="AC2096" t="s">
        <v>85</v>
      </c>
      <c r="AD2096" t="s">
        <v>208</v>
      </c>
      <c r="AE2096" t="s">
        <v>209</v>
      </c>
      <c r="AF2096" t="s">
        <v>3776</v>
      </c>
      <c r="AG2096" t="s">
        <v>5594</v>
      </c>
      <c r="AH2096" t="s">
        <v>4193</v>
      </c>
      <c r="AK2096">
        <v>1</v>
      </c>
      <c r="AL2096" t="s">
        <v>61</v>
      </c>
      <c r="AM2096" t="s">
        <v>4194</v>
      </c>
      <c r="AN2096" t="s">
        <v>4195</v>
      </c>
    </row>
    <row r="2097" spans="1:40" x14ac:dyDescent="0.35">
      <c r="A2097" t="s">
        <v>37</v>
      </c>
      <c r="B2097" t="s">
        <v>8391</v>
      </c>
      <c r="C2097" t="s">
        <v>102</v>
      </c>
      <c r="D2097" t="s">
        <v>481</v>
      </c>
      <c r="E2097" t="s">
        <v>4373</v>
      </c>
      <c r="F2097" s="1">
        <v>46072.569178240738</v>
      </c>
      <c r="G2097" t="s">
        <v>4421</v>
      </c>
      <c r="H2097" t="s">
        <v>92</v>
      </c>
      <c r="I2097" t="s">
        <v>8392</v>
      </c>
      <c r="J2097" t="s">
        <v>3036</v>
      </c>
      <c r="K2097" t="s">
        <v>3037</v>
      </c>
      <c r="M2097" t="s">
        <v>47</v>
      </c>
      <c r="O2097" t="s">
        <v>237</v>
      </c>
      <c r="P2097" t="s">
        <v>238</v>
      </c>
      <c r="Q2097" t="s">
        <v>50</v>
      </c>
      <c r="R2097" t="s">
        <v>51</v>
      </c>
      <c r="S2097" t="s">
        <v>52</v>
      </c>
      <c r="T2097" t="s">
        <v>240</v>
      </c>
      <c r="U2097" s="1">
        <v>46072.707731481481</v>
      </c>
      <c r="V2097" t="s">
        <v>54</v>
      </c>
      <c r="W2097" t="s">
        <v>55</v>
      </c>
      <c r="X2097" t="s">
        <v>134</v>
      </c>
      <c r="Y2097" t="s">
        <v>8393</v>
      </c>
      <c r="Z2097" t="s">
        <v>5594</v>
      </c>
      <c r="AA2097" t="s">
        <v>54</v>
      </c>
      <c r="AB2097" t="s">
        <v>458</v>
      </c>
      <c r="AC2097" t="s">
        <v>242</v>
      </c>
      <c r="AD2097" t="s">
        <v>52</v>
      </c>
      <c r="AE2097" t="s">
        <v>243</v>
      </c>
      <c r="AF2097" t="s">
        <v>2533</v>
      </c>
      <c r="AG2097" t="s">
        <v>5594</v>
      </c>
      <c r="AH2097">
        <v>15915</v>
      </c>
      <c r="AK2097">
        <v>1</v>
      </c>
      <c r="AL2097" t="s">
        <v>61</v>
      </c>
      <c r="AM2097" t="s">
        <v>4438</v>
      </c>
      <c r="AN2097" t="s">
        <v>4439</v>
      </c>
    </row>
    <row r="2098" spans="1:40" x14ac:dyDescent="0.35">
      <c r="A2098" t="s">
        <v>37</v>
      </c>
      <c r="B2098" t="s">
        <v>8394</v>
      </c>
      <c r="C2098" t="s">
        <v>102</v>
      </c>
      <c r="D2098" t="s">
        <v>4311</v>
      </c>
      <c r="E2098" t="s">
        <v>8395</v>
      </c>
      <c r="F2098" s="1">
        <v>46072.567152777781</v>
      </c>
      <c r="G2098" t="s">
        <v>597</v>
      </c>
      <c r="H2098" t="s">
        <v>287</v>
      </c>
      <c r="I2098" t="s">
        <v>8396</v>
      </c>
      <c r="J2098" t="s">
        <v>235</v>
      </c>
      <c r="K2098" t="s">
        <v>236</v>
      </c>
      <c r="M2098" t="s">
        <v>47</v>
      </c>
      <c r="O2098" t="s">
        <v>237</v>
      </c>
      <c r="P2098" t="s">
        <v>238</v>
      </c>
      <c r="Q2098" t="s">
        <v>541</v>
      </c>
      <c r="R2098" t="s">
        <v>51</v>
      </c>
      <c r="S2098" t="s">
        <v>52</v>
      </c>
      <c r="T2098" t="s">
        <v>240</v>
      </c>
      <c r="U2098" s="1">
        <v>46072.797662037039</v>
      </c>
      <c r="V2098" t="s">
        <v>54</v>
      </c>
      <c r="W2098" t="s">
        <v>55</v>
      </c>
      <c r="X2098" t="s">
        <v>211</v>
      </c>
      <c r="Y2098" t="s">
        <v>8397</v>
      </c>
      <c r="Z2098" t="s">
        <v>5594</v>
      </c>
      <c r="AA2098" t="s">
        <v>54</v>
      </c>
      <c r="AB2098" t="s">
        <v>213</v>
      </c>
      <c r="AC2098" t="s">
        <v>242</v>
      </c>
      <c r="AD2098" t="s">
        <v>52</v>
      </c>
      <c r="AE2098" t="s">
        <v>243</v>
      </c>
      <c r="AF2098" t="s">
        <v>244</v>
      </c>
      <c r="AG2098" t="s">
        <v>5594</v>
      </c>
      <c r="AH2098">
        <v>3556</v>
      </c>
      <c r="AK2098">
        <v>1</v>
      </c>
      <c r="AL2098" t="s">
        <v>61</v>
      </c>
      <c r="AM2098" t="s">
        <v>8398</v>
      </c>
      <c r="AN2098" t="s">
        <v>8399</v>
      </c>
    </row>
    <row r="2099" spans="1:40" x14ac:dyDescent="0.35">
      <c r="A2099" t="s">
        <v>37</v>
      </c>
      <c r="B2099" t="s">
        <v>8400</v>
      </c>
      <c r="C2099" t="s">
        <v>39</v>
      </c>
      <c r="D2099" t="s">
        <v>7445</v>
      </c>
      <c r="E2099" t="s">
        <v>1316</v>
      </c>
      <c r="F2099" s="1">
        <v>46072.567129629628</v>
      </c>
      <c r="G2099" t="s">
        <v>286</v>
      </c>
      <c r="H2099" t="s">
        <v>287</v>
      </c>
      <c r="I2099" t="s">
        <v>8401</v>
      </c>
      <c r="J2099" t="s">
        <v>7447</v>
      </c>
      <c r="K2099" t="s">
        <v>7448</v>
      </c>
      <c r="M2099" t="s">
        <v>131</v>
      </c>
      <c r="O2099" t="s">
        <v>77</v>
      </c>
      <c r="P2099" t="s">
        <v>78</v>
      </c>
      <c r="Q2099" t="s">
        <v>50</v>
      </c>
      <c r="R2099" t="s">
        <v>51</v>
      </c>
      <c r="S2099" t="s">
        <v>52</v>
      </c>
      <c r="T2099" t="s">
        <v>240</v>
      </c>
      <c r="U2099" s="1">
        <v>46078.399560185186</v>
      </c>
      <c r="V2099" t="s">
        <v>54</v>
      </c>
      <c r="W2099" t="s">
        <v>55</v>
      </c>
      <c r="X2099" t="s">
        <v>134</v>
      </c>
      <c r="Y2099" t="s">
        <v>8402</v>
      </c>
      <c r="Z2099" t="s">
        <v>58</v>
      </c>
      <c r="AA2099" t="s">
        <v>54</v>
      </c>
      <c r="AB2099" t="s">
        <v>7450</v>
      </c>
      <c r="AC2099" t="s">
        <v>85</v>
      </c>
      <c r="AD2099" t="s">
        <v>51</v>
      </c>
      <c r="AE2099" t="s">
        <v>195</v>
      </c>
      <c r="AF2099" t="s">
        <v>195</v>
      </c>
      <c r="AG2099" t="s">
        <v>58</v>
      </c>
      <c r="AK2099">
        <v>0</v>
      </c>
      <c r="AL2099" t="s">
        <v>61</v>
      </c>
      <c r="AM2099" t="s">
        <v>7451</v>
      </c>
      <c r="AN2099" t="s">
        <v>7452</v>
      </c>
    </row>
    <row r="2100" spans="1:40" x14ac:dyDescent="0.35">
      <c r="A2100" t="s">
        <v>37</v>
      </c>
      <c r="B2100" t="s">
        <v>8403</v>
      </c>
      <c r="C2100" t="s">
        <v>656</v>
      </c>
      <c r="D2100" t="s">
        <v>2044</v>
      </c>
      <c r="E2100" t="s">
        <v>303</v>
      </c>
      <c r="F2100" s="1">
        <v>46072.567060185182</v>
      </c>
      <c r="G2100" t="s">
        <v>232</v>
      </c>
      <c r="H2100" t="s">
        <v>233</v>
      </c>
      <c r="I2100" t="s">
        <v>3776</v>
      </c>
      <c r="J2100" t="s">
        <v>2550</v>
      </c>
      <c r="K2100" t="s">
        <v>2551</v>
      </c>
      <c r="M2100" t="s">
        <v>131</v>
      </c>
      <c r="O2100" t="s">
        <v>77</v>
      </c>
      <c r="P2100" t="s">
        <v>78</v>
      </c>
      <c r="Q2100" t="s">
        <v>50</v>
      </c>
      <c r="R2100" t="s">
        <v>208</v>
      </c>
      <c r="S2100" t="s">
        <v>209</v>
      </c>
      <c r="T2100" t="s">
        <v>3776</v>
      </c>
      <c r="U2100" s="1">
        <v>46076.358171296299</v>
      </c>
      <c r="V2100" t="s">
        <v>54</v>
      </c>
      <c r="W2100" t="s">
        <v>55</v>
      </c>
      <c r="X2100" t="s">
        <v>134</v>
      </c>
      <c r="Y2100" t="s">
        <v>3777</v>
      </c>
      <c r="Z2100" t="s">
        <v>58</v>
      </c>
      <c r="AA2100" t="s">
        <v>54</v>
      </c>
      <c r="AB2100" t="s">
        <v>612</v>
      </c>
      <c r="AC2100" t="s">
        <v>85</v>
      </c>
      <c r="AD2100" t="s">
        <v>208</v>
      </c>
      <c r="AE2100" t="s">
        <v>209</v>
      </c>
      <c r="AF2100" t="s">
        <v>3776</v>
      </c>
      <c r="AG2100" t="s">
        <v>58</v>
      </c>
      <c r="AH2100">
        <v>15313</v>
      </c>
      <c r="AK2100">
        <v>1</v>
      </c>
      <c r="AL2100" t="s">
        <v>61</v>
      </c>
      <c r="AM2100" t="s">
        <v>2046</v>
      </c>
      <c r="AN2100" t="s">
        <v>2047</v>
      </c>
    </row>
    <row r="2101" spans="1:40" x14ac:dyDescent="0.35">
      <c r="A2101" t="s">
        <v>37</v>
      </c>
      <c r="B2101" t="s">
        <v>8404</v>
      </c>
      <c r="C2101" t="s">
        <v>39</v>
      </c>
      <c r="D2101" t="s">
        <v>5755</v>
      </c>
      <c r="E2101" t="s">
        <v>8405</v>
      </c>
      <c r="F2101" s="1">
        <v>46072.564675925925</v>
      </c>
      <c r="G2101" t="s">
        <v>793</v>
      </c>
      <c r="H2101" t="s">
        <v>356</v>
      </c>
      <c r="I2101" t="s">
        <v>2949</v>
      </c>
      <c r="J2101" t="s">
        <v>4338</v>
      </c>
      <c r="K2101" t="s">
        <v>405</v>
      </c>
      <c r="M2101" t="s">
        <v>76</v>
      </c>
      <c r="O2101" t="s">
        <v>77</v>
      </c>
      <c r="P2101" t="s">
        <v>78</v>
      </c>
      <c r="Q2101" t="s">
        <v>50</v>
      </c>
      <c r="R2101" t="s">
        <v>51</v>
      </c>
      <c r="S2101" t="s">
        <v>52</v>
      </c>
      <c r="T2101" t="s">
        <v>240</v>
      </c>
      <c r="U2101" s="1">
        <v>46076.296018518522</v>
      </c>
      <c r="V2101" t="s">
        <v>54</v>
      </c>
      <c r="W2101" t="s">
        <v>55</v>
      </c>
      <c r="X2101" t="s">
        <v>82</v>
      </c>
      <c r="Y2101" t="s">
        <v>8406</v>
      </c>
      <c r="Z2101" t="s">
        <v>58</v>
      </c>
      <c r="AA2101" t="s">
        <v>54</v>
      </c>
      <c r="AB2101" t="s">
        <v>2721</v>
      </c>
      <c r="AC2101" t="s">
        <v>85</v>
      </c>
      <c r="AD2101" t="s">
        <v>52</v>
      </c>
      <c r="AE2101" t="s">
        <v>243</v>
      </c>
      <c r="AF2101" t="s">
        <v>2533</v>
      </c>
      <c r="AG2101" t="s">
        <v>58</v>
      </c>
      <c r="AH2101" t="s">
        <v>8407</v>
      </c>
      <c r="AK2101">
        <v>1</v>
      </c>
      <c r="AL2101" t="s">
        <v>61</v>
      </c>
      <c r="AM2101" t="s">
        <v>8408</v>
      </c>
      <c r="AN2101" t="s">
        <v>8409</v>
      </c>
    </row>
    <row r="2102" spans="1:40" x14ac:dyDescent="0.35">
      <c r="A2102" t="s">
        <v>37</v>
      </c>
      <c r="B2102" t="s">
        <v>8410</v>
      </c>
      <c r="C2102" t="s">
        <v>102</v>
      </c>
      <c r="D2102" t="s">
        <v>4303</v>
      </c>
      <c r="E2102" t="s">
        <v>4304</v>
      </c>
      <c r="F2102" s="1">
        <v>46072.563564814816</v>
      </c>
      <c r="G2102" t="s">
        <v>3050</v>
      </c>
      <c r="H2102" t="s">
        <v>233</v>
      </c>
      <c r="I2102" t="s">
        <v>8411</v>
      </c>
      <c r="J2102" t="s">
        <v>557</v>
      </c>
      <c r="K2102" t="s">
        <v>75</v>
      </c>
      <c r="M2102" t="s">
        <v>47</v>
      </c>
      <c r="O2102" t="s">
        <v>237</v>
      </c>
      <c r="P2102" t="s">
        <v>238</v>
      </c>
      <c r="R2102" t="s">
        <v>79</v>
      </c>
      <c r="S2102" t="s">
        <v>172</v>
      </c>
      <c r="T2102" t="s">
        <v>173</v>
      </c>
      <c r="U2102" s="1">
        <v>46072.565208333333</v>
      </c>
      <c r="V2102" t="s">
        <v>54</v>
      </c>
      <c r="W2102" t="s">
        <v>55</v>
      </c>
      <c r="X2102" t="s">
        <v>82</v>
      </c>
      <c r="Y2102" t="s">
        <v>8412</v>
      </c>
      <c r="Z2102" t="s">
        <v>5594</v>
      </c>
      <c r="AA2102" t="s">
        <v>54</v>
      </c>
      <c r="AB2102" t="s">
        <v>645</v>
      </c>
      <c r="AC2102" t="s">
        <v>242</v>
      </c>
      <c r="AD2102" t="s">
        <v>79</v>
      </c>
      <c r="AE2102" t="s">
        <v>172</v>
      </c>
      <c r="AF2102" t="s">
        <v>173</v>
      </c>
      <c r="AG2102" t="s">
        <v>5594</v>
      </c>
      <c r="AH2102">
        <v>15831</v>
      </c>
      <c r="AK2102">
        <v>0</v>
      </c>
      <c r="AL2102" t="s">
        <v>61</v>
      </c>
      <c r="AM2102" t="s">
        <v>4306</v>
      </c>
      <c r="AN2102" t="s">
        <v>4307</v>
      </c>
    </row>
    <row r="2103" spans="1:40" x14ac:dyDescent="0.35">
      <c r="A2103" t="s">
        <v>37</v>
      </c>
      <c r="B2103" t="s">
        <v>8413</v>
      </c>
      <c r="C2103" t="s">
        <v>39</v>
      </c>
      <c r="D2103" t="s">
        <v>8255</v>
      </c>
      <c r="E2103" t="s">
        <v>8256</v>
      </c>
      <c r="F2103" s="1">
        <v>46072.55940972222</v>
      </c>
      <c r="G2103" t="s">
        <v>71</v>
      </c>
      <c r="H2103" t="s">
        <v>72</v>
      </c>
      <c r="I2103" t="s">
        <v>1222</v>
      </c>
      <c r="J2103" t="s">
        <v>4058</v>
      </c>
      <c r="K2103" t="s">
        <v>436</v>
      </c>
      <c r="M2103" t="s">
        <v>47</v>
      </c>
      <c r="O2103" t="s">
        <v>77</v>
      </c>
      <c r="P2103" t="s">
        <v>78</v>
      </c>
      <c r="Q2103" t="s">
        <v>50</v>
      </c>
      <c r="R2103" t="s">
        <v>51</v>
      </c>
      <c r="S2103" t="s">
        <v>52</v>
      </c>
      <c r="T2103" t="s">
        <v>240</v>
      </c>
      <c r="U2103" s="1">
        <v>46073.341238425928</v>
      </c>
      <c r="V2103" t="s">
        <v>54</v>
      </c>
      <c r="W2103" t="s">
        <v>55</v>
      </c>
      <c r="X2103" t="s">
        <v>211</v>
      </c>
      <c r="Y2103" t="s">
        <v>8414</v>
      </c>
      <c r="Z2103" t="s">
        <v>5594</v>
      </c>
      <c r="AA2103" t="s">
        <v>54</v>
      </c>
      <c r="AB2103" t="s">
        <v>213</v>
      </c>
      <c r="AC2103" t="s">
        <v>85</v>
      </c>
      <c r="AD2103" t="s">
        <v>52</v>
      </c>
      <c r="AE2103" t="s">
        <v>438</v>
      </c>
      <c r="AF2103" t="s">
        <v>775</v>
      </c>
      <c r="AG2103" t="s">
        <v>5594</v>
      </c>
      <c r="AH2103" t="s">
        <v>8258</v>
      </c>
      <c r="AK2103">
        <v>2</v>
      </c>
      <c r="AL2103" t="s">
        <v>61</v>
      </c>
      <c r="AM2103" t="s">
        <v>8259</v>
      </c>
      <c r="AN2103" t="s">
        <v>8260</v>
      </c>
    </row>
    <row r="2104" spans="1:40" x14ac:dyDescent="0.35">
      <c r="A2104" t="s">
        <v>37</v>
      </c>
      <c r="B2104" t="s">
        <v>8415</v>
      </c>
      <c r="C2104" t="s">
        <v>102</v>
      </c>
      <c r="D2104" t="s">
        <v>1698</v>
      </c>
      <c r="E2104" t="s">
        <v>584</v>
      </c>
      <c r="F2104" s="1">
        <v>46072.559131944443</v>
      </c>
      <c r="G2104" t="s">
        <v>105</v>
      </c>
      <c r="H2104" t="s">
        <v>106</v>
      </c>
      <c r="I2104" t="s">
        <v>5115</v>
      </c>
      <c r="J2104" t="s">
        <v>108</v>
      </c>
      <c r="K2104" t="s">
        <v>571</v>
      </c>
      <c r="M2104" t="s">
        <v>47</v>
      </c>
      <c r="O2104" t="s">
        <v>77</v>
      </c>
      <c r="P2104" t="s">
        <v>78</v>
      </c>
      <c r="Q2104" t="s">
        <v>50</v>
      </c>
      <c r="R2104" t="s">
        <v>111</v>
      </c>
      <c r="S2104" t="s">
        <v>51</v>
      </c>
      <c r="T2104" t="s">
        <v>112</v>
      </c>
      <c r="U2104" s="1">
        <v>46072.715567129628</v>
      </c>
      <c r="V2104" t="s">
        <v>54</v>
      </c>
      <c r="W2104" t="s">
        <v>55</v>
      </c>
      <c r="X2104" t="s">
        <v>134</v>
      </c>
      <c r="Y2104" t="s">
        <v>8416</v>
      </c>
      <c r="Z2104" t="s">
        <v>5594</v>
      </c>
      <c r="AA2104" t="s">
        <v>54</v>
      </c>
      <c r="AB2104" t="s">
        <v>1701</v>
      </c>
      <c r="AC2104" t="s">
        <v>85</v>
      </c>
      <c r="AD2104" t="s">
        <v>116</v>
      </c>
      <c r="AE2104" t="s">
        <v>574</v>
      </c>
      <c r="AF2104" t="s">
        <v>1874</v>
      </c>
      <c r="AG2104" t="s">
        <v>5594</v>
      </c>
      <c r="AK2104">
        <v>1</v>
      </c>
      <c r="AL2104" t="s">
        <v>61</v>
      </c>
      <c r="AM2104" t="s">
        <v>1701</v>
      </c>
      <c r="AN2104" t="s">
        <v>1702</v>
      </c>
    </row>
    <row r="2105" spans="1:40" x14ac:dyDescent="0.35">
      <c r="A2105" t="s">
        <v>37</v>
      </c>
      <c r="B2105" t="s">
        <v>8417</v>
      </c>
      <c r="C2105" t="s">
        <v>656</v>
      </c>
      <c r="D2105" t="s">
        <v>657</v>
      </c>
      <c r="E2105" t="s">
        <v>658</v>
      </c>
      <c r="F2105" s="1">
        <v>46072.558842592596</v>
      </c>
      <c r="G2105" t="s">
        <v>355</v>
      </c>
      <c r="H2105" t="s">
        <v>356</v>
      </c>
      <c r="I2105" t="s">
        <v>8418</v>
      </c>
      <c r="J2105" t="s">
        <v>660</v>
      </c>
      <c r="K2105" t="s">
        <v>661</v>
      </c>
      <c r="M2105" t="s">
        <v>47</v>
      </c>
      <c r="O2105" t="s">
        <v>77</v>
      </c>
      <c r="P2105" t="s">
        <v>78</v>
      </c>
      <c r="Q2105" t="s">
        <v>50</v>
      </c>
      <c r="R2105" t="s">
        <v>662</v>
      </c>
      <c r="S2105" t="s">
        <v>663</v>
      </c>
      <c r="T2105" t="s">
        <v>664</v>
      </c>
      <c r="U2105" s="1">
        <v>46073.524953703702</v>
      </c>
      <c r="V2105" t="s">
        <v>54</v>
      </c>
      <c r="W2105" t="s">
        <v>55</v>
      </c>
      <c r="X2105" t="s">
        <v>56</v>
      </c>
      <c r="Y2105" t="s">
        <v>8419</v>
      </c>
      <c r="Z2105" t="s">
        <v>5594</v>
      </c>
      <c r="AA2105" t="s">
        <v>54</v>
      </c>
      <c r="AB2105" t="s">
        <v>666</v>
      </c>
      <c r="AC2105" t="s">
        <v>85</v>
      </c>
      <c r="AD2105" t="s">
        <v>667</v>
      </c>
      <c r="AE2105" t="s">
        <v>667</v>
      </c>
      <c r="AF2105" t="s">
        <v>664</v>
      </c>
      <c r="AG2105" t="s">
        <v>5594</v>
      </c>
      <c r="AH2105" t="s">
        <v>668</v>
      </c>
      <c r="AK2105">
        <v>0</v>
      </c>
      <c r="AL2105" t="s">
        <v>61</v>
      </c>
      <c r="AM2105" t="s">
        <v>666</v>
      </c>
      <c r="AN2105" t="s">
        <v>669</v>
      </c>
    </row>
    <row r="2106" spans="1:40" x14ac:dyDescent="0.35">
      <c r="A2106" t="s">
        <v>37</v>
      </c>
      <c r="B2106" t="s">
        <v>8420</v>
      </c>
      <c r="C2106" t="s">
        <v>39</v>
      </c>
      <c r="D2106" t="s">
        <v>325</v>
      </c>
      <c r="E2106" t="s">
        <v>8421</v>
      </c>
      <c r="F2106" s="1">
        <v>46072.559606481482</v>
      </c>
      <c r="G2106" t="s">
        <v>446</v>
      </c>
      <c r="H2106" t="s">
        <v>447</v>
      </c>
      <c r="I2106" t="s">
        <v>2949</v>
      </c>
      <c r="J2106" t="s">
        <v>404</v>
      </c>
      <c r="K2106" t="s">
        <v>405</v>
      </c>
      <c r="M2106" t="s">
        <v>47</v>
      </c>
      <c r="O2106" t="s">
        <v>77</v>
      </c>
      <c r="P2106" t="s">
        <v>78</v>
      </c>
      <c r="Q2106" t="s">
        <v>8422</v>
      </c>
      <c r="R2106" t="s">
        <v>51</v>
      </c>
      <c r="S2106" t="s">
        <v>52</v>
      </c>
      <c r="T2106" t="s">
        <v>240</v>
      </c>
      <c r="U2106" s="1">
        <v>46072.566412037035</v>
      </c>
      <c r="V2106" t="s">
        <v>54</v>
      </c>
      <c r="W2106" t="s">
        <v>55</v>
      </c>
      <c r="X2106" t="s">
        <v>82</v>
      </c>
      <c r="Y2106" t="s">
        <v>8423</v>
      </c>
      <c r="Z2106" t="s">
        <v>5594</v>
      </c>
      <c r="AA2106" t="s">
        <v>54</v>
      </c>
      <c r="AB2106" t="s">
        <v>2721</v>
      </c>
      <c r="AC2106" t="s">
        <v>85</v>
      </c>
      <c r="AD2106" t="s">
        <v>52</v>
      </c>
      <c r="AE2106" t="s">
        <v>243</v>
      </c>
      <c r="AF2106" t="s">
        <v>2533</v>
      </c>
      <c r="AG2106" t="s">
        <v>5594</v>
      </c>
      <c r="AH2106">
        <v>11066</v>
      </c>
      <c r="AK2106">
        <v>1</v>
      </c>
      <c r="AL2106" t="s">
        <v>61</v>
      </c>
      <c r="AM2106" t="s">
        <v>8424</v>
      </c>
      <c r="AN2106" t="s">
        <v>8425</v>
      </c>
    </row>
    <row r="2107" spans="1:40" x14ac:dyDescent="0.35">
      <c r="A2107" t="s">
        <v>37</v>
      </c>
      <c r="B2107" t="s">
        <v>8426</v>
      </c>
      <c r="C2107" t="s">
        <v>39</v>
      </c>
      <c r="D2107" t="s">
        <v>1751</v>
      </c>
      <c r="E2107" t="s">
        <v>1316</v>
      </c>
      <c r="F2107" s="1">
        <v>46072.554224537038</v>
      </c>
      <c r="G2107" t="s">
        <v>1752</v>
      </c>
      <c r="H2107" t="s">
        <v>447</v>
      </c>
      <c r="I2107" t="s">
        <v>8427</v>
      </c>
      <c r="J2107" t="s">
        <v>3377</v>
      </c>
      <c r="K2107" t="s">
        <v>1755</v>
      </c>
      <c r="M2107" t="s">
        <v>47</v>
      </c>
      <c r="O2107" t="s">
        <v>77</v>
      </c>
      <c r="P2107" t="s">
        <v>78</v>
      </c>
      <c r="Q2107" t="s">
        <v>50</v>
      </c>
      <c r="R2107" t="s">
        <v>51</v>
      </c>
      <c r="S2107" t="s">
        <v>52</v>
      </c>
      <c r="T2107" t="s">
        <v>773</v>
      </c>
      <c r="U2107" s="1">
        <v>46074.971747685187</v>
      </c>
      <c r="V2107" t="s">
        <v>54</v>
      </c>
      <c r="W2107" t="s">
        <v>55</v>
      </c>
      <c r="X2107" t="s">
        <v>134</v>
      </c>
      <c r="Y2107" t="s">
        <v>8428</v>
      </c>
      <c r="Z2107" t="s">
        <v>5594</v>
      </c>
      <c r="AA2107" t="s">
        <v>54</v>
      </c>
      <c r="AB2107" t="s">
        <v>1757</v>
      </c>
      <c r="AC2107" t="s">
        <v>85</v>
      </c>
      <c r="AD2107" t="s">
        <v>52</v>
      </c>
      <c r="AE2107" t="s">
        <v>243</v>
      </c>
      <c r="AF2107" t="s">
        <v>409</v>
      </c>
      <c r="AG2107" t="s">
        <v>5594</v>
      </c>
      <c r="AK2107">
        <v>1</v>
      </c>
      <c r="AL2107" t="s">
        <v>61</v>
      </c>
      <c r="AM2107" t="s">
        <v>1757</v>
      </c>
      <c r="AN2107" t="s">
        <v>1758</v>
      </c>
    </row>
    <row r="2108" spans="1:40" x14ac:dyDescent="0.35">
      <c r="A2108" t="s">
        <v>37</v>
      </c>
      <c r="B2108" t="s">
        <v>8429</v>
      </c>
      <c r="C2108" t="s">
        <v>39</v>
      </c>
      <c r="D2108" t="s">
        <v>8430</v>
      </c>
      <c r="E2108" t="s">
        <v>8431</v>
      </c>
      <c r="F2108" s="1">
        <v>46072.554282407407</v>
      </c>
      <c r="G2108" t="s">
        <v>327</v>
      </c>
      <c r="H2108" t="s">
        <v>72</v>
      </c>
      <c r="I2108" t="s">
        <v>4325</v>
      </c>
      <c r="J2108" t="s">
        <v>2108</v>
      </c>
      <c r="K2108" t="s">
        <v>2118</v>
      </c>
      <c r="M2108" t="s">
        <v>47</v>
      </c>
      <c r="O2108" t="s">
        <v>77</v>
      </c>
      <c r="P2108" t="s">
        <v>78</v>
      </c>
      <c r="Q2108" t="s">
        <v>50</v>
      </c>
      <c r="R2108" t="s">
        <v>51</v>
      </c>
      <c r="S2108" t="s">
        <v>52</v>
      </c>
      <c r="T2108" t="s">
        <v>240</v>
      </c>
      <c r="U2108" s="1">
        <v>46073.413032407407</v>
      </c>
      <c r="V2108" t="s">
        <v>54</v>
      </c>
      <c r="W2108" t="s">
        <v>55</v>
      </c>
      <c r="X2108" t="s">
        <v>134</v>
      </c>
      <c r="Y2108" t="s">
        <v>4088</v>
      </c>
      <c r="Z2108" t="s">
        <v>5594</v>
      </c>
      <c r="AA2108" t="s">
        <v>54</v>
      </c>
      <c r="AB2108" t="s">
        <v>408</v>
      </c>
      <c r="AC2108" t="s">
        <v>85</v>
      </c>
      <c r="AD2108" t="s">
        <v>52</v>
      </c>
      <c r="AE2108" t="s">
        <v>243</v>
      </c>
      <c r="AF2108" t="s">
        <v>1470</v>
      </c>
      <c r="AG2108" t="s">
        <v>5594</v>
      </c>
      <c r="AH2108">
        <v>13365</v>
      </c>
      <c r="AK2108">
        <v>1</v>
      </c>
      <c r="AL2108" t="s">
        <v>61</v>
      </c>
      <c r="AM2108" t="s">
        <v>8432</v>
      </c>
      <c r="AN2108" t="s">
        <v>8433</v>
      </c>
    </row>
    <row r="2109" spans="1:40" x14ac:dyDescent="0.35">
      <c r="A2109" t="s">
        <v>37</v>
      </c>
      <c r="B2109" t="s">
        <v>8434</v>
      </c>
      <c r="C2109" t="s">
        <v>39</v>
      </c>
      <c r="D2109" t="s">
        <v>391</v>
      </c>
      <c r="E2109" t="s">
        <v>147</v>
      </c>
      <c r="F2109" s="1">
        <v>46072.553564814814</v>
      </c>
      <c r="G2109" t="s">
        <v>204</v>
      </c>
      <c r="H2109" t="s">
        <v>92</v>
      </c>
      <c r="I2109" t="s">
        <v>1185</v>
      </c>
      <c r="J2109" t="s">
        <v>1186</v>
      </c>
      <c r="K2109" t="s">
        <v>1187</v>
      </c>
      <c r="M2109" t="s">
        <v>47</v>
      </c>
      <c r="O2109" t="s">
        <v>77</v>
      </c>
      <c r="P2109" t="s">
        <v>78</v>
      </c>
      <c r="Q2109" t="s">
        <v>2054</v>
      </c>
      <c r="R2109" t="s">
        <v>305</v>
      </c>
      <c r="S2109" t="s">
        <v>306</v>
      </c>
      <c r="T2109" t="s">
        <v>307</v>
      </c>
      <c r="U2109" s="1">
        <v>46073.483344907407</v>
      </c>
      <c r="V2109" t="s">
        <v>54</v>
      </c>
      <c r="W2109" t="s">
        <v>55</v>
      </c>
      <c r="X2109" t="s">
        <v>211</v>
      </c>
      <c r="Y2109" t="s">
        <v>1188</v>
      </c>
      <c r="Z2109" t="s">
        <v>5594</v>
      </c>
      <c r="AA2109" t="s">
        <v>54</v>
      </c>
      <c r="AB2109" t="s">
        <v>213</v>
      </c>
      <c r="AC2109" t="s">
        <v>85</v>
      </c>
      <c r="AD2109" t="s">
        <v>1189</v>
      </c>
      <c r="AE2109" t="s">
        <v>1190</v>
      </c>
      <c r="AF2109" t="s">
        <v>1191</v>
      </c>
      <c r="AG2109" t="s">
        <v>5594</v>
      </c>
      <c r="AH2109">
        <v>2850</v>
      </c>
      <c r="AK2109">
        <v>5</v>
      </c>
      <c r="AL2109" t="s">
        <v>61</v>
      </c>
      <c r="AM2109" t="s">
        <v>3933</v>
      </c>
      <c r="AN2109" t="s">
        <v>3934</v>
      </c>
    </row>
    <row r="2110" spans="1:40" x14ac:dyDescent="0.35">
      <c r="A2110" t="s">
        <v>37</v>
      </c>
      <c r="B2110" t="s">
        <v>8435</v>
      </c>
      <c r="C2110" t="s">
        <v>102</v>
      </c>
      <c r="D2110" t="s">
        <v>8436</v>
      </c>
      <c r="E2110" t="s">
        <v>8437</v>
      </c>
      <c r="F2110" s="1">
        <v>46072.551423611112</v>
      </c>
      <c r="G2110" t="s">
        <v>355</v>
      </c>
      <c r="H2110" t="s">
        <v>356</v>
      </c>
      <c r="I2110" t="s">
        <v>8438</v>
      </c>
      <c r="J2110" t="s">
        <v>435</v>
      </c>
      <c r="K2110" t="s">
        <v>436</v>
      </c>
      <c r="M2110" t="s">
        <v>47</v>
      </c>
      <c r="O2110" t="s">
        <v>237</v>
      </c>
      <c r="P2110" t="s">
        <v>238</v>
      </c>
      <c r="Q2110" t="s">
        <v>50</v>
      </c>
      <c r="R2110" t="s">
        <v>51</v>
      </c>
      <c r="S2110" t="s">
        <v>52</v>
      </c>
      <c r="T2110" t="s">
        <v>240</v>
      </c>
      <c r="U2110" s="1">
        <v>46073.540578703702</v>
      </c>
      <c r="V2110" t="s">
        <v>54</v>
      </c>
      <c r="W2110" t="s">
        <v>55</v>
      </c>
      <c r="X2110" t="s">
        <v>134</v>
      </c>
      <c r="Y2110" t="s">
        <v>8439</v>
      </c>
      <c r="Z2110" t="s">
        <v>5594</v>
      </c>
      <c r="AA2110" t="s">
        <v>54</v>
      </c>
      <c r="AB2110" t="s">
        <v>458</v>
      </c>
      <c r="AC2110" t="s">
        <v>242</v>
      </c>
      <c r="AD2110" t="s">
        <v>52</v>
      </c>
      <c r="AE2110" t="s">
        <v>243</v>
      </c>
      <c r="AF2110" t="s">
        <v>2533</v>
      </c>
      <c r="AG2110" t="s">
        <v>5594</v>
      </c>
      <c r="AH2110" t="s">
        <v>8440</v>
      </c>
      <c r="AK2110">
        <v>4</v>
      </c>
      <c r="AL2110" t="s">
        <v>61</v>
      </c>
      <c r="AM2110" t="s">
        <v>8441</v>
      </c>
      <c r="AN2110" t="s">
        <v>8442</v>
      </c>
    </row>
    <row r="2111" spans="1:40" x14ac:dyDescent="0.35">
      <c r="A2111" t="s">
        <v>37</v>
      </c>
      <c r="B2111" t="s">
        <v>8443</v>
      </c>
      <c r="C2111" t="s">
        <v>39</v>
      </c>
      <c r="D2111" t="s">
        <v>2386</v>
      </c>
      <c r="E2111" t="s">
        <v>1316</v>
      </c>
      <c r="F2111" s="1">
        <v>46072.549803240741</v>
      </c>
      <c r="G2111" t="s">
        <v>355</v>
      </c>
      <c r="H2111" t="s">
        <v>356</v>
      </c>
      <c r="I2111" t="s">
        <v>8444</v>
      </c>
      <c r="J2111" t="s">
        <v>6631</v>
      </c>
      <c r="K2111" t="s">
        <v>6632</v>
      </c>
      <c r="M2111" t="s">
        <v>47</v>
      </c>
      <c r="O2111" t="s">
        <v>77</v>
      </c>
      <c r="P2111" t="s">
        <v>78</v>
      </c>
      <c r="Q2111" t="s">
        <v>50</v>
      </c>
      <c r="R2111" t="s">
        <v>51</v>
      </c>
      <c r="S2111" t="s">
        <v>52</v>
      </c>
      <c r="T2111" t="s">
        <v>773</v>
      </c>
      <c r="U2111" s="1">
        <v>46072.571157407408</v>
      </c>
      <c r="V2111" t="s">
        <v>54</v>
      </c>
      <c r="W2111" t="s">
        <v>55</v>
      </c>
      <c r="X2111" t="s">
        <v>134</v>
      </c>
      <c r="Y2111" t="s">
        <v>6792</v>
      </c>
      <c r="Z2111" t="s">
        <v>5594</v>
      </c>
      <c r="AA2111" t="s">
        <v>54</v>
      </c>
      <c r="AB2111" t="s">
        <v>2388</v>
      </c>
      <c r="AC2111" t="s">
        <v>85</v>
      </c>
      <c r="AD2111" t="s">
        <v>52</v>
      </c>
      <c r="AE2111" t="s">
        <v>6643</v>
      </c>
      <c r="AF2111" t="s">
        <v>6644</v>
      </c>
      <c r="AG2111" t="s">
        <v>5594</v>
      </c>
      <c r="AK2111">
        <v>0</v>
      </c>
      <c r="AL2111" t="s">
        <v>61</v>
      </c>
      <c r="AM2111" t="s">
        <v>2388</v>
      </c>
      <c r="AN2111" t="s">
        <v>2389</v>
      </c>
    </row>
    <row r="2112" spans="1:40" x14ac:dyDescent="0.35">
      <c r="A2112" t="s">
        <v>37</v>
      </c>
      <c r="B2112" t="s">
        <v>8445</v>
      </c>
      <c r="C2112" t="s">
        <v>39</v>
      </c>
      <c r="D2112" t="s">
        <v>2386</v>
      </c>
      <c r="E2112" t="s">
        <v>1316</v>
      </c>
      <c r="F2112" s="1">
        <v>46072.549803240741</v>
      </c>
      <c r="G2112" t="s">
        <v>355</v>
      </c>
      <c r="H2112" t="s">
        <v>356</v>
      </c>
      <c r="I2112" t="s">
        <v>8446</v>
      </c>
      <c r="J2112" t="s">
        <v>6631</v>
      </c>
      <c r="K2112" t="s">
        <v>6632</v>
      </c>
      <c r="M2112" t="s">
        <v>47</v>
      </c>
      <c r="O2112" t="s">
        <v>77</v>
      </c>
      <c r="P2112" t="s">
        <v>78</v>
      </c>
      <c r="Q2112" t="s">
        <v>50</v>
      </c>
      <c r="R2112" t="s">
        <v>51</v>
      </c>
      <c r="S2112" t="s">
        <v>52</v>
      </c>
      <c r="T2112" t="s">
        <v>773</v>
      </c>
      <c r="U2112" s="1">
        <v>46072.571446759262</v>
      </c>
      <c r="V2112" t="s">
        <v>54</v>
      </c>
      <c r="W2112" t="s">
        <v>55</v>
      </c>
      <c r="X2112" t="s">
        <v>134</v>
      </c>
      <c r="Y2112" t="s">
        <v>8447</v>
      </c>
      <c r="Z2112" t="s">
        <v>5594</v>
      </c>
      <c r="AA2112" t="s">
        <v>54</v>
      </c>
      <c r="AB2112" t="s">
        <v>2388</v>
      </c>
      <c r="AC2112" t="s">
        <v>85</v>
      </c>
      <c r="AD2112" t="s">
        <v>52</v>
      </c>
      <c r="AE2112" t="s">
        <v>6643</v>
      </c>
      <c r="AF2112" t="s">
        <v>6644</v>
      </c>
      <c r="AG2112" t="s">
        <v>5594</v>
      </c>
      <c r="AK2112">
        <v>0</v>
      </c>
      <c r="AL2112" t="s">
        <v>61</v>
      </c>
      <c r="AM2112" t="s">
        <v>2388</v>
      </c>
      <c r="AN2112" t="s">
        <v>2389</v>
      </c>
    </row>
    <row r="2113" spans="1:40" x14ac:dyDescent="0.35">
      <c r="A2113" t="s">
        <v>37</v>
      </c>
      <c r="B2113" t="s">
        <v>8448</v>
      </c>
      <c r="C2113" t="s">
        <v>39</v>
      </c>
      <c r="D2113" t="s">
        <v>2386</v>
      </c>
      <c r="E2113" t="s">
        <v>1316</v>
      </c>
      <c r="F2113" s="1">
        <v>46072.549803240741</v>
      </c>
      <c r="G2113" t="s">
        <v>355</v>
      </c>
      <c r="H2113" t="s">
        <v>356</v>
      </c>
      <c r="I2113" t="s">
        <v>8449</v>
      </c>
      <c r="J2113" t="s">
        <v>6631</v>
      </c>
      <c r="K2113" t="s">
        <v>6632</v>
      </c>
      <c r="M2113" t="s">
        <v>47</v>
      </c>
      <c r="O2113" t="s">
        <v>77</v>
      </c>
      <c r="P2113" t="s">
        <v>78</v>
      </c>
      <c r="Q2113" t="s">
        <v>50</v>
      </c>
      <c r="R2113" t="s">
        <v>51</v>
      </c>
      <c r="S2113" t="s">
        <v>52</v>
      </c>
      <c r="T2113" t="s">
        <v>773</v>
      </c>
      <c r="U2113" s="1">
        <v>46072.572233796294</v>
      </c>
      <c r="V2113" t="s">
        <v>54</v>
      </c>
      <c r="W2113" t="s">
        <v>55</v>
      </c>
      <c r="X2113" t="s">
        <v>134</v>
      </c>
      <c r="Y2113" t="s">
        <v>8450</v>
      </c>
      <c r="Z2113" t="s">
        <v>5594</v>
      </c>
      <c r="AA2113" t="s">
        <v>54</v>
      </c>
      <c r="AB2113" t="s">
        <v>2388</v>
      </c>
      <c r="AC2113" t="s">
        <v>85</v>
      </c>
      <c r="AD2113" t="s">
        <v>52</v>
      </c>
      <c r="AE2113" t="s">
        <v>967</v>
      </c>
      <c r="AF2113" t="s">
        <v>2563</v>
      </c>
      <c r="AG2113" t="s">
        <v>5594</v>
      </c>
      <c r="AK2113">
        <v>0</v>
      </c>
      <c r="AL2113" t="s">
        <v>61</v>
      </c>
      <c r="AM2113" t="s">
        <v>2388</v>
      </c>
      <c r="AN2113" t="s">
        <v>2389</v>
      </c>
    </row>
    <row r="2114" spans="1:40" x14ac:dyDescent="0.35">
      <c r="A2114" t="s">
        <v>37</v>
      </c>
      <c r="B2114" t="s">
        <v>8451</v>
      </c>
      <c r="C2114" t="s">
        <v>39</v>
      </c>
      <c r="D2114" t="s">
        <v>2386</v>
      </c>
      <c r="E2114" t="s">
        <v>1316</v>
      </c>
      <c r="F2114" s="1">
        <v>46072.549803240741</v>
      </c>
      <c r="G2114" t="s">
        <v>355</v>
      </c>
      <c r="H2114" t="s">
        <v>356</v>
      </c>
      <c r="I2114" t="s">
        <v>8449</v>
      </c>
      <c r="J2114" t="s">
        <v>6631</v>
      </c>
      <c r="K2114" t="s">
        <v>6632</v>
      </c>
      <c r="M2114" t="s">
        <v>47</v>
      </c>
      <c r="O2114" t="s">
        <v>77</v>
      </c>
      <c r="P2114" t="s">
        <v>78</v>
      </c>
      <c r="Q2114" t="s">
        <v>50</v>
      </c>
      <c r="R2114" t="s">
        <v>51</v>
      </c>
      <c r="S2114" t="s">
        <v>52</v>
      </c>
      <c r="T2114" t="s">
        <v>773</v>
      </c>
      <c r="U2114" s="1">
        <v>46072.571701388886</v>
      </c>
      <c r="V2114" t="s">
        <v>54</v>
      </c>
      <c r="W2114" t="s">
        <v>55</v>
      </c>
      <c r="X2114" t="s">
        <v>134</v>
      </c>
      <c r="Y2114" t="s">
        <v>8452</v>
      </c>
      <c r="Z2114" t="s">
        <v>5594</v>
      </c>
      <c r="AA2114" t="s">
        <v>54</v>
      </c>
      <c r="AB2114" t="s">
        <v>2388</v>
      </c>
      <c r="AC2114" t="s">
        <v>85</v>
      </c>
      <c r="AD2114" t="s">
        <v>52</v>
      </c>
      <c r="AE2114" t="s">
        <v>6643</v>
      </c>
      <c r="AF2114" t="s">
        <v>6644</v>
      </c>
      <c r="AG2114" t="s">
        <v>5594</v>
      </c>
      <c r="AK2114">
        <v>0</v>
      </c>
      <c r="AL2114" t="s">
        <v>61</v>
      </c>
      <c r="AM2114" t="s">
        <v>2388</v>
      </c>
      <c r="AN2114" t="s">
        <v>2389</v>
      </c>
    </row>
    <row r="2115" spans="1:40" x14ac:dyDescent="0.35">
      <c r="A2115" t="s">
        <v>37</v>
      </c>
      <c r="B2115" t="s">
        <v>8453</v>
      </c>
      <c r="C2115" t="s">
        <v>39</v>
      </c>
      <c r="D2115" t="s">
        <v>1751</v>
      </c>
      <c r="E2115" t="s">
        <v>1316</v>
      </c>
      <c r="F2115" s="1">
        <v>46072.549803240741</v>
      </c>
      <c r="G2115" t="s">
        <v>1752</v>
      </c>
      <c r="H2115" t="s">
        <v>447</v>
      </c>
      <c r="I2115" t="s">
        <v>8454</v>
      </c>
      <c r="J2115" t="s">
        <v>3377</v>
      </c>
      <c r="K2115" t="s">
        <v>1755</v>
      </c>
      <c r="M2115" t="s">
        <v>47</v>
      </c>
      <c r="O2115" t="s">
        <v>77</v>
      </c>
      <c r="P2115" t="s">
        <v>78</v>
      </c>
      <c r="Q2115" t="s">
        <v>50</v>
      </c>
      <c r="R2115" t="s">
        <v>51</v>
      </c>
      <c r="S2115" t="s">
        <v>52</v>
      </c>
      <c r="T2115" t="s">
        <v>773</v>
      </c>
      <c r="U2115" s="1">
        <v>46074.96429398148</v>
      </c>
      <c r="V2115" t="s">
        <v>54</v>
      </c>
      <c r="W2115" t="s">
        <v>55</v>
      </c>
      <c r="X2115" t="s">
        <v>134</v>
      </c>
      <c r="Y2115" t="s">
        <v>8455</v>
      </c>
      <c r="Z2115" t="s">
        <v>5594</v>
      </c>
      <c r="AA2115" t="s">
        <v>54</v>
      </c>
      <c r="AB2115" t="s">
        <v>1757</v>
      </c>
      <c r="AC2115" t="s">
        <v>85</v>
      </c>
      <c r="AD2115" t="s">
        <v>52</v>
      </c>
      <c r="AE2115" t="s">
        <v>243</v>
      </c>
      <c r="AF2115" t="s">
        <v>409</v>
      </c>
      <c r="AG2115" t="s">
        <v>5594</v>
      </c>
      <c r="AK2115">
        <v>1</v>
      </c>
      <c r="AL2115" t="s">
        <v>61</v>
      </c>
      <c r="AM2115" t="s">
        <v>1757</v>
      </c>
      <c r="AN2115" t="s">
        <v>1758</v>
      </c>
    </row>
    <row r="2116" spans="1:40" x14ac:dyDescent="0.35">
      <c r="A2116" t="s">
        <v>37</v>
      </c>
      <c r="B2116" t="s">
        <v>8456</v>
      </c>
      <c r="C2116" t="s">
        <v>39</v>
      </c>
      <c r="D2116" t="s">
        <v>2386</v>
      </c>
      <c r="E2116" t="s">
        <v>1316</v>
      </c>
      <c r="F2116" s="1">
        <v>46072.549803240741</v>
      </c>
      <c r="G2116" t="s">
        <v>355</v>
      </c>
      <c r="H2116" t="s">
        <v>356</v>
      </c>
      <c r="I2116" t="s">
        <v>8457</v>
      </c>
      <c r="J2116" t="s">
        <v>6631</v>
      </c>
      <c r="K2116" t="s">
        <v>6632</v>
      </c>
      <c r="M2116" t="s">
        <v>47</v>
      </c>
      <c r="O2116" t="s">
        <v>77</v>
      </c>
      <c r="P2116" t="s">
        <v>78</v>
      </c>
      <c r="Q2116" t="s">
        <v>50</v>
      </c>
      <c r="R2116" t="s">
        <v>51</v>
      </c>
      <c r="S2116" t="s">
        <v>52</v>
      </c>
      <c r="T2116" t="s">
        <v>773</v>
      </c>
      <c r="U2116" s="1">
        <v>46072.572465277779</v>
      </c>
      <c r="V2116" t="s">
        <v>54</v>
      </c>
      <c r="W2116" t="s">
        <v>55</v>
      </c>
      <c r="X2116" t="s">
        <v>134</v>
      </c>
      <c r="Y2116" t="s">
        <v>8458</v>
      </c>
      <c r="Z2116" t="s">
        <v>5594</v>
      </c>
      <c r="AA2116" t="s">
        <v>54</v>
      </c>
      <c r="AB2116" t="s">
        <v>2388</v>
      </c>
      <c r="AC2116" t="s">
        <v>85</v>
      </c>
      <c r="AD2116" t="s">
        <v>52</v>
      </c>
      <c r="AE2116" t="s">
        <v>6643</v>
      </c>
      <c r="AF2116" t="s">
        <v>6644</v>
      </c>
      <c r="AG2116" t="s">
        <v>5594</v>
      </c>
      <c r="AK2116">
        <v>0</v>
      </c>
      <c r="AL2116" t="s">
        <v>61</v>
      </c>
      <c r="AM2116" t="s">
        <v>2388</v>
      </c>
      <c r="AN2116" t="s">
        <v>2389</v>
      </c>
    </row>
    <row r="2117" spans="1:40" x14ac:dyDescent="0.35">
      <c r="A2117" t="s">
        <v>37</v>
      </c>
      <c r="B2117" t="s">
        <v>8459</v>
      </c>
      <c r="C2117" t="s">
        <v>39</v>
      </c>
      <c r="D2117" t="s">
        <v>2386</v>
      </c>
      <c r="E2117" t="s">
        <v>1316</v>
      </c>
      <c r="F2117" s="1">
        <v>46072.549004629633</v>
      </c>
      <c r="G2117" t="s">
        <v>355</v>
      </c>
      <c r="H2117" t="s">
        <v>356</v>
      </c>
      <c r="I2117" t="s">
        <v>8460</v>
      </c>
      <c r="J2117" t="s">
        <v>6631</v>
      </c>
      <c r="K2117" t="s">
        <v>6632</v>
      </c>
      <c r="M2117" t="s">
        <v>47</v>
      </c>
      <c r="O2117" t="s">
        <v>77</v>
      </c>
      <c r="P2117" t="s">
        <v>78</v>
      </c>
      <c r="Q2117" t="s">
        <v>50</v>
      </c>
      <c r="R2117" t="s">
        <v>51</v>
      </c>
      <c r="S2117" t="s">
        <v>52</v>
      </c>
      <c r="T2117" t="s">
        <v>773</v>
      </c>
      <c r="U2117" s="1">
        <v>46072.572708333333</v>
      </c>
      <c r="V2117" t="s">
        <v>54</v>
      </c>
      <c r="W2117" t="s">
        <v>55</v>
      </c>
      <c r="X2117" t="s">
        <v>134</v>
      </c>
      <c r="Y2117" t="s">
        <v>8461</v>
      </c>
      <c r="Z2117" t="s">
        <v>5594</v>
      </c>
      <c r="AA2117" t="s">
        <v>54</v>
      </c>
      <c r="AB2117" t="s">
        <v>2388</v>
      </c>
      <c r="AC2117" t="s">
        <v>85</v>
      </c>
      <c r="AD2117" t="s">
        <v>52</v>
      </c>
      <c r="AE2117" t="s">
        <v>6643</v>
      </c>
      <c r="AF2117" t="s">
        <v>6644</v>
      </c>
      <c r="AG2117" t="s">
        <v>5594</v>
      </c>
      <c r="AK2117">
        <v>0</v>
      </c>
      <c r="AL2117" t="s">
        <v>61</v>
      </c>
      <c r="AM2117" t="s">
        <v>2388</v>
      </c>
      <c r="AN2117" t="s">
        <v>2389</v>
      </c>
    </row>
    <row r="2118" spans="1:40" x14ac:dyDescent="0.35">
      <c r="A2118" t="s">
        <v>37</v>
      </c>
      <c r="B2118" t="s">
        <v>8462</v>
      </c>
      <c r="C2118" t="s">
        <v>39</v>
      </c>
      <c r="D2118" t="s">
        <v>824</v>
      </c>
      <c r="E2118" t="s">
        <v>226</v>
      </c>
      <c r="F2118" s="1">
        <v>46072.549710648149</v>
      </c>
      <c r="G2118" t="s">
        <v>793</v>
      </c>
      <c r="H2118" t="s">
        <v>356</v>
      </c>
      <c r="I2118" t="s">
        <v>1071</v>
      </c>
      <c r="J2118" t="s">
        <v>724</v>
      </c>
      <c r="K2118" t="s">
        <v>75</v>
      </c>
      <c r="M2118" t="s">
        <v>47</v>
      </c>
      <c r="O2118" t="s">
        <v>77</v>
      </c>
      <c r="P2118" t="s">
        <v>78</v>
      </c>
      <c r="Q2118" t="s">
        <v>50</v>
      </c>
      <c r="R2118" t="s">
        <v>79</v>
      </c>
      <c r="S2118" t="s">
        <v>967</v>
      </c>
      <c r="T2118" t="s">
        <v>1072</v>
      </c>
      <c r="U2118" s="1">
        <v>46072.550312500003</v>
      </c>
      <c r="V2118" t="s">
        <v>54</v>
      </c>
      <c r="W2118" t="s">
        <v>55</v>
      </c>
      <c r="X2118" t="s">
        <v>82</v>
      </c>
      <c r="Y2118" t="s">
        <v>8463</v>
      </c>
      <c r="Z2118" t="s">
        <v>5594</v>
      </c>
      <c r="AA2118" t="s">
        <v>54</v>
      </c>
      <c r="AB2118" t="s">
        <v>727</v>
      </c>
      <c r="AC2118" t="s">
        <v>85</v>
      </c>
      <c r="AD2118" t="s">
        <v>79</v>
      </c>
      <c r="AE2118" t="s">
        <v>967</v>
      </c>
      <c r="AF2118" t="s">
        <v>1072</v>
      </c>
      <c r="AG2118" t="s">
        <v>5594</v>
      </c>
      <c r="AH2118">
        <v>15254</v>
      </c>
      <c r="AK2118">
        <v>0</v>
      </c>
      <c r="AL2118" t="s">
        <v>61</v>
      </c>
      <c r="AM2118" t="s">
        <v>8464</v>
      </c>
      <c r="AN2118" t="s">
        <v>8465</v>
      </c>
    </row>
    <row r="2119" spans="1:40" x14ac:dyDescent="0.35">
      <c r="A2119" t="s">
        <v>37</v>
      </c>
      <c r="B2119" t="s">
        <v>8466</v>
      </c>
      <c r="C2119" t="s">
        <v>39</v>
      </c>
      <c r="D2119" t="s">
        <v>2386</v>
      </c>
      <c r="E2119" t="s">
        <v>1316</v>
      </c>
      <c r="F2119" s="1">
        <v>46072.549004629633</v>
      </c>
      <c r="G2119" t="s">
        <v>355</v>
      </c>
      <c r="H2119" t="s">
        <v>356</v>
      </c>
      <c r="I2119" t="s">
        <v>8467</v>
      </c>
      <c r="J2119" t="s">
        <v>6631</v>
      </c>
      <c r="K2119" t="s">
        <v>6632</v>
      </c>
      <c r="M2119" t="s">
        <v>47</v>
      </c>
      <c r="O2119" t="s">
        <v>77</v>
      </c>
      <c r="P2119" t="s">
        <v>78</v>
      </c>
      <c r="Q2119" t="s">
        <v>50</v>
      </c>
      <c r="R2119" t="s">
        <v>51</v>
      </c>
      <c r="S2119" t="s">
        <v>52</v>
      </c>
      <c r="T2119" t="s">
        <v>773</v>
      </c>
      <c r="U2119" s="1">
        <v>46072.572997685187</v>
      </c>
      <c r="V2119" t="s">
        <v>54</v>
      </c>
      <c r="W2119" t="s">
        <v>55</v>
      </c>
      <c r="X2119" t="s">
        <v>134</v>
      </c>
      <c r="Y2119" t="s">
        <v>6761</v>
      </c>
      <c r="Z2119" t="s">
        <v>5594</v>
      </c>
      <c r="AA2119" t="s">
        <v>54</v>
      </c>
      <c r="AB2119" t="s">
        <v>2388</v>
      </c>
      <c r="AC2119" t="s">
        <v>85</v>
      </c>
      <c r="AD2119" t="s">
        <v>52</v>
      </c>
      <c r="AE2119" t="s">
        <v>6643</v>
      </c>
      <c r="AF2119" t="s">
        <v>6644</v>
      </c>
      <c r="AG2119" t="s">
        <v>5594</v>
      </c>
      <c r="AK2119">
        <v>0</v>
      </c>
      <c r="AL2119" t="s">
        <v>61</v>
      </c>
      <c r="AM2119" t="s">
        <v>2388</v>
      </c>
      <c r="AN2119" t="s">
        <v>2389</v>
      </c>
    </row>
    <row r="2120" spans="1:40" x14ac:dyDescent="0.35">
      <c r="A2120" t="s">
        <v>37</v>
      </c>
      <c r="B2120" t="s">
        <v>8468</v>
      </c>
      <c r="C2120" t="s">
        <v>39</v>
      </c>
      <c r="D2120" t="s">
        <v>8469</v>
      </c>
      <c r="E2120" t="s">
        <v>8470</v>
      </c>
      <c r="F2120" s="1">
        <v>46072.548993055556</v>
      </c>
      <c r="G2120" t="s">
        <v>232</v>
      </c>
      <c r="H2120" t="s">
        <v>233</v>
      </c>
      <c r="I2120" t="s">
        <v>8471</v>
      </c>
      <c r="J2120" t="s">
        <v>455</v>
      </c>
      <c r="K2120" t="s">
        <v>436</v>
      </c>
      <c r="M2120" t="s">
        <v>47</v>
      </c>
      <c r="O2120" t="s">
        <v>77</v>
      </c>
      <c r="P2120" t="s">
        <v>78</v>
      </c>
      <c r="Q2120" t="s">
        <v>50</v>
      </c>
      <c r="R2120" t="s">
        <v>51</v>
      </c>
      <c r="S2120" t="s">
        <v>52</v>
      </c>
      <c r="T2120" t="s">
        <v>240</v>
      </c>
      <c r="U2120" s="1">
        <v>46073.363981481481</v>
      </c>
      <c r="V2120" t="s">
        <v>54</v>
      </c>
      <c r="W2120" t="s">
        <v>55</v>
      </c>
      <c r="X2120" t="s">
        <v>134</v>
      </c>
      <c r="Y2120" t="s">
        <v>8472</v>
      </c>
      <c r="Z2120" t="s">
        <v>5594</v>
      </c>
      <c r="AA2120" t="s">
        <v>54</v>
      </c>
      <c r="AB2120" t="s">
        <v>458</v>
      </c>
      <c r="AC2120" t="s">
        <v>85</v>
      </c>
      <c r="AD2120" t="s">
        <v>52</v>
      </c>
      <c r="AE2120" t="s">
        <v>438</v>
      </c>
      <c r="AF2120" t="s">
        <v>775</v>
      </c>
      <c r="AG2120" t="s">
        <v>5594</v>
      </c>
      <c r="AH2120" t="s">
        <v>8473</v>
      </c>
      <c r="AK2120">
        <v>1</v>
      </c>
      <c r="AL2120" t="s">
        <v>61</v>
      </c>
      <c r="AM2120" t="s">
        <v>8474</v>
      </c>
      <c r="AN2120" t="s">
        <v>8475</v>
      </c>
    </row>
    <row r="2121" spans="1:40" x14ac:dyDescent="0.35">
      <c r="A2121" t="s">
        <v>37</v>
      </c>
      <c r="B2121" t="s">
        <v>8476</v>
      </c>
      <c r="C2121" t="s">
        <v>39</v>
      </c>
      <c r="D2121" t="s">
        <v>2386</v>
      </c>
      <c r="E2121" t="s">
        <v>1316</v>
      </c>
      <c r="F2121" s="1">
        <v>46072.547523148147</v>
      </c>
      <c r="G2121" t="s">
        <v>355</v>
      </c>
      <c r="H2121" t="s">
        <v>356</v>
      </c>
      <c r="I2121" t="s">
        <v>8477</v>
      </c>
      <c r="J2121" t="s">
        <v>6631</v>
      </c>
      <c r="K2121" t="s">
        <v>6632</v>
      </c>
      <c r="M2121" t="s">
        <v>47</v>
      </c>
      <c r="O2121" t="s">
        <v>77</v>
      </c>
      <c r="P2121" t="s">
        <v>78</v>
      </c>
      <c r="Q2121" t="s">
        <v>50</v>
      </c>
      <c r="R2121" t="s">
        <v>51</v>
      </c>
      <c r="S2121" t="s">
        <v>52</v>
      </c>
      <c r="T2121" t="s">
        <v>773</v>
      </c>
      <c r="U2121" s="1">
        <v>46072.585578703707</v>
      </c>
      <c r="V2121" t="s">
        <v>54</v>
      </c>
      <c r="W2121" t="s">
        <v>55</v>
      </c>
      <c r="X2121" t="s">
        <v>134</v>
      </c>
      <c r="Y2121" t="s">
        <v>8478</v>
      </c>
      <c r="Z2121" t="s">
        <v>5594</v>
      </c>
      <c r="AA2121" t="s">
        <v>54</v>
      </c>
      <c r="AB2121" t="s">
        <v>2388</v>
      </c>
      <c r="AC2121" t="s">
        <v>85</v>
      </c>
      <c r="AD2121" t="s">
        <v>52</v>
      </c>
      <c r="AE2121" t="s">
        <v>2575</v>
      </c>
      <c r="AF2121" t="s">
        <v>2576</v>
      </c>
      <c r="AG2121" t="s">
        <v>5594</v>
      </c>
      <c r="AK2121">
        <v>0</v>
      </c>
      <c r="AL2121" t="s">
        <v>61</v>
      </c>
      <c r="AM2121" t="s">
        <v>2388</v>
      </c>
      <c r="AN2121" t="s">
        <v>2389</v>
      </c>
    </row>
    <row r="2122" spans="1:40" x14ac:dyDescent="0.35">
      <c r="A2122" t="s">
        <v>37</v>
      </c>
      <c r="B2122" t="s">
        <v>8479</v>
      </c>
      <c r="C2122" t="s">
        <v>39</v>
      </c>
      <c r="D2122" t="s">
        <v>2386</v>
      </c>
      <c r="E2122" t="s">
        <v>1316</v>
      </c>
      <c r="F2122" s="1">
        <v>46072.547523148147</v>
      </c>
      <c r="G2122" t="s">
        <v>355</v>
      </c>
      <c r="H2122" t="s">
        <v>356</v>
      </c>
      <c r="I2122" t="s">
        <v>8480</v>
      </c>
      <c r="J2122" t="s">
        <v>6631</v>
      </c>
      <c r="K2122" t="s">
        <v>6632</v>
      </c>
      <c r="M2122" t="s">
        <v>47</v>
      </c>
      <c r="O2122" t="s">
        <v>77</v>
      </c>
      <c r="P2122" t="s">
        <v>78</v>
      </c>
      <c r="Q2122" t="s">
        <v>50</v>
      </c>
      <c r="R2122" t="s">
        <v>51</v>
      </c>
      <c r="S2122" t="s">
        <v>52</v>
      </c>
      <c r="T2122" t="s">
        <v>773</v>
      </c>
      <c r="U2122" s="1">
        <v>46072.573240740741</v>
      </c>
      <c r="V2122" t="s">
        <v>54</v>
      </c>
      <c r="W2122" t="s">
        <v>55</v>
      </c>
      <c r="X2122" t="s">
        <v>134</v>
      </c>
      <c r="Y2122" t="s">
        <v>8481</v>
      </c>
      <c r="Z2122" t="s">
        <v>5594</v>
      </c>
      <c r="AA2122" t="s">
        <v>54</v>
      </c>
      <c r="AB2122" t="s">
        <v>2388</v>
      </c>
      <c r="AC2122" t="s">
        <v>85</v>
      </c>
      <c r="AD2122" t="s">
        <v>52</v>
      </c>
      <c r="AE2122" t="s">
        <v>6643</v>
      </c>
      <c r="AF2122" t="s">
        <v>6644</v>
      </c>
      <c r="AG2122" t="s">
        <v>5594</v>
      </c>
      <c r="AK2122">
        <v>0</v>
      </c>
      <c r="AL2122" t="s">
        <v>61</v>
      </c>
      <c r="AM2122" t="s">
        <v>2388</v>
      </c>
      <c r="AN2122" t="s">
        <v>2389</v>
      </c>
    </row>
    <row r="2123" spans="1:40" x14ac:dyDescent="0.35">
      <c r="A2123" t="s">
        <v>37</v>
      </c>
      <c r="B2123" t="s">
        <v>8482</v>
      </c>
      <c r="C2123" t="s">
        <v>102</v>
      </c>
      <c r="D2123" t="s">
        <v>747</v>
      </c>
      <c r="E2123" t="s">
        <v>1216</v>
      </c>
      <c r="F2123" s="1">
        <v>46072.548668981479</v>
      </c>
      <c r="G2123" t="s">
        <v>204</v>
      </c>
      <c r="H2123" t="s">
        <v>92</v>
      </c>
      <c r="I2123" t="s">
        <v>8483</v>
      </c>
      <c r="J2123" t="s">
        <v>2531</v>
      </c>
      <c r="K2123" t="s">
        <v>2532</v>
      </c>
      <c r="M2123" t="s">
        <v>47</v>
      </c>
      <c r="O2123" t="s">
        <v>237</v>
      </c>
      <c r="P2123" t="s">
        <v>238</v>
      </c>
      <c r="Q2123" t="s">
        <v>1370</v>
      </c>
      <c r="R2123" t="s">
        <v>51</v>
      </c>
      <c r="S2123" t="s">
        <v>52</v>
      </c>
      <c r="T2123" t="s">
        <v>240</v>
      </c>
      <c r="U2123" s="1">
        <v>46072.55641203704</v>
      </c>
      <c r="V2123" t="s">
        <v>54</v>
      </c>
      <c r="W2123" t="s">
        <v>55</v>
      </c>
      <c r="X2123" t="s">
        <v>134</v>
      </c>
      <c r="Y2123" t="e">
        <f>- Please note that, your username has been whitelisted now. kindly ensure that you are using only one device to punch.</f>
        <v>#NAME?</v>
      </c>
      <c r="Z2123" t="s">
        <v>5594</v>
      </c>
      <c r="AA2123" t="s">
        <v>54</v>
      </c>
      <c r="AB2123" t="s">
        <v>408</v>
      </c>
      <c r="AC2123" t="s">
        <v>242</v>
      </c>
      <c r="AD2123" t="s">
        <v>52</v>
      </c>
      <c r="AE2123" t="s">
        <v>243</v>
      </c>
      <c r="AF2123" t="s">
        <v>2533</v>
      </c>
      <c r="AG2123" t="s">
        <v>5594</v>
      </c>
      <c r="AH2123">
        <v>2729</v>
      </c>
      <c r="AK2123">
        <v>1</v>
      </c>
      <c r="AL2123" t="s">
        <v>61</v>
      </c>
      <c r="AM2123" t="s">
        <v>6167</v>
      </c>
      <c r="AN2123" t="s">
        <v>6168</v>
      </c>
    </row>
    <row r="2124" spans="1:40" x14ac:dyDescent="0.35">
      <c r="A2124" t="s">
        <v>37</v>
      </c>
      <c r="B2124" t="s">
        <v>8484</v>
      </c>
      <c r="C2124" t="s">
        <v>39</v>
      </c>
      <c r="D2124" t="s">
        <v>430</v>
      </c>
      <c r="E2124" t="s">
        <v>4716</v>
      </c>
      <c r="F2124" s="1">
        <v>46072.546932870369</v>
      </c>
      <c r="G2124" t="s">
        <v>722</v>
      </c>
      <c r="H2124" t="s">
        <v>356</v>
      </c>
      <c r="I2124" t="s">
        <v>8485</v>
      </c>
      <c r="J2124" t="s">
        <v>2256</v>
      </c>
      <c r="K2124" t="s">
        <v>2257</v>
      </c>
      <c r="M2124" t="s">
        <v>131</v>
      </c>
      <c r="O2124" t="s">
        <v>237</v>
      </c>
      <c r="P2124" t="s">
        <v>238</v>
      </c>
      <c r="Q2124" t="s">
        <v>50</v>
      </c>
      <c r="R2124" t="s">
        <v>51</v>
      </c>
      <c r="S2124" t="s">
        <v>52</v>
      </c>
      <c r="T2124" t="s">
        <v>773</v>
      </c>
      <c r="U2124" s="1">
        <v>46078.507488425923</v>
      </c>
      <c r="V2124" t="s">
        <v>54</v>
      </c>
      <c r="W2124" t="s">
        <v>55</v>
      </c>
      <c r="X2124" t="s">
        <v>211</v>
      </c>
      <c r="Y2124" t="s">
        <v>8486</v>
      </c>
      <c r="Z2124" t="s">
        <v>58</v>
      </c>
      <c r="AA2124" t="s">
        <v>54</v>
      </c>
      <c r="AB2124" t="s">
        <v>213</v>
      </c>
      <c r="AC2124" t="s">
        <v>242</v>
      </c>
      <c r="AD2124" t="s">
        <v>52</v>
      </c>
      <c r="AE2124" t="s">
        <v>438</v>
      </c>
      <c r="AF2124" t="s">
        <v>2204</v>
      </c>
      <c r="AG2124" t="s">
        <v>58</v>
      </c>
      <c r="AH2124">
        <v>15775</v>
      </c>
      <c r="AK2124">
        <v>1</v>
      </c>
      <c r="AL2124" t="s">
        <v>61</v>
      </c>
      <c r="AM2124" t="s">
        <v>4718</v>
      </c>
      <c r="AN2124" t="s">
        <v>4719</v>
      </c>
    </row>
    <row r="2125" spans="1:40" x14ac:dyDescent="0.35">
      <c r="A2125" t="s">
        <v>37</v>
      </c>
      <c r="B2125" t="s">
        <v>8487</v>
      </c>
      <c r="C2125" t="s">
        <v>39</v>
      </c>
      <c r="D2125" t="s">
        <v>8488</v>
      </c>
      <c r="E2125" t="s">
        <v>4477</v>
      </c>
      <c r="F2125" s="1">
        <v>46072.547476851854</v>
      </c>
      <c r="G2125" t="s">
        <v>807</v>
      </c>
      <c r="H2125" t="s">
        <v>43</v>
      </c>
      <c r="I2125" t="s">
        <v>8489</v>
      </c>
      <c r="J2125" t="s">
        <v>1186</v>
      </c>
      <c r="K2125" t="s">
        <v>1187</v>
      </c>
      <c r="M2125" t="s">
        <v>47</v>
      </c>
      <c r="O2125" t="s">
        <v>77</v>
      </c>
      <c r="P2125" t="s">
        <v>78</v>
      </c>
      <c r="Q2125" t="s">
        <v>818</v>
      </c>
      <c r="R2125" t="s">
        <v>79</v>
      </c>
      <c r="S2125" t="s">
        <v>172</v>
      </c>
      <c r="T2125" t="s">
        <v>4654</v>
      </c>
      <c r="U2125" s="1">
        <v>46073.373495370368</v>
      </c>
      <c r="V2125" t="s">
        <v>54</v>
      </c>
      <c r="W2125" t="s">
        <v>55</v>
      </c>
      <c r="X2125" t="s">
        <v>134</v>
      </c>
      <c r="Y2125" t="s">
        <v>1188</v>
      </c>
      <c r="Z2125" t="s">
        <v>5594</v>
      </c>
      <c r="AA2125" t="s">
        <v>54</v>
      </c>
      <c r="AB2125" t="s">
        <v>458</v>
      </c>
      <c r="AC2125" t="s">
        <v>85</v>
      </c>
      <c r="AD2125" t="s">
        <v>1189</v>
      </c>
      <c r="AE2125" t="s">
        <v>1190</v>
      </c>
      <c r="AF2125" t="s">
        <v>1191</v>
      </c>
      <c r="AG2125" t="s">
        <v>5594</v>
      </c>
      <c r="AH2125">
        <v>3062</v>
      </c>
      <c r="AK2125">
        <v>3</v>
      </c>
      <c r="AL2125" t="s">
        <v>61</v>
      </c>
      <c r="AM2125" t="s">
        <v>8490</v>
      </c>
      <c r="AN2125" t="s">
        <v>8491</v>
      </c>
    </row>
    <row r="2126" spans="1:40" x14ac:dyDescent="0.35">
      <c r="A2126" t="s">
        <v>37</v>
      </c>
      <c r="B2126" t="s">
        <v>8492</v>
      </c>
      <c r="C2126" t="s">
        <v>39</v>
      </c>
      <c r="D2126" t="s">
        <v>2386</v>
      </c>
      <c r="E2126" t="s">
        <v>1316</v>
      </c>
      <c r="F2126" s="1">
        <v>46072.546655092592</v>
      </c>
      <c r="G2126" t="s">
        <v>355</v>
      </c>
      <c r="H2126" t="s">
        <v>356</v>
      </c>
      <c r="I2126" t="s">
        <v>6738</v>
      </c>
      <c r="J2126" t="s">
        <v>6631</v>
      </c>
      <c r="K2126" t="s">
        <v>6632</v>
      </c>
      <c r="M2126" t="s">
        <v>47</v>
      </c>
      <c r="O2126" t="s">
        <v>77</v>
      </c>
      <c r="P2126" t="s">
        <v>78</v>
      </c>
      <c r="Q2126" t="s">
        <v>50</v>
      </c>
      <c r="R2126" t="s">
        <v>51</v>
      </c>
      <c r="S2126" t="s">
        <v>52</v>
      </c>
      <c r="T2126" t="s">
        <v>773</v>
      </c>
      <c r="U2126" s="1">
        <v>46072.588877314818</v>
      </c>
      <c r="V2126" t="s">
        <v>54</v>
      </c>
      <c r="W2126" t="s">
        <v>55</v>
      </c>
      <c r="X2126" t="s">
        <v>134</v>
      </c>
      <c r="Y2126" t="s">
        <v>6792</v>
      </c>
      <c r="Z2126" t="s">
        <v>5594</v>
      </c>
      <c r="AA2126" t="s">
        <v>54</v>
      </c>
      <c r="AB2126" t="s">
        <v>2388</v>
      </c>
      <c r="AC2126" t="s">
        <v>85</v>
      </c>
      <c r="AD2126" t="s">
        <v>52</v>
      </c>
      <c r="AE2126" t="s">
        <v>6643</v>
      </c>
      <c r="AF2126" t="s">
        <v>6644</v>
      </c>
      <c r="AG2126" t="s">
        <v>5594</v>
      </c>
      <c r="AK2126">
        <v>0</v>
      </c>
      <c r="AL2126" t="s">
        <v>61</v>
      </c>
      <c r="AM2126" t="s">
        <v>2388</v>
      </c>
      <c r="AN2126" t="s">
        <v>2389</v>
      </c>
    </row>
    <row r="2127" spans="1:40" x14ac:dyDescent="0.35">
      <c r="A2127" t="s">
        <v>37</v>
      </c>
      <c r="B2127" t="s">
        <v>8493</v>
      </c>
      <c r="C2127" t="s">
        <v>39</v>
      </c>
      <c r="D2127" t="s">
        <v>2386</v>
      </c>
      <c r="E2127" t="s">
        <v>1316</v>
      </c>
      <c r="F2127" s="1">
        <v>46072.546655092592</v>
      </c>
      <c r="G2127" t="s">
        <v>355</v>
      </c>
      <c r="H2127" t="s">
        <v>356</v>
      </c>
      <c r="I2127" t="s">
        <v>8494</v>
      </c>
      <c r="J2127" t="s">
        <v>6631</v>
      </c>
      <c r="K2127" t="s">
        <v>6632</v>
      </c>
      <c r="M2127" t="s">
        <v>47</v>
      </c>
      <c r="O2127" t="s">
        <v>77</v>
      </c>
      <c r="P2127" t="s">
        <v>78</v>
      </c>
      <c r="Q2127" t="s">
        <v>50</v>
      </c>
      <c r="R2127" t="s">
        <v>51</v>
      </c>
      <c r="S2127" t="s">
        <v>52</v>
      </c>
      <c r="T2127" t="s">
        <v>773</v>
      </c>
      <c r="U2127" s="1">
        <v>46072.585868055554</v>
      </c>
      <c r="V2127" t="s">
        <v>54</v>
      </c>
      <c r="W2127" t="s">
        <v>55</v>
      </c>
      <c r="X2127" t="s">
        <v>134</v>
      </c>
      <c r="Y2127" t="s">
        <v>8495</v>
      </c>
      <c r="Z2127" t="s">
        <v>5594</v>
      </c>
      <c r="AA2127" t="s">
        <v>54</v>
      </c>
      <c r="AB2127" t="s">
        <v>2388</v>
      </c>
      <c r="AC2127" t="s">
        <v>85</v>
      </c>
      <c r="AD2127" t="s">
        <v>52</v>
      </c>
      <c r="AE2127" t="s">
        <v>967</v>
      </c>
      <c r="AF2127" t="s">
        <v>2563</v>
      </c>
      <c r="AG2127" t="s">
        <v>5594</v>
      </c>
      <c r="AK2127">
        <v>0</v>
      </c>
      <c r="AL2127" t="s">
        <v>61</v>
      </c>
      <c r="AM2127" t="s">
        <v>2388</v>
      </c>
      <c r="AN2127" t="s">
        <v>2389</v>
      </c>
    </row>
    <row r="2128" spans="1:40" x14ac:dyDescent="0.35">
      <c r="A2128" t="s">
        <v>37</v>
      </c>
      <c r="B2128" t="s">
        <v>8496</v>
      </c>
      <c r="C2128" t="s">
        <v>39</v>
      </c>
      <c r="D2128" t="s">
        <v>2386</v>
      </c>
      <c r="E2128" t="s">
        <v>1316</v>
      </c>
      <c r="F2128" s="1">
        <v>46072.546655092592</v>
      </c>
      <c r="G2128" t="s">
        <v>355</v>
      </c>
      <c r="H2128" t="s">
        <v>356</v>
      </c>
      <c r="I2128" t="s">
        <v>6912</v>
      </c>
      <c r="J2128" t="s">
        <v>6631</v>
      </c>
      <c r="K2128" t="s">
        <v>6632</v>
      </c>
      <c r="M2128" t="s">
        <v>47</v>
      </c>
      <c r="O2128" t="s">
        <v>77</v>
      </c>
      <c r="P2128" t="s">
        <v>78</v>
      </c>
      <c r="Q2128" t="s">
        <v>50</v>
      </c>
      <c r="R2128" t="s">
        <v>51</v>
      </c>
      <c r="S2128" t="s">
        <v>52</v>
      </c>
      <c r="T2128" t="s">
        <v>773</v>
      </c>
      <c r="U2128" s="1">
        <v>46072.586180555554</v>
      </c>
      <c r="V2128" t="s">
        <v>54</v>
      </c>
      <c r="W2128" t="s">
        <v>55</v>
      </c>
      <c r="X2128" t="s">
        <v>134</v>
      </c>
      <c r="Y2128" t="s">
        <v>8497</v>
      </c>
      <c r="Z2128" t="s">
        <v>5594</v>
      </c>
      <c r="AA2128" t="s">
        <v>54</v>
      </c>
      <c r="AB2128" t="s">
        <v>2388</v>
      </c>
      <c r="AC2128" t="s">
        <v>85</v>
      </c>
      <c r="AD2128" t="s">
        <v>52</v>
      </c>
      <c r="AE2128" t="s">
        <v>999</v>
      </c>
      <c r="AF2128" t="s">
        <v>6634</v>
      </c>
      <c r="AG2128" t="s">
        <v>5594</v>
      </c>
      <c r="AK2128">
        <v>0</v>
      </c>
      <c r="AL2128" t="s">
        <v>61</v>
      </c>
      <c r="AM2128" t="s">
        <v>2388</v>
      </c>
      <c r="AN2128" t="s">
        <v>2389</v>
      </c>
    </row>
    <row r="2129" spans="1:40" x14ac:dyDescent="0.35">
      <c r="A2129" t="s">
        <v>37</v>
      </c>
      <c r="B2129" t="s">
        <v>8498</v>
      </c>
      <c r="C2129" t="s">
        <v>39</v>
      </c>
      <c r="D2129" t="s">
        <v>8499</v>
      </c>
      <c r="E2129" t="s">
        <v>2095</v>
      </c>
      <c r="F2129" s="1">
        <v>46072.5466087963</v>
      </c>
      <c r="G2129" t="s">
        <v>355</v>
      </c>
      <c r="H2129" t="s">
        <v>356</v>
      </c>
      <c r="I2129" t="s">
        <v>205</v>
      </c>
      <c r="J2129" t="s">
        <v>603</v>
      </c>
      <c r="K2129" t="s">
        <v>207</v>
      </c>
      <c r="M2129" t="s">
        <v>47</v>
      </c>
      <c r="O2129" t="s">
        <v>77</v>
      </c>
      <c r="P2129" t="s">
        <v>78</v>
      </c>
      <c r="Q2129" t="s">
        <v>50</v>
      </c>
      <c r="R2129" t="s">
        <v>208</v>
      </c>
      <c r="S2129" t="s">
        <v>209</v>
      </c>
      <c r="T2129" t="s">
        <v>210</v>
      </c>
      <c r="U2129" s="1">
        <v>46072.571111111109</v>
      </c>
      <c r="V2129" t="s">
        <v>54</v>
      </c>
      <c r="W2129" t="s">
        <v>55</v>
      </c>
      <c r="X2129" t="s">
        <v>211</v>
      </c>
      <c r="Y2129" t="s">
        <v>8500</v>
      </c>
      <c r="Z2129" t="s">
        <v>5594</v>
      </c>
      <c r="AA2129" t="s">
        <v>54</v>
      </c>
      <c r="AB2129" t="s">
        <v>213</v>
      </c>
      <c r="AC2129" t="s">
        <v>85</v>
      </c>
      <c r="AD2129" t="s">
        <v>214</v>
      </c>
      <c r="AE2129" t="s">
        <v>215</v>
      </c>
      <c r="AF2129" t="s">
        <v>216</v>
      </c>
      <c r="AG2129" t="s">
        <v>5594</v>
      </c>
      <c r="AH2129" t="s">
        <v>8501</v>
      </c>
      <c r="AK2129">
        <v>1</v>
      </c>
      <c r="AL2129" t="s">
        <v>61</v>
      </c>
      <c r="AM2129" t="s">
        <v>8502</v>
      </c>
      <c r="AN2129" t="s">
        <v>8503</v>
      </c>
    </row>
    <row r="2130" spans="1:40" x14ac:dyDescent="0.35">
      <c r="A2130" t="s">
        <v>37</v>
      </c>
      <c r="B2130" t="s">
        <v>8504</v>
      </c>
      <c r="C2130" t="s">
        <v>39</v>
      </c>
      <c r="D2130" t="s">
        <v>2386</v>
      </c>
      <c r="E2130" t="s">
        <v>1316</v>
      </c>
      <c r="F2130" s="1">
        <v>46072.545810185184</v>
      </c>
      <c r="G2130" t="s">
        <v>355</v>
      </c>
      <c r="H2130" t="s">
        <v>356</v>
      </c>
      <c r="I2130" t="s">
        <v>8505</v>
      </c>
      <c r="J2130" t="s">
        <v>6631</v>
      </c>
      <c r="K2130" t="s">
        <v>6632</v>
      </c>
      <c r="M2130" t="s">
        <v>47</v>
      </c>
      <c r="O2130" t="s">
        <v>77</v>
      </c>
      <c r="P2130" t="s">
        <v>78</v>
      </c>
      <c r="Q2130" t="s">
        <v>50</v>
      </c>
      <c r="R2130" t="s">
        <v>51</v>
      </c>
      <c r="S2130" t="s">
        <v>52</v>
      </c>
      <c r="T2130" t="s">
        <v>773</v>
      </c>
      <c r="U2130" s="1">
        <v>46072.589178240742</v>
      </c>
      <c r="V2130" t="s">
        <v>54</v>
      </c>
      <c r="W2130" t="s">
        <v>55</v>
      </c>
      <c r="X2130" t="s">
        <v>134</v>
      </c>
      <c r="Y2130" t="s">
        <v>6792</v>
      </c>
      <c r="Z2130" t="s">
        <v>5594</v>
      </c>
      <c r="AA2130" t="s">
        <v>54</v>
      </c>
      <c r="AB2130" t="s">
        <v>2388</v>
      </c>
      <c r="AC2130" t="s">
        <v>85</v>
      </c>
      <c r="AD2130" t="s">
        <v>52</v>
      </c>
      <c r="AE2130" t="s">
        <v>2575</v>
      </c>
      <c r="AF2130" t="s">
        <v>2576</v>
      </c>
      <c r="AG2130" t="s">
        <v>5594</v>
      </c>
      <c r="AK2130">
        <v>0</v>
      </c>
      <c r="AL2130" t="s">
        <v>61</v>
      </c>
      <c r="AM2130" t="s">
        <v>2388</v>
      </c>
      <c r="AN2130" t="s">
        <v>2389</v>
      </c>
    </row>
    <row r="2131" spans="1:40" x14ac:dyDescent="0.35">
      <c r="A2131" t="s">
        <v>37</v>
      </c>
      <c r="B2131" t="s">
        <v>8506</v>
      </c>
      <c r="C2131" t="s">
        <v>39</v>
      </c>
      <c r="D2131" t="s">
        <v>2386</v>
      </c>
      <c r="E2131" t="s">
        <v>1316</v>
      </c>
      <c r="F2131" s="1">
        <v>46072.545810185184</v>
      </c>
      <c r="G2131" t="s">
        <v>355</v>
      </c>
      <c r="H2131" t="s">
        <v>356</v>
      </c>
      <c r="I2131" t="s">
        <v>6912</v>
      </c>
      <c r="J2131" t="s">
        <v>6631</v>
      </c>
      <c r="K2131" t="s">
        <v>6632</v>
      </c>
      <c r="M2131" t="s">
        <v>47</v>
      </c>
      <c r="O2131" t="s">
        <v>77</v>
      </c>
      <c r="P2131" t="s">
        <v>78</v>
      </c>
      <c r="Q2131" t="s">
        <v>50</v>
      </c>
      <c r="R2131" t="s">
        <v>51</v>
      </c>
      <c r="S2131" t="s">
        <v>52</v>
      </c>
      <c r="T2131" t="s">
        <v>773</v>
      </c>
      <c r="U2131" s="1">
        <v>46072.589548611111</v>
      </c>
      <c r="V2131" t="s">
        <v>54</v>
      </c>
      <c r="W2131" t="s">
        <v>55</v>
      </c>
      <c r="X2131" t="s">
        <v>134</v>
      </c>
      <c r="Y2131" t="s">
        <v>8507</v>
      </c>
      <c r="Z2131" t="s">
        <v>5594</v>
      </c>
      <c r="AA2131" t="s">
        <v>54</v>
      </c>
      <c r="AB2131" t="s">
        <v>2388</v>
      </c>
      <c r="AC2131" t="s">
        <v>85</v>
      </c>
      <c r="AD2131" t="s">
        <v>52</v>
      </c>
      <c r="AE2131" t="s">
        <v>999</v>
      </c>
      <c r="AF2131" t="s">
        <v>6634</v>
      </c>
      <c r="AG2131" t="s">
        <v>5594</v>
      </c>
      <c r="AK2131">
        <v>0</v>
      </c>
      <c r="AL2131" t="s">
        <v>61</v>
      </c>
      <c r="AM2131" t="s">
        <v>2388</v>
      </c>
      <c r="AN2131" t="s">
        <v>2389</v>
      </c>
    </row>
    <row r="2132" spans="1:40" x14ac:dyDescent="0.35">
      <c r="A2132" t="s">
        <v>37</v>
      </c>
      <c r="B2132" t="s">
        <v>8508</v>
      </c>
      <c r="C2132" t="s">
        <v>39</v>
      </c>
      <c r="D2132" t="s">
        <v>2386</v>
      </c>
      <c r="E2132" t="s">
        <v>1316</v>
      </c>
      <c r="F2132" s="1">
        <v>46072.545810185184</v>
      </c>
      <c r="G2132" t="s">
        <v>355</v>
      </c>
      <c r="H2132" t="s">
        <v>356</v>
      </c>
      <c r="I2132" t="s">
        <v>8509</v>
      </c>
      <c r="J2132" t="s">
        <v>6631</v>
      </c>
      <c r="K2132" t="s">
        <v>6632</v>
      </c>
      <c r="M2132" t="s">
        <v>47</v>
      </c>
      <c r="O2132" t="s">
        <v>77</v>
      </c>
      <c r="P2132" t="s">
        <v>78</v>
      </c>
      <c r="Q2132" t="s">
        <v>50</v>
      </c>
      <c r="R2132" t="s">
        <v>51</v>
      </c>
      <c r="S2132" t="s">
        <v>52</v>
      </c>
      <c r="T2132" t="s">
        <v>773</v>
      </c>
      <c r="U2132" s="1">
        <v>46072.589814814812</v>
      </c>
      <c r="V2132" t="s">
        <v>54</v>
      </c>
      <c r="W2132" t="s">
        <v>55</v>
      </c>
      <c r="X2132" t="s">
        <v>134</v>
      </c>
      <c r="Y2132" t="s">
        <v>8510</v>
      </c>
      <c r="Z2132" t="s">
        <v>5594</v>
      </c>
      <c r="AA2132" t="s">
        <v>54</v>
      </c>
      <c r="AB2132" t="s">
        <v>2388</v>
      </c>
      <c r="AC2132" t="s">
        <v>85</v>
      </c>
      <c r="AD2132" t="s">
        <v>52</v>
      </c>
      <c r="AE2132" t="s">
        <v>967</v>
      </c>
      <c r="AF2132" t="s">
        <v>2563</v>
      </c>
      <c r="AG2132" t="s">
        <v>5594</v>
      </c>
      <c r="AK2132">
        <v>0</v>
      </c>
      <c r="AL2132" t="s">
        <v>61</v>
      </c>
      <c r="AM2132" t="s">
        <v>2388</v>
      </c>
      <c r="AN2132" t="s">
        <v>2389</v>
      </c>
    </row>
    <row r="2133" spans="1:40" x14ac:dyDescent="0.35">
      <c r="A2133" t="s">
        <v>37</v>
      </c>
      <c r="B2133" t="s">
        <v>8511</v>
      </c>
      <c r="C2133" t="s">
        <v>39</v>
      </c>
      <c r="D2133" t="s">
        <v>7392</v>
      </c>
      <c r="E2133" t="s">
        <v>8512</v>
      </c>
      <c r="F2133" s="1">
        <v>46072.545046296298</v>
      </c>
      <c r="G2133" t="s">
        <v>540</v>
      </c>
      <c r="H2133" t="s">
        <v>447</v>
      </c>
      <c r="I2133" t="s">
        <v>205</v>
      </c>
      <c r="J2133" t="s">
        <v>603</v>
      </c>
      <c r="K2133" t="s">
        <v>207</v>
      </c>
      <c r="M2133" t="s">
        <v>47</v>
      </c>
      <c r="O2133" t="s">
        <v>77</v>
      </c>
      <c r="P2133" t="s">
        <v>78</v>
      </c>
      <c r="Q2133" t="s">
        <v>50</v>
      </c>
      <c r="R2133" t="s">
        <v>208</v>
      </c>
      <c r="S2133" t="s">
        <v>209</v>
      </c>
      <c r="T2133" t="s">
        <v>210</v>
      </c>
      <c r="U2133" s="1">
        <v>46072.572372685187</v>
      </c>
      <c r="V2133" t="s">
        <v>54</v>
      </c>
      <c r="W2133" t="s">
        <v>55</v>
      </c>
      <c r="X2133" t="s">
        <v>211</v>
      </c>
      <c r="Y2133" t="s">
        <v>8500</v>
      </c>
      <c r="Z2133" t="s">
        <v>5594</v>
      </c>
      <c r="AA2133" t="s">
        <v>54</v>
      </c>
      <c r="AB2133" t="s">
        <v>213</v>
      </c>
      <c r="AC2133" t="s">
        <v>85</v>
      </c>
      <c r="AD2133" t="s">
        <v>214</v>
      </c>
      <c r="AE2133" t="s">
        <v>215</v>
      </c>
      <c r="AF2133" t="s">
        <v>216</v>
      </c>
      <c r="AG2133" t="s">
        <v>5594</v>
      </c>
      <c r="AH2133">
        <v>14061</v>
      </c>
      <c r="AK2133">
        <v>1</v>
      </c>
      <c r="AL2133" t="s">
        <v>61</v>
      </c>
      <c r="AM2133" t="s">
        <v>8513</v>
      </c>
      <c r="AN2133" t="s">
        <v>8514</v>
      </c>
    </row>
    <row r="2134" spans="1:40" x14ac:dyDescent="0.35">
      <c r="A2134" t="s">
        <v>37</v>
      </c>
      <c r="B2134" t="s">
        <v>8515</v>
      </c>
      <c r="C2134" t="s">
        <v>39</v>
      </c>
      <c r="D2134" t="s">
        <v>8516</v>
      </c>
      <c r="E2134" t="s">
        <v>8517</v>
      </c>
      <c r="F2134" s="1">
        <v>46072.54582175926</v>
      </c>
      <c r="G2134" t="s">
        <v>597</v>
      </c>
      <c r="H2134" t="s">
        <v>287</v>
      </c>
      <c r="I2134" t="s">
        <v>8518</v>
      </c>
      <c r="J2134" t="s">
        <v>404</v>
      </c>
      <c r="K2134" t="s">
        <v>405</v>
      </c>
      <c r="M2134" t="s">
        <v>47</v>
      </c>
      <c r="O2134" t="s">
        <v>77</v>
      </c>
      <c r="P2134" t="s">
        <v>78</v>
      </c>
      <c r="R2134" t="s">
        <v>51</v>
      </c>
      <c r="S2134" t="s">
        <v>52</v>
      </c>
      <c r="T2134" t="s">
        <v>240</v>
      </c>
      <c r="U2134" s="1">
        <v>46072.550937499997</v>
      </c>
      <c r="V2134" t="s">
        <v>54</v>
      </c>
      <c r="W2134" t="s">
        <v>55</v>
      </c>
      <c r="X2134" t="s">
        <v>82</v>
      </c>
      <c r="Y2134" t="s">
        <v>8423</v>
      </c>
      <c r="Z2134" t="s">
        <v>5594</v>
      </c>
      <c r="AA2134" t="s">
        <v>54</v>
      </c>
      <c r="AB2134" t="s">
        <v>3425</v>
      </c>
      <c r="AC2134" t="s">
        <v>85</v>
      </c>
      <c r="AD2134" t="s">
        <v>52</v>
      </c>
      <c r="AE2134" t="s">
        <v>243</v>
      </c>
      <c r="AF2134" t="s">
        <v>2533</v>
      </c>
      <c r="AG2134" t="s">
        <v>5594</v>
      </c>
      <c r="AH2134">
        <v>14824</v>
      </c>
      <c r="AK2134">
        <v>0</v>
      </c>
      <c r="AL2134" t="s">
        <v>61</v>
      </c>
      <c r="AM2134" t="s">
        <v>8519</v>
      </c>
      <c r="AN2134" t="s">
        <v>8520</v>
      </c>
    </row>
    <row r="2135" spans="1:40" x14ac:dyDescent="0.35">
      <c r="A2135" t="s">
        <v>37</v>
      </c>
      <c r="B2135" t="s">
        <v>8521</v>
      </c>
      <c r="C2135" t="s">
        <v>39</v>
      </c>
      <c r="D2135" t="s">
        <v>225</v>
      </c>
      <c r="E2135" t="s">
        <v>469</v>
      </c>
      <c r="F2135" s="1">
        <v>46072.544687499998</v>
      </c>
      <c r="G2135" t="s">
        <v>232</v>
      </c>
      <c r="H2135" t="s">
        <v>233</v>
      </c>
      <c r="I2135" t="s">
        <v>205</v>
      </c>
      <c r="J2135" t="s">
        <v>603</v>
      </c>
      <c r="K2135" t="s">
        <v>207</v>
      </c>
      <c r="M2135" t="s">
        <v>47</v>
      </c>
      <c r="O2135" t="s">
        <v>77</v>
      </c>
      <c r="P2135" t="s">
        <v>78</v>
      </c>
      <c r="Q2135" t="s">
        <v>1088</v>
      </c>
      <c r="R2135" t="s">
        <v>208</v>
      </c>
      <c r="S2135" t="s">
        <v>209</v>
      </c>
      <c r="T2135" t="s">
        <v>210</v>
      </c>
      <c r="U2135" s="1">
        <v>46072.586331018516</v>
      </c>
      <c r="V2135" t="s">
        <v>54</v>
      </c>
      <c r="W2135" t="s">
        <v>55</v>
      </c>
      <c r="X2135" t="s">
        <v>211</v>
      </c>
      <c r="Y2135" t="s">
        <v>604</v>
      </c>
      <c r="Z2135" t="s">
        <v>5594</v>
      </c>
      <c r="AA2135" t="s">
        <v>54</v>
      </c>
      <c r="AB2135" t="s">
        <v>213</v>
      </c>
      <c r="AC2135" t="s">
        <v>85</v>
      </c>
      <c r="AD2135" t="s">
        <v>214</v>
      </c>
      <c r="AE2135" t="s">
        <v>215</v>
      </c>
      <c r="AF2135" t="s">
        <v>216</v>
      </c>
      <c r="AG2135" t="s">
        <v>5594</v>
      </c>
      <c r="AH2135">
        <v>11573</v>
      </c>
      <c r="AK2135">
        <v>1</v>
      </c>
      <c r="AL2135" t="s">
        <v>61</v>
      </c>
      <c r="AM2135" t="s">
        <v>8522</v>
      </c>
      <c r="AN2135" t="s">
        <v>8523</v>
      </c>
    </row>
    <row r="2136" spans="1:40" x14ac:dyDescent="0.35">
      <c r="A2136" t="s">
        <v>37</v>
      </c>
      <c r="B2136" t="s">
        <v>8524</v>
      </c>
      <c r="C2136" t="s">
        <v>656</v>
      </c>
      <c r="D2136" t="s">
        <v>325</v>
      </c>
      <c r="E2136" t="s">
        <v>8525</v>
      </c>
      <c r="F2136" s="1">
        <v>46072.545752314814</v>
      </c>
      <c r="G2136" t="s">
        <v>286</v>
      </c>
      <c r="H2136" t="s">
        <v>287</v>
      </c>
      <c r="I2136" t="s">
        <v>8526</v>
      </c>
      <c r="J2136" t="s">
        <v>1926</v>
      </c>
      <c r="K2136" t="s">
        <v>1927</v>
      </c>
      <c r="M2136" t="s">
        <v>76</v>
      </c>
      <c r="O2136" t="s">
        <v>77</v>
      </c>
      <c r="P2136" t="s">
        <v>78</v>
      </c>
      <c r="Q2136" t="s">
        <v>50</v>
      </c>
      <c r="R2136" t="s">
        <v>1927</v>
      </c>
      <c r="S2136" t="s">
        <v>8337</v>
      </c>
      <c r="T2136" t="s">
        <v>967</v>
      </c>
      <c r="U2136" s="1">
        <v>46077.593761574077</v>
      </c>
      <c r="V2136" t="s">
        <v>54</v>
      </c>
      <c r="W2136" t="s">
        <v>55</v>
      </c>
      <c r="X2136" t="s">
        <v>134</v>
      </c>
      <c r="Y2136" t="s">
        <v>8527</v>
      </c>
      <c r="Z2136" t="s">
        <v>58</v>
      </c>
      <c r="AA2136" t="s">
        <v>54</v>
      </c>
      <c r="AB2136" t="s">
        <v>408</v>
      </c>
      <c r="AC2136" t="s">
        <v>85</v>
      </c>
      <c r="AD2136" t="s">
        <v>1189</v>
      </c>
      <c r="AE2136" t="s">
        <v>2407</v>
      </c>
      <c r="AF2136" t="s">
        <v>2408</v>
      </c>
      <c r="AG2136" t="s">
        <v>58</v>
      </c>
      <c r="AH2136" t="s">
        <v>8528</v>
      </c>
      <c r="AK2136">
        <v>1</v>
      </c>
      <c r="AL2136" t="s">
        <v>61</v>
      </c>
      <c r="AM2136" t="s">
        <v>8529</v>
      </c>
      <c r="AN2136" t="s">
        <v>8530</v>
      </c>
    </row>
    <row r="2137" spans="1:40" x14ac:dyDescent="0.35">
      <c r="A2137" t="s">
        <v>37</v>
      </c>
      <c r="B2137" t="s">
        <v>8531</v>
      </c>
      <c r="C2137" t="s">
        <v>102</v>
      </c>
      <c r="D2137" t="s">
        <v>469</v>
      </c>
      <c r="E2137" t="s">
        <v>3010</v>
      </c>
      <c r="F2137" s="1">
        <v>46072.543495370373</v>
      </c>
      <c r="G2137" t="s">
        <v>91</v>
      </c>
      <c r="H2137" t="s">
        <v>92</v>
      </c>
      <c r="I2137" t="s">
        <v>8532</v>
      </c>
      <c r="J2137" t="s">
        <v>8533</v>
      </c>
      <c r="K2137" t="s">
        <v>8534</v>
      </c>
      <c r="M2137" t="s">
        <v>47</v>
      </c>
      <c r="O2137" t="s">
        <v>237</v>
      </c>
      <c r="P2137" t="s">
        <v>238</v>
      </c>
      <c r="R2137" t="s">
        <v>51</v>
      </c>
      <c r="S2137" t="s">
        <v>52</v>
      </c>
      <c r="T2137" t="s">
        <v>8535</v>
      </c>
      <c r="U2137" s="1">
        <v>46073.396423611113</v>
      </c>
      <c r="V2137" t="s">
        <v>54</v>
      </c>
      <c r="W2137" t="s">
        <v>55</v>
      </c>
      <c r="X2137" t="s">
        <v>211</v>
      </c>
      <c r="Y2137" t="s">
        <v>8536</v>
      </c>
      <c r="Z2137" t="s">
        <v>5594</v>
      </c>
      <c r="AA2137" t="s">
        <v>54</v>
      </c>
      <c r="AB2137" t="s">
        <v>213</v>
      </c>
      <c r="AC2137" t="s">
        <v>242</v>
      </c>
      <c r="AD2137" t="s">
        <v>52</v>
      </c>
      <c r="AE2137" t="s">
        <v>8537</v>
      </c>
      <c r="AF2137" t="s">
        <v>8538</v>
      </c>
      <c r="AG2137" t="s">
        <v>5594</v>
      </c>
      <c r="AH2137">
        <v>15019</v>
      </c>
      <c r="AK2137">
        <v>1</v>
      </c>
      <c r="AL2137" t="s">
        <v>61</v>
      </c>
      <c r="AM2137" t="s">
        <v>8539</v>
      </c>
      <c r="AN2137" t="s">
        <v>8540</v>
      </c>
    </row>
    <row r="2138" spans="1:40" x14ac:dyDescent="0.35">
      <c r="A2138" t="s">
        <v>37</v>
      </c>
      <c r="B2138" t="s">
        <v>8541</v>
      </c>
      <c r="C2138" t="s">
        <v>39</v>
      </c>
      <c r="D2138" t="s">
        <v>8542</v>
      </c>
      <c r="E2138" t="s">
        <v>770</v>
      </c>
      <c r="F2138" s="1">
        <v>46072.543206018519</v>
      </c>
      <c r="G2138" t="s">
        <v>793</v>
      </c>
      <c r="H2138" t="s">
        <v>356</v>
      </c>
      <c r="I2138" t="s">
        <v>205</v>
      </c>
      <c r="J2138" t="s">
        <v>206</v>
      </c>
      <c r="K2138" t="s">
        <v>207</v>
      </c>
      <c r="M2138" t="s">
        <v>47</v>
      </c>
      <c r="O2138" t="s">
        <v>77</v>
      </c>
      <c r="P2138" t="s">
        <v>78</v>
      </c>
      <c r="Q2138" t="s">
        <v>50</v>
      </c>
      <c r="R2138" t="s">
        <v>305</v>
      </c>
      <c r="S2138" t="s">
        <v>306</v>
      </c>
      <c r="T2138" t="s">
        <v>307</v>
      </c>
      <c r="U2138" s="1">
        <v>46072.892916666664</v>
      </c>
      <c r="V2138" t="s">
        <v>54</v>
      </c>
      <c r="W2138" t="s">
        <v>55</v>
      </c>
      <c r="X2138" t="s">
        <v>211</v>
      </c>
      <c r="Y2138" t="s">
        <v>8543</v>
      </c>
      <c r="Z2138" t="s">
        <v>5594</v>
      </c>
      <c r="AA2138" t="s">
        <v>54</v>
      </c>
      <c r="AB2138" t="s">
        <v>213</v>
      </c>
      <c r="AC2138" t="s">
        <v>85</v>
      </c>
      <c r="AD2138" t="s">
        <v>214</v>
      </c>
      <c r="AE2138" t="s">
        <v>215</v>
      </c>
      <c r="AF2138" t="s">
        <v>216</v>
      </c>
      <c r="AG2138" t="s">
        <v>5594</v>
      </c>
      <c r="AH2138" t="s">
        <v>8544</v>
      </c>
      <c r="AK2138">
        <v>3</v>
      </c>
      <c r="AL2138" t="s">
        <v>61</v>
      </c>
      <c r="AM2138" t="s">
        <v>8545</v>
      </c>
      <c r="AN2138" t="s">
        <v>8546</v>
      </c>
    </row>
    <row r="2139" spans="1:40" x14ac:dyDescent="0.35">
      <c r="A2139" t="s">
        <v>37</v>
      </c>
      <c r="B2139" t="s">
        <v>8547</v>
      </c>
      <c r="C2139" t="s">
        <v>39</v>
      </c>
      <c r="D2139" t="s">
        <v>8542</v>
      </c>
      <c r="E2139" t="s">
        <v>770</v>
      </c>
      <c r="F2139" s="1">
        <v>46072.543090277781</v>
      </c>
      <c r="G2139" t="s">
        <v>793</v>
      </c>
      <c r="H2139" t="s">
        <v>356</v>
      </c>
      <c r="I2139" t="s">
        <v>205</v>
      </c>
      <c r="J2139" t="s">
        <v>206</v>
      </c>
      <c r="K2139" t="s">
        <v>207</v>
      </c>
      <c r="M2139" t="s">
        <v>47</v>
      </c>
      <c r="O2139" t="s">
        <v>77</v>
      </c>
      <c r="P2139" t="s">
        <v>78</v>
      </c>
      <c r="Q2139" t="s">
        <v>50</v>
      </c>
      <c r="R2139" t="s">
        <v>305</v>
      </c>
      <c r="S2139" t="s">
        <v>306</v>
      </c>
      <c r="T2139" t="s">
        <v>307</v>
      </c>
      <c r="U2139" s="1">
        <v>46074.791226851848</v>
      </c>
      <c r="V2139" t="s">
        <v>54</v>
      </c>
      <c r="W2139" t="s">
        <v>55</v>
      </c>
      <c r="X2139" t="s">
        <v>211</v>
      </c>
      <c r="Y2139" t="s">
        <v>8548</v>
      </c>
      <c r="Z2139" t="s">
        <v>5594</v>
      </c>
      <c r="AA2139" t="s">
        <v>54</v>
      </c>
      <c r="AB2139" t="s">
        <v>213</v>
      </c>
      <c r="AC2139" t="s">
        <v>85</v>
      </c>
      <c r="AD2139" t="s">
        <v>214</v>
      </c>
      <c r="AE2139" t="s">
        <v>215</v>
      </c>
      <c r="AF2139" t="s">
        <v>216</v>
      </c>
      <c r="AG2139" t="s">
        <v>5594</v>
      </c>
      <c r="AH2139" t="s">
        <v>8544</v>
      </c>
      <c r="AK2139">
        <v>3</v>
      </c>
      <c r="AL2139" t="s">
        <v>61</v>
      </c>
      <c r="AM2139" t="s">
        <v>8545</v>
      </c>
      <c r="AN2139" t="s">
        <v>8546</v>
      </c>
    </row>
    <row r="2140" spans="1:40" x14ac:dyDescent="0.35">
      <c r="A2140" t="s">
        <v>37</v>
      </c>
      <c r="B2140" t="s">
        <v>8549</v>
      </c>
      <c r="C2140" t="s">
        <v>39</v>
      </c>
      <c r="D2140" t="s">
        <v>1751</v>
      </c>
      <c r="E2140" t="s">
        <v>1316</v>
      </c>
      <c r="F2140" s="1">
        <v>46072.542291666665</v>
      </c>
      <c r="G2140" t="s">
        <v>1752</v>
      </c>
      <c r="H2140" t="s">
        <v>447</v>
      </c>
      <c r="I2140" t="s">
        <v>8550</v>
      </c>
      <c r="J2140" t="s">
        <v>1754</v>
      </c>
      <c r="K2140" t="s">
        <v>1755</v>
      </c>
      <c r="M2140" t="s">
        <v>47</v>
      </c>
      <c r="O2140" t="s">
        <v>77</v>
      </c>
      <c r="P2140" t="s">
        <v>78</v>
      </c>
      <c r="Q2140" t="s">
        <v>50</v>
      </c>
      <c r="R2140" t="s">
        <v>51</v>
      </c>
      <c r="S2140" t="s">
        <v>52</v>
      </c>
      <c r="T2140" t="s">
        <v>773</v>
      </c>
      <c r="U2140" s="1">
        <v>46074.962627314817</v>
      </c>
      <c r="V2140" t="s">
        <v>54</v>
      </c>
      <c r="W2140" t="s">
        <v>55</v>
      </c>
      <c r="X2140" t="s">
        <v>134</v>
      </c>
      <c r="Y2140" t="s">
        <v>8551</v>
      </c>
      <c r="Z2140" t="s">
        <v>5594</v>
      </c>
      <c r="AA2140" t="s">
        <v>54</v>
      </c>
      <c r="AB2140" t="s">
        <v>1757</v>
      </c>
      <c r="AC2140" t="s">
        <v>85</v>
      </c>
      <c r="AD2140" t="s">
        <v>52</v>
      </c>
      <c r="AE2140" t="s">
        <v>243</v>
      </c>
      <c r="AF2140" t="s">
        <v>409</v>
      </c>
      <c r="AG2140" t="s">
        <v>5594</v>
      </c>
      <c r="AK2140">
        <v>1</v>
      </c>
      <c r="AL2140" t="s">
        <v>61</v>
      </c>
      <c r="AM2140" t="s">
        <v>1757</v>
      </c>
      <c r="AN2140" t="s">
        <v>1758</v>
      </c>
    </row>
    <row r="2141" spans="1:40" x14ac:dyDescent="0.35">
      <c r="A2141" t="s">
        <v>37</v>
      </c>
      <c r="B2141" t="s">
        <v>8552</v>
      </c>
      <c r="C2141" t="s">
        <v>39</v>
      </c>
      <c r="D2141" t="s">
        <v>325</v>
      </c>
      <c r="E2141" t="s">
        <v>8553</v>
      </c>
      <c r="F2141" s="1">
        <v>46072.54215277778</v>
      </c>
      <c r="G2141" t="s">
        <v>232</v>
      </c>
      <c r="H2141" t="s">
        <v>233</v>
      </c>
      <c r="I2141" t="s">
        <v>205</v>
      </c>
      <c r="J2141" t="s">
        <v>603</v>
      </c>
      <c r="K2141" t="s">
        <v>207</v>
      </c>
      <c r="M2141" t="s">
        <v>47</v>
      </c>
      <c r="O2141" t="s">
        <v>77</v>
      </c>
      <c r="P2141" t="s">
        <v>78</v>
      </c>
      <c r="Q2141" t="s">
        <v>50</v>
      </c>
      <c r="R2141" t="s">
        <v>208</v>
      </c>
      <c r="S2141" t="s">
        <v>209</v>
      </c>
      <c r="T2141" t="s">
        <v>210</v>
      </c>
      <c r="U2141" s="1">
        <v>46072.600347222222</v>
      </c>
      <c r="V2141" t="s">
        <v>54</v>
      </c>
      <c r="W2141" t="s">
        <v>55</v>
      </c>
      <c r="X2141" t="s">
        <v>211</v>
      </c>
      <c r="Y2141" t="s">
        <v>604</v>
      </c>
      <c r="Z2141" t="s">
        <v>5594</v>
      </c>
      <c r="AA2141" t="s">
        <v>54</v>
      </c>
      <c r="AB2141" t="s">
        <v>213</v>
      </c>
      <c r="AC2141" t="s">
        <v>85</v>
      </c>
      <c r="AD2141" t="s">
        <v>214</v>
      </c>
      <c r="AE2141" t="s">
        <v>215</v>
      </c>
      <c r="AF2141" t="s">
        <v>216</v>
      </c>
      <c r="AG2141" t="s">
        <v>5594</v>
      </c>
      <c r="AH2141">
        <v>15339</v>
      </c>
      <c r="AK2141">
        <v>1</v>
      </c>
      <c r="AL2141" t="s">
        <v>61</v>
      </c>
      <c r="AM2141" t="s">
        <v>8554</v>
      </c>
      <c r="AN2141" t="s">
        <v>8555</v>
      </c>
    </row>
    <row r="2142" spans="1:40" x14ac:dyDescent="0.35">
      <c r="A2142" t="s">
        <v>37</v>
      </c>
      <c r="B2142" t="s">
        <v>8556</v>
      </c>
      <c r="C2142" t="s">
        <v>39</v>
      </c>
      <c r="D2142" t="s">
        <v>3696</v>
      </c>
      <c r="E2142" t="s">
        <v>1158</v>
      </c>
      <c r="F2142" s="1">
        <v>46072.54215277778</v>
      </c>
      <c r="G2142" t="s">
        <v>807</v>
      </c>
      <c r="H2142" t="s">
        <v>43</v>
      </c>
      <c r="I2142" t="s">
        <v>205</v>
      </c>
      <c r="J2142" t="s">
        <v>603</v>
      </c>
      <c r="K2142" t="s">
        <v>207</v>
      </c>
      <c r="M2142" t="s">
        <v>47</v>
      </c>
      <c r="O2142" t="s">
        <v>77</v>
      </c>
      <c r="P2142" t="s">
        <v>78</v>
      </c>
      <c r="Q2142" t="s">
        <v>50</v>
      </c>
      <c r="R2142" t="s">
        <v>208</v>
      </c>
      <c r="S2142" t="s">
        <v>209</v>
      </c>
      <c r="T2142" t="s">
        <v>210</v>
      </c>
      <c r="U2142" s="1">
        <v>46072.573263888888</v>
      </c>
      <c r="V2142" t="s">
        <v>54</v>
      </c>
      <c r="W2142" t="s">
        <v>55</v>
      </c>
      <c r="X2142" t="s">
        <v>211</v>
      </c>
      <c r="Y2142" t="s">
        <v>8500</v>
      </c>
      <c r="Z2142" t="s">
        <v>5594</v>
      </c>
      <c r="AA2142" t="s">
        <v>54</v>
      </c>
      <c r="AB2142" t="s">
        <v>213</v>
      </c>
      <c r="AC2142" t="s">
        <v>85</v>
      </c>
      <c r="AD2142" t="s">
        <v>214</v>
      </c>
      <c r="AE2142" t="s">
        <v>215</v>
      </c>
      <c r="AF2142" t="s">
        <v>216</v>
      </c>
      <c r="AG2142" t="s">
        <v>5594</v>
      </c>
      <c r="AH2142">
        <v>14467</v>
      </c>
      <c r="AK2142">
        <v>1</v>
      </c>
      <c r="AL2142" t="s">
        <v>61</v>
      </c>
      <c r="AM2142" t="s">
        <v>8557</v>
      </c>
      <c r="AN2142" t="s">
        <v>8558</v>
      </c>
    </row>
    <row r="2143" spans="1:40" x14ac:dyDescent="0.35">
      <c r="A2143" t="s">
        <v>37</v>
      </c>
      <c r="B2143" t="s">
        <v>8559</v>
      </c>
      <c r="C2143" t="s">
        <v>102</v>
      </c>
      <c r="D2143" t="s">
        <v>617</v>
      </c>
      <c r="E2143" t="s">
        <v>618</v>
      </c>
      <c r="F2143" s="1">
        <v>46072.546759259261</v>
      </c>
      <c r="G2143" t="s">
        <v>286</v>
      </c>
      <c r="H2143" t="s">
        <v>287</v>
      </c>
      <c r="I2143" t="s">
        <v>8560</v>
      </c>
      <c r="J2143" t="s">
        <v>620</v>
      </c>
      <c r="K2143" t="s">
        <v>130</v>
      </c>
      <c r="M2143" t="s">
        <v>47</v>
      </c>
      <c r="O2143" t="s">
        <v>77</v>
      </c>
      <c r="P2143" t="s">
        <v>78</v>
      </c>
      <c r="Q2143" t="s">
        <v>50</v>
      </c>
      <c r="R2143" t="s">
        <v>132</v>
      </c>
      <c r="S2143" t="s">
        <v>133</v>
      </c>
      <c r="T2143" t="s">
        <v>133</v>
      </c>
      <c r="U2143" s="1">
        <v>46073.336504629631</v>
      </c>
      <c r="V2143" t="s">
        <v>54</v>
      </c>
      <c r="W2143" t="s">
        <v>55</v>
      </c>
      <c r="X2143" t="s">
        <v>134</v>
      </c>
      <c r="Y2143" t="s">
        <v>8561</v>
      </c>
      <c r="Z2143" t="s">
        <v>5594</v>
      </c>
      <c r="AA2143" t="s">
        <v>54</v>
      </c>
      <c r="AB2143" t="s">
        <v>622</v>
      </c>
      <c r="AC2143" t="s">
        <v>85</v>
      </c>
      <c r="AD2143" t="s">
        <v>132</v>
      </c>
      <c r="AE2143" t="s">
        <v>133</v>
      </c>
      <c r="AF2143" t="s">
        <v>133</v>
      </c>
      <c r="AG2143" t="s">
        <v>5594</v>
      </c>
      <c r="AH2143" t="s">
        <v>623</v>
      </c>
      <c r="AK2143">
        <v>1</v>
      </c>
      <c r="AL2143" t="s">
        <v>61</v>
      </c>
      <c r="AM2143" t="s">
        <v>622</v>
      </c>
      <c r="AN2143" t="s">
        <v>624</v>
      </c>
    </row>
    <row r="2144" spans="1:40" x14ac:dyDescent="0.35">
      <c r="A2144" t="s">
        <v>37</v>
      </c>
      <c r="B2144" t="s">
        <v>8562</v>
      </c>
      <c r="C2144" t="s">
        <v>39</v>
      </c>
      <c r="D2144" t="s">
        <v>601</v>
      </c>
      <c r="E2144" t="s">
        <v>2312</v>
      </c>
      <c r="F2144" s="1">
        <v>46072.540462962963</v>
      </c>
      <c r="G2144" t="s">
        <v>297</v>
      </c>
      <c r="H2144" t="s">
        <v>287</v>
      </c>
      <c r="I2144" t="s">
        <v>205</v>
      </c>
      <c r="J2144" t="s">
        <v>603</v>
      </c>
      <c r="K2144" t="s">
        <v>207</v>
      </c>
      <c r="M2144" t="s">
        <v>47</v>
      </c>
      <c r="O2144" t="s">
        <v>77</v>
      </c>
      <c r="P2144" t="s">
        <v>78</v>
      </c>
      <c r="Q2144" t="s">
        <v>2423</v>
      </c>
      <c r="R2144" t="s">
        <v>208</v>
      </c>
      <c r="S2144" t="s">
        <v>209</v>
      </c>
      <c r="T2144" t="s">
        <v>210</v>
      </c>
      <c r="U2144" s="1">
        <v>46072.577592592592</v>
      </c>
      <c r="V2144" t="s">
        <v>54</v>
      </c>
      <c r="W2144" t="s">
        <v>55</v>
      </c>
      <c r="X2144" t="s">
        <v>211</v>
      </c>
      <c r="Y2144" t="s">
        <v>8500</v>
      </c>
      <c r="Z2144" t="s">
        <v>5594</v>
      </c>
      <c r="AA2144" t="s">
        <v>54</v>
      </c>
      <c r="AB2144" t="s">
        <v>213</v>
      </c>
      <c r="AC2144" t="s">
        <v>85</v>
      </c>
      <c r="AD2144" t="s">
        <v>214</v>
      </c>
      <c r="AE2144" t="s">
        <v>215</v>
      </c>
      <c r="AF2144" t="s">
        <v>216</v>
      </c>
      <c r="AG2144" t="s">
        <v>5594</v>
      </c>
      <c r="AH2144">
        <v>4578</v>
      </c>
      <c r="AK2144">
        <v>1</v>
      </c>
      <c r="AL2144" t="s">
        <v>410</v>
      </c>
      <c r="AM2144" t="s">
        <v>8563</v>
      </c>
      <c r="AN2144" t="s">
        <v>8564</v>
      </c>
    </row>
    <row r="2145" spans="1:40" x14ac:dyDescent="0.35">
      <c r="A2145" t="s">
        <v>37</v>
      </c>
      <c r="B2145" t="s">
        <v>8565</v>
      </c>
      <c r="C2145" t="s">
        <v>39</v>
      </c>
      <c r="D2145" t="s">
        <v>8566</v>
      </c>
      <c r="E2145" t="s">
        <v>8567</v>
      </c>
      <c r="F2145" s="1">
        <v>46072.539363425924</v>
      </c>
      <c r="G2145" t="s">
        <v>487</v>
      </c>
      <c r="H2145" t="s">
        <v>447</v>
      </c>
      <c r="I2145" t="s">
        <v>205</v>
      </c>
      <c r="J2145" t="s">
        <v>603</v>
      </c>
      <c r="K2145" t="s">
        <v>207</v>
      </c>
      <c r="M2145" t="s">
        <v>47</v>
      </c>
      <c r="O2145" t="s">
        <v>77</v>
      </c>
      <c r="P2145" t="s">
        <v>78</v>
      </c>
      <c r="Q2145" t="s">
        <v>50</v>
      </c>
      <c r="R2145" t="s">
        <v>208</v>
      </c>
      <c r="S2145" t="s">
        <v>209</v>
      </c>
      <c r="T2145" t="s">
        <v>210</v>
      </c>
      <c r="U2145" s="1">
        <v>46072.578344907408</v>
      </c>
      <c r="V2145" t="s">
        <v>54</v>
      </c>
      <c r="W2145" t="s">
        <v>55</v>
      </c>
      <c r="X2145" t="s">
        <v>211</v>
      </c>
      <c r="Y2145" t="s">
        <v>8500</v>
      </c>
      <c r="Z2145" t="s">
        <v>5594</v>
      </c>
      <c r="AA2145" t="s">
        <v>54</v>
      </c>
      <c r="AB2145" t="s">
        <v>213</v>
      </c>
      <c r="AC2145" t="s">
        <v>85</v>
      </c>
      <c r="AD2145" t="s">
        <v>214</v>
      </c>
      <c r="AE2145" t="s">
        <v>215</v>
      </c>
      <c r="AF2145" t="s">
        <v>216</v>
      </c>
      <c r="AG2145" t="s">
        <v>5594</v>
      </c>
      <c r="AH2145">
        <v>15641</v>
      </c>
      <c r="AK2145">
        <v>1</v>
      </c>
      <c r="AL2145" t="s">
        <v>61</v>
      </c>
      <c r="AM2145" t="s">
        <v>8568</v>
      </c>
      <c r="AN2145" t="s">
        <v>8569</v>
      </c>
    </row>
    <row r="2146" spans="1:40" x14ac:dyDescent="0.35">
      <c r="A2146" t="s">
        <v>37</v>
      </c>
      <c r="B2146" t="s">
        <v>8570</v>
      </c>
      <c r="C2146" t="s">
        <v>39</v>
      </c>
      <c r="D2146" t="s">
        <v>1055</v>
      </c>
      <c r="E2146" t="s">
        <v>1056</v>
      </c>
      <c r="F2146" s="1">
        <v>46072.538391203707</v>
      </c>
      <c r="G2146" t="s">
        <v>355</v>
      </c>
      <c r="H2146" t="s">
        <v>356</v>
      </c>
      <c r="I2146" t="s">
        <v>205</v>
      </c>
      <c r="J2146" t="s">
        <v>741</v>
      </c>
      <c r="K2146" t="s">
        <v>207</v>
      </c>
      <c r="M2146" t="s">
        <v>131</v>
      </c>
      <c r="O2146" t="s">
        <v>77</v>
      </c>
      <c r="P2146" t="s">
        <v>78</v>
      </c>
      <c r="Q2146" t="s">
        <v>50</v>
      </c>
      <c r="R2146" t="s">
        <v>305</v>
      </c>
      <c r="S2146" t="s">
        <v>306</v>
      </c>
      <c r="T2146" t="s">
        <v>307</v>
      </c>
      <c r="U2146" s="1">
        <v>46076.562662037039</v>
      </c>
      <c r="V2146" t="s">
        <v>54</v>
      </c>
      <c r="W2146" t="s">
        <v>55</v>
      </c>
      <c r="X2146" t="s">
        <v>211</v>
      </c>
      <c r="Y2146" t="s">
        <v>8571</v>
      </c>
      <c r="Z2146" t="s">
        <v>58</v>
      </c>
      <c r="AA2146" t="s">
        <v>54</v>
      </c>
      <c r="AB2146" t="s">
        <v>213</v>
      </c>
      <c r="AC2146" t="s">
        <v>85</v>
      </c>
      <c r="AD2146" t="s">
        <v>214</v>
      </c>
      <c r="AE2146" t="s">
        <v>215</v>
      </c>
      <c r="AF2146" t="s">
        <v>2083</v>
      </c>
      <c r="AG2146" t="s">
        <v>58</v>
      </c>
      <c r="AH2146" t="s">
        <v>1060</v>
      </c>
      <c r="AK2146">
        <v>4</v>
      </c>
      <c r="AL2146" t="s">
        <v>61</v>
      </c>
      <c r="AM2146" t="s">
        <v>1061</v>
      </c>
      <c r="AN2146" t="s">
        <v>1062</v>
      </c>
    </row>
    <row r="2147" spans="1:40" x14ac:dyDescent="0.35">
      <c r="A2147" t="s">
        <v>37</v>
      </c>
      <c r="B2147" t="s">
        <v>8572</v>
      </c>
      <c r="C2147" t="s">
        <v>39</v>
      </c>
      <c r="D2147" t="s">
        <v>8469</v>
      </c>
      <c r="E2147" t="s">
        <v>8470</v>
      </c>
      <c r="F2147" s="1">
        <v>46072.538344907407</v>
      </c>
      <c r="G2147" t="s">
        <v>232</v>
      </c>
      <c r="H2147" t="s">
        <v>233</v>
      </c>
      <c r="I2147" t="s">
        <v>1446</v>
      </c>
      <c r="J2147" t="s">
        <v>2406</v>
      </c>
      <c r="K2147" t="s">
        <v>1187</v>
      </c>
      <c r="M2147" t="s">
        <v>131</v>
      </c>
      <c r="O2147" t="s">
        <v>77</v>
      </c>
      <c r="P2147" t="s">
        <v>78</v>
      </c>
      <c r="Q2147" t="s">
        <v>50</v>
      </c>
      <c r="R2147" t="s">
        <v>51</v>
      </c>
      <c r="S2147" t="s">
        <v>52</v>
      </c>
      <c r="T2147" t="s">
        <v>773</v>
      </c>
      <c r="U2147" s="1">
        <v>46077.602881944447</v>
      </c>
      <c r="V2147" t="s">
        <v>54</v>
      </c>
      <c r="W2147" t="s">
        <v>55</v>
      </c>
      <c r="X2147" t="s">
        <v>211</v>
      </c>
      <c r="Y2147" t="s">
        <v>4120</v>
      </c>
      <c r="Z2147" t="s">
        <v>58</v>
      </c>
      <c r="AA2147" t="s">
        <v>54</v>
      </c>
      <c r="AB2147" t="s">
        <v>213</v>
      </c>
      <c r="AC2147" t="s">
        <v>85</v>
      </c>
      <c r="AD2147" t="s">
        <v>1189</v>
      </c>
      <c r="AE2147" t="s">
        <v>3436</v>
      </c>
      <c r="AF2147" t="s">
        <v>3437</v>
      </c>
      <c r="AG2147" t="s">
        <v>58</v>
      </c>
      <c r="AH2147" t="s">
        <v>8473</v>
      </c>
      <c r="AK2147">
        <v>6</v>
      </c>
      <c r="AL2147" t="s">
        <v>61</v>
      </c>
      <c r="AM2147" t="s">
        <v>8474</v>
      </c>
      <c r="AN2147" t="s">
        <v>8475</v>
      </c>
    </row>
    <row r="2148" spans="1:40" x14ac:dyDescent="0.35">
      <c r="A2148" t="s">
        <v>37</v>
      </c>
      <c r="B2148" t="s">
        <v>8573</v>
      </c>
      <c r="C2148" t="s">
        <v>39</v>
      </c>
      <c r="D2148" t="s">
        <v>8574</v>
      </c>
      <c r="E2148" t="s">
        <v>8575</v>
      </c>
      <c r="F2148" s="1">
        <v>46072.537604166668</v>
      </c>
      <c r="G2148" t="s">
        <v>508</v>
      </c>
      <c r="H2148" t="s">
        <v>72</v>
      </c>
      <c r="I2148" t="s">
        <v>205</v>
      </c>
      <c r="J2148" t="s">
        <v>603</v>
      </c>
      <c r="K2148" t="s">
        <v>207</v>
      </c>
      <c r="M2148" t="s">
        <v>47</v>
      </c>
      <c r="O2148" t="s">
        <v>77</v>
      </c>
      <c r="P2148" t="s">
        <v>78</v>
      </c>
      <c r="Q2148" t="s">
        <v>50</v>
      </c>
      <c r="R2148" t="s">
        <v>208</v>
      </c>
      <c r="S2148" t="s">
        <v>209</v>
      </c>
      <c r="T2148" t="s">
        <v>210</v>
      </c>
      <c r="U2148" s="1">
        <v>46072.579085648147</v>
      </c>
      <c r="V2148" t="s">
        <v>54</v>
      </c>
      <c r="W2148" t="s">
        <v>55</v>
      </c>
      <c r="X2148" t="s">
        <v>211</v>
      </c>
      <c r="Y2148" t="s">
        <v>8500</v>
      </c>
      <c r="Z2148" t="s">
        <v>5594</v>
      </c>
      <c r="AA2148" t="s">
        <v>54</v>
      </c>
      <c r="AB2148" t="s">
        <v>213</v>
      </c>
      <c r="AC2148" t="s">
        <v>85</v>
      </c>
      <c r="AD2148" t="s">
        <v>214</v>
      </c>
      <c r="AE2148" t="s">
        <v>215</v>
      </c>
      <c r="AF2148" t="s">
        <v>216</v>
      </c>
      <c r="AG2148" t="s">
        <v>5594</v>
      </c>
      <c r="AH2148" t="s">
        <v>8576</v>
      </c>
      <c r="AK2148">
        <v>1</v>
      </c>
      <c r="AL2148" t="s">
        <v>61</v>
      </c>
      <c r="AM2148" t="s">
        <v>8577</v>
      </c>
      <c r="AN2148" t="s">
        <v>8578</v>
      </c>
    </row>
    <row r="2149" spans="1:40" x14ac:dyDescent="0.35">
      <c r="A2149" t="s">
        <v>37</v>
      </c>
      <c r="B2149" t="s">
        <v>8579</v>
      </c>
      <c r="C2149" t="s">
        <v>102</v>
      </c>
      <c r="D2149" t="s">
        <v>2503</v>
      </c>
      <c r="E2149" t="s">
        <v>8580</v>
      </c>
      <c r="F2149" s="1">
        <v>46072.537418981483</v>
      </c>
      <c r="G2149" t="s">
        <v>446</v>
      </c>
      <c r="H2149" t="s">
        <v>447</v>
      </c>
      <c r="I2149" t="s">
        <v>8581</v>
      </c>
      <c r="J2149" t="s">
        <v>6155</v>
      </c>
      <c r="K2149" t="s">
        <v>6156</v>
      </c>
      <c r="M2149" t="s">
        <v>47</v>
      </c>
      <c r="O2149" t="s">
        <v>237</v>
      </c>
      <c r="P2149" t="s">
        <v>238</v>
      </c>
      <c r="Q2149" t="s">
        <v>50</v>
      </c>
      <c r="R2149" t="s">
        <v>51</v>
      </c>
      <c r="S2149" t="s">
        <v>52</v>
      </c>
      <c r="T2149" t="s">
        <v>240</v>
      </c>
      <c r="U2149" s="1">
        <v>46072.58834490741</v>
      </c>
      <c r="V2149" t="s">
        <v>54</v>
      </c>
      <c r="W2149" t="s">
        <v>55</v>
      </c>
      <c r="X2149" t="s">
        <v>211</v>
      </c>
      <c r="Y2149" t="s">
        <v>8582</v>
      </c>
      <c r="Z2149" t="s">
        <v>5594</v>
      </c>
      <c r="AA2149" t="s">
        <v>54</v>
      </c>
      <c r="AB2149" t="s">
        <v>213</v>
      </c>
      <c r="AC2149" t="s">
        <v>242</v>
      </c>
      <c r="AD2149" t="s">
        <v>52</v>
      </c>
      <c r="AE2149" t="s">
        <v>243</v>
      </c>
      <c r="AF2149" t="s">
        <v>1470</v>
      </c>
      <c r="AG2149" t="s">
        <v>5594</v>
      </c>
      <c r="AH2149">
        <v>14694</v>
      </c>
      <c r="AK2149">
        <v>1</v>
      </c>
      <c r="AL2149" t="s">
        <v>61</v>
      </c>
      <c r="AM2149" t="s">
        <v>8583</v>
      </c>
      <c r="AN2149" t="s">
        <v>8584</v>
      </c>
    </row>
    <row r="2150" spans="1:40" x14ac:dyDescent="0.35">
      <c r="A2150" t="s">
        <v>37</v>
      </c>
      <c r="B2150" t="s">
        <v>8585</v>
      </c>
      <c r="C2150" t="s">
        <v>39</v>
      </c>
      <c r="D2150" t="s">
        <v>824</v>
      </c>
      <c r="E2150" t="s">
        <v>8586</v>
      </c>
      <c r="F2150" s="1">
        <v>46072.537418981483</v>
      </c>
      <c r="G2150" t="s">
        <v>261</v>
      </c>
      <c r="H2150" t="s">
        <v>72</v>
      </c>
      <c r="I2150" t="s">
        <v>205</v>
      </c>
      <c r="J2150" t="s">
        <v>603</v>
      </c>
      <c r="K2150" t="s">
        <v>207</v>
      </c>
      <c r="M2150" t="s">
        <v>47</v>
      </c>
      <c r="O2150" t="s">
        <v>77</v>
      </c>
      <c r="P2150" t="s">
        <v>78</v>
      </c>
      <c r="Q2150" t="s">
        <v>50</v>
      </c>
      <c r="R2150" t="s">
        <v>208</v>
      </c>
      <c r="S2150" t="s">
        <v>209</v>
      </c>
      <c r="T2150" t="s">
        <v>210</v>
      </c>
      <c r="U2150" s="1">
        <v>46072.579953703702</v>
      </c>
      <c r="V2150" t="s">
        <v>54</v>
      </c>
      <c r="W2150" t="s">
        <v>55</v>
      </c>
      <c r="X2150" t="s">
        <v>211</v>
      </c>
      <c r="Y2150" t="s">
        <v>8500</v>
      </c>
      <c r="Z2150" t="s">
        <v>5594</v>
      </c>
      <c r="AA2150" t="s">
        <v>54</v>
      </c>
      <c r="AB2150" t="s">
        <v>213</v>
      </c>
      <c r="AC2150" t="s">
        <v>85</v>
      </c>
      <c r="AD2150" t="s">
        <v>214</v>
      </c>
      <c r="AE2150" t="s">
        <v>215</v>
      </c>
      <c r="AF2150" t="s">
        <v>216</v>
      </c>
      <c r="AG2150" t="s">
        <v>5594</v>
      </c>
      <c r="AH2150">
        <v>13481</v>
      </c>
      <c r="AK2150">
        <v>1</v>
      </c>
      <c r="AL2150" t="s">
        <v>61</v>
      </c>
      <c r="AM2150" t="s">
        <v>8587</v>
      </c>
      <c r="AN2150" t="s">
        <v>8588</v>
      </c>
    </row>
    <row r="2151" spans="1:40" x14ac:dyDescent="0.35">
      <c r="A2151" t="s">
        <v>37</v>
      </c>
      <c r="B2151" t="s">
        <v>8589</v>
      </c>
      <c r="C2151" t="s">
        <v>39</v>
      </c>
      <c r="D2151" t="s">
        <v>8590</v>
      </c>
      <c r="E2151" t="s">
        <v>296</v>
      </c>
      <c r="F2151" s="1">
        <v>46072.536631944444</v>
      </c>
      <c r="G2151" t="s">
        <v>261</v>
      </c>
      <c r="H2151" t="s">
        <v>72</v>
      </c>
      <c r="I2151" t="s">
        <v>205</v>
      </c>
      <c r="J2151" t="s">
        <v>603</v>
      </c>
      <c r="K2151" t="s">
        <v>207</v>
      </c>
      <c r="M2151" t="s">
        <v>47</v>
      </c>
      <c r="O2151" t="s">
        <v>77</v>
      </c>
      <c r="P2151" t="s">
        <v>78</v>
      </c>
      <c r="Q2151" t="s">
        <v>50</v>
      </c>
      <c r="R2151" t="s">
        <v>208</v>
      </c>
      <c r="S2151" t="s">
        <v>209</v>
      </c>
      <c r="T2151" t="s">
        <v>210</v>
      </c>
      <c r="U2151" s="1">
        <v>46072.580891203703</v>
      </c>
      <c r="V2151" t="s">
        <v>54</v>
      </c>
      <c r="W2151" t="s">
        <v>55</v>
      </c>
      <c r="X2151" t="s">
        <v>211</v>
      </c>
      <c r="Y2151" t="s">
        <v>8500</v>
      </c>
      <c r="Z2151" t="s">
        <v>5594</v>
      </c>
      <c r="AA2151" t="s">
        <v>54</v>
      </c>
      <c r="AB2151" t="s">
        <v>213</v>
      </c>
      <c r="AC2151" t="s">
        <v>85</v>
      </c>
      <c r="AD2151" t="s">
        <v>214</v>
      </c>
      <c r="AE2151" t="s">
        <v>215</v>
      </c>
      <c r="AF2151" t="s">
        <v>216</v>
      </c>
      <c r="AG2151" t="s">
        <v>5594</v>
      </c>
      <c r="AH2151">
        <v>15306</v>
      </c>
      <c r="AK2151">
        <v>1</v>
      </c>
      <c r="AL2151" t="s">
        <v>61</v>
      </c>
      <c r="AM2151" t="s">
        <v>8591</v>
      </c>
      <c r="AN2151" t="s">
        <v>8592</v>
      </c>
    </row>
    <row r="2152" spans="1:40" x14ac:dyDescent="0.35">
      <c r="A2152" t="s">
        <v>37</v>
      </c>
      <c r="B2152" t="s">
        <v>8593</v>
      </c>
      <c r="C2152" t="s">
        <v>39</v>
      </c>
      <c r="D2152" t="s">
        <v>2386</v>
      </c>
      <c r="E2152" t="s">
        <v>1316</v>
      </c>
      <c r="F2152" s="1">
        <v>46072.536377314813</v>
      </c>
      <c r="G2152" t="s">
        <v>355</v>
      </c>
      <c r="H2152" t="s">
        <v>356</v>
      </c>
      <c r="I2152" t="s">
        <v>6885</v>
      </c>
      <c r="J2152" t="s">
        <v>6631</v>
      </c>
      <c r="K2152" t="s">
        <v>6632</v>
      </c>
      <c r="M2152" t="s">
        <v>47</v>
      </c>
      <c r="O2152" t="s">
        <v>77</v>
      </c>
      <c r="P2152" t="s">
        <v>78</v>
      </c>
      <c r="Q2152" t="s">
        <v>50</v>
      </c>
      <c r="R2152" t="s">
        <v>51</v>
      </c>
      <c r="S2152" t="s">
        <v>52</v>
      </c>
      <c r="T2152" t="s">
        <v>773</v>
      </c>
      <c r="U2152" s="1">
        <v>46072.540219907409</v>
      </c>
      <c r="V2152" t="s">
        <v>54</v>
      </c>
      <c r="W2152" t="s">
        <v>55</v>
      </c>
      <c r="X2152" t="s">
        <v>134</v>
      </c>
      <c r="Y2152" t="s">
        <v>8594</v>
      </c>
      <c r="Z2152" t="s">
        <v>5594</v>
      </c>
      <c r="AA2152" t="s">
        <v>54</v>
      </c>
      <c r="AB2152" t="s">
        <v>2388</v>
      </c>
      <c r="AC2152" t="s">
        <v>85</v>
      </c>
      <c r="AD2152" t="s">
        <v>52</v>
      </c>
      <c r="AE2152" t="s">
        <v>967</v>
      </c>
      <c r="AF2152" t="s">
        <v>2563</v>
      </c>
      <c r="AG2152" t="s">
        <v>5594</v>
      </c>
      <c r="AK2152">
        <v>0</v>
      </c>
      <c r="AL2152" t="s">
        <v>61</v>
      </c>
      <c r="AM2152" t="s">
        <v>2388</v>
      </c>
      <c r="AN2152" t="s">
        <v>2389</v>
      </c>
    </row>
    <row r="2153" spans="1:40" x14ac:dyDescent="0.35">
      <c r="A2153" t="s">
        <v>37</v>
      </c>
      <c r="B2153" t="s">
        <v>8595</v>
      </c>
      <c r="C2153" t="s">
        <v>39</v>
      </c>
      <c r="D2153" t="s">
        <v>277</v>
      </c>
      <c r="E2153" t="s">
        <v>296</v>
      </c>
      <c r="F2153" s="1">
        <v>46072.536412037036</v>
      </c>
      <c r="G2153" t="s">
        <v>261</v>
      </c>
      <c r="H2153" t="s">
        <v>72</v>
      </c>
      <c r="I2153" t="s">
        <v>205</v>
      </c>
      <c r="J2153" t="s">
        <v>603</v>
      </c>
      <c r="K2153" t="s">
        <v>207</v>
      </c>
      <c r="M2153" t="s">
        <v>47</v>
      </c>
      <c r="O2153" t="s">
        <v>77</v>
      </c>
      <c r="P2153" t="s">
        <v>78</v>
      </c>
      <c r="Q2153" t="s">
        <v>50</v>
      </c>
      <c r="R2153" t="s">
        <v>208</v>
      </c>
      <c r="S2153" t="s">
        <v>209</v>
      </c>
      <c r="T2153" t="s">
        <v>210</v>
      </c>
      <c r="U2153" s="1">
        <v>46072.581782407404</v>
      </c>
      <c r="V2153" t="s">
        <v>54</v>
      </c>
      <c r="W2153" t="s">
        <v>55</v>
      </c>
      <c r="X2153" t="s">
        <v>211</v>
      </c>
      <c r="Y2153" t="s">
        <v>8500</v>
      </c>
      <c r="Z2153" t="s">
        <v>5594</v>
      </c>
      <c r="AA2153" t="s">
        <v>54</v>
      </c>
      <c r="AB2153" t="s">
        <v>213</v>
      </c>
      <c r="AC2153" t="s">
        <v>85</v>
      </c>
      <c r="AD2153" t="s">
        <v>214</v>
      </c>
      <c r="AE2153" t="s">
        <v>215</v>
      </c>
      <c r="AF2153" t="s">
        <v>216</v>
      </c>
      <c r="AG2153" t="s">
        <v>5594</v>
      </c>
      <c r="AH2153">
        <v>12999</v>
      </c>
      <c r="AK2153">
        <v>1</v>
      </c>
      <c r="AL2153" t="s">
        <v>61</v>
      </c>
      <c r="AM2153" t="s">
        <v>8596</v>
      </c>
      <c r="AN2153" t="s">
        <v>8597</v>
      </c>
    </row>
    <row r="2154" spans="1:40" x14ac:dyDescent="0.35">
      <c r="A2154" t="s">
        <v>37</v>
      </c>
      <c r="B2154" t="s">
        <v>8598</v>
      </c>
      <c r="C2154" t="s">
        <v>39</v>
      </c>
      <c r="D2154" t="s">
        <v>2386</v>
      </c>
      <c r="E2154" t="s">
        <v>1316</v>
      </c>
      <c r="F2154" s="1">
        <v>46072.536377314813</v>
      </c>
      <c r="G2154" t="s">
        <v>355</v>
      </c>
      <c r="H2154" t="s">
        <v>356</v>
      </c>
      <c r="I2154" t="s">
        <v>8599</v>
      </c>
      <c r="J2154" t="s">
        <v>6631</v>
      </c>
      <c r="K2154" t="s">
        <v>6632</v>
      </c>
      <c r="M2154" t="s">
        <v>47</v>
      </c>
      <c r="O2154" t="s">
        <v>77</v>
      </c>
      <c r="P2154" t="s">
        <v>78</v>
      </c>
      <c r="Q2154" t="s">
        <v>50</v>
      </c>
      <c r="R2154" t="s">
        <v>51</v>
      </c>
      <c r="S2154" t="s">
        <v>52</v>
      </c>
      <c r="T2154" t="s">
        <v>773</v>
      </c>
      <c r="U2154" s="1">
        <v>46072.54351851852</v>
      </c>
      <c r="V2154" t="s">
        <v>54</v>
      </c>
      <c r="W2154" t="s">
        <v>55</v>
      </c>
      <c r="X2154" t="s">
        <v>134</v>
      </c>
      <c r="Y2154" t="s">
        <v>8600</v>
      </c>
      <c r="Z2154" t="s">
        <v>5594</v>
      </c>
      <c r="AA2154" t="s">
        <v>54</v>
      </c>
      <c r="AB2154" t="s">
        <v>2388</v>
      </c>
      <c r="AC2154" t="s">
        <v>85</v>
      </c>
      <c r="AD2154" t="s">
        <v>52</v>
      </c>
      <c r="AE2154" t="s">
        <v>967</v>
      </c>
      <c r="AF2154" t="s">
        <v>2563</v>
      </c>
      <c r="AG2154" t="s">
        <v>5594</v>
      </c>
      <c r="AK2154">
        <v>0</v>
      </c>
      <c r="AL2154" t="s">
        <v>61</v>
      </c>
      <c r="AM2154" t="s">
        <v>2388</v>
      </c>
      <c r="AN2154" t="s">
        <v>2389</v>
      </c>
    </row>
    <row r="2155" spans="1:40" x14ac:dyDescent="0.35">
      <c r="A2155" t="s">
        <v>37</v>
      </c>
      <c r="B2155" t="s">
        <v>8601</v>
      </c>
      <c r="C2155" t="s">
        <v>39</v>
      </c>
      <c r="D2155" t="s">
        <v>2386</v>
      </c>
      <c r="E2155" t="s">
        <v>1316</v>
      </c>
      <c r="F2155" s="1">
        <v>46072.536377314813</v>
      </c>
      <c r="G2155" t="s">
        <v>355</v>
      </c>
      <c r="H2155" t="s">
        <v>356</v>
      </c>
      <c r="I2155" t="s">
        <v>8602</v>
      </c>
      <c r="J2155" t="s">
        <v>6631</v>
      </c>
      <c r="K2155" t="s">
        <v>6632</v>
      </c>
      <c r="M2155" t="s">
        <v>47</v>
      </c>
      <c r="O2155" t="s">
        <v>77</v>
      </c>
      <c r="P2155" t="s">
        <v>78</v>
      </c>
      <c r="Q2155" t="s">
        <v>50</v>
      </c>
      <c r="R2155" t="s">
        <v>51</v>
      </c>
      <c r="S2155" t="s">
        <v>52</v>
      </c>
      <c r="T2155" t="s">
        <v>773</v>
      </c>
      <c r="U2155" s="1">
        <v>46072.540555555555</v>
      </c>
      <c r="V2155" t="s">
        <v>54</v>
      </c>
      <c r="W2155" t="s">
        <v>55</v>
      </c>
      <c r="X2155" t="s">
        <v>134</v>
      </c>
      <c r="Y2155" t="s">
        <v>8603</v>
      </c>
      <c r="Z2155" t="s">
        <v>5594</v>
      </c>
      <c r="AA2155" t="s">
        <v>54</v>
      </c>
      <c r="AB2155" t="s">
        <v>2388</v>
      </c>
      <c r="AC2155" t="s">
        <v>85</v>
      </c>
      <c r="AD2155" t="s">
        <v>52</v>
      </c>
      <c r="AE2155" t="s">
        <v>967</v>
      </c>
      <c r="AF2155" t="s">
        <v>2563</v>
      </c>
      <c r="AG2155" t="s">
        <v>5594</v>
      </c>
      <c r="AK2155">
        <v>0</v>
      </c>
      <c r="AL2155" t="s">
        <v>61</v>
      </c>
      <c r="AM2155" t="s">
        <v>2388</v>
      </c>
      <c r="AN2155" t="s">
        <v>2389</v>
      </c>
    </row>
    <row r="2156" spans="1:40" x14ac:dyDescent="0.35">
      <c r="A2156" t="s">
        <v>37</v>
      </c>
      <c r="B2156" t="s">
        <v>8604</v>
      </c>
      <c r="C2156" t="s">
        <v>39</v>
      </c>
      <c r="D2156" t="s">
        <v>2386</v>
      </c>
      <c r="E2156" t="s">
        <v>1316</v>
      </c>
      <c r="F2156" s="1">
        <v>46072.536377314813</v>
      </c>
      <c r="G2156" t="s">
        <v>355</v>
      </c>
      <c r="H2156" t="s">
        <v>356</v>
      </c>
      <c r="I2156" t="s">
        <v>8605</v>
      </c>
      <c r="J2156" t="s">
        <v>6631</v>
      </c>
      <c r="K2156" t="s">
        <v>6632</v>
      </c>
      <c r="M2156" t="s">
        <v>47</v>
      </c>
      <c r="O2156" t="s">
        <v>77</v>
      </c>
      <c r="P2156" t="s">
        <v>78</v>
      </c>
      <c r="Q2156" t="s">
        <v>50</v>
      </c>
      <c r="R2156" t="s">
        <v>51</v>
      </c>
      <c r="S2156" t="s">
        <v>52</v>
      </c>
      <c r="T2156" t="s">
        <v>773</v>
      </c>
      <c r="U2156" s="1">
        <v>46072.540844907409</v>
      </c>
      <c r="V2156" t="s">
        <v>54</v>
      </c>
      <c r="W2156" t="s">
        <v>55</v>
      </c>
      <c r="X2156" t="s">
        <v>134</v>
      </c>
      <c r="Y2156" t="s">
        <v>8606</v>
      </c>
      <c r="Z2156" t="s">
        <v>5594</v>
      </c>
      <c r="AA2156" t="s">
        <v>54</v>
      </c>
      <c r="AB2156" t="s">
        <v>2388</v>
      </c>
      <c r="AC2156" t="s">
        <v>85</v>
      </c>
      <c r="AD2156" t="s">
        <v>52</v>
      </c>
      <c r="AE2156" t="s">
        <v>967</v>
      </c>
      <c r="AF2156" t="s">
        <v>2563</v>
      </c>
      <c r="AG2156" t="s">
        <v>5594</v>
      </c>
      <c r="AK2156">
        <v>0</v>
      </c>
      <c r="AL2156" t="s">
        <v>61</v>
      </c>
      <c r="AM2156" t="s">
        <v>2388</v>
      </c>
      <c r="AN2156" t="s">
        <v>2389</v>
      </c>
    </row>
    <row r="2157" spans="1:40" x14ac:dyDescent="0.35">
      <c r="A2157" t="s">
        <v>37</v>
      </c>
      <c r="B2157" t="s">
        <v>8607</v>
      </c>
      <c r="C2157" t="s">
        <v>39</v>
      </c>
      <c r="D2157" t="s">
        <v>2386</v>
      </c>
      <c r="E2157" t="s">
        <v>1316</v>
      </c>
      <c r="F2157" s="1">
        <v>46072.536377314813</v>
      </c>
      <c r="G2157" t="s">
        <v>355</v>
      </c>
      <c r="H2157" t="s">
        <v>356</v>
      </c>
      <c r="I2157" t="s">
        <v>8608</v>
      </c>
      <c r="J2157" t="s">
        <v>6631</v>
      </c>
      <c r="K2157" t="s">
        <v>6632</v>
      </c>
      <c r="M2157" t="s">
        <v>47</v>
      </c>
      <c r="O2157" t="s">
        <v>77</v>
      </c>
      <c r="P2157" t="s">
        <v>78</v>
      </c>
      <c r="Q2157" t="s">
        <v>50</v>
      </c>
      <c r="R2157" t="s">
        <v>51</v>
      </c>
      <c r="S2157" t="s">
        <v>52</v>
      </c>
      <c r="T2157" t="s">
        <v>773</v>
      </c>
      <c r="U2157" s="1">
        <v>46072.541122685187</v>
      </c>
      <c r="V2157" t="s">
        <v>54</v>
      </c>
      <c r="W2157" t="s">
        <v>55</v>
      </c>
      <c r="X2157" t="s">
        <v>134</v>
      </c>
      <c r="Y2157" t="s">
        <v>8609</v>
      </c>
      <c r="Z2157" t="s">
        <v>5594</v>
      </c>
      <c r="AA2157" t="s">
        <v>54</v>
      </c>
      <c r="AB2157" t="s">
        <v>2388</v>
      </c>
      <c r="AC2157" t="s">
        <v>85</v>
      </c>
      <c r="AD2157" t="s">
        <v>52</v>
      </c>
      <c r="AE2157" t="s">
        <v>967</v>
      </c>
      <c r="AF2157" t="s">
        <v>2563</v>
      </c>
      <c r="AG2157" t="s">
        <v>5594</v>
      </c>
      <c r="AK2157">
        <v>0</v>
      </c>
      <c r="AL2157" t="s">
        <v>61</v>
      </c>
      <c r="AM2157" t="s">
        <v>2388</v>
      </c>
      <c r="AN2157" t="s">
        <v>2389</v>
      </c>
    </row>
    <row r="2158" spans="1:40" x14ac:dyDescent="0.35">
      <c r="A2158" t="s">
        <v>37</v>
      </c>
      <c r="B2158" t="s">
        <v>8610</v>
      </c>
      <c r="C2158" t="s">
        <v>39</v>
      </c>
      <c r="D2158" t="s">
        <v>7119</v>
      </c>
      <c r="E2158" t="s">
        <v>7120</v>
      </c>
      <c r="F2158" s="1">
        <v>46072.536030092589</v>
      </c>
      <c r="G2158" t="s">
        <v>71</v>
      </c>
      <c r="H2158" t="s">
        <v>72</v>
      </c>
      <c r="I2158" t="s">
        <v>7174</v>
      </c>
      <c r="J2158" t="s">
        <v>6620</v>
      </c>
      <c r="K2158" t="s">
        <v>951</v>
      </c>
      <c r="M2158" t="s">
        <v>76</v>
      </c>
      <c r="O2158" t="s">
        <v>77</v>
      </c>
      <c r="P2158" t="s">
        <v>78</v>
      </c>
      <c r="Q2158" t="s">
        <v>50</v>
      </c>
      <c r="R2158" t="s">
        <v>305</v>
      </c>
      <c r="S2158" t="s">
        <v>306</v>
      </c>
      <c r="T2158" t="s">
        <v>307</v>
      </c>
      <c r="U2158" s="1">
        <v>46078.48201388889</v>
      </c>
      <c r="V2158" t="s">
        <v>54</v>
      </c>
      <c r="W2158" t="s">
        <v>55</v>
      </c>
      <c r="X2158" t="s">
        <v>211</v>
      </c>
      <c r="Y2158" t="s">
        <v>8611</v>
      </c>
      <c r="Z2158" t="s">
        <v>58</v>
      </c>
      <c r="AA2158" t="s">
        <v>54</v>
      </c>
      <c r="AB2158" t="s">
        <v>213</v>
      </c>
      <c r="AC2158" t="s">
        <v>85</v>
      </c>
      <c r="AD2158" t="s">
        <v>79</v>
      </c>
      <c r="AE2158" t="s">
        <v>955</v>
      </c>
      <c r="AF2158" t="s">
        <v>2460</v>
      </c>
      <c r="AG2158" t="s">
        <v>58</v>
      </c>
      <c r="AH2158" t="s">
        <v>7123</v>
      </c>
      <c r="AK2158">
        <v>2</v>
      </c>
      <c r="AL2158" t="s">
        <v>61</v>
      </c>
      <c r="AM2158" t="s">
        <v>7124</v>
      </c>
      <c r="AN2158" t="s">
        <v>7125</v>
      </c>
    </row>
    <row r="2159" spans="1:40" x14ac:dyDescent="0.35">
      <c r="A2159" t="s">
        <v>37</v>
      </c>
      <c r="B2159" t="s">
        <v>8612</v>
      </c>
      <c r="C2159" t="s">
        <v>39</v>
      </c>
      <c r="D2159" t="s">
        <v>2386</v>
      </c>
      <c r="E2159" t="s">
        <v>1316</v>
      </c>
      <c r="F2159" s="1">
        <v>46072.535474537035</v>
      </c>
      <c r="G2159" t="s">
        <v>355</v>
      </c>
      <c r="H2159" t="s">
        <v>356</v>
      </c>
      <c r="I2159" t="s">
        <v>6760</v>
      </c>
      <c r="J2159" t="s">
        <v>6631</v>
      </c>
      <c r="K2159" t="s">
        <v>6632</v>
      </c>
      <c r="M2159" t="s">
        <v>47</v>
      </c>
      <c r="O2159" t="s">
        <v>77</v>
      </c>
      <c r="P2159" t="s">
        <v>78</v>
      </c>
      <c r="Q2159" t="s">
        <v>50</v>
      </c>
      <c r="R2159" t="s">
        <v>51</v>
      </c>
      <c r="S2159" t="s">
        <v>52</v>
      </c>
      <c r="T2159" t="s">
        <v>773</v>
      </c>
      <c r="U2159" s="1">
        <v>46072.541435185187</v>
      </c>
      <c r="V2159" t="s">
        <v>54</v>
      </c>
      <c r="W2159" t="s">
        <v>55</v>
      </c>
      <c r="X2159" t="s">
        <v>134</v>
      </c>
      <c r="Y2159" t="s">
        <v>8613</v>
      </c>
      <c r="Z2159" t="s">
        <v>5594</v>
      </c>
      <c r="AA2159" t="s">
        <v>54</v>
      </c>
      <c r="AB2159" t="s">
        <v>2388</v>
      </c>
      <c r="AC2159" t="s">
        <v>85</v>
      </c>
      <c r="AD2159" t="s">
        <v>52</v>
      </c>
      <c r="AE2159" t="s">
        <v>2575</v>
      </c>
      <c r="AF2159" t="s">
        <v>2576</v>
      </c>
      <c r="AG2159" t="s">
        <v>5594</v>
      </c>
      <c r="AK2159">
        <v>0</v>
      </c>
      <c r="AL2159" t="s">
        <v>61</v>
      </c>
      <c r="AM2159" t="s">
        <v>2388</v>
      </c>
      <c r="AN2159" t="s">
        <v>2389</v>
      </c>
    </row>
    <row r="2160" spans="1:40" x14ac:dyDescent="0.35">
      <c r="A2160" t="s">
        <v>37</v>
      </c>
      <c r="B2160" t="s">
        <v>8614</v>
      </c>
      <c r="C2160" t="s">
        <v>39</v>
      </c>
      <c r="D2160" t="s">
        <v>2386</v>
      </c>
      <c r="E2160" t="s">
        <v>1316</v>
      </c>
      <c r="F2160" s="1">
        <v>46072.535474537035</v>
      </c>
      <c r="G2160" t="s">
        <v>355</v>
      </c>
      <c r="H2160" t="s">
        <v>356</v>
      </c>
      <c r="I2160" t="s">
        <v>8615</v>
      </c>
      <c r="J2160" t="s">
        <v>6631</v>
      </c>
      <c r="K2160" t="s">
        <v>6632</v>
      </c>
      <c r="M2160" t="s">
        <v>47</v>
      </c>
      <c r="O2160" t="s">
        <v>77</v>
      </c>
      <c r="P2160" t="s">
        <v>78</v>
      </c>
      <c r="Q2160" t="s">
        <v>50</v>
      </c>
      <c r="R2160" t="s">
        <v>51</v>
      </c>
      <c r="S2160" t="s">
        <v>52</v>
      </c>
      <c r="T2160" t="s">
        <v>773</v>
      </c>
      <c r="U2160" s="1">
        <v>46072.541701388887</v>
      </c>
      <c r="V2160" t="s">
        <v>54</v>
      </c>
      <c r="W2160" t="s">
        <v>55</v>
      </c>
      <c r="X2160" t="s">
        <v>134</v>
      </c>
      <c r="Y2160" t="s">
        <v>8616</v>
      </c>
      <c r="Z2160" t="s">
        <v>5594</v>
      </c>
      <c r="AA2160" t="s">
        <v>54</v>
      </c>
      <c r="AB2160" t="s">
        <v>2388</v>
      </c>
      <c r="AC2160" t="s">
        <v>85</v>
      </c>
      <c r="AD2160" t="s">
        <v>52</v>
      </c>
      <c r="AE2160" t="s">
        <v>967</v>
      </c>
      <c r="AF2160" t="s">
        <v>2563</v>
      </c>
      <c r="AG2160" t="s">
        <v>5594</v>
      </c>
      <c r="AK2160">
        <v>0</v>
      </c>
      <c r="AL2160" t="s">
        <v>61</v>
      </c>
      <c r="AM2160" t="s">
        <v>2388</v>
      </c>
      <c r="AN2160" t="s">
        <v>2389</v>
      </c>
    </row>
    <row r="2161" spans="1:40" x14ac:dyDescent="0.35">
      <c r="A2161" t="s">
        <v>37</v>
      </c>
      <c r="B2161" t="s">
        <v>8617</v>
      </c>
      <c r="C2161" t="s">
        <v>39</v>
      </c>
      <c r="D2161" t="s">
        <v>248</v>
      </c>
      <c r="E2161" t="s">
        <v>3482</v>
      </c>
      <c r="F2161" s="1">
        <v>46072.53528935185</v>
      </c>
      <c r="G2161" t="s">
        <v>508</v>
      </c>
      <c r="H2161" t="s">
        <v>72</v>
      </c>
      <c r="I2161" t="s">
        <v>205</v>
      </c>
      <c r="J2161" t="s">
        <v>206</v>
      </c>
      <c r="K2161" t="s">
        <v>207</v>
      </c>
      <c r="M2161" t="s">
        <v>131</v>
      </c>
      <c r="O2161" t="s">
        <v>77</v>
      </c>
      <c r="P2161" t="s">
        <v>78</v>
      </c>
      <c r="Q2161" t="s">
        <v>50</v>
      </c>
      <c r="R2161" t="s">
        <v>305</v>
      </c>
      <c r="S2161" t="s">
        <v>306</v>
      </c>
      <c r="T2161" t="s">
        <v>307</v>
      </c>
      <c r="U2161" s="1">
        <v>46076.231736111113</v>
      </c>
      <c r="V2161" t="s">
        <v>54</v>
      </c>
      <c r="W2161" t="s">
        <v>55</v>
      </c>
      <c r="X2161" t="s">
        <v>211</v>
      </c>
      <c r="Y2161" t="s">
        <v>8618</v>
      </c>
      <c r="Z2161" t="s">
        <v>58</v>
      </c>
      <c r="AA2161" t="s">
        <v>54</v>
      </c>
      <c r="AB2161" t="s">
        <v>213</v>
      </c>
      <c r="AC2161" t="s">
        <v>85</v>
      </c>
      <c r="AD2161" t="s">
        <v>214</v>
      </c>
      <c r="AE2161" t="s">
        <v>215</v>
      </c>
      <c r="AF2161" t="s">
        <v>2083</v>
      </c>
      <c r="AG2161" t="s">
        <v>58</v>
      </c>
      <c r="AH2161">
        <v>15966</v>
      </c>
      <c r="AK2161">
        <v>3</v>
      </c>
      <c r="AL2161" t="s">
        <v>61</v>
      </c>
      <c r="AM2161" t="s">
        <v>8619</v>
      </c>
      <c r="AN2161" t="s">
        <v>8620</v>
      </c>
    </row>
    <row r="2162" spans="1:40" x14ac:dyDescent="0.35">
      <c r="A2162" t="s">
        <v>37</v>
      </c>
      <c r="B2162" t="s">
        <v>8621</v>
      </c>
      <c r="C2162" t="s">
        <v>39</v>
      </c>
      <c r="D2162" t="s">
        <v>2386</v>
      </c>
      <c r="E2162" t="s">
        <v>1316</v>
      </c>
      <c r="F2162" s="1">
        <v>46072.535474537035</v>
      </c>
      <c r="G2162" t="s">
        <v>355</v>
      </c>
      <c r="H2162" t="s">
        <v>356</v>
      </c>
      <c r="I2162" t="s">
        <v>8622</v>
      </c>
      <c r="J2162" t="s">
        <v>6631</v>
      </c>
      <c r="K2162" t="s">
        <v>6632</v>
      </c>
      <c r="M2162" t="s">
        <v>47</v>
      </c>
      <c r="O2162" t="s">
        <v>77</v>
      </c>
      <c r="P2162" t="s">
        <v>78</v>
      </c>
      <c r="Q2162" t="s">
        <v>50</v>
      </c>
      <c r="R2162" t="s">
        <v>51</v>
      </c>
      <c r="S2162" t="s">
        <v>52</v>
      </c>
      <c r="T2162" t="s">
        <v>773</v>
      </c>
      <c r="U2162" s="1">
        <v>46072.541979166665</v>
      </c>
      <c r="V2162" t="s">
        <v>54</v>
      </c>
      <c r="W2162" t="s">
        <v>55</v>
      </c>
      <c r="X2162" t="s">
        <v>134</v>
      </c>
      <c r="Y2162" t="s">
        <v>8623</v>
      </c>
      <c r="Z2162" t="s">
        <v>5594</v>
      </c>
      <c r="AA2162" t="s">
        <v>54</v>
      </c>
      <c r="AB2162" t="s">
        <v>2388</v>
      </c>
      <c r="AC2162" t="s">
        <v>85</v>
      </c>
      <c r="AD2162" t="s">
        <v>52</v>
      </c>
      <c r="AE2162" t="s">
        <v>967</v>
      </c>
      <c r="AF2162" t="s">
        <v>2563</v>
      </c>
      <c r="AG2162" t="s">
        <v>5594</v>
      </c>
      <c r="AK2162">
        <v>0</v>
      </c>
      <c r="AL2162" t="s">
        <v>61</v>
      </c>
      <c r="AM2162" t="s">
        <v>2388</v>
      </c>
      <c r="AN2162" t="s">
        <v>2389</v>
      </c>
    </row>
    <row r="2163" spans="1:40" x14ac:dyDescent="0.35">
      <c r="A2163" t="s">
        <v>37</v>
      </c>
      <c r="B2163" t="s">
        <v>8624</v>
      </c>
      <c r="C2163" t="s">
        <v>39</v>
      </c>
      <c r="D2163" t="s">
        <v>2386</v>
      </c>
      <c r="E2163" t="s">
        <v>1316</v>
      </c>
      <c r="F2163" s="1">
        <v>46072.534687500003</v>
      </c>
      <c r="G2163" t="s">
        <v>355</v>
      </c>
      <c r="H2163" t="s">
        <v>356</v>
      </c>
      <c r="I2163" t="s">
        <v>8625</v>
      </c>
      <c r="J2163" t="s">
        <v>6631</v>
      </c>
      <c r="K2163" t="s">
        <v>6632</v>
      </c>
      <c r="M2163" t="s">
        <v>47</v>
      </c>
      <c r="O2163" t="s">
        <v>77</v>
      </c>
      <c r="P2163" t="s">
        <v>78</v>
      </c>
      <c r="Q2163" t="s">
        <v>50</v>
      </c>
      <c r="R2163" t="s">
        <v>51</v>
      </c>
      <c r="S2163" t="s">
        <v>52</v>
      </c>
      <c r="T2163" t="s">
        <v>773</v>
      </c>
      <c r="U2163" s="1">
        <v>46072.542256944442</v>
      </c>
      <c r="V2163" t="s">
        <v>54</v>
      </c>
      <c r="W2163" t="s">
        <v>55</v>
      </c>
      <c r="X2163" t="s">
        <v>134</v>
      </c>
      <c r="Y2163" t="s">
        <v>8626</v>
      </c>
      <c r="Z2163" t="s">
        <v>5594</v>
      </c>
      <c r="AA2163" t="s">
        <v>54</v>
      </c>
      <c r="AB2163" t="s">
        <v>2388</v>
      </c>
      <c r="AC2163" t="s">
        <v>85</v>
      </c>
      <c r="AD2163" t="s">
        <v>52</v>
      </c>
      <c r="AE2163" t="s">
        <v>967</v>
      </c>
      <c r="AF2163" t="s">
        <v>2563</v>
      </c>
      <c r="AG2163" t="s">
        <v>5594</v>
      </c>
      <c r="AK2163">
        <v>0</v>
      </c>
      <c r="AL2163" t="s">
        <v>61</v>
      </c>
      <c r="AM2163" t="s">
        <v>2388</v>
      </c>
      <c r="AN2163" t="s">
        <v>2389</v>
      </c>
    </row>
    <row r="2164" spans="1:40" x14ac:dyDescent="0.35">
      <c r="A2164" t="s">
        <v>37</v>
      </c>
      <c r="B2164" t="s">
        <v>8627</v>
      </c>
      <c r="C2164" t="s">
        <v>39</v>
      </c>
      <c r="D2164" t="s">
        <v>2386</v>
      </c>
      <c r="E2164" t="s">
        <v>1316</v>
      </c>
      <c r="F2164" s="1">
        <v>46072.534687500003</v>
      </c>
      <c r="G2164" t="s">
        <v>355</v>
      </c>
      <c r="H2164" t="s">
        <v>356</v>
      </c>
      <c r="I2164" t="s">
        <v>8628</v>
      </c>
      <c r="J2164" t="s">
        <v>6631</v>
      </c>
      <c r="K2164" t="s">
        <v>6632</v>
      </c>
      <c r="M2164" t="s">
        <v>47</v>
      </c>
      <c r="O2164" t="s">
        <v>77</v>
      </c>
      <c r="P2164" t="s">
        <v>78</v>
      </c>
      <c r="Q2164" t="s">
        <v>50</v>
      </c>
      <c r="R2164" t="s">
        <v>51</v>
      </c>
      <c r="S2164" t="s">
        <v>52</v>
      </c>
      <c r="T2164" t="s">
        <v>773</v>
      </c>
      <c r="U2164" s="1">
        <v>46072.542870370373</v>
      </c>
      <c r="V2164" t="s">
        <v>54</v>
      </c>
      <c r="W2164" t="s">
        <v>55</v>
      </c>
      <c r="X2164" t="s">
        <v>134</v>
      </c>
      <c r="Y2164" t="s">
        <v>8629</v>
      </c>
      <c r="Z2164" t="s">
        <v>5594</v>
      </c>
      <c r="AA2164" t="s">
        <v>54</v>
      </c>
      <c r="AB2164" t="s">
        <v>2388</v>
      </c>
      <c r="AC2164" t="s">
        <v>85</v>
      </c>
      <c r="AD2164" t="s">
        <v>52</v>
      </c>
      <c r="AE2164" t="s">
        <v>967</v>
      </c>
      <c r="AF2164" t="s">
        <v>2563</v>
      </c>
      <c r="AG2164" t="s">
        <v>5594</v>
      </c>
      <c r="AK2164">
        <v>0</v>
      </c>
      <c r="AL2164" t="s">
        <v>61</v>
      </c>
      <c r="AM2164" t="s">
        <v>2388</v>
      </c>
      <c r="AN2164" t="s">
        <v>2389</v>
      </c>
    </row>
    <row r="2165" spans="1:40" x14ac:dyDescent="0.35">
      <c r="A2165" t="s">
        <v>37</v>
      </c>
      <c r="B2165" t="s">
        <v>8630</v>
      </c>
      <c r="C2165" t="s">
        <v>39</v>
      </c>
      <c r="D2165" t="s">
        <v>2386</v>
      </c>
      <c r="E2165" t="s">
        <v>1316</v>
      </c>
      <c r="F2165" s="1">
        <v>46072.533229166664</v>
      </c>
      <c r="G2165" t="s">
        <v>355</v>
      </c>
      <c r="H2165" t="s">
        <v>356</v>
      </c>
      <c r="I2165" t="s">
        <v>8631</v>
      </c>
      <c r="J2165" t="s">
        <v>6631</v>
      </c>
      <c r="K2165" t="s">
        <v>6632</v>
      </c>
      <c r="M2165" t="s">
        <v>47</v>
      </c>
      <c r="O2165" t="s">
        <v>77</v>
      </c>
      <c r="P2165" t="s">
        <v>78</v>
      </c>
      <c r="Q2165" t="s">
        <v>50</v>
      </c>
      <c r="R2165" t="s">
        <v>51</v>
      </c>
      <c r="S2165" t="s">
        <v>52</v>
      </c>
      <c r="T2165" t="s">
        <v>773</v>
      </c>
      <c r="U2165" s="1">
        <v>46072.542569444442</v>
      </c>
      <c r="V2165" t="s">
        <v>54</v>
      </c>
      <c r="W2165" t="s">
        <v>55</v>
      </c>
      <c r="X2165" t="s">
        <v>134</v>
      </c>
      <c r="Y2165" t="s">
        <v>8632</v>
      </c>
      <c r="Z2165" t="s">
        <v>5594</v>
      </c>
      <c r="AA2165" t="s">
        <v>54</v>
      </c>
      <c r="AB2165" t="s">
        <v>2388</v>
      </c>
      <c r="AC2165" t="s">
        <v>85</v>
      </c>
      <c r="AD2165" t="s">
        <v>52</v>
      </c>
      <c r="AE2165" t="s">
        <v>967</v>
      </c>
      <c r="AF2165" t="s">
        <v>2563</v>
      </c>
      <c r="AG2165" t="s">
        <v>5594</v>
      </c>
      <c r="AK2165">
        <v>0</v>
      </c>
      <c r="AL2165" t="s">
        <v>61</v>
      </c>
      <c r="AM2165" t="s">
        <v>2388</v>
      </c>
      <c r="AN2165" t="s">
        <v>2389</v>
      </c>
    </row>
    <row r="2166" spans="1:40" x14ac:dyDescent="0.35">
      <c r="A2166" t="s">
        <v>37</v>
      </c>
      <c r="B2166" t="s">
        <v>8633</v>
      </c>
      <c r="C2166" t="s">
        <v>39</v>
      </c>
      <c r="D2166" t="s">
        <v>8634</v>
      </c>
      <c r="E2166" t="s">
        <v>8635</v>
      </c>
      <c r="F2166" s="1">
        <v>46072.532893518517</v>
      </c>
      <c r="G2166" t="s">
        <v>913</v>
      </c>
      <c r="H2166" t="s">
        <v>72</v>
      </c>
      <c r="I2166" t="s">
        <v>1185</v>
      </c>
      <c r="J2166" t="s">
        <v>2333</v>
      </c>
      <c r="K2166" t="s">
        <v>1187</v>
      </c>
      <c r="M2166" t="s">
        <v>47</v>
      </c>
      <c r="O2166" t="s">
        <v>77</v>
      </c>
      <c r="P2166" t="s">
        <v>78</v>
      </c>
      <c r="Q2166" t="s">
        <v>50</v>
      </c>
      <c r="R2166" t="s">
        <v>305</v>
      </c>
      <c r="S2166" t="s">
        <v>306</v>
      </c>
      <c r="T2166" t="s">
        <v>307</v>
      </c>
      <c r="U2166" s="1">
        <v>46074.83457175926</v>
      </c>
      <c r="V2166" t="s">
        <v>54</v>
      </c>
      <c r="W2166" t="s">
        <v>55</v>
      </c>
      <c r="X2166" t="s">
        <v>211</v>
      </c>
      <c r="Y2166" t="s">
        <v>8636</v>
      </c>
      <c r="Z2166" t="s">
        <v>5594</v>
      </c>
      <c r="AA2166" t="s">
        <v>54</v>
      </c>
      <c r="AB2166" t="s">
        <v>213</v>
      </c>
      <c r="AC2166" t="s">
        <v>85</v>
      </c>
      <c r="AD2166" t="s">
        <v>1189</v>
      </c>
      <c r="AE2166" t="s">
        <v>1190</v>
      </c>
      <c r="AF2166" t="s">
        <v>1191</v>
      </c>
      <c r="AG2166" t="s">
        <v>5594</v>
      </c>
      <c r="AH2166">
        <v>14680</v>
      </c>
      <c r="AK2166">
        <v>3</v>
      </c>
      <c r="AL2166" t="s">
        <v>61</v>
      </c>
      <c r="AM2166" t="s">
        <v>8637</v>
      </c>
      <c r="AN2166" t="s">
        <v>8638</v>
      </c>
    </row>
    <row r="2167" spans="1:40" x14ac:dyDescent="0.35">
      <c r="A2167" t="s">
        <v>37</v>
      </c>
      <c r="B2167" t="s">
        <v>8639</v>
      </c>
      <c r="C2167" t="s">
        <v>39</v>
      </c>
      <c r="D2167" t="s">
        <v>430</v>
      </c>
      <c r="E2167" t="s">
        <v>7312</v>
      </c>
      <c r="F2167" s="1">
        <v>46072.533148148148</v>
      </c>
      <c r="G2167" t="s">
        <v>432</v>
      </c>
      <c r="H2167" t="s">
        <v>433</v>
      </c>
      <c r="I2167" t="s">
        <v>815</v>
      </c>
      <c r="J2167" t="s">
        <v>816</v>
      </c>
      <c r="K2167" t="s">
        <v>817</v>
      </c>
      <c r="M2167" t="s">
        <v>47</v>
      </c>
      <c r="O2167" t="s">
        <v>77</v>
      </c>
      <c r="P2167" t="s">
        <v>78</v>
      </c>
      <c r="Q2167" t="s">
        <v>50</v>
      </c>
      <c r="R2167" t="s">
        <v>51</v>
      </c>
      <c r="S2167" t="s">
        <v>819</v>
      </c>
      <c r="T2167" t="s">
        <v>817</v>
      </c>
      <c r="U2167" s="1">
        <v>46073.456064814818</v>
      </c>
      <c r="V2167" t="s">
        <v>54</v>
      </c>
      <c r="W2167" t="s">
        <v>55</v>
      </c>
      <c r="X2167" t="s">
        <v>134</v>
      </c>
      <c r="Y2167" t="s">
        <v>2387</v>
      </c>
      <c r="Z2167" t="s">
        <v>5594</v>
      </c>
      <c r="AA2167" t="s">
        <v>54</v>
      </c>
      <c r="AB2167" t="s">
        <v>408</v>
      </c>
      <c r="AC2167" t="s">
        <v>85</v>
      </c>
      <c r="AD2167" t="s">
        <v>51</v>
      </c>
      <c r="AE2167" t="s">
        <v>819</v>
      </c>
      <c r="AF2167" t="s">
        <v>817</v>
      </c>
      <c r="AG2167" t="s">
        <v>5594</v>
      </c>
      <c r="AH2167">
        <v>8882</v>
      </c>
      <c r="AK2167">
        <v>1</v>
      </c>
      <c r="AL2167" t="s">
        <v>61</v>
      </c>
      <c r="AM2167" t="s">
        <v>7313</v>
      </c>
      <c r="AN2167" t="s">
        <v>7314</v>
      </c>
    </row>
    <row r="2168" spans="1:40" x14ac:dyDescent="0.35">
      <c r="A2168" t="s">
        <v>37</v>
      </c>
      <c r="B2168" t="s">
        <v>8640</v>
      </c>
      <c r="C2168" t="s">
        <v>39</v>
      </c>
      <c r="D2168" t="s">
        <v>2386</v>
      </c>
      <c r="E2168" t="s">
        <v>1316</v>
      </c>
      <c r="F2168" s="1">
        <v>46072.532372685186</v>
      </c>
      <c r="G2168" t="s">
        <v>355</v>
      </c>
      <c r="H2168" t="s">
        <v>356</v>
      </c>
      <c r="I2168" t="s">
        <v>8641</v>
      </c>
      <c r="J2168" t="s">
        <v>6631</v>
      </c>
      <c r="K2168" t="s">
        <v>6632</v>
      </c>
      <c r="M2168" t="s">
        <v>47</v>
      </c>
      <c r="O2168" t="s">
        <v>77</v>
      </c>
      <c r="P2168" t="s">
        <v>78</v>
      </c>
      <c r="Q2168" t="s">
        <v>50</v>
      </c>
      <c r="R2168" t="s">
        <v>51</v>
      </c>
      <c r="S2168" t="s">
        <v>52</v>
      </c>
      <c r="T2168" t="s">
        <v>773</v>
      </c>
      <c r="U2168" s="1">
        <v>46072.544039351851</v>
      </c>
      <c r="V2168" t="s">
        <v>54</v>
      </c>
      <c r="W2168" t="s">
        <v>55</v>
      </c>
      <c r="X2168" t="s">
        <v>134</v>
      </c>
      <c r="Y2168" t="s">
        <v>6792</v>
      </c>
      <c r="Z2168" t="s">
        <v>5594</v>
      </c>
      <c r="AA2168" t="s">
        <v>54</v>
      </c>
      <c r="AB2168" t="s">
        <v>2388</v>
      </c>
      <c r="AC2168" t="s">
        <v>85</v>
      </c>
      <c r="AD2168" t="s">
        <v>52</v>
      </c>
      <c r="AE2168" t="s">
        <v>2575</v>
      </c>
      <c r="AF2168" t="s">
        <v>2576</v>
      </c>
      <c r="AG2168" t="s">
        <v>5594</v>
      </c>
      <c r="AK2168">
        <v>0</v>
      </c>
      <c r="AL2168" t="s">
        <v>61</v>
      </c>
      <c r="AM2168" t="s">
        <v>2388</v>
      </c>
      <c r="AN2168" t="s">
        <v>2389</v>
      </c>
    </row>
    <row r="2169" spans="1:40" x14ac:dyDescent="0.35">
      <c r="A2169" t="s">
        <v>37</v>
      </c>
      <c r="B2169" t="s">
        <v>8642</v>
      </c>
      <c r="C2169" t="s">
        <v>39</v>
      </c>
      <c r="D2169" t="s">
        <v>2386</v>
      </c>
      <c r="E2169" t="s">
        <v>1316</v>
      </c>
      <c r="F2169" s="1">
        <v>46072.532372685186</v>
      </c>
      <c r="G2169" t="s">
        <v>355</v>
      </c>
      <c r="H2169" t="s">
        <v>356</v>
      </c>
      <c r="I2169" t="s">
        <v>8643</v>
      </c>
      <c r="J2169" t="s">
        <v>6631</v>
      </c>
      <c r="K2169" t="s">
        <v>6632</v>
      </c>
      <c r="M2169" t="s">
        <v>47</v>
      </c>
      <c r="O2169" t="s">
        <v>77</v>
      </c>
      <c r="P2169" t="s">
        <v>78</v>
      </c>
      <c r="Q2169" t="s">
        <v>50</v>
      </c>
      <c r="R2169" t="s">
        <v>51</v>
      </c>
      <c r="S2169" t="s">
        <v>52</v>
      </c>
      <c r="T2169" t="s">
        <v>773</v>
      </c>
      <c r="U2169" s="1">
        <v>46072.544548611113</v>
      </c>
      <c r="V2169" t="s">
        <v>54</v>
      </c>
      <c r="W2169" t="s">
        <v>55</v>
      </c>
      <c r="X2169" t="s">
        <v>134</v>
      </c>
      <c r="Y2169" t="s">
        <v>8644</v>
      </c>
      <c r="Z2169" t="s">
        <v>5594</v>
      </c>
      <c r="AA2169" t="s">
        <v>54</v>
      </c>
      <c r="AB2169" t="s">
        <v>2388</v>
      </c>
      <c r="AC2169" t="s">
        <v>85</v>
      </c>
      <c r="AD2169" t="s">
        <v>52</v>
      </c>
      <c r="AE2169" t="s">
        <v>438</v>
      </c>
      <c r="AF2169" t="s">
        <v>2204</v>
      </c>
      <c r="AG2169" t="s">
        <v>5594</v>
      </c>
      <c r="AK2169">
        <v>0</v>
      </c>
      <c r="AL2169" t="s">
        <v>61</v>
      </c>
      <c r="AM2169" t="s">
        <v>2388</v>
      </c>
      <c r="AN2169" t="s">
        <v>2389</v>
      </c>
    </row>
    <row r="2170" spans="1:40" x14ac:dyDescent="0.35">
      <c r="A2170" t="s">
        <v>37</v>
      </c>
      <c r="B2170" t="s">
        <v>8645</v>
      </c>
      <c r="C2170" t="s">
        <v>102</v>
      </c>
      <c r="D2170" t="s">
        <v>4472</v>
      </c>
      <c r="E2170" t="s">
        <v>4473</v>
      </c>
      <c r="F2170" s="1">
        <v>46072.532037037039</v>
      </c>
      <c r="G2170" t="s">
        <v>232</v>
      </c>
      <c r="H2170" t="s">
        <v>233</v>
      </c>
      <c r="I2170" t="s">
        <v>8646</v>
      </c>
      <c r="J2170" t="s">
        <v>235</v>
      </c>
      <c r="K2170" t="s">
        <v>236</v>
      </c>
      <c r="M2170" t="s">
        <v>47</v>
      </c>
      <c r="O2170" t="s">
        <v>237</v>
      </c>
      <c r="P2170" t="s">
        <v>238</v>
      </c>
      <c r="Q2170" t="s">
        <v>50</v>
      </c>
      <c r="R2170" t="s">
        <v>51</v>
      </c>
      <c r="S2170" t="s">
        <v>52</v>
      </c>
      <c r="T2170" t="s">
        <v>240</v>
      </c>
      <c r="U2170" s="1">
        <v>46072.794085648151</v>
      </c>
      <c r="V2170" t="s">
        <v>54</v>
      </c>
      <c r="W2170" t="s">
        <v>55</v>
      </c>
      <c r="X2170" t="s">
        <v>211</v>
      </c>
      <c r="Y2170" t="s">
        <v>8647</v>
      </c>
      <c r="Z2170" t="s">
        <v>5594</v>
      </c>
      <c r="AA2170" t="s">
        <v>54</v>
      </c>
      <c r="AB2170" t="s">
        <v>213</v>
      </c>
      <c r="AC2170" t="s">
        <v>242</v>
      </c>
      <c r="AD2170" t="s">
        <v>52</v>
      </c>
      <c r="AE2170" t="s">
        <v>243</v>
      </c>
      <c r="AF2170" t="s">
        <v>244</v>
      </c>
      <c r="AG2170" t="s">
        <v>5594</v>
      </c>
      <c r="AH2170">
        <v>12030</v>
      </c>
      <c r="AK2170">
        <v>1</v>
      </c>
      <c r="AL2170" t="s">
        <v>61</v>
      </c>
      <c r="AM2170" t="s">
        <v>4474</v>
      </c>
      <c r="AN2170" t="s">
        <v>4475</v>
      </c>
    </row>
    <row r="2171" spans="1:40" x14ac:dyDescent="0.35">
      <c r="A2171" t="s">
        <v>37</v>
      </c>
      <c r="B2171" t="s">
        <v>8648</v>
      </c>
      <c r="C2171" t="s">
        <v>39</v>
      </c>
      <c r="D2171" t="s">
        <v>8649</v>
      </c>
      <c r="E2171" t="s">
        <v>8650</v>
      </c>
      <c r="F2171" s="1">
        <v>46072.531585648147</v>
      </c>
      <c r="G2171" t="s">
        <v>793</v>
      </c>
      <c r="H2171" t="s">
        <v>356</v>
      </c>
      <c r="I2171" t="s">
        <v>205</v>
      </c>
      <c r="J2171" t="s">
        <v>206</v>
      </c>
      <c r="K2171" t="s">
        <v>207</v>
      </c>
      <c r="M2171" t="s">
        <v>47</v>
      </c>
      <c r="O2171" t="s">
        <v>77</v>
      </c>
      <c r="P2171" t="s">
        <v>78</v>
      </c>
      <c r="R2171" t="s">
        <v>305</v>
      </c>
      <c r="S2171" t="s">
        <v>306</v>
      </c>
      <c r="T2171" t="s">
        <v>307</v>
      </c>
      <c r="U2171" s="1">
        <v>46074.789756944447</v>
      </c>
      <c r="V2171" t="s">
        <v>54</v>
      </c>
      <c r="W2171" t="s">
        <v>55</v>
      </c>
      <c r="X2171" t="s">
        <v>211</v>
      </c>
      <c r="Y2171" t="s">
        <v>8548</v>
      </c>
      <c r="Z2171" t="s">
        <v>5594</v>
      </c>
      <c r="AA2171" t="s">
        <v>54</v>
      </c>
      <c r="AB2171" t="s">
        <v>213</v>
      </c>
      <c r="AC2171" t="s">
        <v>85</v>
      </c>
      <c r="AD2171" t="s">
        <v>214</v>
      </c>
      <c r="AE2171" t="s">
        <v>215</v>
      </c>
      <c r="AF2171" t="s">
        <v>216</v>
      </c>
      <c r="AG2171" t="s">
        <v>5594</v>
      </c>
      <c r="AH2171" t="s">
        <v>8651</v>
      </c>
      <c r="AK2171">
        <v>3</v>
      </c>
      <c r="AL2171" t="s">
        <v>61</v>
      </c>
      <c r="AM2171" t="s">
        <v>8652</v>
      </c>
      <c r="AN2171" t="s">
        <v>8653</v>
      </c>
    </row>
    <row r="2172" spans="1:40" x14ac:dyDescent="0.35">
      <c r="A2172" t="s">
        <v>37</v>
      </c>
      <c r="B2172" t="s">
        <v>8654</v>
      </c>
      <c r="C2172" t="s">
        <v>39</v>
      </c>
      <c r="D2172" t="s">
        <v>430</v>
      </c>
      <c r="E2172" t="s">
        <v>2807</v>
      </c>
      <c r="F2172" s="1">
        <v>46072.532511574071</v>
      </c>
      <c r="G2172" t="s">
        <v>540</v>
      </c>
      <c r="H2172" t="s">
        <v>447</v>
      </c>
      <c r="I2172" t="s">
        <v>3451</v>
      </c>
      <c r="J2172" t="s">
        <v>3423</v>
      </c>
      <c r="K2172" t="s">
        <v>75</v>
      </c>
      <c r="M2172" t="s">
        <v>47</v>
      </c>
      <c r="O2172" t="s">
        <v>77</v>
      </c>
      <c r="P2172" t="s">
        <v>78</v>
      </c>
      <c r="Q2172" t="s">
        <v>456</v>
      </c>
      <c r="R2172" t="s">
        <v>79</v>
      </c>
      <c r="S2172" t="s">
        <v>1078</v>
      </c>
      <c r="T2172" t="s">
        <v>1078</v>
      </c>
      <c r="U2172" s="1">
        <v>46072.547754629632</v>
      </c>
      <c r="V2172" t="s">
        <v>54</v>
      </c>
      <c r="W2172" t="s">
        <v>55</v>
      </c>
      <c r="X2172" t="s">
        <v>134</v>
      </c>
      <c r="Y2172" t="s">
        <v>3451</v>
      </c>
      <c r="Z2172" t="s">
        <v>5594</v>
      </c>
      <c r="AA2172" t="s">
        <v>54</v>
      </c>
      <c r="AB2172" t="s">
        <v>3425</v>
      </c>
      <c r="AC2172" t="s">
        <v>85</v>
      </c>
      <c r="AD2172" t="s">
        <v>79</v>
      </c>
      <c r="AE2172" t="s">
        <v>1078</v>
      </c>
      <c r="AF2172" t="s">
        <v>1078</v>
      </c>
      <c r="AG2172" t="s">
        <v>5594</v>
      </c>
      <c r="AH2172">
        <v>6054</v>
      </c>
      <c r="AK2172">
        <v>0</v>
      </c>
      <c r="AL2172" t="s">
        <v>61</v>
      </c>
      <c r="AM2172" t="s">
        <v>8655</v>
      </c>
      <c r="AN2172" t="s">
        <v>8656</v>
      </c>
    </row>
    <row r="2173" spans="1:40" x14ac:dyDescent="0.35">
      <c r="A2173" t="s">
        <v>37</v>
      </c>
      <c r="B2173" t="s">
        <v>8657</v>
      </c>
      <c r="C2173" t="s">
        <v>39</v>
      </c>
      <c r="D2173" t="s">
        <v>8658</v>
      </c>
      <c r="E2173" t="s">
        <v>8659</v>
      </c>
      <c r="F2173" s="1">
        <v>46072.52988425926</v>
      </c>
      <c r="G2173" t="s">
        <v>597</v>
      </c>
      <c r="H2173" t="s">
        <v>287</v>
      </c>
      <c r="I2173" t="s">
        <v>205</v>
      </c>
      <c r="J2173" t="s">
        <v>603</v>
      </c>
      <c r="K2173" t="s">
        <v>207</v>
      </c>
      <c r="M2173" t="s">
        <v>47</v>
      </c>
      <c r="O2173" t="s">
        <v>77</v>
      </c>
      <c r="P2173" t="s">
        <v>78</v>
      </c>
      <c r="Q2173" t="s">
        <v>1174</v>
      </c>
      <c r="R2173" t="s">
        <v>208</v>
      </c>
      <c r="S2173" t="s">
        <v>209</v>
      </c>
      <c r="T2173" t="s">
        <v>210</v>
      </c>
      <c r="U2173" s="1">
        <v>46072.587557870371</v>
      </c>
      <c r="V2173" t="s">
        <v>54</v>
      </c>
      <c r="W2173" t="s">
        <v>55</v>
      </c>
      <c r="X2173" t="s">
        <v>211</v>
      </c>
      <c r="Y2173" t="s">
        <v>604</v>
      </c>
      <c r="Z2173" t="s">
        <v>5594</v>
      </c>
      <c r="AA2173" t="s">
        <v>54</v>
      </c>
      <c r="AB2173" t="s">
        <v>213</v>
      </c>
      <c r="AC2173" t="s">
        <v>85</v>
      </c>
      <c r="AD2173" t="s">
        <v>214</v>
      </c>
      <c r="AE2173" t="s">
        <v>215</v>
      </c>
      <c r="AF2173" t="s">
        <v>216</v>
      </c>
      <c r="AG2173" t="s">
        <v>5594</v>
      </c>
      <c r="AH2173">
        <v>769</v>
      </c>
      <c r="AK2173">
        <v>1</v>
      </c>
      <c r="AL2173" t="s">
        <v>61</v>
      </c>
      <c r="AM2173" t="s">
        <v>8660</v>
      </c>
      <c r="AN2173" t="s">
        <v>8661</v>
      </c>
    </row>
    <row r="2174" spans="1:40" x14ac:dyDescent="0.35">
      <c r="A2174" t="s">
        <v>37</v>
      </c>
      <c r="B2174" t="s">
        <v>8662</v>
      </c>
      <c r="C2174" t="s">
        <v>39</v>
      </c>
      <c r="D2174" t="s">
        <v>8663</v>
      </c>
      <c r="E2174" t="s">
        <v>8664</v>
      </c>
      <c r="F2174" s="1">
        <v>46072.528333333335</v>
      </c>
      <c r="G2174" t="s">
        <v>105</v>
      </c>
      <c r="H2174" t="s">
        <v>106</v>
      </c>
      <c r="I2174" t="s">
        <v>205</v>
      </c>
      <c r="J2174" t="s">
        <v>603</v>
      </c>
      <c r="K2174" t="s">
        <v>207</v>
      </c>
      <c r="M2174" t="s">
        <v>47</v>
      </c>
      <c r="O2174" t="s">
        <v>77</v>
      </c>
      <c r="P2174" t="s">
        <v>78</v>
      </c>
      <c r="Q2174" t="s">
        <v>50</v>
      </c>
      <c r="R2174" t="s">
        <v>208</v>
      </c>
      <c r="S2174" t="s">
        <v>209</v>
      </c>
      <c r="T2174" t="s">
        <v>210</v>
      </c>
      <c r="U2174" s="1">
        <v>46072.602129629631</v>
      </c>
      <c r="V2174" t="s">
        <v>54</v>
      </c>
      <c r="W2174" t="s">
        <v>55</v>
      </c>
      <c r="X2174" t="s">
        <v>211</v>
      </c>
      <c r="Y2174" t="s">
        <v>604</v>
      </c>
      <c r="Z2174" t="s">
        <v>5594</v>
      </c>
      <c r="AA2174" t="s">
        <v>54</v>
      </c>
      <c r="AB2174" t="s">
        <v>213</v>
      </c>
      <c r="AC2174" t="s">
        <v>85</v>
      </c>
      <c r="AD2174" t="s">
        <v>214</v>
      </c>
      <c r="AE2174" t="s">
        <v>215</v>
      </c>
      <c r="AF2174" t="s">
        <v>216</v>
      </c>
      <c r="AG2174" t="s">
        <v>5594</v>
      </c>
      <c r="AH2174" t="s">
        <v>8665</v>
      </c>
      <c r="AK2174">
        <v>1</v>
      </c>
      <c r="AL2174" t="s">
        <v>61</v>
      </c>
      <c r="AM2174" t="s">
        <v>8666</v>
      </c>
      <c r="AN2174" t="s">
        <v>8667</v>
      </c>
    </row>
    <row r="2175" spans="1:40" x14ac:dyDescent="0.35">
      <c r="A2175" t="s">
        <v>37</v>
      </c>
      <c r="B2175" t="s">
        <v>8668</v>
      </c>
      <c r="C2175" t="s">
        <v>39</v>
      </c>
      <c r="D2175" t="s">
        <v>4841</v>
      </c>
      <c r="E2175" t="s">
        <v>4842</v>
      </c>
      <c r="F2175" s="1">
        <v>46072.526932870373</v>
      </c>
      <c r="G2175" t="s">
        <v>105</v>
      </c>
      <c r="H2175" t="s">
        <v>106</v>
      </c>
      <c r="I2175" t="s">
        <v>205</v>
      </c>
      <c r="J2175" t="s">
        <v>7089</v>
      </c>
      <c r="K2175" t="s">
        <v>207</v>
      </c>
      <c r="M2175" t="s">
        <v>47</v>
      </c>
      <c r="O2175" t="s">
        <v>77</v>
      </c>
      <c r="P2175" t="s">
        <v>78</v>
      </c>
      <c r="Q2175" t="s">
        <v>50</v>
      </c>
      <c r="R2175" t="s">
        <v>208</v>
      </c>
      <c r="S2175" t="s">
        <v>209</v>
      </c>
      <c r="T2175" t="s">
        <v>210</v>
      </c>
      <c r="U2175" s="1">
        <v>46072.535763888889</v>
      </c>
      <c r="V2175" t="s">
        <v>54</v>
      </c>
      <c r="W2175" t="s">
        <v>55</v>
      </c>
      <c r="X2175" t="s">
        <v>211</v>
      </c>
      <c r="Y2175" t="s">
        <v>8669</v>
      </c>
      <c r="Z2175" t="s">
        <v>5594</v>
      </c>
      <c r="AA2175" t="s">
        <v>54</v>
      </c>
      <c r="AB2175" t="s">
        <v>213</v>
      </c>
      <c r="AC2175" t="s">
        <v>85</v>
      </c>
      <c r="AD2175" t="s">
        <v>214</v>
      </c>
      <c r="AE2175" t="s">
        <v>215</v>
      </c>
      <c r="AF2175" t="s">
        <v>216</v>
      </c>
      <c r="AG2175" t="s">
        <v>5594</v>
      </c>
      <c r="AH2175">
        <v>14687</v>
      </c>
      <c r="AK2175">
        <v>1</v>
      </c>
      <c r="AL2175" t="s">
        <v>61</v>
      </c>
      <c r="AM2175" t="s">
        <v>4844</v>
      </c>
      <c r="AN2175" t="s">
        <v>4845</v>
      </c>
    </row>
    <row r="2176" spans="1:40" x14ac:dyDescent="0.35">
      <c r="A2176" t="s">
        <v>37</v>
      </c>
      <c r="B2176" t="s">
        <v>8670</v>
      </c>
      <c r="C2176" t="s">
        <v>39</v>
      </c>
      <c r="D2176" t="s">
        <v>7673</v>
      </c>
      <c r="E2176" t="s">
        <v>7674</v>
      </c>
      <c r="F2176" s="1">
        <v>46072.523877314816</v>
      </c>
      <c r="G2176" t="s">
        <v>105</v>
      </c>
      <c r="H2176" t="s">
        <v>106</v>
      </c>
      <c r="I2176" t="s">
        <v>205</v>
      </c>
      <c r="J2176" t="s">
        <v>206</v>
      </c>
      <c r="K2176" t="s">
        <v>207</v>
      </c>
      <c r="M2176" t="s">
        <v>47</v>
      </c>
      <c r="O2176" t="s">
        <v>77</v>
      </c>
      <c r="P2176" t="s">
        <v>78</v>
      </c>
      <c r="Q2176" t="s">
        <v>50</v>
      </c>
      <c r="R2176" t="s">
        <v>305</v>
      </c>
      <c r="S2176" t="s">
        <v>306</v>
      </c>
      <c r="T2176" t="s">
        <v>307</v>
      </c>
      <c r="U2176" s="1">
        <v>46072.867071759261</v>
      </c>
      <c r="V2176" t="s">
        <v>54</v>
      </c>
      <c r="W2176" t="s">
        <v>55</v>
      </c>
      <c r="X2176" t="s">
        <v>211</v>
      </c>
      <c r="Y2176" t="s">
        <v>8671</v>
      </c>
      <c r="Z2176" t="s">
        <v>5594</v>
      </c>
      <c r="AA2176" t="s">
        <v>54</v>
      </c>
      <c r="AB2176" t="s">
        <v>213</v>
      </c>
      <c r="AC2176" t="s">
        <v>85</v>
      </c>
      <c r="AD2176" t="s">
        <v>214</v>
      </c>
      <c r="AE2176" t="s">
        <v>215</v>
      </c>
      <c r="AF2176" t="s">
        <v>216</v>
      </c>
      <c r="AG2176" t="s">
        <v>5594</v>
      </c>
      <c r="AH2176" t="s">
        <v>7675</v>
      </c>
      <c r="AK2176">
        <v>3</v>
      </c>
      <c r="AL2176" t="s">
        <v>61</v>
      </c>
      <c r="AM2176" t="s">
        <v>7676</v>
      </c>
      <c r="AN2176" t="s">
        <v>7677</v>
      </c>
    </row>
    <row r="2177" spans="1:40" x14ac:dyDescent="0.35">
      <c r="A2177" t="s">
        <v>37</v>
      </c>
      <c r="B2177" t="s">
        <v>8672</v>
      </c>
      <c r="C2177" t="s">
        <v>39</v>
      </c>
      <c r="D2177" t="s">
        <v>7445</v>
      </c>
      <c r="E2177" t="s">
        <v>1316</v>
      </c>
      <c r="F2177" s="1">
        <v>46072.524560185186</v>
      </c>
      <c r="G2177" t="s">
        <v>286</v>
      </c>
      <c r="H2177" t="s">
        <v>287</v>
      </c>
      <c r="I2177" t="s">
        <v>8673</v>
      </c>
      <c r="J2177" t="s">
        <v>8674</v>
      </c>
      <c r="K2177" t="s">
        <v>7448</v>
      </c>
      <c r="M2177" t="s">
        <v>47</v>
      </c>
      <c r="O2177" t="s">
        <v>77</v>
      </c>
      <c r="P2177" t="s">
        <v>78</v>
      </c>
      <c r="Q2177" t="s">
        <v>50</v>
      </c>
      <c r="R2177" t="s">
        <v>51</v>
      </c>
      <c r="S2177" t="s">
        <v>52</v>
      </c>
      <c r="T2177" t="s">
        <v>240</v>
      </c>
      <c r="U2177" s="1">
        <v>46072.616365740738</v>
      </c>
      <c r="V2177" t="s">
        <v>54</v>
      </c>
      <c r="W2177" t="s">
        <v>55</v>
      </c>
      <c r="X2177" t="s">
        <v>113</v>
      </c>
      <c r="Y2177" t="s">
        <v>8675</v>
      </c>
      <c r="Z2177" t="s">
        <v>5594</v>
      </c>
      <c r="AA2177" t="s">
        <v>54</v>
      </c>
      <c r="AB2177" t="s">
        <v>8676</v>
      </c>
      <c r="AC2177" t="s">
        <v>85</v>
      </c>
      <c r="AD2177" t="s">
        <v>52</v>
      </c>
      <c r="AE2177" t="s">
        <v>243</v>
      </c>
      <c r="AF2177" t="s">
        <v>244</v>
      </c>
      <c r="AG2177" t="s">
        <v>5594</v>
      </c>
      <c r="AK2177">
        <v>0</v>
      </c>
      <c r="AL2177" t="s">
        <v>61</v>
      </c>
      <c r="AM2177" t="s">
        <v>7451</v>
      </c>
      <c r="AN2177" t="s">
        <v>7452</v>
      </c>
    </row>
    <row r="2178" spans="1:40" x14ac:dyDescent="0.35">
      <c r="A2178" t="s">
        <v>37</v>
      </c>
      <c r="B2178" t="s">
        <v>8677</v>
      </c>
      <c r="C2178" t="s">
        <v>656</v>
      </c>
      <c r="D2178" t="s">
        <v>8678</v>
      </c>
      <c r="E2178" t="s">
        <v>8679</v>
      </c>
      <c r="F2178" s="1">
        <v>46072.524560185186</v>
      </c>
      <c r="G2178" t="s">
        <v>355</v>
      </c>
      <c r="H2178" t="s">
        <v>356</v>
      </c>
      <c r="I2178" t="s">
        <v>8680</v>
      </c>
      <c r="J2178" t="s">
        <v>8681</v>
      </c>
      <c r="K2178" t="s">
        <v>2358</v>
      </c>
      <c r="M2178" t="s">
        <v>131</v>
      </c>
      <c r="O2178" t="s">
        <v>77</v>
      </c>
      <c r="P2178" t="s">
        <v>78</v>
      </c>
      <c r="Q2178" t="s">
        <v>50</v>
      </c>
      <c r="R2178" t="s">
        <v>3056</v>
      </c>
      <c r="S2178" t="s">
        <v>3057</v>
      </c>
      <c r="T2178" t="s">
        <v>4820</v>
      </c>
      <c r="U2178" s="1">
        <v>46077.445509259262</v>
      </c>
      <c r="V2178" t="s">
        <v>54</v>
      </c>
      <c r="W2178" t="s">
        <v>55</v>
      </c>
      <c r="X2178" t="s">
        <v>134</v>
      </c>
      <c r="Y2178" t="s">
        <v>8682</v>
      </c>
      <c r="Z2178" t="s">
        <v>58</v>
      </c>
      <c r="AA2178" t="s">
        <v>54</v>
      </c>
      <c r="AB2178" t="s">
        <v>408</v>
      </c>
      <c r="AC2178" t="s">
        <v>85</v>
      </c>
      <c r="AD2178" t="s">
        <v>3056</v>
      </c>
      <c r="AE2178" t="s">
        <v>3057</v>
      </c>
      <c r="AF2178" t="s">
        <v>6216</v>
      </c>
      <c r="AG2178" t="s">
        <v>58</v>
      </c>
      <c r="AH2178" t="s">
        <v>8683</v>
      </c>
      <c r="AK2178">
        <v>4</v>
      </c>
      <c r="AL2178" t="s">
        <v>61</v>
      </c>
      <c r="AM2178" t="s">
        <v>8684</v>
      </c>
      <c r="AN2178" t="s">
        <v>8685</v>
      </c>
    </row>
    <row r="2179" spans="1:40" x14ac:dyDescent="0.35">
      <c r="A2179" t="s">
        <v>37</v>
      </c>
      <c r="B2179" t="s">
        <v>8686</v>
      </c>
      <c r="C2179" t="s">
        <v>39</v>
      </c>
      <c r="D2179" t="s">
        <v>8687</v>
      </c>
      <c r="E2179" t="s">
        <v>8688</v>
      </c>
      <c r="F2179" s="1">
        <v>46072.524398148147</v>
      </c>
      <c r="G2179" t="s">
        <v>1217</v>
      </c>
      <c r="H2179" t="s">
        <v>92</v>
      </c>
      <c r="I2179" t="s">
        <v>8689</v>
      </c>
      <c r="J2179" t="s">
        <v>3423</v>
      </c>
      <c r="K2179" t="s">
        <v>75</v>
      </c>
      <c r="M2179" t="s">
        <v>47</v>
      </c>
      <c r="O2179" t="s">
        <v>77</v>
      </c>
      <c r="P2179" t="s">
        <v>78</v>
      </c>
      <c r="Q2179" t="s">
        <v>50</v>
      </c>
      <c r="R2179" t="s">
        <v>79</v>
      </c>
      <c r="S2179" t="s">
        <v>172</v>
      </c>
      <c r="T2179" t="s">
        <v>173</v>
      </c>
      <c r="U2179" s="1">
        <v>46072.547314814816</v>
      </c>
      <c r="V2179" t="s">
        <v>54</v>
      </c>
      <c r="W2179" t="s">
        <v>55</v>
      </c>
      <c r="X2179" t="s">
        <v>82</v>
      </c>
      <c r="Y2179" t="s">
        <v>3424</v>
      </c>
      <c r="Z2179" t="s">
        <v>5594</v>
      </c>
      <c r="AA2179" t="s">
        <v>54</v>
      </c>
      <c r="AB2179" t="s">
        <v>3425</v>
      </c>
      <c r="AC2179" t="s">
        <v>85</v>
      </c>
      <c r="AD2179" t="s">
        <v>79</v>
      </c>
      <c r="AE2179" t="s">
        <v>172</v>
      </c>
      <c r="AF2179" t="s">
        <v>173</v>
      </c>
      <c r="AG2179" t="s">
        <v>5594</v>
      </c>
      <c r="AH2179" t="s">
        <v>8690</v>
      </c>
      <c r="AK2179">
        <v>0</v>
      </c>
      <c r="AL2179" t="s">
        <v>61</v>
      </c>
      <c r="AM2179" t="s">
        <v>8691</v>
      </c>
      <c r="AN2179" t="s">
        <v>8692</v>
      </c>
    </row>
    <row r="2180" spans="1:40" x14ac:dyDescent="0.35">
      <c r="A2180" t="s">
        <v>37</v>
      </c>
      <c r="B2180" t="s">
        <v>8693</v>
      </c>
      <c r="C2180" t="s">
        <v>39</v>
      </c>
      <c r="D2180" t="s">
        <v>8694</v>
      </c>
      <c r="E2180" t="s">
        <v>8695</v>
      </c>
      <c r="F2180" s="1">
        <v>46072.521365740744</v>
      </c>
      <c r="G2180" t="s">
        <v>855</v>
      </c>
      <c r="H2180" t="s">
        <v>447</v>
      </c>
      <c r="I2180" t="s">
        <v>205</v>
      </c>
      <c r="J2180" t="s">
        <v>603</v>
      </c>
      <c r="K2180" t="s">
        <v>207</v>
      </c>
      <c r="M2180" t="s">
        <v>47</v>
      </c>
      <c r="O2180" t="s">
        <v>77</v>
      </c>
      <c r="P2180" t="s">
        <v>78</v>
      </c>
      <c r="Q2180" t="s">
        <v>50</v>
      </c>
      <c r="R2180" t="s">
        <v>208</v>
      </c>
      <c r="S2180" t="s">
        <v>209</v>
      </c>
      <c r="T2180" t="s">
        <v>210</v>
      </c>
      <c r="U2180" s="1">
        <v>46072.603125000001</v>
      </c>
      <c r="V2180" t="s">
        <v>54</v>
      </c>
      <c r="W2180" t="s">
        <v>55</v>
      </c>
      <c r="X2180" t="s">
        <v>211</v>
      </c>
      <c r="Y2180" t="s">
        <v>604</v>
      </c>
      <c r="Z2180" t="s">
        <v>5594</v>
      </c>
      <c r="AA2180" t="s">
        <v>54</v>
      </c>
      <c r="AB2180" t="s">
        <v>213</v>
      </c>
      <c r="AC2180" t="s">
        <v>85</v>
      </c>
      <c r="AD2180" t="s">
        <v>214</v>
      </c>
      <c r="AE2180" t="s">
        <v>215</v>
      </c>
      <c r="AF2180" t="s">
        <v>216</v>
      </c>
      <c r="AG2180" t="s">
        <v>5594</v>
      </c>
      <c r="AH2180">
        <v>11735</v>
      </c>
      <c r="AK2180">
        <v>1</v>
      </c>
      <c r="AL2180" t="s">
        <v>61</v>
      </c>
      <c r="AM2180" t="s">
        <v>8696</v>
      </c>
      <c r="AN2180" t="s">
        <v>8697</v>
      </c>
    </row>
    <row r="2181" spans="1:40" x14ac:dyDescent="0.35">
      <c r="A2181" t="s">
        <v>37</v>
      </c>
      <c r="B2181" t="s">
        <v>8698</v>
      </c>
      <c r="C2181" t="s">
        <v>39</v>
      </c>
      <c r="D2181" t="s">
        <v>7445</v>
      </c>
      <c r="E2181" t="s">
        <v>1316</v>
      </c>
      <c r="F2181" s="1">
        <v>46072.520914351851</v>
      </c>
      <c r="G2181" t="s">
        <v>286</v>
      </c>
      <c r="H2181" t="s">
        <v>287</v>
      </c>
      <c r="I2181" t="s">
        <v>8699</v>
      </c>
      <c r="J2181" t="s">
        <v>8674</v>
      </c>
      <c r="K2181" t="s">
        <v>7448</v>
      </c>
      <c r="M2181" t="s">
        <v>47</v>
      </c>
      <c r="O2181" t="s">
        <v>77</v>
      </c>
      <c r="P2181" t="s">
        <v>78</v>
      </c>
      <c r="Q2181" t="s">
        <v>50</v>
      </c>
      <c r="R2181" t="s">
        <v>51</v>
      </c>
      <c r="S2181" t="s">
        <v>52</v>
      </c>
      <c r="T2181" t="s">
        <v>240</v>
      </c>
      <c r="U2181" s="1">
        <v>46072.616226851853</v>
      </c>
      <c r="V2181" t="s">
        <v>54</v>
      </c>
      <c r="W2181" t="s">
        <v>55</v>
      </c>
      <c r="X2181" t="s">
        <v>113</v>
      </c>
      <c r="Y2181" t="s">
        <v>8700</v>
      </c>
      <c r="Z2181" t="s">
        <v>5594</v>
      </c>
      <c r="AA2181" t="s">
        <v>54</v>
      </c>
      <c r="AB2181" t="s">
        <v>8676</v>
      </c>
      <c r="AC2181" t="s">
        <v>85</v>
      </c>
      <c r="AD2181" t="s">
        <v>52</v>
      </c>
      <c r="AE2181" t="s">
        <v>243</v>
      </c>
      <c r="AF2181" t="s">
        <v>244</v>
      </c>
      <c r="AG2181" t="s">
        <v>5594</v>
      </c>
      <c r="AK2181">
        <v>0</v>
      </c>
      <c r="AL2181" t="s">
        <v>61</v>
      </c>
      <c r="AM2181" t="s">
        <v>7451</v>
      </c>
      <c r="AN2181" t="s">
        <v>7452</v>
      </c>
    </row>
    <row r="2182" spans="1:40" x14ac:dyDescent="0.35">
      <c r="A2182" t="s">
        <v>37</v>
      </c>
      <c r="B2182" t="s">
        <v>8701</v>
      </c>
      <c r="C2182" t="s">
        <v>39</v>
      </c>
      <c r="D2182" t="s">
        <v>1216</v>
      </c>
      <c r="E2182" t="s">
        <v>303</v>
      </c>
      <c r="F2182" s="1">
        <v>46072.52034722222</v>
      </c>
      <c r="G2182" t="s">
        <v>508</v>
      </c>
      <c r="H2182" t="s">
        <v>72</v>
      </c>
      <c r="I2182" t="s">
        <v>205</v>
      </c>
      <c r="J2182" t="s">
        <v>603</v>
      </c>
      <c r="K2182" t="s">
        <v>207</v>
      </c>
      <c r="M2182" t="s">
        <v>47</v>
      </c>
      <c r="O2182" t="s">
        <v>77</v>
      </c>
      <c r="P2182" t="s">
        <v>78</v>
      </c>
      <c r="Q2182" t="s">
        <v>50</v>
      </c>
      <c r="R2182" t="s">
        <v>208</v>
      </c>
      <c r="S2182" t="s">
        <v>209</v>
      </c>
      <c r="T2182" t="s">
        <v>210</v>
      </c>
      <c r="U2182" s="1">
        <v>46072.59302083333</v>
      </c>
      <c r="V2182" t="s">
        <v>54</v>
      </c>
      <c r="W2182" t="s">
        <v>55</v>
      </c>
      <c r="X2182" t="s">
        <v>211</v>
      </c>
      <c r="Y2182" t="s">
        <v>604</v>
      </c>
      <c r="Z2182" t="s">
        <v>5594</v>
      </c>
      <c r="AA2182" t="s">
        <v>54</v>
      </c>
      <c r="AB2182" t="s">
        <v>213</v>
      </c>
      <c r="AC2182" t="s">
        <v>85</v>
      </c>
      <c r="AD2182" t="s">
        <v>214</v>
      </c>
      <c r="AE2182" t="s">
        <v>215</v>
      </c>
      <c r="AF2182" t="s">
        <v>216</v>
      </c>
      <c r="AG2182" t="s">
        <v>5594</v>
      </c>
      <c r="AH2182">
        <v>15443</v>
      </c>
      <c r="AK2182">
        <v>1</v>
      </c>
      <c r="AL2182" t="s">
        <v>61</v>
      </c>
      <c r="AM2182" t="s">
        <v>8702</v>
      </c>
      <c r="AN2182" t="s">
        <v>8703</v>
      </c>
    </row>
    <row r="2183" spans="1:40" x14ac:dyDescent="0.35">
      <c r="A2183" t="s">
        <v>37</v>
      </c>
      <c r="B2183" t="s">
        <v>8704</v>
      </c>
      <c r="C2183" t="s">
        <v>39</v>
      </c>
      <c r="D2183" t="s">
        <v>8705</v>
      </c>
      <c r="E2183" t="s">
        <v>8706</v>
      </c>
      <c r="F2183" s="1">
        <v>46072.519606481481</v>
      </c>
      <c r="G2183" t="s">
        <v>826</v>
      </c>
      <c r="H2183" t="s">
        <v>356</v>
      </c>
      <c r="I2183" t="s">
        <v>205</v>
      </c>
      <c r="J2183" t="s">
        <v>603</v>
      </c>
      <c r="K2183" t="s">
        <v>207</v>
      </c>
      <c r="M2183" t="s">
        <v>47</v>
      </c>
      <c r="O2183" t="s">
        <v>77</v>
      </c>
      <c r="P2183" t="s">
        <v>78</v>
      </c>
      <c r="Q2183" t="s">
        <v>50</v>
      </c>
      <c r="R2183" t="s">
        <v>208</v>
      </c>
      <c r="S2183" t="s">
        <v>209</v>
      </c>
      <c r="T2183" t="s">
        <v>210</v>
      </c>
      <c r="U2183" s="1">
        <v>46072.603807870371</v>
      </c>
      <c r="V2183" t="s">
        <v>54</v>
      </c>
      <c r="W2183" t="s">
        <v>55</v>
      </c>
      <c r="X2183" t="s">
        <v>211</v>
      </c>
      <c r="Y2183" t="s">
        <v>604</v>
      </c>
      <c r="Z2183" t="s">
        <v>5594</v>
      </c>
      <c r="AA2183" t="s">
        <v>54</v>
      </c>
      <c r="AB2183" t="s">
        <v>213</v>
      </c>
      <c r="AC2183" t="s">
        <v>85</v>
      </c>
      <c r="AD2183" t="s">
        <v>214</v>
      </c>
      <c r="AE2183" t="s">
        <v>215</v>
      </c>
      <c r="AF2183" t="s">
        <v>216</v>
      </c>
      <c r="AG2183" t="s">
        <v>5594</v>
      </c>
      <c r="AH2183">
        <v>14600</v>
      </c>
      <c r="AK2183">
        <v>1</v>
      </c>
      <c r="AL2183" t="s">
        <v>61</v>
      </c>
      <c r="AM2183" t="s">
        <v>8707</v>
      </c>
      <c r="AN2183" t="s">
        <v>8708</v>
      </c>
    </row>
    <row r="2184" spans="1:40" x14ac:dyDescent="0.35">
      <c r="A2184" t="s">
        <v>37</v>
      </c>
      <c r="B2184" t="s">
        <v>8709</v>
      </c>
      <c r="C2184" t="s">
        <v>39</v>
      </c>
      <c r="D2184" t="s">
        <v>391</v>
      </c>
      <c r="E2184" t="s">
        <v>401</v>
      </c>
      <c r="F2184" s="1">
        <v>46072.519814814812</v>
      </c>
      <c r="G2184" t="s">
        <v>508</v>
      </c>
      <c r="H2184" t="s">
        <v>72</v>
      </c>
      <c r="I2184" t="s">
        <v>2636</v>
      </c>
      <c r="J2184" t="s">
        <v>2117</v>
      </c>
      <c r="K2184" t="s">
        <v>2118</v>
      </c>
      <c r="M2184" t="s">
        <v>131</v>
      </c>
      <c r="O2184" t="s">
        <v>77</v>
      </c>
      <c r="P2184" t="s">
        <v>78</v>
      </c>
      <c r="Q2184" t="s">
        <v>4087</v>
      </c>
      <c r="R2184" t="s">
        <v>51</v>
      </c>
      <c r="S2184" t="s">
        <v>52</v>
      </c>
      <c r="T2184" t="s">
        <v>240</v>
      </c>
      <c r="U2184" s="1">
        <v>46077.34516203704</v>
      </c>
      <c r="V2184" t="s">
        <v>54</v>
      </c>
      <c r="W2184" t="s">
        <v>55</v>
      </c>
      <c r="X2184" t="s">
        <v>134</v>
      </c>
      <c r="Y2184" t="s">
        <v>4088</v>
      </c>
      <c r="Z2184" t="s">
        <v>58</v>
      </c>
      <c r="AA2184" t="s">
        <v>54</v>
      </c>
      <c r="AB2184" t="s">
        <v>408</v>
      </c>
      <c r="AC2184" t="s">
        <v>85</v>
      </c>
      <c r="AD2184" t="s">
        <v>52</v>
      </c>
      <c r="AE2184" t="s">
        <v>243</v>
      </c>
      <c r="AF2184" t="s">
        <v>1470</v>
      </c>
      <c r="AG2184" t="s">
        <v>58</v>
      </c>
      <c r="AH2184">
        <v>10315</v>
      </c>
      <c r="AK2184">
        <v>1</v>
      </c>
      <c r="AL2184" t="s">
        <v>61</v>
      </c>
      <c r="AM2184" t="s">
        <v>4089</v>
      </c>
      <c r="AN2184" t="s">
        <v>4090</v>
      </c>
    </row>
    <row r="2185" spans="1:40" x14ac:dyDescent="0.35">
      <c r="A2185" t="s">
        <v>37</v>
      </c>
      <c r="B2185" t="s">
        <v>8710</v>
      </c>
      <c r="C2185" t="s">
        <v>39</v>
      </c>
      <c r="D2185" t="s">
        <v>325</v>
      </c>
      <c r="E2185" t="s">
        <v>1146</v>
      </c>
      <c r="F2185" s="1">
        <v>46072.518831018519</v>
      </c>
      <c r="G2185" t="s">
        <v>497</v>
      </c>
      <c r="H2185" t="s">
        <v>72</v>
      </c>
      <c r="I2185" t="s">
        <v>205</v>
      </c>
      <c r="J2185" t="s">
        <v>1692</v>
      </c>
      <c r="K2185" t="s">
        <v>207</v>
      </c>
      <c r="M2185" t="s">
        <v>131</v>
      </c>
      <c r="O2185" t="s">
        <v>77</v>
      </c>
      <c r="P2185" t="s">
        <v>78</v>
      </c>
      <c r="Q2185" t="s">
        <v>50</v>
      </c>
      <c r="R2185" t="s">
        <v>305</v>
      </c>
      <c r="S2185" t="s">
        <v>306</v>
      </c>
      <c r="T2185" t="s">
        <v>307</v>
      </c>
      <c r="U2185" s="1">
        <v>46077.994305555556</v>
      </c>
      <c r="V2185" t="s">
        <v>54</v>
      </c>
      <c r="W2185" t="s">
        <v>55</v>
      </c>
      <c r="X2185" t="s">
        <v>211</v>
      </c>
      <c r="Y2185" t="s">
        <v>4115</v>
      </c>
      <c r="Z2185" t="s">
        <v>58</v>
      </c>
      <c r="AA2185" t="s">
        <v>54</v>
      </c>
      <c r="AB2185" t="s">
        <v>213</v>
      </c>
      <c r="AC2185" t="s">
        <v>85</v>
      </c>
      <c r="AD2185" t="s">
        <v>214</v>
      </c>
      <c r="AE2185" t="s">
        <v>215</v>
      </c>
      <c r="AF2185" t="s">
        <v>161</v>
      </c>
      <c r="AG2185" t="s">
        <v>58</v>
      </c>
      <c r="AH2185" t="s">
        <v>8711</v>
      </c>
      <c r="AK2185">
        <v>5</v>
      </c>
      <c r="AL2185" t="s">
        <v>61</v>
      </c>
      <c r="AM2185" t="s">
        <v>8712</v>
      </c>
      <c r="AN2185" t="s">
        <v>8713</v>
      </c>
    </row>
    <row r="2186" spans="1:40" x14ac:dyDescent="0.35">
      <c r="A2186" t="s">
        <v>37</v>
      </c>
      <c r="B2186" t="s">
        <v>8714</v>
      </c>
      <c r="C2186" t="s">
        <v>39</v>
      </c>
      <c r="D2186" t="s">
        <v>824</v>
      </c>
      <c r="E2186" t="s">
        <v>226</v>
      </c>
      <c r="F2186" s="1">
        <v>46072.518449074072</v>
      </c>
      <c r="G2186" t="s">
        <v>793</v>
      </c>
      <c r="H2186" t="s">
        <v>356</v>
      </c>
      <c r="I2186" t="s">
        <v>8715</v>
      </c>
      <c r="J2186" t="s">
        <v>1692</v>
      </c>
      <c r="K2186" t="s">
        <v>207</v>
      </c>
      <c r="M2186" t="s">
        <v>47</v>
      </c>
      <c r="O2186" t="s">
        <v>77</v>
      </c>
      <c r="P2186" t="s">
        <v>78</v>
      </c>
      <c r="Q2186" t="s">
        <v>50</v>
      </c>
      <c r="R2186" t="s">
        <v>79</v>
      </c>
      <c r="S2186" t="s">
        <v>967</v>
      </c>
      <c r="T2186" t="s">
        <v>1072</v>
      </c>
      <c r="U2186" s="1">
        <v>46072.529131944444</v>
      </c>
      <c r="V2186" t="s">
        <v>54</v>
      </c>
      <c r="W2186" t="s">
        <v>55</v>
      </c>
      <c r="X2186" t="s">
        <v>82</v>
      </c>
      <c r="Y2186" t="s">
        <v>8716</v>
      </c>
      <c r="Z2186" t="s">
        <v>5594</v>
      </c>
      <c r="AA2186" t="s">
        <v>54</v>
      </c>
      <c r="AB2186" t="s">
        <v>698</v>
      </c>
      <c r="AC2186" t="s">
        <v>85</v>
      </c>
      <c r="AD2186" t="s">
        <v>214</v>
      </c>
      <c r="AE2186" t="s">
        <v>215</v>
      </c>
      <c r="AF2186" t="s">
        <v>8717</v>
      </c>
      <c r="AG2186" t="s">
        <v>5594</v>
      </c>
      <c r="AH2186">
        <v>15254</v>
      </c>
      <c r="AK2186">
        <v>1</v>
      </c>
      <c r="AL2186" t="s">
        <v>61</v>
      </c>
      <c r="AM2186" t="s">
        <v>8464</v>
      </c>
      <c r="AN2186" t="s">
        <v>8465</v>
      </c>
    </row>
    <row r="2187" spans="1:40" x14ac:dyDescent="0.35">
      <c r="A2187" t="s">
        <v>37</v>
      </c>
      <c r="B2187" t="s">
        <v>8718</v>
      </c>
      <c r="C2187" t="s">
        <v>39</v>
      </c>
      <c r="D2187" t="s">
        <v>230</v>
      </c>
      <c r="E2187" t="s">
        <v>8719</v>
      </c>
      <c r="F2187" s="1">
        <v>46072.517361111109</v>
      </c>
      <c r="G2187" t="s">
        <v>377</v>
      </c>
      <c r="H2187" t="s">
        <v>287</v>
      </c>
      <c r="I2187" t="s">
        <v>8720</v>
      </c>
      <c r="J2187" t="s">
        <v>394</v>
      </c>
      <c r="K2187" t="s">
        <v>75</v>
      </c>
      <c r="M2187" t="s">
        <v>47</v>
      </c>
      <c r="O2187" t="s">
        <v>77</v>
      </c>
      <c r="P2187" t="s">
        <v>78</v>
      </c>
      <c r="Q2187" t="s">
        <v>50</v>
      </c>
      <c r="R2187" t="s">
        <v>79</v>
      </c>
      <c r="S2187" t="s">
        <v>967</v>
      </c>
      <c r="T2187" t="s">
        <v>1028</v>
      </c>
      <c r="U2187" s="1">
        <v>46072.525810185187</v>
      </c>
      <c r="V2187" t="s">
        <v>54</v>
      </c>
      <c r="W2187" t="s">
        <v>55</v>
      </c>
      <c r="X2187" t="s">
        <v>82</v>
      </c>
      <c r="Y2187" t="s">
        <v>8721</v>
      </c>
      <c r="Z2187" t="s">
        <v>5594</v>
      </c>
      <c r="AA2187" t="s">
        <v>54</v>
      </c>
      <c r="AB2187" t="s">
        <v>396</v>
      </c>
      <c r="AC2187" t="s">
        <v>85</v>
      </c>
      <c r="AD2187" t="s">
        <v>79</v>
      </c>
      <c r="AE2187" t="s">
        <v>967</v>
      </c>
      <c r="AF2187" t="s">
        <v>1028</v>
      </c>
      <c r="AG2187" t="s">
        <v>5594</v>
      </c>
      <c r="AH2187" t="s">
        <v>8722</v>
      </c>
      <c r="AK2187">
        <v>0</v>
      </c>
      <c r="AL2187" t="s">
        <v>61</v>
      </c>
      <c r="AM2187" t="s">
        <v>8723</v>
      </c>
      <c r="AN2187" t="s">
        <v>8724</v>
      </c>
    </row>
    <row r="2188" spans="1:40" x14ac:dyDescent="0.35">
      <c r="A2188" t="s">
        <v>37</v>
      </c>
      <c r="B2188" t="s">
        <v>8725</v>
      </c>
      <c r="C2188" t="s">
        <v>102</v>
      </c>
      <c r="D2188" t="s">
        <v>761</v>
      </c>
      <c r="E2188" t="s">
        <v>762</v>
      </c>
      <c r="F2188" s="1">
        <v>46072.516006944446</v>
      </c>
      <c r="G2188" t="s">
        <v>105</v>
      </c>
      <c r="H2188" t="s">
        <v>106</v>
      </c>
      <c r="I2188" t="s">
        <v>7389</v>
      </c>
      <c r="J2188" t="s">
        <v>108</v>
      </c>
      <c r="K2188" t="s">
        <v>109</v>
      </c>
      <c r="M2188" t="s">
        <v>47</v>
      </c>
      <c r="O2188" t="s">
        <v>77</v>
      </c>
      <c r="P2188" t="s">
        <v>78</v>
      </c>
      <c r="Q2188" t="s">
        <v>50</v>
      </c>
      <c r="R2188" t="s">
        <v>111</v>
      </c>
      <c r="S2188" t="s">
        <v>51</v>
      </c>
      <c r="T2188" t="s">
        <v>112</v>
      </c>
      <c r="U2188" s="1">
        <v>46072.715821759259</v>
      </c>
      <c r="V2188" t="s">
        <v>54</v>
      </c>
      <c r="W2188" t="s">
        <v>1584</v>
      </c>
      <c r="X2188" t="s">
        <v>82</v>
      </c>
      <c r="Y2188" t="s">
        <v>8726</v>
      </c>
      <c r="Z2188" t="s">
        <v>5594</v>
      </c>
      <c r="AA2188" t="s">
        <v>54</v>
      </c>
      <c r="AB2188" t="s">
        <v>115</v>
      </c>
      <c r="AC2188" t="s">
        <v>85</v>
      </c>
      <c r="AD2188" t="s">
        <v>116</v>
      </c>
      <c r="AE2188" t="s">
        <v>117</v>
      </c>
      <c r="AF2188" t="s">
        <v>118</v>
      </c>
      <c r="AG2188" t="s">
        <v>5594</v>
      </c>
      <c r="AH2188" t="s">
        <v>765</v>
      </c>
      <c r="AK2188">
        <v>1</v>
      </c>
      <c r="AL2188" t="s">
        <v>61</v>
      </c>
      <c r="AM2188" t="s">
        <v>766</v>
      </c>
      <c r="AN2188" t="s">
        <v>767</v>
      </c>
    </row>
    <row r="2189" spans="1:40" x14ac:dyDescent="0.35">
      <c r="A2189" t="s">
        <v>37</v>
      </c>
      <c r="B2189" t="s">
        <v>8727</v>
      </c>
      <c r="C2189" t="s">
        <v>102</v>
      </c>
      <c r="D2189" t="s">
        <v>1698</v>
      </c>
      <c r="E2189" t="s">
        <v>584</v>
      </c>
      <c r="F2189" s="1">
        <v>46072.51494212963</v>
      </c>
      <c r="G2189" t="s">
        <v>105</v>
      </c>
      <c r="H2189" t="s">
        <v>106</v>
      </c>
      <c r="I2189" t="s">
        <v>6646</v>
      </c>
      <c r="J2189" t="s">
        <v>108</v>
      </c>
      <c r="K2189" t="s">
        <v>341</v>
      </c>
      <c r="M2189" t="s">
        <v>47</v>
      </c>
      <c r="O2189" t="s">
        <v>77</v>
      </c>
      <c r="P2189" t="s">
        <v>78</v>
      </c>
      <c r="Q2189" t="s">
        <v>50</v>
      </c>
      <c r="R2189" t="s">
        <v>111</v>
      </c>
      <c r="S2189" t="s">
        <v>51</v>
      </c>
      <c r="T2189" t="s">
        <v>112</v>
      </c>
      <c r="U2189" s="1">
        <v>46072.611504629633</v>
      </c>
      <c r="V2189" t="s">
        <v>54</v>
      </c>
      <c r="X2189" t="s">
        <v>134</v>
      </c>
      <c r="Y2189" t="s">
        <v>8728</v>
      </c>
      <c r="Z2189" t="s">
        <v>5594</v>
      </c>
      <c r="AA2189" t="s">
        <v>54</v>
      </c>
      <c r="AB2189" t="s">
        <v>1701</v>
      </c>
      <c r="AC2189" t="s">
        <v>85</v>
      </c>
      <c r="AD2189" t="s">
        <v>116</v>
      </c>
      <c r="AE2189" t="s">
        <v>117</v>
      </c>
      <c r="AF2189" t="s">
        <v>1740</v>
      </c>
      <c r="AG2189" t="s">
        <v>5594</v>
      </c>
      <c r="AK2189">
        <v>1</v>
      </c>
      <c r="AL2189" t="s">
        <v>61</v>
      </c>
      <c r="AM2189" t="s">
        <v>1701</v>
      </c>
      <c r="AN2189" t="s">
        <v>1702</v>
      </c>
    </row>
    <row r="2190" spans="1:40" x14ac:dyDescent="0.35">
      <c r="A2190" t="s">
        <v>37</v>
      </c>
      <c r="B2190" t="s">
        <v>8729</v>
      </c>
      <c r="C2190" t="s">
        <v>39</v>
      </c>
      <c r="D2190" t="s">
        <v>2879</v>
      </c>
      <c r="E2190" t="s">
        <v>2880</v>
      </c>
      <c r="F2190" s="1">
        <v>46072.515393518515</v>
      </c>
      <c r="G2190" t="s">
        <v>297</v>
      </c>
      <c r="H2190" t="s">
        <v>287</v>
      </c>
      <c r="I2190" t="s">
        <v>2949</v>
      </c>
      <c r="J2190" t="s">
        <v>4338</v>
      </c>
      <c r="K2190" t="s">
        <v>405</v>
      </c>
      <c r="M2190" t="s">
        <v>76</v>
      </c>
      <c r="O2190" t="s">
        <v>77</v>
      </c>
      <c r="P2190" t="s">
        <v>78</v>
      </c>
      <c r="Q2190" t="s">
        <v>2882</v>
      </c>
      <c r="R2190" t="s">
        <v>51</v>
      </c>
      <c r="S2190" t="s">
        <v>52</v>
      </c>
      <c r="T2190" t="s">
        <v>240</v>
      </c>
      <c r="U2190" s="1">
        <v>46076.296898148146</v>
      </c>
      <c r="V2190" t="s">
        <v>54</v>
      </c>
      <c r="W2190" t="s">
        <v>55</v>
      </c>
      <c r="X2190" t="s">
        <v>82</v>
      </c>
      <c r="Y2190" t="s">
        <v>8406</v>
      </c>
      <c r="Z2190" t="s">
        <v>58</v>
      </c>
      <c r="AA2190" t="s">
        <v>54</v>
      </c>
      <c r="AB2190" t="s">
        <v>396</v>
      </c>
      <c r="AC2190" t="s">
        <v>85</v>
      </c>
      <c r="AD2190" t="s">
        <v>52</v>
      </c>
      <c r="AE2190" t="s">
        <v>243</v>
      </c>
      <c r="AF2190" t="s">
        <v>244</v>
      </c>
      <c r="AG2190" t="s">
        <v>58</v>
      </c>
      <c r="AH2190">
        <v>5505</v>
      </c>
      <c r="AK2190">
        <v>1</v>
      </c>
      <c r="AL2190" t="s">
        <v>61</v>
      </c>
      <c r="AM2190" t="s">
        <v>2884</v>
      </c>
      <c r="AN2190" t="s">
        <v>2885</v>
      </c>
    </row>
    <row r="2191" spans="1:40" x14ac:dyDescent="0.35">
      <c r="A2191" t="s">
        <v>37</v>
      </c>
      <c r="B2191" t="s">
        <v>8730</v>
      </c>
      <c r="C2191" t="s">
        <v>39</v>
      </c>
      <c r="D2191" t="s">
        <v>1751</v>
      </c>
      <c r="E2191" t="s">
        <v>1316</v>
      </c>
      <c r="F2191" s="1">
        <v>46072.514155092591</v>
      </c>
      <c r="G2191" t="s">
        <v>1752</v>
      </c>
      <c r="H2191" t="s">
        <v>447</v>
      </c>
      <c r="I2191" t="s">
        <v>8731</v>
      </c>
      <c r="J2191" t="s">
        <v>1754</v>
      </c>
      <c r="K2191" t="s">
        <v>1755</v>
      </c>
      <c r="M2191" t="s">
        <v>47</v>
      </c>
      <c r="O2191" t="s">
        <v>77</v>
      </c>
      <c r="P2191" t="s">
        <v>78</v>
      </c>
      <c r="Q2191" t="s">
        <v>50</v>
      </c>
      <c r="R2191" t="s">
        <v>51</v>
      </c>
      <c r="S2191" t="s">
        <v>52</v>
      </c>
      <c r="T2191" t="s">
        <v>773</v>
      </c>
      <c r="U2191" s="1">
        <v>46074.961655092593</v>
      </c>
      <c r="V2191" t="s">
        <v>54</v>
      </c>
      <c r="W2191" t="s">
        <v>55</v>
      </c>
      <c r="X2191" t="s">
        <v>134</v>
      </c>
      <c r="Y2191" t="s">
        <v>8732</v>
      </c>
      <c r="Z2191" t="s">
        <v>5594</v>
      </c>
      <c r="AA2191" t="s">
        <v>54</v>
      </c>
      <c r="AB2191" t="s">
        <v>1757</v>
      </c>
      <c r="AC2191" t="s">
        <v>85</v>
      </c>
      <c r="AD2191" t="s">
        <v>52</v>
      </c>
      <c r="AE2191" t="s">
        <v>243</v>
      </c>
      <c r="AF2191" t="s">
        <v>409</v>
      </c>
      <c r="AG2191" t="s">
        <v>5594</v>
      </c>
      <c r="AK2191">
        <v>1</v>
      </c>
      <c r="AL2191" t="s">
        <v>61</v>
      </c>
      <c r="AM2191" t="s">
        <v>1757</v>
      </c>
      <c r="AN2191" t="s">
        <v>1758</v>
      </c>
    </row>
    <row r="2192" spans="1:40" x14ac:dyDescent="0.35">
      <c r="A2192" t="s">
        <v>37</v>
      </c>
      <c r="B2192" t="s">
        <v>8733</v>
      </c>
      <c r="C2192" t="s">
        <v>39</v>
      </c>
      <c r="D2192" t="s">
        <v>8734</v>
      </c>
      <c r="E2192" t="s">
        <v>513</v>
      </c>
      <c r="F2192" s="1">
        <v>46072.514108796298</v>
      </c>
      <c r="G2192" t="s">
        <v>793</v>
      </c>
      <c r="H2192" t="s">
        <v>356</v>
      </c>
      <c r="I2192" t="s">
        <v>2881</v>
      </c>
      <c r="J2192" t="s">
        <v>206</v>
      </c>
      <c r="K2192" t="s">
        <v>207</v>
      </c>
      <c r="M2192" t="s">
        <v>47</v>
      </c>
      <c r="O2192" t="s">
        <v>77</v>
      </c>
      <c r="P2192" t="s">
        <v>78</v>
      </c>
      <c r="Q2192" t="s">
        <v>50</v>
      </c>
      <c r="R2192" t="s">
        <v>79</v>
      </c>
      <c r="S2192" t="s">
        <v>967</v>
      </c>
      <c r="T2192" t="s">
        <v>1072</v>
      </c>
      <c r="U2192" s="1">
        <v>46072.531157407408</v>
      </c>
      <c r="V2192" t="s">
        <v>54</v>
      </c>
      <c r="W2192" t="s">
        <v>55</v>
      </c>
      <c r="X2192" t="s">
        <v>82</v>
      </c>
      <c r="Y2192" t="s">
        <v>8735</v>
      </c>
      <c r="Z2192" t="s">
        <v>5594</v>
      </c>
      <c r="AA2192" t="s">
        <v>54</v>
      </c>
      <c r="AB2192" t="s">
        <v>2721</v>
      </c>
      <c r="AC2192" t="s">
        <v>85</v>
      </c>
      <c r="AD2192" t="s">
        <v>79</v>
      </c>
      <c r="AE2192" t="s">
        <v>967</v>
      </c>
      <c r="AF2192" t="s">
        <v>1072</v>
      </c>
      <c r="AG2192" t="s">
        <v>5594</v>
      </c>
      <c r="AH2192">
        <v>15175</v>
      </c>
      <c r="AK2192">
        <v>1</v>
      </c>
      <c r="AL2192" t="s">
        <v>61</v>
      </c>
      <c r="AM2192" t="s">
        <v>8736</v>
      </c>
      <c r="AN2192" t="s">
        <v>8737</v>
      </c>
    </row>
    <row r="2193" spans="1:40" x14ac:dyDescent="0.35">
      <c r="A2193" t="s">
        <v>37</v>
      </c>
      <c r="B2193" t="s">
        <v>8738</v>
      </c>
      <c r="C2193" t="s">
        <v>39</v>
      </c>
      <c r="D2193" t="s">
        <v>8739</v>
      </c>
      <c r="E2193" t="s">
        <v>8740</v>
      </c>
      <c r="F2193" s="1">
        <v>46072.510949074072</v>
      </c>
      <c r="G2193" t="s">
        <v>487</v>
      </c>
      <c r="H2193" t="s">
        <v>447</v>
      </c>
      <c r="I2193" t="s">
        <v>8741</v>
      </c>
      <c r="J2193" t="s">
        <v>2406</v>
      </c>
      <c r="K2193" t="s">
        <v>1187</v>
      </c>
      <c r="M2193" t="s">
        <v>131</v>
      </c>
      <c r="O2193" t="s">
        <v>77</v>
      </c>
      <c r="P2193" t="s">
        <v>78</v>
      </c>
      <c r="Q2193" t="s">
        <v>50</v>
      </c>
      <c r="R2193" t="s">
        <v>305</v>
      </c>
      <c r="S2193" t="s">
        <v>306</v>
      </c>
      <c r="T2193" t="s">
        <v>307</v>
      </c>
      <c r="U2193" s="1">
        <v>46076.615231481483</v>
      </c>
      <c r="V2193" t="s">
        <v>54</v>
      </c>
      <c r="W2193" t="s">
        <v>55</v>
      </c>
      <c r="X2193" t="s">
        <v>211</v>
      </c>
      <c r="Y2193" t="s">
        <v>8742</v>
      </c>
      <c r="Z2193" t="s">
        <v>58</v>
      </c>
      <c r="AA2193" t="s">
        <v>54</v>
      </c>
      <c r="AB2193" t="s">
        <v>213</v>
      </c>
      <c r="AC2193" t="s">
        <v>85</v>
      </c>
      <c r="AD2193" t="s">
        <v>1189</v>
      </c>
      <c r="AE2193" t="s">
        <v>3746</v>
      </c>
      <c r="AF2193" t="s">
        <v>8743</v>
      </c>
      <c r="AG2193" t="s">
        <v>58</v>
      </c>
      <c r="AH2193">
        <v>14446</v>
      </c>
      <c r="AK2193">
        <v>2</v>
      </c>
      <c r="AL2193" t="s">
        <v>61</v>
      </c>
      <c r="AM2193" t="s">
        <v>8744</v>
      </c>
      <c r="AN2193" t="s">
        <v>8745</v>
      </c>
    </row>
    <row r="2194" spans="1:40" x14ac:dyDescent="0.35">
      <c r="A2194" t="s">
        <v>37</v>
      </c>
      <c r="B2194" t="s">
        <v>8746</v>
      </c>
      <c r="C2194" t="s">
        <v>39</v>
      </c>
      <c r="D2194" t="s">
        <v>8747</v>
      </c>
      <c r="E2194" t="s">
        <v>8748</v>
      </c>
      <c r="F2194" s="1">
        <v>46072.510937500003</v>
      </c>
      <c r="G2194" t="s">
        <v>105</v>
      </c>
      <c r="H2194" t="s">
        <v>106</v>
      </c>
      <c r="I2194" t="s">
        <v>205</v>
      </c>
      <c r="J2194" t="s">
        <v>603</v>
      </c>
      <c r="K2194" t="s">
        <v>207</v>
      </c>
      <c r="M2194" t="s">
        <v>47</v>
      </c>
      <c r="O2194" t="s">
        <v>77</v>
      </c>
      <c r="P2194" t="s">
        <v>78</v>
      </c>
      <c r="R2194" t="s">
        <v>208</v>
      </c>
      <c r="S2194" t="s">
        <v>209</v>
      </c>
      <c r="T2194" t="s">
        <v>210</v>
      </c>
      <c r="U2194" s="1">
        <v>46072.614016203705</v>
      </c>
      <c r="V2194" t="s">
        <v>54</v>
      </c>
      <c r="W2194" t="s">
        <v>55</v>
      </c>
      <c r="X2194" t="s">
        <v>211</v>
      </c>
      <c r="Y2194" t="s">
        <v>604</v>
      </c>
      <c r="Z2194" t="s">
        <v>5594</v>
      </c>
      <c r="AA2194" t="s">
        <v>54</v>
      </c>
      <c r="AB2194" t="s">
        <v>213</v>
      </c>
      <c r="AC2194" t="s">
        <v>85</v>
      </c>
      <c r="AD2194" t="s">
        <v>214</v>
      </c>
      <c r="AE2194" t="s">
        <v>215</v>
      </c>
      <c r="AF2194" t="s">
        <v>216</v>
      </c>
      <c r="AG2194" t="s">
        <v>5594</v>
      </c>
      <c r="AH2194" t="s">
        <v>8749</v>
      </c>
      <c r="AK2194">
        <v>1</v>
      </c>
      <c r="AL2194" t="s">
        <v>61</v>
      </c>
      <c r="AM2194" t="s">
        <v>8750</v>
      </c>
      <c r="AN2194" t="s">
        <v>8751</v>
      </c>
    </row>
    <row r="2195" spans="1:40" x14ac:dyDescent="0.35">
      <c r="A2195" t="s">
        <v>37</v>
      </c>
      <c r="B2195" t="s">
        <v>8752</v>
      </c>
      <c r="C2195" t="s">
        <v>39</v>
      </c>
      <c r="D2195" t="s">
        <v>303</v>
      </c>
      <c r="E2195" t="s">
        <v>5553</v>
      </c>
      <c r="F2195" s="1">
        <v>46072.508576388886</v>
      </c>
      <c r="G2195" t="s">
        <v>297</v>
      </c>
      <c r="H2195" t="s">
        <v>287</v>
      </c>
      <c r="I2195" t="s">
        <v>205</v>
      </c>
      <c r="J2195" t="s">
        <v>603</v>
      </c>
      <c r="K2195" t="s">
        <v>207</v>
      </c>
      <c r="M2195" t="s">
        <v>47</v>
      </c>
      <c r="O2195" t="s">
        <v>77</v>
      </c>
      <c r="P2195" t="s">
        <v>78</v>
      </c>
      <c r="Q2195" t="s">
        <v>50</v>
      </c>
      <c r="R2195" t="s">
        <v>208</v>
      </c>
      <c r="S2195" t="s">
        <v>209</v>
      </c>
      <c r="T2195" t="s">
        <v>210</v>
      </c>
      <c r="U2195" s="1">
        <v>46072.594305555554</v>
      </c>
      <c r="V2195" t="s">
        <v>54</v>
      </c>
      <c r="W2195" t="s">
        <v>55</v>
      </c>
      <c r="X2195" t="s">
        <v>211</v>
      </c>
      <c r="Y2195" t="s">
        <v>604</v>
      </c>
      <c r="Z2195" t="s">
        <v>5594</v>
      </c>
      <c r="AA2195" t="s">
        <v>54</v>
      </c>
      <c r="AB2195" t="s">
        <v>213</v>
      </c>
      <c r="AC2195" t="s">
        <v>85</v>
      </c>
      <c r="AD2195" t="s">
        <v>214</v>
      </c>
      <c r="AE2195" t="s">
        <v>215</v>
      </c>
      <c r="AF2195" t="s">
        <v>216</v>
      </c>
      <c r="AG2195" t="s">
        <v>5594</v>
      </c>
      <c r="AH2195">
        <v>15239</v>
      </c>
      <c r="AK2195">
        <v>1</v>
      </c>
      <c r="AL2195" t="s">
        <v>61</v>
      </c>
      <c r="AM2195" t="s">
        <v>5558</v>
      </c>
      <c r="AN2195" t="s">
        <v>5559</v>
      </c>
    </row>
    <row r="2196" spans="1:40" x14ac:dyDescent="0.35">
      <c r="A2196" t="s">
        <v>37</v>
      </c>
      <c r="B2196" t="s">
        <v>8753</v>
      </c>
      <c r="C2196" t="s">
        <v>39</v>
      </c>
      <c r="D2196" t="s">
        <v>8754</v>
      </c>
      <c r="E2196" t="s">
        <v>303</v>
      </c>
      <c r="F2196" s="1">
        <v>46072.507476851853</v>
      </c>
      <c r="G2196" t="s">
        <v>105</v>
      </c>
      <c r="H2196" t="s">
        <v>106</v>
      </c>
      <c r="I2196" t="s">
        <v>205</v>
      </c>
      <c r="J2196" t="s">
        <v>603</v>
      </c>
      <c r="K2196" t="s">
        <v>207</v>
      </c>
      <c r="M2196" t="s">
        <v>47</v>
      </c>
      <c r="O2196" t="s">
        <v>77</v>
      </c>
      <c r="P2196" t="s">
        <v>78</v>
      </c>
      <c r="Q2196" t="s">
        <v>3642</v>
      </c>
      <c r="R2196" t="s">
        <v>208</v>
      </c>
      <c r="S2196" t="s">
        <v>209</v>
      </c>
      <c r="T2196" t="s">
        <v>210</v>
      </c>
      <c r="U2196" s="1">
        <v>46072.595173611109</v>
      </c>
      <c r="V2196" t="s">
        <v>54</v>
      </c>
      <c r="W2196" t="s">
        <v>55</v>
      </c>
      <c r="X2196" t="s">
        <v>211</v>
      </c>
      <c r="Y2196" t="s">
        <v>604</v>
      </c>
      <c r="Z2196" t="s">
        <v>5594</v>
      </c>
      <c r="AA2196" t="s">
        <v>54</v>
      </c>
      <c r="AB2196" t="s">
        <v>213</v>
      </c>
      <c r="AC2196" t="s">
        <v>85</v>
      </c>
      <c r="AD2196" t="s">
        <v>214</v>
      </c>
      <c r="AE2196" t="s">
        <v>215</v>
      </c>
      <c r="AF2196" t="s">
        <v>216</v>
      </c>
      <c r="AG2196" t="s">
        <v>5594</v>
      </c>
      <c r="AH2196">
        <v>7228</v>
      </c>
      <c r="AK2196">
        <v>1</v>
      </c>
      <c r="AL2196" t="s">
        <v>61</v>
      </c>
      <c r="AM2196" t="s">
        <v>8755</v>
      </c>
      <c r="AN2196" t="s">
        <v>8756</v>
      </c>
    </row>
    <row r="2197" spans="1:40" x14ac:dyDescent="0.35">
      <c r="A2197" t="s">
        <v>37</v>
      </c>
      <c r="B2197" t="s">
        <v>8757</v>
      </c>
      <c r="C2197" t="s">
        <v>102</v>
      </c>
      <c r="D2197" t="s">
        <v>8758</v>
      </c>
      <c r="E2197" t="s">
        <v>8759</v>
      </c>
      <c r="F2197" s="1">
        <v>46072.507916666669</v>
      </c>
      <c r="G2197" t="s">
        <v>204</v>
      </c>
      <c r="H2197" t="s">
        <v>92</v>
      </c>
      <c r="I2197" t="s">
        <v>2004</v>
      </c>
      <c r="J2197" t="s">
        <v>4338</v>
      </c>
      <c r="K2197" t="s">
        <v>405</v>
      </c>
      <c r="M2197" t="s">
        <v>76</v>
      </c>
      <c r="O2197" t="s">
        <v>48</v>
      </c>
      <c r="P2197" t="s">
        <v>49</v>
      </c>
      <c r="Q2197" t="s">
        <v>818</v>
      </c>
      <c r="R2197" t="s">
        <v>51</v>
      </c>
      <c r="S2197" t="s">
        <v>52</v>
      </c>
      <c r="T2197" t="s">
        <v>240</v>
      </c>
      <c r="U2197" s="1">
        <v>46076.308344907404</v>
      </c>
      <c r="V2197" t="s">
        <v>54</v>
      </c>
      <c r="W2197" t="s">
        <v>55</v>
      </c>
      <c r="X2197" t="s">
        <v>134</v>
      </c>
      <c r="Y2197" t="s">
        <v>8760</v>
      </c>
      <c r="Z2197" t="s">
        <v>58</v>
      </c>
      <c r="AA2197" t="s">
        <v>54</v>
      </c>
      <c r="AB2197" t="s">
        <v>458</v>
      </c>
      <c r="AC2197" t="s">
        <v>60</v>
      </c>
      <c r="AD2197" t="s">
        <v>52</v>
      </c>
      <c r="AE2197" t="s">
        <v>243</v>
      </c>
      <c r="AF2197" t="s">
        <v>244</v>
      </c>
      <c r="AG2197" t="s">
        <v>58</v>
      </c>
      <c r="AH2197">
        <v>9170</v>
      </c>
      <c r="AK2197">
        <v>1</v>
      </c>
      <c r="AL2197" t="s">
        <v>410</v>
      </c>
      <c r="AM2197" t="s">
        <v>8761</v>
      </c>
      <c r="AN2197" t="s">
        <v>8762</v>
      </c>
    </row>
    <row r="2198" spans="1:40" x14ac:dyDescent="0.35">
      <c r="A2198" t="s">
        <v>37</v>
      </c>
      <c r="B2198" t="s">
        <v>8763</v>
      </c>
      <c r="C2198" t="s">
        <v>39</v>
      </c>
      <c r="D2198" t="s">
        <v>8764</v>
      </c>
      <c r="E2198" t="s">
        <v>8765</v>
      </c>
      <c r="F2198" s="1">
        <v>46072.506041666667</v>
      </c>
      <c r="G2198" t="s">
        <v>105</v>
      </c>
      <c r="H2198" t="s">
        <v>106</v>
      </c>
      <c r="I2198" t="s">
        <v>205</v>
      </c>
      <c r="J2198" t="s">
        <v>603</v>
      </c>
      <c r="K2198" t="s">
        <v>207</v>
      </c>
      <c r="M2198" t="s">
        <v>47</v>
      </c>
      <c r="O2198" t="s">
        <v>77</v>
      </c>
      <c r="P2198" t="s">
        <v>78</v>
      </c>
      <c r="Q2198" t="s">
        <v>50</v>
      </c>
      <c r="R2198" t="s">
        <v>208</v>
      </c>
      <c r="S2198" t="s">
        <v>209</v>
      </c>
      <c r="T2198" t="s">
        <v>210</v>
      </c>
      <c r="U2198" s="1">
        <v>46072.615879629629</v>
      </c>
      <c r="V2198" t="s">
        <v>54</v>
      </c>
      <c r="W2198" t="s">
        <v>55</v>
      </c>
      <c r="X2198" t="s">
        <v>211</v>
      </c>
      <c r="Y2198" t="s">
        <v>604</v>
      </c>
      <c r="Z2198" t="s">
        <v>5594</v>
      </c>
      <c r="AA2198" t="s">
        <v>54</v>
      </c>
      <c r="AB2198" t="s">
        <v>213</v>
      </c>
      <c r="AC2198" t="s">
        <v>85</v>
      </c>
      <c r="AD2198" t="s">
        <v>214</v>
      </c>
      <c r="AE2198" t="s">
        <v>215</v>
      </c>
      <c r="AF2198" t="s">
        <v>216</v>
      </c>
      <c r="AG2198" t="s">
        <v>5594</v>
      </c>
      <c r="AH2198" t="s">
        <v>8766</v>
      </c>
      <c r="AK2198">
        <v>1</v>
      </c>
      <c r="AL2198" t="s">
        <v>61</v>
      </c>
      <c r="AM2198" t="s">
        <v>8767</v>
      </c>
      <c r="AN2198" t="s">
        <v>8768</v>
      </c>
    </row>
    <row r="2199" spans="1:40" x14ac:dyDescent="0.35">
      <c r="A2199" t="s">
        <v>37</v>
      </c>
      <c r="B2199" t="s">
        <v>8769</v>
      </c>
      <c r="C2199" t="s">
        <v>39</v>
      </c>
      <c r="D2199" t="s">
        <v>127</v>
      </c>
      <c r="E2199" t="s">
        <v>3752</v>
      </c>
      <c r="F2199" s="1">
        <v>46072.504733796297</v>
      </c>
      <c r="G2199" t="s">
        <v>204</v>
      </c>
      <c r="H2199" t="s">
        <v>92</v>
      </c>
      <c r="I2199" t="s">
        <v>1185</v>
      </c>
      <c r="J2199" t="s">
        <v>2406</v>
      </c>
      <c r="K2199" t="s">
        <v>1187</v>
      </c>
      <c r="M2199" t="s">
        <v>131</v>
      </c>
      <c r="O2199" t="s">
        <v>77</v>
      </c>
      <c r="P2199" t="s">
        <v>78</v>
      </c>
      <c r="Q2199" t="s">
        <v>50</v>
      </c>
      <c r="R2199" t="s">
        <v>305</v>
      </c>
      <c r="S2199" t="s">
        <v>306</v>
      </c>
      <c r="T2199" t="s">
        <v>307</v>
      </c>
      <c r="U2199" s="1">
        <v>46076.651631944442</v>
      </c>
      <c r="V2199" t="s">
        <v>54</v>
      </c>
      <c r="W2199" t="s">
        <v>55</v>
      </c>
      <c r="X2199" t="s">
        <v>211</v>
      </c>
      <c r="Y2199" t="s">
        <v>8770</v>
      </c>
      <c r="Z2199" t="s">
        <v>58</v>
      </c>
      <c r="AA2199" t="s">
        <v>54</v>
      </c>
      <c r="AB2199" t="s">
        <v>213</v>
      </c>
      <c r="AC2199" t="s">
        <v>85</v>
      </c>
      <c r="AD2199" t="s">
        <v>1189</v>
      </c>
      <c r="AE2199" t="s">
        <v>1190</v>
      </c>
      <c r="AF2199" t="s">
        <v>1191</v>
      </c>
      <c r="AG2199" t="s">
        <v>58</v>
      </c>
      <c r="AH2199" t="s">
        <v>3757</v>
      </c>
      <c r="AK2199">
        <v>3</v>
      </c>
      <c r="AL2199" t="s">
        <v>61</v>
      </c>
      <c r="AM2199" t="s">
        <v>3758</v>
      </c>
      <c r="AN2199" t="s">
        <v>3759</v>
      </c>
    </row>
    <row r="2200" spans="1:40" x14ac:dyDescent="0.35">
      <c r="A2200" t="s">
        <v>37</v>
      </c>
      <c r="B2200" t="s">
        <v>8771</v>
      </c>
      <c r="C2200" t="s">
        <v>39</v>
      </c>
      <c r="D2200" t="s">
        <v>320</v>
      </c>
      <c r="E2200" t="s">
        <v>948</v>
      </c>
      <c r="F2200" s="1">
        <v>46072.53802083333</v>
      </c>
      <c r="G2200" t="s">
        <v>71</v>
      </c>
      <c r="H2200" t="s">
        <v>72</v>
      </c>
      <c r="I2200" t="s">
        <v>8772</v>
      </c>
      <c r="J2200" t="s">
        <v>1518</v>
      </c>
      <c r="K2200" t="s">
        <v>75</v>
      </c>
      <c r="M2200" t="s">
        <v>47</v>
      </c>
      <c r="O2200" t="s">
        <v>77</v>
      </c>
      <c r="P2200" t="s">
        <v>78</v>
      </c>
      <c r="Q2200" t="s">
        <v>50</v>
      </c>
      <c r="R2200" t="s">
        <v>79</v>
      </c>
      <c r="S2200" t="s">
        <v>172</v>
      </c>
      <c r="T2200" t="s">
        <v>5052</v>
      </c>
      <c r="U2200" s="1">
        <v>46072.572395833333</v>
      </c>
      <c r="V2200" t="s">
        <v>54</v>
      </c>
      <c r="W2200" t="s">
        <v>55</v>
      </c>
      <c r="X2200" t="s">
        <v>82</v>
      </c>
      <c r="Y2200" t="s">
        <v>8773</v>
      </c>
      <c r="Z2200" t="s">
        <v>5594</v>
      </c>
      <c r="AA2200" t="s">
        <v>54</v>
      </c>
      <c r="AB2200" t="s">
        <v>1503</v>
      </c>
      <c r="AC2200" t="s">
        <v>85</v>
      </c>
      <c r="AD2200" t="s">
        <v>79</v>
      </c>
      <c r="AE2200" t="s">
        <v>172</v>
      </c>
      <c r="AF2200" t="s">
        <v>5054</v>
      </c>
      <c r="AG2200" t="s">
        <v>5594</v>
      </c>
      <c r="AH2200">
        <v>15978</v>
      </c>
      <c r="AK2200">
        <v>0</v>
      </c>
      <c r="AL2200" t="s">
        <v>61</v>
      </c>
      <c r="AM2200" t="s">
        <v>957</v>
      </c>
      <c r="AN2200" t="s">
        <v>958</v>
      </c>
    </row>
    <row r="2201" spans="1:40" x14ac:dyDescent="0.35">
      <c r="A2201" t="s">
        <v>37</v>
      </c>
      <c r="B2201" t="s">
        <v>8774</v>
      </c>
      <c r="C2201" t="s">
        <v>39</v>
      </c>
      <c r="D2201" t="s">
        <v>8775</v>
      </c>
      <c r="E2201" t="s">
        <v>8776</v>
      </c>
      <c r="F2201" s="1">
        <v>46072.504756944443</v>
      </c>
      <c r="G2201" t="s">
        <v>355</v>
      </c>
      <c r="H2201" t="s">
        <v>356</v>
      </c>
      <c r="I2201" t="s">
        <v>8777</v>
      </c>
      <c r="J2201" t="s">
        <v>1823</v>
      </c>
      <c r="K2201" t="s">
        <v>1824</v>
      </c>
      <c r="M2201" t="s">
        <v>47</v>
      </c>
      <c r="O2201" t="s">
        <v>77</v>
      </c>
      <c r="P2201" t="s">
        <v>78</v>
      </c>
      <c r="Q2201" t="s">
        <v>50</v>
      </c>
      <c r="R2201" t="s">
        <v>51</v>
      </c>
      <c r="S2201" t="s">
        <v>52</v>
      </c>
      <c r="T2201" t="s">
        <v>4080</v>
      </c>
      <c r="U2201" s="1">
        <v>46072.505983796298</v>
      </c>
      <c r="V2201" t="s">
        <v>54</v>
      </c>
      <c r="W2201" t="s">
        <v>55</v>
      </c>
      <c r="X2201" t="s">
        <v>113</v>
      </c>
      <c r="Y2201" t="s">
        <v>8778</v>
      </c>
      <c r="Z2201" t="s">
        <v>5594</v>
      </c>
      <c r="AA2201" t="s">
        <v>54</v>
      </c>
      <c r="AB2201" t="s">
        <v>8779</v>
      </c>
      <c r="AC2201" t="s">
        <v>85</v>
      </c>
      <c r="AD2201" t="s">
        <v>52</v>
      </c>
      <c r="AE2201" t="s">
        <v>438</v>
      </c>
      <c r="AF2201" t="s">
        <v>2179</v>
      </c>
      <c r="AG2201" t="s">
        <v>5594</v>
      </c>
      <c r="AH2201" t="s">
        <v>8780</v>
      </c>
      <c r="AK2201">
        <v>1</v>
      </c>
      <c r="AL2201" t="s">
        <v>61</v>
      </c>
      <c r="AM2201" t="s">
        <v>8781</v>
      </c>
      <c r="AN2201" t="s">
        <v>8782</v>
      </c>
    </row>
    <row r="2202" spans="1:40" x14ac:dyDescent="0.35">
      <c r="A2202" t="s">
        <v>37</v>
      </c>
      <c r="B2202" t="s">
        <v>8783</v>
      </c>
      <c r="C2202" t="s">
        <v>39</v>
      </c>
      <c r="D2202" t="s">
        <v>220</v>
      </c>
      <c r="E2202" t="s">
        <v>8784</v>
      </c>
      <c r="F2202" s="1">
        <v>46072.501875000002</v>
      </c>
      <c r="G2202" t="s">
        <v>261</v>
      </c>
      <c r="H2202" t="s">
        <v>72</v>
      </c>
      <c r="I2202" t="s">
        <v>205</v>
      </c>
      <c r="J2202" t="s">
        <v>206</v>
      </c>
      <c r="K2202" t="s">
        <v>207</v>
      </c>
      <c r="M2202" t="s">
        <v>47</v>
      </c>
      <c r="O2202" t="s">
        <v>77</v>
      </c>
      <c r="P2202" t="s">
        <v>78</v>
      </c>
      <c r="Q2202" t="s">
        <v>50</v>
      </c>
      <c r="R2202" t="s">
        <v>208</v>
      </c>
      <c r="S2202" t="s">
        <v>209</v>
      </c>
      <c r="T2202" t="s">
        <v>210</v>
      </c>
      <c r="U2202" s="1">
        <v>46072.675949074073</v>
      </c>
      <c r="V2202" t="s">
        <v>54</v>
      </c>
      <c r="W2202" t="s">
        <v>55</v>
      </c>
      <c r="X2202" t="s">
        <v>211</v>
      </c>
      <c r="Y2202" t="s">
        <v>8289</v>
      </c>
      <c r="Z2202" t="s">
        <v>5594</v>
      </c>
      <c r="AA2202" t="s">
        <v>54</v>
      </c>
      <c r="AB2202" t="s">
        <v>213</v>
      </c>
      <c r="AC2202" t="s">
        <v>85</v>
      </c>
      <c r="AD2202" t="s">
        <v>214</v>
      </c>
      <c r="AE2202" t="s">
        <v>215</v>
      </c>
      <c r="AF2202" t="s">
        <v>216</v>
      </c>
      <c r="AG2202" t="s">
        <v>5594</v>
      </c>
      <c r="AH2202">
        <v>14128</v>
      </c>
      <c r="AK2202">
        <v>1</v>
      </c>
      <c r="AL2202" t="s">
        <v>61</v>
      </c>
      <c r="AM2202" t="s">
        <v>8785</v>
      </c>
      <c r="AN2202" t="s">
        <v>8786</v>
      </c>
    </row>
    <row r="2203" spans="1:40" x14ac:dyDescent="0.35">
      <c r="A2203" t="s">
        <v>37</v>
      </c>
      <c r="B2203" t="s">
        <v>8787</v>
      </c>
      <c r="C2203" t="s">
        <v>656</v>
      </c>
      <c r="D2203" t="s">
        <v>8663</v>
      </c>
      <c r="E2203" t="s">
        <v>8664</v>
      </c>
      <c r="F2203" s="1">
        <v>46072.501585648148</v>
      </c>
      <c r="G2203" t="s">
        <v>105</v>
      </c>
      <c r="H2203" t="s">
        <v>106</v>
      </c>
      <c r="I2203" t="s">
        <v>8788</v>
      </c>
      <c r="J2203" t="s">
        <v>8789</v>
      </c>
      <c r="K2203" t="s">
        <v>8790</v>
      </c>
      <c r="M2203" t="s">
        <v>47</v>
      </c>
      <c r="O2203" t="s">
        <v>77</v>
      </c>
      <c r="P2203" t="s">
        <v>78</v>
      </c>
      <c r="Q2203" t="s">
        <v>50</v>
      </c>
      <c r="R2203" t="s">
        <v>51</v>
      </c>
      <c r="S2203" t="s">
        <v>8791</v>
      </c>
      <c r="T2203" t="s">
        <v>8791</v>
      </c>
      <c r="U2203" s="1">
        <v>46072.729421296295</v>
      </c>
      <c r="V2203" t="s">
        <v>54</v>
      </c>
      <c r="W2203" t="s">
        <v>55</v>
      </c>
      <c r="X2203" t="s">
        <v>56</v>
      </c>
      <c r="Y2203" t="s">
        <v>8792</v>
      </c>
      <c r="Z2203" t="s">
        <v>5594</v>
      </c>
      <c r="AA2203" t="s">
        <v>54</v>
      </c>
      <c r="AB2203" t="s">
        <v>8666</v>
      </c>
      <c r="AC2203" t="s">
        <v>85</v>
      </c>
      <c r="AD2203" t="s">
        <v>51</v>
      </c>
      <c r="AE2203" t="s">
        <v>240</v>
      </c>
      <c r="AF2203" t="s">
        <v>8790</v>
      </c>
      <c r="AG2203" t="s">
        <v>5594</v>
      </c>
      <c r="AH2203" t="s">
        <v>8665</v>
      </c>
      <c r="AK2203">
        <v>0</v>
      </c>
      <c r="AL2203" t="s">
        <v>61</v>
      </c>
      <c r="AM2203" t="s">
        <v>8666</v>
      </c>
      <c r="AN2203" t="s">
        <v>8667</v>
      </c>
    </row>
    <row r="2204" spans="1:40" x14ac:dyDescent="0.35">
      <c r="A2204" t="s">
        <v>37</v>
      </c>
      <c r="B2204" t="s">
        <v>8793</v>
      </c>
      <c r="C2204" t="s">
        <v>39</v>
      </c>
      <c r="D2204" t="s">
        <v>747</v>
      </c>
      <c r="E2204" t="s">
        <v>8104</v>
      </c>
      <c r="F2204" s="1">
        <v>46072.499189814815</v>
      </c>
      <c r="G2204" t="s">
        <v>446</v>
      </c>
      <c r="H2204" t="s">
        <v>447</v>
      </c>
      <c r="I2204" t="s">
        <v>205</v>
      </c>
      <c r="J2204" t="s">
        <v>7089</v>
      </c>
      <c r="K2204" t="s">
        <v>207</v>
      </c>
      <c r="M2204" t="s">
        <v>47</v>
      </c>
      <c r="O2204" t="s">
        <v>77</v>
      </c>
      <c r="P2204" t="s">
        <v>78</v>
      </c>
      <c r="Q2204" t="s">
        <v>856</v>
      </c>
      <c r="R2204" t="s">
        <v>208</v>
      </c>
      <c r="S2204" t="s">
        <v>209</v>
      </c>
      <c r="T2204" t="s">
        <v>210</v>
      </c>
      <c r="U2204" s="1">
        <v>46072.566666666666</v>
      </c>
      <c r="V2204" t="s">
        <v>54</v>
      </c>
      <c r="W2204" t="s">
        <v>55</v>
      </c>
      <c r="X2204" t="s">
        <v>211</v>
      </c>
      <c r="Y2204" t="s">
        <v>7090</v>
      </c>
      <c r="Z2204" t="s">
        <v>5594</v>
      </c>
      <c r="AA2204" t="s">
        <v>54</v>
      </c>
      <c r="AB2204" t="s">
        <v>213</v>
      </c>
      <c r="AC2204" t="s">
        <v>85</v>
      </c>
      <c r="AD2204" t="s">
        <v>214</v>
      </c>
      <c r="AE2204" t="s">
        <v>215</v>
      </c>
      <c r="AF2204" t="s">
        <v>216</v>
      </c>
      <c r="AG2204" t="s">
        <v>5594</v>
      </c>
      <c r="AH2204">
        <v>4412</v>
      </c>
      <c r="AK2204">
        <v>1</v>
      </c>
      <c r="AL2204" t="s">
        <v>61</v>
      </c>
      <c r="AM2204" t="s">
        <v>8107</v>
      </c>
      <c r="AN2204" t="s">
        <v>8108</v>
      </c>
    </row>
    <row r="2205" spans="1:40" x14ac:dyDescent="0.35">
      <c r="A2205" t="s">
        <v>37</v>
      </c>
      <c r="B2205" t="s">
        <v>8794</v>
      </c>
      <c r="C2205" t="s">
        <v>39</v>
      </c>
      <c r="D2205" t="s">
        <v>8634</v>
      </c>
      <c r="E2205" t="s">
        <v>8795</v>
      </c>
      <c r="F2205" s="1">
        <v>46072.498055555552</v>
      </c>
      <c r="G2205" t="s">
        <v>1217</v>
      </c>
      <c r="H2205" t="s">
        <v>92</v>
      </c>
      <c r="I2205" t="s">
        <v>205</v>
      </c>
      <c r="J2205" t="s">
        <v>206</v>
      </c>
      <c r="K2205" t="s">
        <v>207</v>
      </c>
      <c r="M2205" t="s">
        <v>47</v>
      </c>
      <c r="O2205" t="s">
        <v>77</v>
      </c>
      <c r="P2205" t="s">
        <v>78</v>
      </c>
      <c r="Q2205" t="s">
        <v>50</v>
      </c>
      <c r="R2205" t="s">
        <v>208</v>
      </c>
      <c r="S2205" t="s">
        <v>209</v>
      </c>
      <c r="T2205" t="s">
        <v>210</v>
      </c>
      <c r="U2205" s="1">
        <v>46072.675752314812</v>
      </c>
      <c r="V2205" t="s">
        <v>54</v>
      </c>
      <c r="W2205" t="s">
        <v>55</v>
      </c>
      <c r="X2205" t="s">
        <v>211</v>
      </c>
      <c r="Y2205" t="s">
        <v>8289</v>
      </c>
      <c r="Z2205" t="s">
        <v>5594</v>
      </c>
      <c r="AA2205" t="s">
        <v>54</v>
      </c>
      <c r="AB2205" t="s">
        <v>213</v>
      </c>
      <c r="AC2205" t="s">
        <v>85</v>
      </c>
      <c r="AD2205" t="s">
        <v>214</v>
      </c>
      <c r="AE2205" t="s">
        <v>215</v>
      </c>
      <c r="AF2205" t="s">
        <v>216</v>
      </c>
      <c r="AG2205" t="s">
        <v>5594</v>
      </c>
      <c r="AH2205">
        <v>15594</v>
      </c>
      <c r="AK2205">
        <v>1</v>
      </c>
      <c r="AL2205" t="s">
        <v>61</v>
      </c>
      <c r="AM2205" t="s">
        <v>8796</v>
      </c>
      <c r="AN2205" t="s">
        <v>8797</v>
      </c>
    </row>
    <row r="2206" spans="1:40" x14ac:dyDescent="0.35">
      <c r="A2206" t="s">
        <v>37</v>
      </c>
      <c r="B2206" t="s">
        <v>8798</v>
      </c>
      <c r="C2206" t="s">
        <v>102</v>
      </c>
      <c r="D2206" t="s">
        <v>277</v>
      </c>
      <c r="E2206" t="s">
        <v>8799</v>
      </c>
      <c r="F2206" s="1">
        <v>46072.499201388891</v>
      </c>
      <c r="G2206" t="s">
        <v>402</v>
      </c>
      <c r="H2206" t="s">
        <v>72</v>
      </c>
      <c r="I2206" t="s">
        <v>8800</v>
      </c>
      <c r="J2206" t="s">
        <v>724</v>
      </c>
      <c r="K2206" t="s">
        <v>75</v>
      </c>
      <c r="M2206" t="s">
        <v>47</v>
      </c>
      <c r="O2206" t="s">
        <v>237</v>
      </c>
      <c r="P2206" t="s">
        <v>238</v>
      </c>
      <c r="Q2206" t="s">
        <v>8801</v>
      </c>
      <c r="R2206" t="s">
        <v>79</v>
      </c>
      <c r="S2206" t="s">
        <v>1124</v>
      </c>
      <c r="T2206" t="s">
        <v>81</v>
      </c>
      <c r="U2206" s="1">
        <v>46072.500289351854</v>
      </c>
      <c r="V2206" t="s">
        <v>54</v>
      </c>
      <c r="W2206" t="s">
        <v>55</v>
      </c>
      <c r="X2206" t="s">
        <v>82</v>
      </c>
      <c r="Y2206" t="e">
        <f>- Temp files had been deleted. - gpupdate /force had been done.</f>
        <v>#NAME?</v>
      </c>
      <c r="Z2206" t="s">
        <v>5594</v>
      </c>
      <c r="AA2206" t="s">
        <v>54</v>
      </c>
      <c r="AB2206" t="s">
        <v>727</v>
      </c>
      <c r="AC2206" t="s">
        <v>242</v>
      </c>
      <c r="AD2206" t="s">
        <v>79</v>
      </c>
      <c r="AE2206" t="s">
        <v>1124</v>
      </c>
      <c r="AF2206" t="s">
        <v>81</v>
      </c>
      <c r="AG2206" t="s">
        <v>5594</v>
      </c>
      <c r="AH2206">
        <v>12713</v>
      </c>
      <c r="AK2206">
        <v>0</v>
      </c>
      <c r="AL2206" t="s">
        <v>61</v>
      </c>
      <c r="AM2206" t="s">
        <v>8802</v>
      </c>
      <c r="AN2206" t="s">
        <v>8803</v>
      </c>
    </row>
    <row r="2207" spans="1:40" x14ac:dyDescent="0.35">
      <c r="A2207" t="s">
        <v>37</v>
      </c>
      <c r="B2207" t="s">
        <v>8804</v>
      </c>
      <c r="C2207" t="s">
        <v>39</v>
      </c>
      <c r="D2207" t="s">
        <v>3070</v>
      </c>
      <c r="E2207" t="s">
        <v>3071</v>
      </c>
      <c r="F2207" s="1">
        <v>46072.496840277781</v>
      </c>
      <c r="G2207" t="s">
        <v>297</v>
      </c>
      <c r="H2207" t="s">
        <v>287</v>
      </c>
      <c r="I2207" t="s">
        <v>205</v>
      </c>
      <c r="J2207" t="s">
        <v>1692</v>
      </c>
      <c r="K2207" t="s">
        <v>207</v>
      </c>
      <c r="M2207" t="s">
        <v>131</v>
      </c>
      <c r="O2207" t="s">
        <v>77</v>
      </c>
      <c r="P2207" t="s">
        <v>78</v>
      </c>
      <c r="Q2207" t="s">
        <v>50</v>
      </c>
      <c r="R2207" t="s">
        <v>305</v>
      </c>
      <c r="S2207" t="s">
        <v>306</v>
      </c>
      <c r="T2207" t="s">
        <v>307</v>
      </c>
      <c r="U2207" s="1">
        <v>46077.993541666663</v>
      </c>
      <c r="V2207" t="s">
        <v>54</v>
      </c>
      <c r="W2207" t="s">
        <v>55</v>
      </c>
      <c r="X2207" t="s">
        <v>211</v>
      </c>
      <c r="Y2207" t="s">
        <v>4115</v>
      </c>
      <c r="Z2207" t="s">
        <v>58</v>
      </c>
      <c r="AA2207" t="s">
        <v>54</v>
      </c>
      <c r="AB2207" t="s">
        <v>213</v>
      </c>
      <c r="AC2207" t="s">
        <v>85</v>
      </c>
      <c r="AD2207" t="s">
        <v>214</v>
      </c>
      <c r="AE2207" t="s">
        <v>215</v>
      </c>
      <c r="AF2207" t="s">
        <v>161</v>
      </c>
      <c r="AG2207" t="s">
        <v>58</v>
      </c>
      <c r="AH2207">
        <v>15903</v>
      </c>
      <c r="AK2207">
        <v>5</v>
      </c>
      <c r="AL2207" t="s">
        <v>61</v>
      </c>
      <c r="AM2207" t="s">
        <v>3074</v>
      </c>
      <c r="AN2207" t="s">
        <v>3075</v>
      </c>
    </row>
    <row r="2208" spans="1:40" x14ac:dyDescent="0.35">
      <c r="A2208" t="s">
        <v>37</v>
      </c>
      <c r="B2208" t="s">
        <v>8805</v>
      </c>
      <c r="C2208" t="s">
        <v>39</v>
      </c>
      <c r="D2208" t="s">
        <v>8806</v>
      </c>
      <c r="E2208" t="s">
        <v>8807</v>
      </c>
      <c r="F2208" s="1">
        <v>46072.495520833334</v>
      </c>
      <c r="G2208" t="s">
        <v>446</v>
      </c>
      <c r="H2208" t="s">
        <v>447</v>
      </c>
      <c r="I2208" t="s">
        <v>205</v>
      </c>
      <c r="J2208" t="s">
        <v>7089</v>
      </c>
      <c r="K2208" t="s">
        <v>207</v>
      </c>
      <c r="M2208" t="s">
        <v>47</v>
      </c>
      <c r="O2208" t="s">
        <v>77</v>
      </c>
      <c r="P2208" t="s">
        <v>78</v>
      </c>
      <c r="Q2208" t="s">
        <v>856</v>
      </c>
      <c r="R2208" t="s">
        <v>208</v>
      </c>
      <c r="S2208" t="s">
        <v>209</v>
      </c>
      <c r="T2208" t="s">
        <v>210</v>
      </c>
      <c r="U2208" s="1">
        <v>46072.566122685188</v>
      </c>
      <c r="V2208" t="s">
        <v>54</v>
      </c>
      <c r="W2208" t="s">
        <v>55</v>
      </c>
      <c r="X2208" t="s">
        <v>211</v>
      </c>
      <c r="Y2208" t="s">
        <v>7090</v>
      </c>
      <c r="Z2208" t="s">
        <v>5594</v>
      </c>
      <c r="AA2208" t="s">
        <v>54</v>
      </c>
      <c r="AB2208" t="s">
        <v>213</v>
      </c>
      <c r="AC2208" t="s">
        <v>85</v>
      </c>
      <c r="AD2208" t="s">
        <v>214</v>
      </c>
      <c r="AE2208" t="s">
        <v>215</v>
      </c>
      <c r="AF2208" t="s">
        <v>216</v>
      </c>
      <c r="AG2208" t="s">
        <v>5594</v>
      </c>
      <c r="AH2208">
        <v>3158</v>
      </c>
      <c r="AK2208">
        <v>1</v>
      </c>
      <c r="AL2208" t="s">
        <v>61</v>
      </c>
      <c r="AM2208" t="s">
        <v>8808</v>
      </c>
      <c r="AN2208" t="s">
        <v>8809</v>
      </c>
    </row>
    <row r="2209" spans="1:40" x14ac:dyDescent="0.35">
      <c r="A2209" t="s">
        <v>37</v>
      </c>
      <c r="B2209" t="s">
        <v>8810</v>
      </c>
      <c r="C2209" t="s">
        <v>102</v>
      </c>
      <c r="D2209" t="s">
        <v>617</v>
      </c>
      <c r="E2209" t="s">
        <v>618</v>
      </c>
      <c r="F2209" s="1">
        <v>46072.496516203704</v>
      </c>
      <c r="G2209" t="s">
        <v>286</v>
      </c>
      <c r="H2209" t="s">
        <v>287</v>
      </c>
      <c r="I2209" t="s">
        <v>8811</v>
      </c>
      <c r="J2209" t="s">
        <v>620</v>
      </c>
      <c r="K2209" t="s">
        <v>565</v>
      </c>
      <c r="M2209" t="s">
        <v>47</v>
      </c>
      <c r="O2209" t="s">
        <v>77</v>
      </c>
      <c r="P2209" t="s">
        <v>78</v>
      </c>
      <c r="Q2209" t="s">
        <v>50</v>
      </c>
      <c r="R2209" t="s">
        <v>132</v>
      </c>
      <c r="S2209" t="s">
        <v>133</v>
      </c>
      <c r="T2209" t="s">
        <v>133</v>
      </c>
      <c r="U2209" s="1">
        <v>46072.528182870374</v>
      </c>
      <c r="V2209" t="s">
        <v>54</v>
      </c>
      <c r="W2209" t="s">
        <v>55</v>
      </c>
      <c r="X2209" t="s">
        <v>134</v>
      </c>
      <c r="Y2209" t="s">
        <v>8812</v>
      </c>
      <c r="Z2209" t="s">
        <v>5594</v>
      </c>
      <c r="AA2209" t="s">
        <v>54</v>
      </c>
      <c r="AB2209" t="s">
        <v>622</v>
      </c>
      <c r="AC2209" t="s">
        <v>85</v>
      </c>
      <c r="AD2209" t="s">
        <v>132</v>
      </c>
      <c r="AE2209" t="s">
        <v>133</v>
      </c>
      <c r="AF2209" t="s">
        <v>133</v>
      </c>
      <c r="AG2209" t="s">
        <v>5594</v>
      </c>
      <c r="AH2209" t="s">
        <v>623</v>
      </c>
      <c r="AK2209">
        <v>1</v>
      </c>
      <c r="AL2209" t="s">
        <v>61</v>
      </c>
      <c r="AM2209" t="s">
        <v>622</v>
      </c>
      <c r="AN2209" t="s">
        <v>624</v>
      </c>
    </row>
    <row r="2210" spans="1:40" x14ac:dyDescent="0.35">
      <c r="A2210" t="s">
        <v>37</v>
      </c>
      <c r="B2210" t="s">
        <v>8813</v>
      </c>
      <c r="C2210" t="s">
        <v>39</v>
      </c>
      <c r="D2210" t="s">
        <v>8814</v>
      </c>
      <c r="E2210" t="s">
        <v>8815</v>
      </c>
      <c r="F2210" s="1">
        <v>46072.495069444441</v>
      </c>
      <c r="G2210" t="s">
        <v>105</v>
      </c>
      <c r="H2210" t="s">
        <v>106</v>
      </c>
      <c r="I2210" t="s">
        <v>205</v>
      </c>
      <c r="J2210" t="s">
        <v>557</v>
      </c>
      <c r="K2210" t="s">
        <v>75</v>
      </c>
      <c r="M2210" t="s">
        <v>47</v>
      </c>
      <c r="O2210" t="s">
        <v>77</v>
      </c>
      <c r="P2210" t="s">
        <v>78</v>
      </c>
      <c r="Q2210" t="s">
        <v>50</v>
      </c>
      <c r="R2210" t="s">
        <v>305</v>
      </c>
      <c r="S2210" t="s">
        <v>306</v>
      </c>
      <c r="T2210" t="s">
        <v>307</v>
      </c>
      <c r="U2210" s="1">
        <v>46072.571828703702</v>
      </c>
      <c r="V2210" t="s">
        <v>54</v>
      </c>
      <c r="W2210" t="s">
        <v>55</v>
      </c>
      <c r="X2210" t="s">
        <v>211</v>
      </c>
      <c r="Y2210" t="s">
        <v>7214</v>
      </c>
      <c r="Z2210" t="s">
        <v>5594</v>
      </c>
      <c r="AA2210" t="s">
        <v>54</v>
      </c>
      <c r="AB2210" t="s">
        <v>213</v>
      </c>
      <c r="AC2210" t="s">
        <v>85</v>
      </c>
      <c r="AD2210" t="s">
        <v>214</v>
      </c>
      <c r="AE2210" t="s">
        <v>215</v>
      </c>
      <c r="AF2210" t="s">
        <v>2083</v>
      </c>
      <c r="AG2210" t="s">
        <v>5594</v>
      </c>
      <c r="AH2210" t="s">
        <v>8816</v>
      </c>
      <c r="AK2210">
        <v>2</v>
      </c>
      <c r="AL2210" t="s">
        <v>61</v>
      </c>
      <c r="AM2210" t="s">
        <v>8817</v>
      </c>
      <c r="AN2210" t="s">
        <v>8818</v>
      </c>
    </row>
    <row r="2211" spans="1:40" x14ac:dyDescent="0.35">
      <c r="A2211" t="s">
        <v>37</v>
      </c>
      <c r="B2211" t="s">
        <v>8819</v>
      </c>
      <c r="C2211" t="s">
        <v>102</v>
      </c>
      <c r="D2211" t="s">
        <v>8820</v>
      </c>
      <c r="E2211" t="s">
        <v>8821</v>
      </c>
      <c r="F2211" s="1">
        <v>46072.496446759258</v>
      </c>
      <c r="G2211" t="s">
        <v>261</v>
      </c>
      <c r="H2211" t="s">
        <v>72</v>
      </c>
      <c r="I2211" t="s">
        <v>2695</v>
      </c>
      <c r="J2211" t="s">
        <v>724</v>
      </c>
      <c r="K2211" t="s">
        <v>75</v>
      </c>
      <c r="M2211" t="s">
        <v>47</v>
      </c>
      <c r="O2211" t="s">
        <v>237</v>
      </c>
      <c r="P2211" t="s">
        <v>238</v>
      </c>
      <c r="Q2211" t="s">
        <v>50</v>
      </c>
      <c r="R2211" t="s">
        <v>79</v>
      </c>
      <c r="S2211" t="s">
        <v>696</v>
      </c>
      <c r="T2211" t="s">
        <v>1266</v>
      </c>
      <c r="U2211" s="1">
        <v>46072.497766203705</v>
      </c>
      <c r="V2211" t="s">
        <v>54</v>
      </c>
      <c r="W2211" t="s">
        <v>55</v>
      </c>
      <c r="X2211" t="s">
        <v>82</v>
      </c>
      <c r="Y2211" t="s">
        <v>8822</v>
      </c>
      <c r="Z2211" t="s">
        <v>5594</v>
      </c>
      <c r="AA2211" t="s">
        <v>54</v>
      </c>
      <c r="AB2211" t="s">
        <v>727</v>
      </c>
      <c r="AC2211" t="s">
        <v>242</v>
      </c>
      <c r="AD2211" t="s">
        <v>79</v>
      </c>
      <c r="AE2211" t="s">
        <v>696</v>
      </c>
      <c r="AF2211" t="s">
        <v>1266</v>
      </c>
      <c r="AG2211" t="s">
        <v>5594</v>
      </c>
      <c r="AH2211">
        <v>12733</v>
      </c>
      <c r="AK2211">
        <v>0</v>
      </c>
      <c r="AL2211" t="s">
        <v>61</v>
      </c>
      <c r="AM2211" t="s">
        <v>8823</v>
      </c>
      <c r="AN2211" t="s">
        <v>8824</v>
      </c>
    </row>
    <row r="2212" spans="1:40" x14ac:dyDescent="0.35">
      <c r="A2212" t="s">
        <v>37</v>
      </c>
      <c r="B2212" t="s">
        <v>8825</v>
      </c>
      <c r="C2212" t="s">
        <v>39</v>
      </c>
      <c r="D2212" t="s">
        <v>127</v>
      </c>
      <c r="E2212" t="s">
        <v>8826</v>
      </c>
      <c r="F2212" s="1">
        <v>46072.492962962962</v>
      </c>
      <c r="G2212" t="s">
        <v>446</v>
      </c>
      <c r="H2212" t="s">
        <v>447</v>
      </c>
      <c r="I2212" t="s">
        <v>205</v>
      </c>
      <c r="J2212" t="s">
        <v>206</v>
      </c>
      <c r="K2212" t="s">
        <v>207</v>
      </c>
      <c r="M2212" t="s">
        <v>131</v>
      </c>
      <c r="O2212" t="s">
        <v>77</v>
      </c>
      <c r="P2212" t="s">
        <v>78</v>
      </c>
      <c r="Q2212" t="s">
        <v>50</v>
      </c>
      <c r="R2212" t="s">
        <v>305</v>
      </c>
      <c r="S2212" t="s">
        <v>306</v>
      </c>
      <c r="T2212" t="s">
        <v>307</v>
      </c>
      <c r="U2212" s="1">
        <v>46076.589629629627</v>
      </c>
      <c r="V2212" t="s">
        <v>54</v>
      </c>
      <c r="W2212" t="s">
        <v>55</v>
      </c>
      <c r="X2212" t="s">
        <v>211</v>
      </c>
      <c r="Y2212" t="s">
        <v>8827</v>
      </c>
      <c r="Z2212" t="s">
        <v>58</v>
      </c>
      <c r="AA2212" t="s">
        <v>54</v>
      </c>
      <c r="AB2212" t="s">
        <v>213</v>
      </c>
      <c r="AC2212" t="s">
        <v>85</v>
      </c>
      <c r="AD2212" t="s">
        <v>214</v>
      </c>
      <c r="AE2212" t="s">
        <v>215</v>
      </c>
      <c r="AF2212" t="s">
        <v>2083</v>
      </c>
      <c r="AG2212" t="s">
        <v>58</v>
      </c>
      <c r="AH2212">
        <v>15681</v>
      </c>
      <c r="AK2212">
        <v>3</v>
      </c>
      <c r="AL2212" t="s">
        <v>61</v>
      </c>
      <c r="AM2212" t="s">
        <v>8828</v>
      </c>
      <c r="AN2212" t="s">
        <v>8829</v>
      </c>
    </row>
    <row r="2213" spans="1:40" x14ac:dyDescent="0.35">
      <c r="A2213" t="s">
        <v>37</v>
      </c>
      <c r="B2213" t="s">
        <v>8830</v>
      </c>
      <c r="C2213" t="s">
        <v>39</v>
      </c>
      <c r="D2213" t="s">
        <v>8831</v>
      </c>
      <c r="E2213" t="s">
        <v>8832</v>
      </c>
      <c r="F2213" s="1">
        <v>46072.492523148147</v>
      </c>
      <c r="G2213" t="s">
        <v>232</v>
      </c>
      <c r="H2213" t="s">
        <v>233</v>
      </c>
      <c r="I2213" t="s">
        <v>2641</v>
      </c>
      <c r="J2213" t="s">
        <v>1833</v>
      </c>
      <c r="K2213" t="s">
        <v>1834</v>
      </c>
      <c r="M2213" t="s">
        <v>47</v>
      </c>
      <c r="O2213" t="s">
        <v>77</v>
      </c>
      <c r="P2213" t="s">
        <v>78</v>
      </c>
      <c r="Q2213" t="s">
        <v>5768</v>
      </c>
      <c r="R2213" t="s">
        <v>51</v>
      </c>
      <c r="S2213" t="s">
        <v>52</v>
      </c>
      <c r="T2213" t="s">
        <v>773</v>
      </c>
      <c r="U2213" s="1">
        <v>46073.404108796298</v>
      </c>
      <c r="V2213" t="s">
        <v>54</v>
      </c>
      <c r="W2213" t="s">
        <v>55</v>
      </c>
      <c r="X2213" t="s">
        <v>134</v>
      </c>
      <c r="Y2213" t="s">
        <v>8833</v>
      </c>
      <c r="Z2213" t="s">
        <v>5594</v>
      </c>
      <c r="AA2213" t="s">
        <v>54</v>
      </c>
      <c r="AB2213" t="s">
        <v>408</v>
      </c>
      <c r="AC2213" t="s">
        <v>85</v>
      </c>
      <c r="AD2213" t="s">
        <v>52</v>
      </c>
      <c r="AE2213" t="s">
        <v>243</v>
      </c>
      <c r="AF2213" t="s">
        <v>1470</v>
      </c>
      <c r="AG2213" t="s">
        <v>5594</v>
      </c>
      <c r="AH2213">
        <v>5261</v>
      </c>
      <c r="AK2213">
        <v>1</v>
      </c>
      <c r="AL2213" t="s">
        <v>410</v>
      </c>
      <c r="AM2213" t="s">
        <v>8834</v>
      </c>
      <c r="AN2213" t="s">
        <v>8835</v>
      </c>
    </row>
    <row r="2214" spans="1:40" x14ac:dyDescent="0.35">
      <c r="A2214" t="s">
        <v>37</v>
      </c>
      <c r="B2214" t="s">
        <v>8836</v>
      </c>
      <c r="C2214" t="s">
        <v>102</v>
      </c>
      <c r="D2214" t="s">
        <v>191</v>
      </c>
      <c r="E2214" t="s">
        <v>192</v>
      </c>
      <c r="F2214" s="1">
        <v>46072.490393518521</v>
      </c>
      <c r="G2214" t="s">
        <v>71</v>
      </c>
      <c r="H2214" t="s">
        <v>72</v>
      </c>
      <c r="I2214" t="s">
        <v>4807</v>
      </c>
      <c r="J2214" t="s">
        <v>194</v>
      </c>
      <c r="K2214" t="s">
        <v>130</v>
      </c>
      <c r="M2214" t="s">
        <v>150</v>
      </c>
      <c r="O2214" t="s">
        <v>77</v>
      </c>
      <c r="P2214" t="s">
        <v>78</v>
      </c>
      <c r="Q2214" t="s">
        <v>50</v>
      </c>
      <c r="R2214" t="s">
        <v>51</v>
      </c>
      <c r="S2214" t="s">
        <v>52</v>
      </c>
      <c r="T2214" t="s">
        <v>195</v>
      </c>
      <c r="U2214" s="1">
        <v>46076.452835648146</v>
      </c>
      <c r="V2214" t="s">
        <v>54</v>
      </c>
      <c r="W2214" t="s">
        <v>55</v>
      </c>
      <c r="X2214" t="s">
        <v>196</v>
      </c>
      <c r="Y2214" t="s">
        <v>8837</v>
      </c>
      <c r="Z2214" t="s">
        <v>58</v>
      </c>
      <c r="AA2214" t="s">
        <v>54</v>
      </c>
      <c r="AB2214" t="s">
        <v>198</v>
      </c>
      <c r="AC2214" t="s">
        <v>85</v>
      </c>
      <c r="AD2214" t="s">
        <v>51</v>
      </c>
      <c r="AE2214" t="s">
        <v>52</v>
      </c>
      <c r="AF2214" t="s">
        <v>195</v>
      </c>
      <c r="AG2214" t="s">
        <v>58</v>
      </c>
      <c r="AH2214" t="s">
        <v>199</v>
      </c>
      <c r="AK2214">
        <v>1</v>
      </c>
      <c r="AL2214" t="s">
        <v>61</v>
      </c>
      <c r="AM2214" t="s">
        <v>198</v>
      </c>
      <c r="AN2214" t="s">
        <v>200</v>
      </c>
    </row>
    <row r="2215" spans="1:40" x14ac:dyDescent="0.35">
      <c r="A2215" t="s">
        <v>37</v>
      </c>
      <c r="B2215" t="s">
        <v>8838</v>
      </c>
      <c r="C2215" t="s">
        <v>102</v>
      </c>
      <c r="D2215" t="s">
        <v>89</v>
      </c>
      <c r="E2215" t="s">
        <v>747</v>
      </c>
      <c r="F2215" s="1">
        <v>46072.489293981482</v>
      </c>
      <c r="G2215" t="s">
        <v>1094</v>
      </c>
      <c r="H2215" t="s">
        <v>447</v>
      </c>
      <c r="I2215" t="s">
        <v>8839</v>
      </c>
      <c r="J2215" t="s">
        <v>724</v>
      </c>
      <c r="K2215" t="s">
        <v>75</v>
      </c>
      <c r="M2215" t="s">
        <v>47</v>
      </c>
      <c r="O2215" t="s">
        <v>237</v>
      </c>
      <c r="P2215" t="s">
        <v>238</v>
      </c>
      <c r="Q2215" t="s">
        <v>4135</v>
      </c>
      <c r="R2215" t="s">
        <v>79</v>
      </c>
      <c r="S2215" t="s">
        <v>559</v>
      </c>
      <c r="T2215" t="s">
        <v>8840</v>
      </c>
      <c r="U2215" s="1">
        <v>46072.49423611111</v>
      </c>
      <c r="V2215" t="s">
        <v>54</v>
      </c>
      <c r="W2215" t="s">
        <v>55</v>
      </c>
      <c r="X2215" t="s">
        <v>82</v>
      </c>
      <c r="Y2215" t="e">
        <f>- cleared Temp files. - gpupdate /force - Lenovo Drivers update.. - Restart the device</f>
        <v>#NAME?</v>
      </c>
      <c r="Z2215" t="s">
        <v>5594</v>
      </c>
      <c r="AA2215" t="s">
        <v>54</v>
      </c>
      <c r="AB2215" t="s">
        <v>727</v>
      </c>
      <c r="AC2215" t="s">
        <v>242</v>
      </c>
      <c r="AD2215" t="s">
        <v>79</v>
      </c>
      <c r="AE2215" t="s">
        <v>559</v>
      </c>
      <c r="AF2215" t="s">
        <v>8840</v>
      </c>
      <c r="AG2215" t="s">
        <v>5594</v>
      </c>
      <c r="AH2215">
        <v>11148</v>
      </c>
      <c r="AK2215">
        <v>1</v>
      </c>
      <c r="AL2215" t="s">
        <v>61</v>
      </c>
      <c r="AM2215" t="s">
        <v>4136</v>
      </c>
      <c r="AN2215" t="s">
        <v>4137</v>
      </c>
    </row>
    <row r="2216" spans="1:40" x14ac:dyDescent="0.35">
      <c r="A2216" t="s">
        <v>37</v>
      </c>
      <c r="B2216" t="s">
        <v>8841</v>
      </c>
      <c r="C2216" t="s">
        <v>39</v>
      </c>
      <c r="D2216" t="s">
        <v>4700</v>
      </c>
      <c r="E2216" t="s">
        <v>8842</v>
      </c>
      <c r="F2216" s="1">
        <v>46072.487662037034</v>
      </c>
      <c r="G2216" t="s">
        <v>446</v>
      </c>
      <c r="H2216" t="s">
        <v>447</v>
      </c>
      <c r="I2216" t="s">
        <v>205</v>
      </c>
      <c r="J2216" t="s">
        <v>7089</v>
      </c>
      <c r="K2216" t="s">
        <v>207</v>
      </c>
      <c r="M2216" t="s">
        <v>47</v>
      </c>
      <c r="O2216" t="s">
        <v>77</v>
      </c>
      <c r="P2216" t="s">
        <v>78</v>
      </c>
      <c r="Q2216" t="s">
        <v>50</v>
      </c>
      <c r="R2216" t="s">
        <v>208</v>
      </c>
      <c r="S2216" t="s">
        <v>209</v>
      </c>
      <c r="T2216" t="s">
        <v>210</v>
      </c>
      <c r="U2216" s="1">
        <v>46072.565844907411</v>
      </c>
      <c r="V2216" t="s">
        <v>54</v>
      </c>
      <c r="W2216" t="s">
        <v>55</v>
      </c>
      <c r="X2216" t="s">
        <v>211</v>
      </c>
      <c r="Y2216" t="s">
        <v>7090</v>
      </c>
      <c r="Z2216" t="s">
        <v>5594</v>
      </c>
      <c r="AA2216" t="s">
        <v>54</v>
      </c>
      <c r="AB2216" t="s">
        <v>213</v>
      </c>
      <c r="AC2216" t="s">
        <v>85</v>
      </c>
      <c r="AD2216" t="s">
        <v>214</v>
      </c>
      <c r="AE2216" t="s">
        <v>215</v>
      </c>
      <c r="AF2216" t="s">
        <v>216</v>
      </c>
      <c r="AG2216" t="s">
        <v>5594</v>
      </c>
      <c r="AH2216">
        <v>14624</v>
      </c>
      <c r="AK2216">
        <v>1</v>
      </c>
      <c r="AL2216" t="s">
        <v>61</v>
      </c>
      <c r="AM2216" t="s">
        <v>8843</v>
      </c>
      <c r="AN2216" t="s">
        <v>8844</v>
      </c>
    </row>
    <row r="2217" spans="1:40" x14ac:dyDescent="0.35">
      <c r="A2217" t="s">
        <v>37</v>
      </c>
      <c r="B2217" t="s">
        <v>8845</v>
      </c>
      <c r="C2217" t="s">
        <v>102</v>
      </c>
      <c r="D2217" t="s">
        <v>761</v>
      </c>
      <c r="E2217" t="s">
        <v>762</v>
      </c>
      <c r="F2217" s="1">
        <v>46072.488275462965</v>
      </c>
      <c r="G2217" t="s">
        <v>105</v>
      </c>
      <c r="H2217" t="s">
        <v>106</v>
      </c>
      <c r="I2217" t="s">
        <v>8846</v>
      </c>
      <c r="J2217" t="s">
        <v>108</v>
      </c>
      <c r="K2217" t="s">
        <v>571</v>
      </c>
      <c r="M2217" t="s">
        <v>47</v>
      </c>
      <c r="O2217" t="s">
        <v>77</v>
      </c>
      <c r="P2217" t="s">
        <v>78</v>
      </c>
      <c r="Q2217" t="s">
        <v>50</v>
      </c>
      <c r="R2217" t="s">
        <v>111</v>
      </c>
      <c r="S2217" t="s">
        <v>51</v>
      </c>
      <c r="T2217" t="s">
        <v>112</v>
      </c>
      <c r="U2217" s="1">
        <v>46073.062719907408</v>
      </c>
      <c r="V2217" t="s">
        <v>54</v>
      </c>
      <c r="W2217" t="s">
        <v>55</v>
      </c>
      <c r="X2217" t="s">
        <v>134</v>
      </c>
      <c r="Y2217" t="s">
        <v>8045</v>
      </c>
      <c r="Z2217" t="s">
        <v>5594</v>
      </c>
      <c r="AA2217" t="s">
        <v>54</v>
      </c>
      <c r="AB2217" t="s">
        <v>115</v>
      </c>
      <c r="AC2217" t="s">
        <v>85</v>
      </c>
      <c r="AD2217" t="s">
        <v>116</v>
      </c>
      <c r="AE2217" t="s">
        <v>1541</v>
      </c>
      <c r="AF2217" t="s">
        <v>2738</v>
      </c>
      <c r="AG2217" t="s">
        <v>5594</v>
      </c>
      <c r="AH2217" t="s">
        <v>765</v>
      </c>
      <c r="AK2217">
        <v>1</v>
      </c>
      <c r="AL2217" t="s">
        <v>61</v>
      </c>
      <c r="AM2217" t="s">
        <v>766</v>
      </c>
      <c r="AN2217" t="s">
        <v>767</v>
      </c>
    </row>
    <row r="2218" spans="1:40" x14ac:dyDescent="0.35">
      <c r="A2218" t="s">
        <v>37</v>
      </c>
      <c r="B2218" t="s">
        <v>8847</v>
      </c>
      <c r="C2218" t="s">
        <v>39</v>
      </c>
      <c r="D2218" t="s">
        <v>4721</v>
      </c>
      <c r="E2218" t="s">
        <v>8848</v>
      </c>
      <c r="F2218" s="1">
        <v>46072.486388888887</v>
      </c>
      <c r="G2218" t="s">
        <v>355</v>
      </c>
      <c r="H2218" t="s">
        <v>356</v>
      </c>
      <c r="I2218" t="s">
        <v>205</v>
      </c>
      <c r="J2218" t="s">
        <v>206</v>
      </c>
      <c r="K2218" t="s">
        <v>207</v>
      </c>
      <c r="M2218" t="s">
        <v>47</v>
      </c>
      <c r="O2218" t="s">
        <v>77</v>
      </c>
      <c r="P2218" t="s">
        <v>78</v>
      </c>
      <c r="Q2218" t="s">
        <v>50</v>
      </c>
      <c r="R2218" t="s">
        <v>305</v>
      </c>
      <c r="S2218" t="s">
        <v>306</v>
      </c>
      <c r="T2218" t="s">
        <v>307</v>
      </c>
      <c r="U2218" s="1">
        <v>46072.697418981479</v>
      </c>
      <c r="V2218" t="s">
        <v>54</v>
      </c>
      <c r="W2218" t="s">
        <v>55</v>
      </c>
      <c r="X2218" t="s">
        <v>211</v>
      </c>
      <c r="Y2218" t="s">
        <v>8849</v>
      </c>
      <c r="Z2218" t="s">
        <v>5594</v>
      </c>
      <c r="AA2218" t="s">
        <v>54</v>
      </c>
      <c r="AB2218" t="s">
        <v>213</v>
      </c>
      <c r="AC2218" t="s">
        <v>85</v>
      </c>
      <c r="AD2218" t="s">
        <v>214</v>
      </c>
      <c r="AE2218" t="s">
        <v>215</v>
      </c>
      <c r="AF2218" t="s">
        <v>216</v>
      </c>
      <c r="AG2218" t="s">
        <v>5594</v>
      </c>
      <c r="AH2218" t="s">
        <v>8850</v>
      </c>
      <c r="AK2218">
        <v>3</v>
      </c>
      <c r="AL2218" t="s">
        <v>61</v>
      </c>
      <c r="AM2218" t="s">
        <v>8851</v>
      </c>
      <c r="AN2218" t="s">
        <v>8852</v>
      </c>
    </row>
    <row r="2219" spans="1:40" x14ac:dyDescent="0.35">
      <c r="A2219" t="s">
        <v>37</v>
      </c>
      <c r="B2219" t="s">
        <v>8853</v>
      </c>
      <c r="C2219" t="s">
        <v>39</v>
      </c>
      <c r="D2219" t="s">
        <v>8854</v>
      </c>
      <c r="E2219" t="s">
        <v>8855</v>
      </c>
      <c r="F2219" s="1">
        <v>46072.486932870372</v>
      </c>
      <c r="G2219" t="s">
        <v>497</v>
      </c>
      <c r="H2219" t="s">
        <v>72</v>
      </c>
      <c r="I2219" t="s">
        <v>8856</v>
      </c>
      <c r="J2219" t="s">
        <v>557</v>
      </c>
      <c r="K2219" t="s">
        <v>75</v>
      </c>
      <c r="M2219" t="s">
        <v>47</v>
      </c>
      <c r="O2219" t="s">
        <v>77</v>
      </c>
      <c r="P2219" t="s">
        <v>78</v>
      </c>
      <c r="R2219" t="s">
        <v>51</v>
      </c>
      <c r="S2219" t="s">
        <v>52</v>
      </c>
      <c r="T2219" t="s">
        <v>2248</v>
      </c>
      <c r="U2219" s="1">
        <v>46072.594050925924</v>
      </c>
      <c r="V2219" t="s">
        <v>54</v>
      </c>
      <c r="W2219" t="s">
        <v>55</v>
      </c>
      <c r="X2219" t="s">
        <v>82</v>
      </c>
      <c r="Y2219" t="s">
        <v>8857</v>
      </c>
      <c r="Z2219" t="s">
        <v>5594</v>
      </c>
      <c r="AA2219" t="s">
        <v>54</v>
      </c>
      <c r="AB2219" t="s">
        <v>645</v>
      </c>
      <c r="AC2219" t="s">
        <v>85</v>
      </c>
      <c r="AD2219" t="s">
        <v>51</v>
      </c>
      <c r="AE2219" t="s">
        <v>52</v>
      </c>
      <c r="AF2219" t="s">
        <v>2248</v>
      </c>
      <c r="AG2219" t="s">
        <v>5594</v>
      </c>
      <c r="AH2219">
        <v>12460</v>
      </c>
      <c r="AK2219">
        <v>2</v>
      </c>
      <c r="AL2219" t="s">
        <v>61</v>
      </c>
      <c r="AM2219" t="s">
        <v>8858</v>
      </c>
      <c r="AN2219" t="s">
        <v>8859</v>
      </c>
    </row>
    <row r="2220" spans="1:40" x14ac:dyDescent="0.35">
      <c r="A2220" t="s">
        <v>37</v>
      </c>
      <c r="B2220" t="s">
        <v>8860</v>
      </c>
      <c r="C2220" t="s">
        <v>102</v>
      </c>
      <c r="D2220" t="s">
        <v>1698</v>
      </c>
      <c r="E2220" t="s">
        <v>584</v>
      </c>
      <c r="F2220" s="1">
        <v>46072.486898148149</v>
      </c>
      <c r="G2220" t="s">
        <v>105</v>
      </c>
      <c r="H2220" t="s">
        <v>106</v>
      </c>
      <c r="I2220" t="s">
        <v>8861</v>
      </c>
      <c r="J2220" t="s">
        <v>108</v>
      </c>
      <c r="K2220" t="s">
        <v>6023</v>
      </c>
      <c r="M2220" t="s">
        <v>47</v>
      </c>
      <c r="O2220" t="s">
        <v>77</v>
      </c>
      <c r="P2220" t="s">
        <v>78</v>
      </c>
      <c r="Q2220" t="s">
        <v>50</v>
      </c>
      <c r="R2220" t="s">
        <v>111</v>
      </c>
      <c r="S2220" t="s">
        <v>51</v>
      </c>
      <c r="T2220" t="s">
        <v>1583</v>
      </c>
      <c r="U2220" s="1">
        <v>46073.367627314816</v>
      </c>
      <c r="V2220" t="s">
        <v>54</v>
      </c>
      <c r="X2220" t="s">
        <v>134</v>
      </c>
      <c r="Y2220" t="s">
        <v>8862</v>
      </c>
      <c r="Z2220" t="s">
        <v>5594</v>
      </c>
      <c r="AA2220" t="s">
        <v>54</v>
      </c>
      <c r="AB2220" t="s">
        <v>115</v>
      </c>
      <c r="AC2220" t="s">
        <v>85</v>
      </c>
      <c r="AD2220" t="s">
        <v>116</v>
      </c>
      <c r="AE2220" t="s">
        <v>1586</v>
      </c>
      <c r="AF2220" t="s">
        <v>144</v>
      </c>
      <c r="AG2220" t="s">
        <v>5594</v>
      </c>
      <c r="AK2220">
        <v>1</v>
      </c>
      <c r="AL2220" t="s">
        <v>61</v>
      </c>
      <c r="AM2220" t="s">
        <v>1701</v>
      </c>
      <c r="AN2220" t="s">
        <v>1702</v>
      </c>
    </row>
    <row r="2221" spans="1:40" x14ac:dyDescent="0.35">
      <c r="A2221" t="s">
        <v>37</v>
      </c>
      <c r="B2221" t="s">
        <v>8863</v>
      </c>
      <c r="C2221" t="s">
        <v>39</v>
      </c>
      <c r="D2221" t="s">
        <v>325</v>
      </c>
      <c r="E2221" t="s">
        <v>8864</v>
      </c>
      <c r="F2221" s="1">
        <v>46072.484224537038</v>
      </c>
      <c r="G2221" t="s">
        <v>8865</v>
      </c>
      <c r="H2221" t="s">
        <v>43</v>
      </c>
      <c r="I2221" t="s">
        <v>205</v>
      </c>
      <c r="J2221" t="s">
        <v>7089</v>
      </c>
      <c r="K2221" t="s">
        <v>207</v>
      </c>
      <c r="M2221" t="s">
        <v>47</v>
      </c>
      <c r="O2221" t="s">
        <v>77</v>
      </c>
      <c r="P2221" t="s">
        <v>78</v>
      </c>
      <c r="Q2221" t="s">
        <v>1218</v>
      </c>
      <c r="R2221" t="s">
        <v>208</v>
      </c>
      <c r="S2221" t="s">
        <v>209</v>
      </c>
      <c r="T2221" t="s">
        <v>210</v>
      </c>
      <c r="U2221" s="1">
        <v>46072.565567129626</v>
      </c>
      <c r="V2221" t="s">
        <v>54</v>
      </c>
      <c r="W2221" t="s">
        <v>55</v>
      </c>
      <c r="X2221" t="s">
        <v>211</v>
      </c>
      <c r="Y2221" t="s">
        <v>7090</v>
      </c>
      <c r="Z2221" t="s">
        <v>5594</v>
      </c>
      <c r="AA2221" t="s">
        <v>54</v>
      </c>
      <c r="AB2221" t="s">
        <v>213</v>
      </c>
      <c r="AC2221" t="s">
        <v>85</v>
      </c>
      <c r="AD2221" t="s">
        <v>214</v>
      </c>
      <c r="AE2221" t="s">
        <v>215</v>
      </c>
      <c r="AF2221" t="s">
        <v>216</v>
      </c>
      <c r="AG2221" t="s">
        <v>5594</v>
      </c>
      <c r="AH2221">
        <v>11278</v>
      </c>
      <c r="AK2221">
        <v>1</v>
      </c>
      <c r="AL2221" t="s">
        <v>61</v>
      </c>
      <c r="AM2221" t="s">
        <v>8866</v>
      </c>
      <c r="AN2221" t="s">
        <v>8867</v>
      </c>
    </row>
    <row r="2222" spans="1:40" x14ac:dyDescent="0.35">
      <c r="A2222" t="s">
        <v>37</v>
      </c>
      <c r="B2222" t="s">
        <v>8868</v>
      </c>
      <c r="C2222" t="s">
        <v>39</v>
      </c>
      <c r="D2222" t="s">
        <v>8869</v>
      </c>
      <c r="E2222" t="s">
        <v>8870</v>
      </c>
      <c r="F2222" s="1">
        <v>46072.484571759262</v>
      </c>
      <c r="G2222" t="s">
        <v>355</v>
      </c>
      <c r="H2222" t="s">
        <v>356</v>
      </c>
      <c r="I2222" t="s">
        <v>8871</v>
      </c>
      <c r="J2222" t="s">
        <v>435</v>
      </c>
      <c r="K2222" t="s">
        <v>436</v>
      </c>
      <c r="M2222" t="s">
        <v>47</v>
      </c>
      <c r="O2222" t="s">
        <v>237</v>
      </c>
      <c r="P2222" t="s">
        <v>238</v>
      </c>
      <c r="Q2222" t="s">
        <v>50</v>
      </c>
      <c r="R2222" t="s">
        <v>51</v>
      </c>
      <c r="S2222" t="s">
        <v>52</v>
      </c>
      <c r="T2222" t="s">
        <v>4080</v>
      </c>
      <c r="U2222" s="1">
        <v>46073.516018518516</v>
      </c>
      <c r="V2222" t="s">
        <v>54</v>
      </c>
      <c r="W2222" t="s">
        <v>55</v>
      </c>
      <c r="X2222" t="s">
        <v>134</v>
      </c>
      <c r="Y2222" t="s">
        <v>8233</v>
      </c>
      <c r="Z2222" t="s">
        <v>5594</v>
      </c>
      <c r="AA2222" t="s">
        <v>54</v>
      </c>
      <c r="AB2222" t="s">
        <v>408</v>
      </c>
      <c r="AC2222" t="s">
        <v>242</v>
      </c>
      <c r="AD2222" t="s">
        <v>52</v>
      </c>
      <c r="AE2222" t="s">
        <v>438</v>
      </c>
      <c r="AF2222" t="s">
        <v>439</v>
      </c>
      <c r="AG2222" t="s">
        <v>5594</v>
      </c>
      <c r="AH2222" t="s">
        <v>8872</v>
      </c>
      <c r="AK2222">
        <v>1</v>
      </c>
      <c r="AL2222" t="s">
        <v>61</v>
      </c>
      <c r="AM2222" t="s">
        <v>8873</v>
      </c>
      <c r="AN2222" t="s">
        <v>8874</v>
      </c>
    </row>
    <row r="2223" spans="1:40" x14ac:dyDescent="0.35">
      <c r="A2223" t="s">
        <v>37</v>
      </c>
      <c r="B2223" t="s">
        <v>8875</v>
      </c>
      <c r="C2223" t="s">
        <v>39</v>
      </c>
      <c r="D2223" t="s">
        <v>8876</v>
      </c>
      <c r="E2223" t="s">
        <v>8877</v>
      </c>
      <c r="F2223" s="1">
        <v>46072.482314814813</v>
      </c>
      <c r="G2223" t="s">
        <v>297</v>
      </c>
      <c r="H2223" t="s">
        <v>287</v>
      </c>
      <c r="I2223" t="s">
        <v>205</v>
      </c>
      <c r="J2223" t="s">
        <v>7089</v>
      </c>
      <c r="K2223" t="s">
        <v>207</v>
      </c>
      <c r="M2223" t="s">
        <v>47</v>
      </c>
      <c r="O2223" t="s">
        <v>77</v>
      </c>
      <c r="P2223" t="s">
        <v>78</v>
      </c>
      <c r="Q2223" t="s">
        <v>4235</v>
      </c>
      <c r="R2223" t="s">
        <v>208</v>
      </c>
      <c r="S2223" t="s">
        <v>209</v>
      </c>
      <c r="T2223" t="s">
        <v>210</v>
      </c>
      <c r="U2223" s="1">
        <v>46072.564884259256</v>
      </c>
      <c r="V2223" t="s">
        <v>1338</v>
      </c>
      <c r="W2223" t="s">
        <v>55</v>
      </c>
      <c r="X2223" t="s">
        <v>211</v>
      </c>
      <c r="Y2223" t="s">
        <v>8669</v>
      </c>
      <c r="Z2223" t="s">
        <v>5594</v>
      </c>
      <c r="AA2223" t="s">
        <v>1338</v>
      </c>
      <c r="AB2223" t="s">
        <v>213</v>
      </c>
      <c r="AC2223" t="s">
        <v>85</v>
      </c>
      <c r="AD2223" t="s">
        <v>214</v>
      </c>
      <c r="AE2223" t="s">
        <v>215</v>
      </c>
      <c r="AF2223" t="s">
        <v>216</v>
      </c>
      <c r="AG2223" t="s">
        <v>5594</v>
      </c>
      <c r="AH2223">
        <v>7704</v>
      </c>
      <c r="AK2223">
        <v>1</v>
      </c>
      <c r="AL2223" t="s">
        <v>61</v>
      </c>
      <c r="AM2223" t="s">
        <v>8878</v>
      </c>
      <c r="AN2223" t="s">
        <v>8879</v>
      </c>
    </row>
    <row r="2224" spans="1:40" x14ac:dyDescent="0.35">
      <c r="A2224" t="s">
        <v>37</v>
      </c>
      <c r="B2224" t="s">
        <v>8880</v>
      </c>
      <c r="C2224" t="s">
        <v>39</v>
      </c>
      <c r="D2224" t="s">
        <v>8881</v>
      </c>
      <c r="E2224" t="s">
        <v>8882</v>
      </c>
      <c r="F2224" s="1">
        <v>46072.480925925927</v>
      </c>
      <c r="G2224" t="s">
        <v>631</v>
      </c>
      <c r="H2224" t="s">
        <v>447</v>
      </c>
      <c r="I2224" t="s">
        <v>171</v>
      </c>
      <c r="J2224" t="s">
        <v>3423</v>
      </c>
      <c r="K2224" t="s">
        <v>75</v>
      </c>
      <c r="M2224" t="s">
        <v>47</v>
      </c>
      <c r="O2224" t="s">
        <v>77</v>
      </c>
      <c r="P2224" t="s">
        <v>78</v>
      </c>
      <c r="Q2224" t="s">
        <v>818</v>
      </c>
      <c r="R2224" t="s">
        <v>79</v>
      </c>
      <c r="S2224" t="s">
        <v>172</v>
      </c>
      <c r="T2224" t="s">
        <v>173</v>
      </c>
      <c r="U2224" s="1">
        <v>46072.48128472222</v>
      </c>
      <c r="V2224" t="s">
        <v>54</v>
      </c>
      <c r="W2224" t="s">
        <v>55</v>
      </c>
      <c r="X2224" t="s">
        <v>82</v>
      </c>
      <c r="Y2224" t="s">
        <v>3424</v>
      </c>
      <c r="Z2224" t="s">
        <v>5594</v>
      </c>
      <c r="AA2224" t="s">
        <v>54</v>
      </c>
      <c r="AB2224" t="s">
        <v>3425</v>
      </c>
      <c r="AC2224" t="s">
        <v>85</v>
      </c>
      <c r="AD2224" t="s">
        <v>79</v>
      </c>
      <c r="AE2224" t="s">
        <v>172</v>
      </c>
      <c r="AF2224" t="s">
        <v>173</v>
      </c>
      <c r="AG2224" t="s">
        <v>5594</v>
      </c>
      <c r="AH2224">
        <v>487</v>
      </c>
      <c r="AK2224">
        <v>0</v>
      </c>
      <c r="AL2224" t="s">
        <v>61</v>
      </c>
      <c r="AM2224" t="s">
        <v>8883</v>
      </c>
      <c r="AN2224" t="s">
        <v>8884</v>
      </c>
    </row>
    <row r="2225" spans="1:40" x14ac:dyDescent="0.35">
      <c r="A2225" t="s">
        <v>37</v>
      </c>
      <c r="B2225" t="s">
        <v>8885</v>
      </c>
      <c r="C2225" t="s">
        <v>39</v>
      </c>
      <c r="D2225" t="s">
        <v>2688</v>
      </c>
      <c r="E2225" t="s">
        <v>7278</v>
      </c>
      <c r="F2225" s="1">
        <v>46072.480509259258</v>
      </c>
      <c r="G2225" t="s">
        <v>2031</v>
      </c>
      <c r="H2225" t="s">
        <v>106</v>
      </c>
      <c r="I2225" t="s">
        <v>8886</v>
      </c>
      <c r="J2225" t="s">
        <v>2117</v>
      </c>
      <c r="K2225" t="s">
        <v>2118</v>
      </c>
      <c r="M2225" t="s">
        <v>47</v>
      </c>
      <c r="O2225" t="s">
        <v>77</v>
      </c>
      <c r="P2225" t="s">
        <v>78</v>
      </c>
      <c r="Q2225" t="s">
        <v>50</v>
      </c>
      <c r="R2225" t="s">
        <v>51</v>
      </c>
      <c r="S2225" t="s">
        <v>52</v>
      </c>
      <c r="T2225" t="s">
        <v>240</v>
      </c>
      <c r="U2225" s="1">
        <v>46073.422152777777</v>
      </c>
      <c r="V2225" t="s">
        <v>54</v>
      </c>
      <c r="W2225" t="s">
        <v>55</v>
      </c>
      <c r="X2225" t="s">
        <v>134</v>
      </c>
      <c r="Y2225" t="s">
        <v>4088</v>
      </c>
      <c r="Z2225" t="s">
        <v>5594</v>
      </c>
      <c r="AA2225" t="s">
        <v>54</v>
      </c>
      <c r="AB2225" t="s">
        <v>408</v>
      </c>
      <c r="AC2225" t="s">
        <v>85</v>
      </c>
      <c r="AD2225" t="s">
        <v>52</v>
      </c>
      <c r="AE2225" t="s">
        <v>243</v>
      </c>
      <c r="AF2225" t="s">
        <v>1470</v>
      </c>
      <c r="AG2225" t="s">
        <v>5594</v>
      </c>
      <c r="AH2225">
        <v>12701</v>
      </c>
      <c r="AK2225">
        <v>1</v>
      </c>
      <c r="AL2225" t="s">
        <v>61</v>
      </c>
      <c r="AM2225" t="s">
        <v>7280</v>
      </c>
      <c r="AN2225" t="s">
        <v>7281</v>
      </c>
    </row>
    <row r="2226" spans="1:40" x14ac:dyDescent="0.35">
      <c r="A2226" t="s">
        <v>37</v>
      </c>
      <c r="B2226" t="s">
        <v>8887</v>
      </c>
      <c r="C2226" t="s">
        <v>39</v>
      </c>
      <c r="D2226" t="s">
        <v>230</v>
      </c>
      <c r="E2226" t="s">
        <v>8719</v>
      </c>
      <c r="F2226" s="1">
        <v>46072.479803240742</v>
      </c>
      <c r="G2226" t="s">
        <v>377</v>
      </c>
      <c r="H2226" t="s">
        <v>287</v>
      </c>
      <c r="I2226" t="s">
        <v>8888</v>
      </c>
      <c r="J2226" t="s">
        <v>455</v>
      </c>
      <c r="K2226" t="s">
        <v>436</v>
      </c>
      <c r="M2226" t="s">
        <v>47</v>
      </c>
      <c r="O2226" t="s">
        <v>77</v>
      </c>
      <c r="P2226" t="s">
        <v>78</v>
      </c>
      <c r="Q2226" t="s">
        <v>50</v>
      </c>
      <c r="R2226" t="s">
        <v>51</v>
      </c>
      <c r="S2226" t="s">
        <v>52</v>
      </c>
      <c r="T2226" t="s">
        <v>240</v>
      </c>
      <c r="U2226" s="1">
        <v>46072.489942129629</v>
      </c>
      <c r="V2226" t="s">
        <v>54</v>
      </c>
      <c r="W2226" t="s">
        <v>55</v>
      </c>
      <c r="X2226" t="s">
        <v>82</v>
      </c>
      <c r="Y2226" t="s">
        <v>8889</v>
      </c>
      <c r="Z2226" t="s">
        <v>5594</v>
      </c>
      <c r="AA2226" t="s">
        <v>54</v>
      </c>
      <c r="AB2226" t="s">
        <v>1503</v>
      </c>
      <c r="AC2226" t="s">
        <v>85</v>
      </c>
      <c r="AD2226" t="s">
        <v>52</v>
      </c>
      <c r="AE2226" t="s">
        <v>438</v>
      </c>
      <c r="AF2226" t="s">
        <v>775</v>
      </c>
      <c r="AG2226" t="s">
        <v>5594</v>
      </c>
      <c r="AH2226" t="s">
        <v>8722</v>
      </c>
      <c r="AK2226">
        <v>1</v>
      </c>
      <c r="AL2226" t="s">
        <v>61</v>
      </c>
      <c r="AM2226" t="s">
        <v>8723</v>
      </c>
      <c r="AN2226" t="s">
        <v>8724</v>
      </c>
    </row>
    <row r="2227" spans="1:40" x14ac:dyDescent="0.35">
      <c r="A2227" t="s">
        <v>37</v>
      </c>
      <c r="B2227" t="s">
        <v>8890</v>
      </c>
      <c r="C2227" t="s">
        <v>102</v>
      </c>
      <c r="D2227" t="s">
        <v>617</v>
      </c>
      <c r="E2227" t="s">
        <v>618</v>
      </c>
      <c r="F2227" s="1">
        <v>46072.48128472222</v>
      </c>
      <c r="G2227" t="s">
        <v>286</v>
      </c>
      <c r="H2227" t="s">
        <v>287</v>
      </c>
      <c r="I2227" t="s">
        <v>8891</v>
      </c>
      <c r="J2227" t="s">
        <v>620</v>
      </c>
      <c r="K2227" t="s">
        <v>130</v>
      </c>
      <c r="M2227" t="s">
        <v>47</v>
      </c>
      <c r="O2227" t="s">
        <v>77</v>
      </c>
      <c r="P2227" t="s">
        <v>78</v>
      </c>
      <c r="Q2227" t="s">
        <v>50</v>
      </c>
      <c r="R2227" t="s">
        <v>132</v>
      </c>
      <c r="S2227" t="s">
        <v>133</v>
      </c>
      <c r="T2227" t="s">
        <v>133</v>
      </c>
      <c r="U2227" s="1">
        <v>46072.527638888889</v>
      </c>
      <c r="V2227" t="s">
        <v>54</v>
      </c>
      <c r="W2227" t="s">
        <v>55</v>
      </c>
      <c r="X2227" t="s">
        <v>134</v>
      </c>
      <c r="Y2227" t="s">
        <v>8892</v>
      </c>
      <c r="Z2227" t="s">
        <v>5594</v>
      </c>
      <c r="AA2227" t="s">
        <v>54</v>
      </c>
      <c r="AB2227" t="s">
        <v>622</v>
      </c>
      <c r="AC2227" t="s">
        <v>85</v>
      </c>
      <c r="AD2227" t="s">
        <v>132</v>
      </c>
      <c r="AE2227" t="s">
        <v>133</v>
      </c>
      <c r="AF2227" t="s">
        <v>133</v>
      </c>
      <c r="AG2227" t="s">
        <v>5594</v>
      </c>
      <c r="AH2227" t="s">
        <v>623</v>
      </c>
      <c r="AK2227">
        <v>1</v>
      </c>
      <c r="AL2227" t="s">
        <v>61</v>
      </c>
      <c r="AM2227" t="s">
        <v>622</v>
      </c>
      <c r="AN2227" t="s">
        <v>624</v>
      </c>
    </row>
    <row r="2228" spans="1:40" x14ac:dyDescent="0.35">
      <c r="A2228" t="s">
        <v>37</v>
      </c>
      <c r="B2228" t="s">
        <v>8893</v>
      </c>
      <c r="C2228" t="s">
        <v>39</v>
      </c>
      <c r="D2228" t="s">
        <v>8894</v>
      </c>
      <c r="E2228" t="s">
        <v>8895</v>
      </c>
      <c r="F2228" s="1">
        <v>46072.478738425925</v>
      </c>
      <c r="G2228" t="s">
        <v>71</v>
      </c>
      <c r="H2228" t="s">
        <v>72</v>
      </c>
      <c r="I2228" t="s">
        <v>8896</v>
      </c>
      <c r="J2228" t="s">
        <v>1454</v>
      </c>
      <c r="K2228" t="s">
        <v>75</v>
      </c>
      <c r="M2228" t="s">
        <v>47</v>
      </c>
      <c r="O2228" t="s">
        <v>77</v>
      </c>
      <c r="P2228" t="s">
        <v>78</v>
      </c>
      <c r="Q2228" t="s">
        <v>50</v>
      </c>
      <c r="R2228" t="s">
        <v>79</v>
      </c>
      <c r="S2228" t="s">
        <v>1016</v>
      </c>
      <c r="T2228" t="s">
        <v>1017</v>
      </c>
      <c r="U2228" s="1">
        <v>46072.479004629633</v>
      </c>
      <c r="V2228" t="s">
        <v>54</v>
      </c>
      <c r="W2228" t="s">
        <v>55</v>
      </c>
      <c r="X2228" t="s">
        <v>82</v>
      </c>
      <c r="Y2228" t="s">
        <v>8897</v>
      </c>
      <c r="Z2228" t="s">
        <v>5594</v>
      </c>
      <c r="AA2228" t="s">
        <v>54</v>
      </c>
      <c r="AB2228" t="s">
        <v>2721</v>
      </c>
      <c r="AC2228" t="s">
        <v>85</v>
      </c>
      <c r="AD2228" t="s">
        <v>79</v>
      </c>
      <c r="AE2228" t="s">
        <v>1016</v>
      </c>
      <c r="AF2228" t="s">
        <v>1456</v>
      </c>
      <c r="AG2228" t="s">
        <v>5594</v>
      </c>
      <c r="AH2228" t="s">
        <v>8898</v>
      </c>
      <c r="AK2228">
        <v>0</v>
      </c>
      <c r="AL2228" t="s">
        <v>61</v>
      </c>
      <c r="AM2228" t="s">
        <v>8899</v>
      </c>
      <c r="AN2228" t="s">
        <v>8900</v>
      </c>
    </row>
    <row r="2229" spans="1:40" x14ac:dyDescent="0.35">
      <c r="A2229" t="s">
        <v>37</v>
      </c>
      <c r="B2229" t="s">
        <v>8901</v>
      </c>
      <c r="C2229" t="s">
        <v>39</v>
      </c>
      <c r="D2229" t="s">
        <v>713</v>
      </c>
      <c r="E2229" t="s">
        <v>8902</v>
      </c>
      <c r="F2229" s="1">
        <v>46072.477372685185</v>
      </c>
      <c r="G2229" t="s">
        <v>497</v>
      </c>
      <c r="H2229" t="s">
        <v>72</v>
      </c>
      <c r="I2229" t="s">
        <v>8903</v>
      </c>
      <c r="J2229" t="s">
        <v>2718</v>
      </c>
      <c r="K2229" t="s">
        <v>951</v>
      </c>
      <c r="M2229" t="s">
        <v>76</v>
      </c>
      <c r="O2229" t="s">
        <v>77</v>
      </c>
      <c r="P2229" t="s">
        <v>78</v>
      </c>
      <c r="Q2229" t="s">
        <v>50</v>
      </c>
      <c r="R2229" t="s">
        <v>305</v>
      </c>
      <c r="S2229" t="s">
        <v>306</v>
      </c>
      <c r="T2229" t="s">
        <v>307</v>
      </c>
      <c r="U2229" s="1">
        <v>46077.439131944448</v>
      </c>
      <c r="V2229" t="s">
        <v>54</v>
      </c>
      <c r="W2229" t="s">
        <v>55</v>
      </c>
      <c r="X2229" t="s">
        <v>211</v>
      </c>
      <c r="Y2229" t="s">
        <v>8904</v>
      </c>
      <c r="Z2229" t="s">
        <v>58</v>
      </c>
      <c r="AA2229" t="s">
        <v>54</v>
      </c>
      <c r="AB2229" t="s">
        <v>213</v>
      </c>
      <c r="AC2229" t="s">
        <v>85</v>
      </c>
      <c r="AD2229" t="s">
        <v>79</v>
      </c>
      <c r="AE2229" t="s">
        <v>4869</v>
      </c>
      <c r="AF2229" t="s">
        <v>4870</v>
      </c>
      <c r="AG2229" t="s">
        <v>58</v>
      </c>
      <c r="AH2229">
        <v>14581</v>
      </c>
      <c r="AK2229">
        <v>4</v>
      </c>
      <c r="AL2229" t="s">
        <v>61</v>
      </c>
      <c r="AM2229" t="s">
        <v>8905</v>
      </c>
      <c r="AN2229" t="s">
        <v>8906</v>
      </c>
    </row>
    <row r="2230" spans="1:40" x14ac:dyDescent="0.35">
      <c r="A2230" t="s">
        <v>37</v>
      </c>
      <c r="B2230" t="s">
        <v>8907</v>
      </c>
      <c r="C2230" t="s">
        <v>656</v>
      </c>
      <c r="D2230" t="s">
        <v>8308</v>
      </c>
      <c r="E2230" t="s">
        <v>1151</v>
      </c>
      <c r="F2230" s="1">
        <v>46072.478252314817</v>
      </c>
      <c r="G2230" t="s">
        <v>170</v>
      </c>
      <c r="H2230" t="s">
        <v>92</v>
      </c>
      <c r="I2230" t="s">
        <v>3776</v>
      </c>
      <c r="J2230" t="s">
        <v>2550</v>
      </c>
      <c r="K2230" t="s">
        <v>2551</v>
      </c>
      <c r="M2230" t="s">
        <v>47</v>
      </c>
      <c r="O2230" t="s">
        <v>77</v>
      </c>
      <c r="P2230" t="s">
        <v>78</v>
      </c>
      <c r="Q2230" t="s">
        <v>50</v>
      </c>
      <c r="R2230" t="s">
        <v>208</v>
      </c>
      <c r="S2230" t="s">
        <v>209</v>
      </c>
      <c r="T2230" t="s">
        <v>3776</v>
      </c>
      <c r="U2230" s="1">
        <v>46072.549189814818</v>
      </c>
      <c r="V2230" t="s">
        <v>54</v>
      </c>
      <c r="W2230" t="s">
        <v>55</v>
      </c>
      <c r="X2230" t="s">
        <v>134</v>
      </c>
      <c r="Y2230" t="s">
        <v>3777</v>
      </c>
      <c r="Z2230" t="s">
        <v>5594</v>
      </c>
      <c r="AA2230" t="s">
        <v>54</v>
      </c>
      <c r="AB2230" t="s">
        <v>612</v>
      </c>
      <c r="AC2230" t="s">
        <v>85</v>
      </c>
      <c r="AD2230" t="s">
        <v>208</v>
      </c>
      <c r="AE2230" t="s">
        <v>209</v>
      </c>
      <c r="AF2230" t="s">
        <v>3776</v>
      </c>
      <c r="AG2230" t="s">
        <v>5594</v>
      </c>
      <c r="AH2230" t="s">
        <v>8908</v>
      </c>
      <c r="AK2230">
        <v>1</v>
      </c>
      <c r="AL2230" t="s">
        <v>61</v>
      </c>
      <c r="AM2230" t="s">
        <v>8909</v>
      </c>
      <c r="AN2230" t="s">
        <v>8910</v>
      </c>
    </row>
    <row r="2231" spans="1:40" x14ac:dyDescent="0.35">
      <c r="A2231" t="s">
        <v>37</v>
      </c>
      <c r="B2231" t="s">
        <v>8911</v>
      </c>
      <c r="C2231" t="s">
        <v>39</v>
      </c>
      <c r="D2231" t="s">
        <v>1751</v>
      </c>
      <c r="E2231" t="s">
        <v>1316</v>
      </c>
      <c r="F2231" s="1">
        <v>46072.47693287037</v>
      </c>
      <c r="G2231" t="s">
        <v>1752</v>
      </c>
      <c r="H2231" t="s">
        <v>447</v>
      </c>
      <c r="I2231" t="s">
        <v>8912</v>
      </c>
      <c r="J2231" t="s">
        <v>1754</v>
      </c>
      <c r="K2231" t="s">
        <v>1755</v>
      </c>
      <c r="M2231" t="s">
        <v>47</v>
      </c>
      <c r="O2231" t="s">
        <v>77</v>
      </c>
      <c r="P2231" t="s">
        <v>78</v>
      </c>
      <c r="Q2231" t="s">
        <v>50</v>
      </c>
      <c r="R2231" t="s">
        <v>51</v>
      </c>
      <c r="S2231" t="s">
        <v>52</v>
      </c>
      <c r="T2231" t="s">
        <v>773</v>
      </c>
      <c r="U2231" s="1">
        <v>46074.960590277777</v>
      </c>
      <c r="V2231" t="s">
        <v>54</v>
      </c>
      <c r="W2231" t="s">
        <v>55</v>
      </c>
      <c r="X2231" t="s">
        <v>134</v>
      </c>
      <c r="Y2231" t="s">
        <v>8913</v>
      </c>
      <c r="Z2231" t="s">
        <v>5594</v>
      </c>
      <c r="AA2231" t="s">
        <v>54</v>
      </c>
      <c r="AB2231" t="s">
        <v>1757</v>
      </c>
      <c r="AC2231" t="s">
        <v>85</v>
      </c>
      <c r="AD2231" t="s">
        <v>52</v>
      </c>
      <c r="AE2231" t="s">
        <v>243</v>
      </c>
      <c r="AF2231" t="s">
        <v>409</v>
      </c>
      <c r="AG2231" t="s">
        <v>5594</v>
      </c>
      <c r="AK2231">
        <v>1</v>
      </c>
      <c r="AL2231" t="s">
        <v>61</v>
      </c>
      <c r="AM2231" t="s">
        <v>1757</v>
      </c>
      <c r="AN2231" t="s">
        <v>1758</v>
      </c>
    </row>
    <row r="2232" spans="1:40" x14ac:dyDescent="0.35">
      <c r="A2232" t="s">
        <v>37</v>
      </c>
      <c r="B2232" t="s">
        <v>8914</v>
      </c>
      <c r="C2232" t="s">
        <v>39</v>
      </c>
      <c r="D2232" t="s">
        <v>1751</v>
      </c>
      <c r="E2232" t="s">
        <v>1316</v>
      </c>
      <c r="F2232" s="1">
        <v>46072.47693287037</v>
      </c>
      <c r="G2232" t="s">
        <v>1752</v>
      </c>
      <c r="H2232" t="s">
        <v>447</v>
      </c>
      <c r="I2232" t="s">
        <v>8915</v>
      </c>
      <c r="J2232" t="s">
        <v>1754</v>
      </c>
      <c r="K2232" t="s">
        <v>1755</v>
      </c>
      <c r="M2232" t="s">
        <v>47</v>
      </c>
      <c r="O2232" t="s">
        <v>77</v>
      </c>
      <c r="P2232" t="s">
        <v>78</v>
      </c>
      <c r="Q2232" t="s">
        <v>50</v>
      </c>
      <c r="R2232" t="s">
        <v>51</v>
      </c>
      <c r="S2232" t="s">
        <v>52</v>
      </c>
      <c r="T2232" t="s">
        <v>773</v>
      </c>
      <c r="U2232" s="1">
        <v>46074.959583333337</v>
      </c>
      <c r="V2232" t="s">
        <v>54</v>
      </c>
      <c r="W2232" t="s">
        <v>55</v>
      </c>
      <c r="X2232" t="s">
        <v>134</v>
      </c>
      <c r="Y2232" t="s">
        <v>8916</v>
      </c>
      <c r="Z2232" t="s">
        <v>5594</v>
      </c>
      <c r="AA2232" t="s">
        <v>54</v>
      </c>
      <c r="AB2232" t="s">
        <v>1757</v>
      </c>
      <c r="AC2232" t="s">
        <v>85</v>
      </c>
      <c r="AD2232" t="s">
        <v>52</v>
      </c>
      <c r="AE2232" t="s">
        <v>243</v>
      </c>
      <c r="AF2232" t="s">
        <v>409</v>
      </c>
      <c r="AG2232" t="s">
        <v>5594</v>
      </c>
      <c r="AK2232">
        <v>1</v>
      </c>
      <c r="AL2232" t="s">
        <v>61</v>
      </c>
      <c r="AM2232" t="s">
        <v>1757</v>
      </c>
      <c r="AN2232" t="s">
        <v>1758</v>
      </c>
    </row>
    <row r="2233" spans="1:40" x14ac:dyDescent="0.35">
      <c r="A2233" t="s">
        <v>37</v>
      </c>
      <c r="B2233" t="s">
        <v>8917</v>
      </c>
      <c r="C2233" t="s">
        <v>39</v>
      </c>
      <c r="D2233" t="s">
        <v>8918</v>
      </c>
      <c r="E2233" t="s">
        <v>469</v>
      </c>
      <c r="F2233" s="1">
        <v>46072.476863425924</v>
      </c>
      <c r="G2233" t="s">
        <v>297</v>
      </c>
      <c r="H2233" t="s">
        <v>287</v>
      </c>
      <c r="I2233" t="s">
        <v>205</v>
      </c>
      <c r="J2233" t="s">
        <v>1692</v>
      </c>
      <c r="K2233" t="s">
        <v>207</v>
      </c>
      <c r="M2233" t="s">
        <v>131</v>
      </c>
      <c r="O2233" t="s">
        <v>77</v>
      </c>
      <c r="P2233" t="s">
        <v>78</v>
      </c>
      <c r="Q2233" t="s">
        <v>50</v>
      </c>
      <c r="R2233" t="s">
        <v>305</v>
      </c>
      <c r="S2233" t="s">
        <v>306</v>
      </c>
      <c r="T2233" t="s">
        <v>307</v>
      </c>
      <c r="U2233" s="1">
        <v>46077.992372685185</v>
      </c>
      <c r="V2233" t="s">
        <v>54</v>
      </c>
      <c r="W2233" t="s">
        <v>55</v>
      </c>
      <c r="X2233" t="s">
        <v>211</v>
      </c>
      <c r="Y2233" t="s">
        <v>8919</v>
      </c>
      <c r="Z2233" t="s">
        <v>58</v>
      </c>
      <c r="AA2233" t="s">
        <v>54</v>
      </c>
      <c r="AB2233" t="s">
        <v>213</v>
      </c>
      <c r="AC2233" t="s">
        <v>85</v>
      </c>
      <c r="AD2233" t="s">
        <v>214</v>
      </c>
      <c r="AE2233" t="s">
        <v>215</v>
      </c>
      <c r="AF2233" t="s">
        <v>2083</v>
      </c>
      <c r="AG2233" t="s">
        <v>58</v>
      </c>
      <c r="AH2233">
        <v>15884</v>
      </c>
      <c r="AK2233">
        <v>4</v>
      </c>
      <c r="AL2233" t="s">
        <v>61</v>
      </c>
      <c r="AM2233" t="s">
        <v>8920</v>
      </c>
      <c r="AN2233" t="s">
        <v>8921</v>
      </c>
    </row>
    <row r="2234" spans="1:40" x14ac:dyDescent="0.35">
      <c r="A2234" t="s">
        <v>37</v>
      </c>
      <c r="B2234" t="s">
        <v>8922</v>
      </c>
      <c r="C2234" t="s">
        <v>39</v>
      </c>
      <c r="D2234" t="s">
        <v>7445</v>
      </c>
      <c r="E2234" t="s">
        <v>1316</v>
      </c>
      <c r="F2234" s="1">
        <v>46072.477233796293</v>
      </c>
      <c r="G2234" t="s">
        <v>286</v>
      </c>
      <c r="H2234" t="s">
        <v>287</v>
      </c>
      <c r="I2234" t="s">
        <v>8923</v>
      </c>
      <c r="J2234" t="s">
        <v>7447</v>
      </c>
      <c r="K2234" t="s">
        <v>7448</v>
      </c>
      <c r="M2234" t="s">
        <v>131</v>
      </c>
      <c r="O2234" t="s">
        <v>77</v>
      </c>
      <c r="P2234" t="s">
        <v>78</v>
      </c>
      <c r="Q2234" t="s">
        <v>50</v>
      </c>
      <c r="R2234" t="s">
        <v>51</v>
      </c>
      <c r="S2234" t="s">
        <v>52</v>
      </c>
      <c r="T2234" t="s">
        <v>240</v>
      </c>
      <c r="U2234" s="1">
        <v>46078.399317129632</v>
      </c>
      <c r="V2234" t="s">
        <v>54</v>
      </c>
      <c r="W2234" t="s">
        <v>55</v>
      </c>
      <c r="X2234" t="s">
        <v>134</v>
      </c>
      <c r="Y2234" t="s">
        <v>8924</v>
      </c>
      <c r="Z2234" t="s">
        <v>58</v>
      </c>
      <c r="AA2234" t="s">
        <v>54</v>
      </c>
      <c r="AB2234" t="s">
        <v>7450</v>
      </c>
      <c r="AC2234" t="s">
        <v>85</v>
      </c>
      <c r="AD2234" t="s">
        <v>52</v>
      </c>
      <c r="AE2234" t="s">
        <v>243</v>
      </c>
      <c r="AF2234" t="s">
        <v>2913</v>
      </c>
      <c r="AG2234" t="s">
        <v>58</v>
      </c>
      <c r="AK2234">
        <v>0</v>
      </c>
      <c r="AL2234" t="s">
        <v>61</v>
      </c>
      <c r="AM2234" t="s">
        <v>7451</v>
      </c>
      <c r="AN2234" t="s">
        <v>7452</v>
      </c>
    </row>
    <row r="2235" spans="1:40" x14ac:dyDescent="0.35">
      <c r="A2235" t="s">
        <v>37</v>
      </c>
      <c r="B2235" t="s">
        <v>8925</v>
      </c>
      <c r="C2235" t="s">
        <v>39</v>
      </c>
      <c r="D2235" t="s">
        <v>127</v>
      </c>
      <c r="E2235" t="s">
        <v>127</v>
      </c>
      <c r="F2235" s="1">
        <v>46072.4765625</v>
      </c>
      <c r="G2235" t="s">
        <v>8926</v>
      </c>
      <c r="H2235" t="s">
        <v>8927</v>
      </c>
      <c r="I2235" t="s">
        <v>8928</v>
      </c>
      <c r="J2235" t="s">
        <v>455</v>
      </c>
      <c r="K2235" t="s">
        <v>436</v>
      </c>
      <c r="M2235" t="s">
        <v>47</v>
      </c>
      <c r="O2235" t="s">
        <v>77</v>
      </c>
      <c r="P2235" t="s">
        <v>78</v>
      </c>
      <c r="R2235" t="s">
        <v>51</v>
      </c>
      <c r="S2235" t="s">
        <v>52</v>
      </c>
      <c r="T2235" t="s">
        <v>240</v>
      </c>
      <c r="U2235" s="1">
        <v>46072.545439814814</v>
      </c>
      <c r="V2235" t="s">
        <v>54</v>
      </c>
      <c r="W2235" t="s">
        <v>55</v>
      </c>
      <c r="X2235" t="s">
        <v>134</v>
      </c>
      <c r="Y2235" t="s">
        <v>8929</v>
      </c>
      <c r="Z2235" t="s">
        <v>5594</v>
      </c>
      <c r="AA2235" t="s">
        <v>54</v>
      </c>
      <c r="AB2235" t="s">
        <v>458</v>
      </c>
      <c r="AC2235" t="s">
        <v>85</v>
      </c>
      <c r="AD2235" t="s">
        <v>52</v>
      </c>
      <c r="AE2235" t="s">
        <v>438</v>
      </c>
      <c r="AF2235" t="s">
        <v>775</v>
      </c>
      <c r="AG2235" t="s">
        <v>5594</v>
      </c>
      <c r="AH2235" t="s">
        <v>8930</v>
      </c>
      <c r="AK2235">
        <v>1</v>
      </c>
      <c r="AL2235" t="s">
        <v>61</v>
      </c>
      <c r="AM2235" t="s">
        <v>8931</v>
      </c>
      <c r="AN2235" t="s">
        <v>8932</v>
      </c>
    </row>
    <row r="2236" spans="1:40" x14ac:dyDescent="0.35">
      <c r="A2236" t="s">
        <v>37</v>
      </c>
      <c r="B2236" t="s">
        <v>8933</v>
      </c>
      <c r="C2236" t="s">
        <v>39</v>
      </c>
      <c r="D2236" t="s">
        <v>391</v>
      </c>
      <c r="E2236" t="s">
        <v>392</v>
      </c>
      <c r="F2236" s="1">
        <v>46072.475613425922</v>
      </c>
      <c r="G2236" t="s">
        <v>393</v>
      </c>
      <c r="H2236" t="s">
        <v>92</v>
      </c>
      <c r="I2236" t="s">
        <v>8934</v>
      </c>
      <c r="J2236" t="s">
        <v>2108</v>
      </c>
      <c r="K2236" t="s">
        <v>2109</v>
      </c>
      <c r="M2236" t="s">
        <v>131</v>
      </c>
      <c r="O2236" t="s">
        <v>77</v>
      </c>
      <c r="P2236" t="s">
        <v>78</v>
      </c>
      <c r="Q2236" t="s">
        <v>50</v>
      </c>
      <c r="R2236" t="s">
        <v>51</v>
      </c>
      <c r="S2236" t="s">
        <v>52</v>
      </c>
      <c r="T2236" t="s">
        <v>240</v>
      </c>
      <c r="U2236" s="1">
        <v>46077.452037037037</v>
      </c>
      <c r="V2236" t="s">
        <v>54</v>
      </c>
      <c r="W2236" t="s">
        <v>55</v>
      </c>
      <c r="X2236" t="s">
        <v>134</v>
      </c>
      <c r="Y2236" t="s">
        <v>8935</v>
      </c>
      <c r="Z2236" t="s">
        <v>58</v>
      </c>
      <c r="AA2236" t="s">
        <v>54</v>
      </c>
      <c r="AB2236" t="s">
        <v>458</v>
      </c>
      <c r="AC2236" t="s">
        <v>85</v>
      </c>
      <c r="AD2236" t="s">
        <v>52</v>
      </c>
      <c r="AE2236" t="s">
        <v>243</v>
      </c>
      <c r="AF2236" t="s">
        <v>1470</v>
      </c>
      <c r="AG2236" t="s">
        <v>58</v>
      </c>
      <c r="AH2236">
        <v>15885</v>
      </c>
      <c r="AK2236">
        <v>1</v>
      </c>
      <c r="AL2236" t="s">
        <v>61</v>
      </c>
      <c r="AM2236" t="s">
        <v>397</v>
      </c>
      <c r="AN2236" t="s">
        <v>398</v>
      </c>
    </row>
    <row r="2237" spans="1:40" x14ac:dyDescent="0.35">
      <c r="A2237" t="s">
        <v>37</v>
      </c>
      <c r="B2237" t="s">
        <v>8936</v>
      </c>
      <c r="C2237" t="s">
        <v>39</v>
      </c>
      <c r="D2237" t="s">
        <v>4311</v>
      </c>
      <c r="E2237" t="s">
        <v>230</v>
      </c>
      <c r="F2237" s="1">
        <v>46072.474097222221</v>
      </c>
      <c r="G2237" t="s">
        <v>297</v>
      </c>
      <c r="H2237" t="s">
        <v>287</v>
      </c>
      <c r="I2237" t="s">
        <v>205</v>
      </c>
      <c r="J2237" t="s">
        <v>7089</v>
      </c>
      <c r="K2237" t="s">
        <v>207</v>
      </c>
      <c r="M2237" t="s">
        <v>47</v>
      </c>
      <c r="O2237" t="s">
        <v>77</v>
      </c>
      <c r="P2237" t="s">
        <v>78</v>
      </c>
      <c r="Q2237" t="s">
        <v>465</v>
      </c>
      <c r="R2237" t="s">
        <v>208</v>
      </c>
      <c r="S2237" t="s">
        <v>209</v>
      </c>
      <c r="T2237" t="s">
        <v>210</v>
      </c>
      <c r="U2237" s="1">
        <v>46072.483043981483</v>
      </c>
      <c r="V2237" t="s">
        <v>54</v>
      </c>
      <c r="W2237" t="s">
        <v>55</v>
      </c>
      <c r="X2237" t="s">
        <v>211</v>
      </c>
      <c r="Y2237" t="s">
        <v>8669</v>
      </c>
      <c r="Z2237" t="s">
        <v>5594</v>
      </c>
      <c r="AA2237" t="s">
        <v>54</v>
      </c>
      <c r="AB2237" t="s">
        <v>213</v>
      </c>
      <c r="AC2237" t="s">
        <v>85</v>
      </c>
      <c r="AD2237" t="s">
        <v>214</v>
      </c>
      <c r="AE2237" t="s">
        <v>215</v>
      </c>
      <c r="AF2237" t="s">
        <v>216</v>
      </c>
      <c r="AG2237" t="s">
        <v>5594</v>
      </c>
      <c r="AH2237">
        <v>11228</v>
      </c>
      <c r="AK2237">
        <v>1</v>
      </c>
      <c r="AL2237" t="s">
        <v>61</v>
      </c>
      <c r="AM2237" t="s">
        <v>8937</v>
      </c>
      <c r="AN2237" t="s">
        <v>8938</v>
      </c>
    </row>
    <row r="2238" spans="1:40" x14ac:dyDescent="0.35">
      <c r="A2238" t="s">
        <v>37</v>
      </c>
      <c r="B2238" t="s">
        <v>8939</v>
      </c>
      <c r="C2238" t="s">
        <v>102</v>
      </c>
      <c r="D2238" t="s">
        <v>747</v>
      </c>
      <c r="E2238" t="s">
        <v>748</v>
      </c>
      <c r="F2238" s="1">
        <v>46072.473865740743</v>
      </c>
      <c r="G2238" t="s">
        <v>464</v>
      </c>
      <c r="H2238" t="s">
        <v>287</v>
      </c>
      <c r="I2238" t="s">
        <v>8940</v>
      </c>
      <c r="J2238" t="s">
        <v>750</v>
      </c>
      <c r="K2238" t="s">
        <v>751</v>
      </c>
      <c r="M2238" t="s">
        <v>47</v>
      </c>
      <c r="O2238" t="s">
        <v>237</v>
      </c>
      <c r="P2238" t="s">
        <v>238</v>
      </c>
      <c r="Q2238" t="s">
        <v>50</v>
      </c>
      <c r="R2238" t="s">
        <v>305</v>
      </c>
      <c r="S2238" t="s">
        <v>306</v>
      </c>
      <c r="T2238" t="s">
        <v>307</v>
      </c>
      <c r="U2238" s="1">
        <v>46072.594131944446</v>
      </c>
      <c r="V2238" t="s">
        <v>54</v>
      </c>
      <c r="W2238" t="s">
        <v>55</v>
      </c>
      <c r="X2238" t="s">
        <v>211</v>
      </c>
      <c r="Y2238" t="s">
        <v>8941</v>
      </c>
      <c r="Z2238" t="s">
        <v>5594</v>
      </c>
      <c r="AA2238" t="s">
        <v>54</v>
      </c>
      <c r="AB2238" t="s">
        <v>213</v>
      </c>
      <c r="AC2238" t="s">
        <v>242</v>
      </c>
      <c r="AD2238" t="s">
        <v>305</v>
      </c>
      <c r="AE2238" t="s">
        <v>306</v>
      </c>
      <c r="AF2238" t="s">
        <v>307</v>
      </c>
      <c r="AG2238" t="s">
        <v>5594</v>
      </c>
      <c r="AH2238">
        <v>12153</v>
      </c>
      <c r="AK2238">
        <v>1</v>
      </c>
      <c r="AL2238" t="s">
        <v>61</v>
      </c>
      <c r="AM2238" t="s">
        <v>753</v>
      </c>
      <c r="AN2238" t="s">
        <v>754</v>
      </c>
    </row>
    <row r="2239" spans="1:40" x14ac:dyDescent="0.35">
      <c r="A2239" t="s">
        <v>37</v>
      </c>
      <c r="B2239" t="s">
        <v>8942</v>
      </c>
      <c r="C2239" t="s">
        <v>39</v>
      </c>
      <c r="D2239" t="s">
        <v>799</v>
      </c>
      <c r="E2239" t="s">
        <v>4755</v>
      </c>
      <c r="F2239" s="1">
        <v>46072.472349537034</v>
      </c>
      <c r="G2239" t="s">
        <v>286</v>
      </c>
      <c r="H2239" t="s">
        <v>287</v>
      </c>
      <c r="I2239" t="s">
        <v>8943</v>
      </c>
      <c r="J2239" t="s">
        <v>2117</v>
      </c>
      <c r="K2239" t="s">
        <v>2118</v>
      </c>
      <c r="M2239" t="s">
        <v>47</v>
      </c>
      <c r="O2239" t="s">
        <v>77</v>
      </c>
      <c r="P2239" t="s">
        <v>78</v>
      </c>
      <c r="Q2239" t="s">
        <v>50</v>
      </c>
      <c r="R2239" t="s">
        <v>51</v>
      </c>
      <c r="S2239" t="s">
        <v>52</v>
      </c>
      <c r="T2239" t="s">
        <v>240</v>
      </c>
      <c r="U2239" s="1">
        <v>46073.42528935185</v>
      </c>
      <c r="V2239" t="s">
        <v>54</v>
      </c>
      <c r="W2239" t="s">
        <v>55</v>
      </c>
      <c r="X2239" t="s">
        <v>134</v>
      </c>
      <c r="Y2239" t="s">
        <v>8944</v>
      </c>
      <c r="Z2239" t="s">
        <v>5594</v>
      </c>
      <c r="AA2239" t="s">
        <v>54</v>
      </c>
      <c r="AB2239" t="s">
        <v>408</v>
      </c>
      <c r="AC2239" t="s">
        <v>85</v>
      </c>
      <c r="AD2239" t="s">
        <v>52</v>
      </c>
      <c r="AE2239" t="s">
        <v>243</v>
      </c>
      <c r="AF2239" t="s">
        <v>1470</v>
      </c>
      <c r="AG2239" t="s">
        <v>5594</v>
      </c>
      <c r="AH2239">
        <v>13357</v>
      </c>
      <c r="AK2239">
        <v>1</v>
      </c>
      <c r="AL2239" t="s">
        <v>61</v>
      </c>
      <c r="AM2239" t="s">
        <v>8945</v>
      </c>
      <c r="AN2239" t="s">
        <v>8946</v>
      </c>
    </row>
    <row r="2240" spans="1:40" x14ac:dyDescent="0.35">
      <c r="A2240" t="s">
        <v>37</v>
      </c>
      <c r="B2240" t="s">
        <v>8947</v>
      </c>
      <c r="C2240" t="s">
        <v>656</v>
      </c>
      <c r="D2240" t="s">
        <v>7283</v>
      </c>
      <c r="E2240" t="s">
        <v>7284</v>
      </c>
      <c r="F2240" s="1">
        <v>46072.471076388887</v>
      </c>
      <c r="G2240" t="s">
        <v>355</v>
      </c>
      <c r="H2240" t="s">
        <v>356</v>
      </c>
      <c r="I2240" t="s">
        <v>8948</v>
      </c>
      <c r="J2240" t="s">
        <v>2987</v>
      </c>
      <c r="K2240" t="s">
        <v>2988</v>
      </c>
      <c r="M2240" t="s">
        <v>76</v>
      </c>
      <c r="O2240" t="s">
        <v>77</v>
      </c>
      <c r="P2240" t="s">
        <v>78</v>
      </c>
      <c r="Q2240" t="s">
        <v>7288</v>
      </c>
      <c r="R2240" t="s">
        <v>2989</v>
      </c>
      <c r="S2240" t="s">
        <v>2990</v>
      </c>
      <c r="T2240" t="s">
        <v>3187</v>
      </c>
      <c r="U2240" s="1">
        <v>46076.345856481479</v>
      </c>
      <c r="V2240" t="s">
        <v>54</v>
      </c>
      <c r="W2240" t="s">
        <v>55</v>
      </c>
      <c r="X2240" t="s">
        <v>134</v>
      </c>
      <c r="Y2240" t="s">
        <v>7162</v>
      </c>
      <c r="Z2240" t="s">
        <v>58</v>
      </c>
      <c r="AA2240" t="s">
        <v>54</v>
      </c>
      <c r="AB2240" t="s">
        <v>408</v>
      </c>
      <c r="AC2240" t="s">
        <v>85</v>
      </c>
      <c r="AD2240" t="s">
        <v>2989</v>
      </c>
      <c r="AE2240" t="s">
        <v>2990</v>
      </c>
      <c r="AF2240" t="s">
        <v>3187</v>
      </c>
      <c r="AG2240" t="s">
        <v>58</v>
      </c>
      <c r="AH2240" t="s">
        <v>7294</v>
      </c>
      <c r="AK2240">
        <v>1</v>
      </c>
      <c r="AL2240" t="s">
        <v>61</v>
      </c>
      <c r="AM2240" t="s">
        <v>7295</v>
      </c>
      <c r="AN2240" t="s">
        <v>7296</v>
      </c>
    </row>
    <row r="2241" spans="1:40" x14ac:dyDescent="0.35">
      <c r="A2241" t="s">
        <v>37</v>
      </c>
      <c r="B2241" t="s">
        <v>8949</v>
      </c>
      <c r="C2241" t="s">
        <v>102</v>
      </c>
      <c r="D2241" t="s">
        <v>8950</v>
      </c>
      <c r="E2241" t="s">
        <v>8951</v>
      </c>
      <c r="F2241" s="1">
        <v>46072.469895833332</v>
      </c>
      <c r="G2241" t="s">
        <v>3396</v>
      </c>
      <c r="H2241" t="s">
        <v>106</v>
      </c>
      <c r="I2241" t="s">
        <v>8952</v>
      </c>
      <c r="J2241" t="s">
        <v>8141</v>
      </c>
      <c r="K2241" t="s">
        <v>951</v>
      </c>
      <c r="M2241" t="s">
        <v>47</v>
      </c>
      <c r="O2241" t="s">
        <v>237</v>
      </c>
      <c r="P2241" t="s">
        <v>238</v>
      </c>
      <c r="Q2241" t="s">
        <v>50</v>
      </c>
      <c r="R2241" t="s">
        <v>305</v>
      </c>
      <c r="S2241" t="s">
        <v>306</v>
      </c>
      <c r="T2241" t="s">
        <v>307</v>
      </c>
      <c r="U2241" s="1">
        <v>46072.502199074072</v>
      </c>
      <c r="V2241" t="s">
        <v>54</v>
      </c>
      <c r="W2241" t="s">
        <v>55</v>
      </c>
      <c r="X2241" t="s">
        <v>211</v>
      </c>
      <c r="Y2241" t="s">
        <v>8953</v>
      </c>
      <c r="Z2241" t="s">
        <v>5594</v>
      </c>
      <c r="AA2241" t="s">
        <v>54</v>
      </c>
      <c r="AB2241" t="s">
        <v>213</v>
      </c>
      <c r="AC2241" t="s">
        <v>242</v>
      </c>
      <c r="AD2241" t="s">
        <v>8954</v>
      </c>
      <c r="AE2241" t="s">
        <v>967</v>
      </c>
      <c r="AF2241" t="s">
        <v>8955</v>
      </c>
      <c r="AG2241" t="s">
        <v>5594</v>
      </c>
      <c r="AH2241">
        <v>11298</v>
      </c>
      <c r="AK2241">
        <v>2</v>
      </c>
      <c r="AL2241" t="s">
        <v>61</v>
      </c>
      <c r="AM2241" t="s">
        <v>8956</v>
      </c>
      <c r="AN2241" t="s">
        <v>8957</v>
      </c>
    </row>
    <row r="2242" spans="1:40" x14ac:dyDescent="0.35">
      <c r="A2242" t="s">
        <v>37</v>
      </c>
      <c r="B2242" t="s">
        <v>8958</v>
      </c>
      <c r="C2242" t="s">
        <v>656</v>
      </c>
      <c r="D2242" t="s">
        <v>4671</v>
      </c>
      <c r="E2242" t="s">
        <v>4672</v>
      </c>
      <c r="F2242" s="1">
        <v>46072.472245370373</v>
      </c>
      <c r="G2242" t="s">
        <v>355</v>
      </c>
      <c r="H2242" t="s">
        <v>356</v>
      </c>
      <c r="I2242" t="s">
        <v>8959</v>
      </c>
      <c r="J2242" t="s">
        <v>660</v>
      </c>
      <c r="K2242" t="s">
        <v>661</v>
      </c>
      <c r="M2242" t="s">
        <v>47</v>
      </c>
      <c r="O2242" t="s">
        <v>77</v>
      </c>
      <c r="P2242" t="s">
        <v>78</v>
      </c>
      <c r="Q2242" t="s">
        <v>50</v>
      </c>
      <c r="R2242" t="s">
        <v>662</v>
      </c>
      <c r="S2242" t="s">
        <v>663</v>
      </c>
      <c r="T2242" t="s">
        <v>989</v>
      </c>
      <c r="U2242" s="1">
        <v>46072.565567129626</v>
      </c>
      <c r="V2242" t="s">
        <v>54</v>
      </c>
      <c r="W2242" t="s">
        <v>55</v>
      </c>
      <c r="X2242" t="s">
        <v>134</v>
      </c>
      <c r="Y2242" t="s">
        <v>8960</v>
      </c>
      <c r="Z2242" t="s">
        <v>5594</v>
      </c>
      <c r="AA2242" t="s">
        <v>54</v>
      </c>
      <c r="AB2242" t="s">
        <v>666</v>
      </c>
      <c r="AC2242" t="s">
        <v>85</v>
      </c>
      <c r="AD2242" t="s">
        <v>667</v>
      </c>
      <c r="AE2242" t="s">
        <v>667</v>
      </c>
      <c r="AF2242" t="s">
        <v>989</v>
      </c>
      <c r="AG2242" t="s">
        <v>5594</v>
      </c>
      <c r="AH2242" t="s">
        <v>4673</v>
      </c>
      <c r="AK2242">
        <v>0</v>
      </c>
      <c r="AL2242" t="s">
        <v>61</v>
      </c>
      <c r="AM2242" t="s">
        <v>4674</v>
      </c>
      <c r="AN2242" t="s">
        <v>4675</v>
      </c>
    </row>
    <row r="2243" spans="1:40" x14ac:dyDescent="0.35">
      <c r="A2243" t="s">
        <v>37</v>
      </c>
      <c r="B2243" t="s">
        <v>8961</v>
      </c>
      <c r="C2243" t="s">
        <v>39</v>
      </c>
      <c r="D2243" t="s">
        <v>8962</v>
      </c>
      <c r="E2243" t="s">
        <v>513</v>
      </c>
      <c r="F2243" s="1">
        <v>46072.467812499999</v>
      </c>
      <c r="G2243" t="s">
        <v>3396</v>
      </c>
      <c r="H2243" t="s">
        <v>106</v>
      </c>
      <c r="I2243" t="s">
        <v>8963</v>
      </c>
      <c r="J2243" t="s">
        <v>3257</v>
      </c>
      <c r="K2243" t="s">
        <v>1834</v>
      </c>
      <c r="M2243" t="s">
        <v>47</v>
      </c>
      <c r="O2243" t="s">
        <v>77</v>
      </c>
      <c r="P2243" t="s">
        <v>78</v>
      </c>
      <c r="Q2243" t="s">
        <v>2169</v>
      </c>
      <c r="R2243" t="s">
        <v>51</v>
      </c>
      <c r="S2243" t="s">
        <v>52</v>
      </c>
      <c r="T2243" t="s">
        <v>240</v>
      </c>
      <c r="U2243" s="1">
        <v>46073.530787037038</v>
      </c>
      <c r="V2243" t="s">
        <v>54</v>
      </c>
      <c r="W2243" t="s">
        <v>55</v>
      </c>
      <c r="X2243" t="s">
        <v>134</v>
      </c>
      <c r="Y2243" t="s">
        <v>3258</v>
      </c>
      <c r="Z2243" t="s">
        <v>5594</v>
      </c>
      <c r="AA2243" t="s">
        <v>54</v>
      </c>
      <c r="AB2243" t="s">
        <v>3259</v>
      </c>
      <c r="AC2243" t="s">
        <v>85</v>
      </c>
      <c r="AD2243" t="s">
        <v>52</v>
      </c>
      <c r="AE2243" t="s">
        <v>243</v>
      </c>
      <c r="AF2243" t="s">
        <v>1470</v>
      </c>
      <c r="AG2243" t="s">
        <v>5594</v>
      </c>
      <c r="AH2243">
        <v>7112</v>
      </c>
      <c r="AK2243">
        <v>0</v>
      </c>
      <c r="AL2243" t="s">
        <v>61</v>
      </c>
      <c r="AM2243" t="s">
        <v>8964</v>
      </c>
      <c r="AN2243" t="s">
        <v>8965</v>
      </c>
    </row>
    <row r="2244" spans="1:40" x14ac:dyDescent="0.35">
      <c r="A2244" t="s">
        <v>37</v>
      </c>
      <c r="B2244" t="s">
        <v>8966</v>
      </c>
      <c r="C2244" t="s">
        <v>39</v>
      </c>
      <c r="D2244" t="s">
        <v>7445</v>
      </c>
      <c r="E2244" t="s">
        <v>1316</v>
      </c>
      <c r="F2244" s="1">
        <v>46072.466145833336</v>
      </c>
      <c r="G2244" t="s">
        <v>286</v>
      </c>
      <c r="H2244" t="s">
        <v>287</v>
      </c>
      <c r="I2244" t="s">
        <v>8967</v>
      </c>
      <c r="J2244" t="s">
        <v>7447</v>
      </c>
      <c r="K2244" t="s">
        <v>7448</v>
      </c>
      <c r="M2244" t="s">
        <v>131</v>
      </c>
      <c r="O2244" t="s">
        <v>77</v>
      </c>
      <c r="P2244" t="s">
        <v>78</v>
      </c>
      <c r="Q2244" t="s">
        <v>50</v>
      </c>
      <c r="R2244" t="s">
        <v>51</v>
      </c>
      <c r="S2244" t="s">
        <v>52</v>
      </c>
      <c r="T2244" t="s">
        <v>240</v>
      </c>
      <c r="U2244" s="1">
        <v>46078.399074074077</v>
      </c>
      <c r="V2244" t="s">
        <v>54</v>
      </c>
      <c r="W2244" t="s">
        <v>55</v>
      </c>
      <c r="X2244" t="s">
        <v>134</v>
      </c>
      <c r="Y2244" t="s">
        <v>8968</v>
      </c>
      <c r="Z2244" t="s">
        <v>58</v>
      </c>
      <c r="AA2244" t="s">
        <v>54</v>
      </c>
      <c r="AB2244" t="s">
        <v>7450</v>
      </c>
      <c r="AC2244" t="s">
        <v>85</v>
      </c>
      <c r="AD2244" t="s">
        <v>52</v>
      </c>
      <c r="AE2244" t="s">
        <v>243</v>
      </c>
      <c r="AF2244" t="s">
        <v>409</v>
      </c>
      <c r="AG2244" t="s">
        <v>58</v>
      </c>
      <c r="AK2244">
        <v>0</v>
      </c>
      <c r="AL2244" t="s">
        <v>61</v>
      </c>
      <c r="AM2244" t="s">
        <v>7451</v>
      </c>
      <c r="AN2244" t="s">
        <v>7452</v>
      </c>
    </row>
    <row r="2245" spans="1:40" x14ac:dyDescent="0.35">
      <c r="A2245" t="s">
        <v>37</v>
      </c>
      <c r="B2245" t="s">
        <v>8969</v>
      </c>
      <c r="C2245" t="s">
        <v>102</v>
      </c>
      <c r="D2245" t="s">
        <v>617</v>
      </c>
      <c r="E2245" t="s">
        <v>618</v>
      </c>
      <c r="F2245" s="1">
        <v>46072.466608796298</v>
      </c>
      <c r="G2245" t="s">
        <v>286</v>
      </c>
      <c r="H2245" t="s">
        <v>287</v>
      </c>
      <c r="I2245" t="s">
        <v>8970</v>
      </c>
      <c r="J2245" t="s">
        <v>620</v>
      </c>
      <c r="K2245" t="s">
        <v>130</v>
      </c>
      <c r="M2245" t="s">
        <v>47</v>
      </c>
      <c r="O2245" t="s">
        <v>77</v>
      </c>
      <c r="P2245" t="s">
        <v>78</v>
      </c>
      <c r="Q2245" t="s">
        <v>50</v>
      </c>
      <c r="R2245" t="s">
        <v>132</v>
      </c>
      <c r="S2245" t="s">
        <v>133</v>
      </c>
      <c r="T2245" t="s">
        <v>133</v>
      </c>
      <c r="U2245" s="1">
        <v>46072.509664351855</v>
      </c>
      <c r="V2245" t="s">
        <v>54</v>
      </c>
      <c r="W2245" t="s">
        <v>55</v>
      </c>
      <c r="X2245" t="s">
        <v>134</v>
      </c>
      <c r="Y2245" t="s">
        <v>8971</v>
      </c>
      <c r="Z2245" t="s">
        <v>5594</v>
      </c>
      <c r="AA2245" t="s">
        <v>54</v>
      </c>
      <c r="AB2245" t="s">
        <v>622</v>
      </c>
      <c r="AC2245" t="s">
        <v>85</v>
      </c>
      <c r="AD2245" t="s">
        <v>132</v>
      </c>
      <c r="AE2245" t="s">
        <v>133</v>
      </c>
      <c r="AF2245" t="s">
        <v>133</v>
      </c>
      <c r="AG2245" t="s">
        <v>5594</v>
      </c>
      <c r="AH2245" t="s">
        <v>623</v>
      </c>
      <c r="AK2245">
        <v>1</v>
      </c>
      <c r="AL2245" t="s">
        <v>61</v>
      </c>
      <c r="AM2245" t="s">
        <v>622</v>
      </c>
      <c r="AN2245" t="s">
        <v>624</v>
      </c>
    </row>
    <row r="2246" spans="1:40" x14ac:dyDescent="0.35">
      <c r="A2246" t="s">
        <v>37</v>
      </c>
      <c r="B2246" t="s">
        <v>8972</v>
      </c>
      <c r="C2246" t="s">
        <v>102</v>
      </c>
      <c r="D2246" t="s">
        <v>8820</v>
      </c>
      <c r="E2246" t="s">
        <v>8821</v>
      </c>
      <c r="F2246" s="1">
        <v>46072.464803240742</v>
      </c>
      <c r="G2246" t="s">
        <v>261</v>
      </c>
      <c r="H2246" t="s">
        <v>72</v>
      </c>
      <c r="I2246" t="s">
        <v>7068</v>
      </c>
      <c r="J2246" t="s">
        <v>724</v>
      </c>
      <c r="K2246" t="s">
        <v>75</v>
      </c>
      <c r="M2246" t="s">
        <v>47</v>
      </c>
      <c r="O2246" t="s">
        <v>237</v>
      </c>
      <c r="P2246" t="s">
        <v>238</v>
      </c>
      <c r="Q2246" t="s">
        <v>50</v>
      </c>
      <c r="R2246" t="s">
        <v>79</v>
      </c>
      <c r="S2246" t="s">
        <v>558</v>
      </c>
      <c r="T2246" t="s">
        <v>559</v>
      </c>
      <c r="U2246" s="1">
        <v>46072.466319444444</v>
      </c>
      <c r="V2246" t="s">
        <v>54</v>
      </c>
      <c r="W2246" t="s">
        <v>55</v>
      </c>
      <c r="X2246" t="s">
        <v>82</v>
      </c>
      <c r="Y2246" t="e">
        <f>- Clear saved credeintials. - Creat new profile. - Clear Temp files.</f>
        <v>#NAME?</v>
      </c>
      <c r="Z2246" t="s">
        <v>5594</v>
      </c>
      <c r="AA2246" t="s">
        <v>54</v>
      </c>
      <c r="AB2246" t="s">
        <v>727</v>
      </c>
      <c r="AC2246" t="s">
        <v>242</v>
      </c>
      <c r="AD2246" t="s">
        <v>79</v>
      </c>
      <c r="AE2246" t="s">
        <v>558</v>
      </c>
      <c r="AF2246" t="s">
        <v>559</v>
      </c>
      <c r="AG2246" t="s">
        <v>5594</v>
      </c>
      <c r="AH2246">
        <v>12733</v>
      </c>
      <c r="AK2246">
        <v>0</v>
      </c>
      <c r="AL2246" t="s">
        <v>61</v>
      </c>
      <c r="AM2246" t="s">
        <v>8823</v>
      </c>
      <c r="AN2246" t="s">
        <v>8824</v>
      </c>
    </row>
    <row r="2247" spans="1:40" x14ac:dyDescent="0.35">
      <c r="A2247" t="s">
        <v>37</v>
      </c>
      <c r="B2247" t="s">
        <v>8973</v>
      </c>
      <c r="C2247" t="s">
        <v>39</v>
      </c>
      <c r="D2247" t="s">
        <v>5637</v>
      </c>
      <c r="E2247" t="s">
        <v>1146</v>
      </c>
      <c r="F2247" s="1">
        <v>46072.472071759257</v>
      </c>
      <c r="G2247" t="s">
        <v>855</v>
      </c>
      <c r="H2247" t="s">
        <v>447</v>
      </c>
      <c r="I2247" t="s">
        <v>8974</v>
      </c>
      <c r="J2247" t="s">
        <v>394</v>
      </c>
      <c r="K2247" t="s">
        <v>75</v>
      </c>
      <c r="M2247" t="s">
        <v>47</v>
      </c>
      <c r="O2247" t="s">
        <v>77</v>
      </c>
      <c r="P2247" t="s">
        <v>78</v>
      </c>
      <c r="Q2247" t="s">
        <v>50</v>
      </c>
      <c r="R2247" t="s">
        <v>79</v>
      </c>
      <c r="S2247" t="s">
        <v>967</v>
      </c>
      <c r="T2247" t="s">
        <v>1028</v>
      </c>
      <c r="U2247" s="1">
        <v>46072.489560185182</v>
      </c>
      <c r="V2247" t="s">
        <v>54</v>
      </c>
      <c r="W2247" t="s">
        <v>55</v>
      </c>
      <c r="X2247" t="s">
        <v>82</v>
      </c>
      <c r="Y2247" t="s">
        <v>8975</v>
      </c>
      <c r="Z2247" t="s">
        <v>5594</v>
      </c>
      <c r="AA2247" t="s">
        <v>54</v>
      </c>
      <c r="AB2247" t="s">
        <v>396</v>
      </c>
      <c r="AC2247" t="s">
        <v>85</v>
      </c>
      <c r="AD2247" t="s">
        <v>79</v>
      </c>
      <c r="AE2247" t="s">
        <v>967</v>
      </c>
      <c r="AF2247" t="s">
        <v>1028</v>
      </c>
      <c r="AG2247" t="s">
        <v>5594</v>
      </c>
      <c r="AH2247" t="s">
        <v>8976</v>
      </c>
      <c r="AK2247">
        <v>0</v>
      </c>
      <c r="AL2247" t="s">
        <v>61</v>
      </c>
      <c r="AM2247" t="s">
        <v>8977</v>
      </c>
      <c r="AN2247" t="s">
        <v>8978</v>
      </c>
    </row>
    <row r="2248" spans="1:40" x14ac:dyDescent="0.35">
      <c r="A2248" t="s">
        <v>37</v>
      </c>
      <c r="B2248" t="s">
        <v>8979</v>
      </c>
      <c r="C2248" t="s">
        <v>39</v>
      </c>
      <c r="D2248" t="s">
        <v>8980</v>
      </c>
      <c r="E2248" t="s">
        <v>8981</v>
      </c>
      <c r="F2248" s="1">
        <v>46072.460219907407</v>
      </c>
      <c r="G2248" t="s">
        <v>1217</v>
      </c>
      <c r="H2248" t="s">
        <v>92</v>
      </c>
      <c r="I2248" t="s">
        <v>205</v>
      </c>
      <c r="J2248" t="s">
        <v>7089</v>
      </c>
      <c r="K2248" t="s">
        <v>207</v>
      </c>
      <c r="M2248" t="s">
        <v>47</v>
      </c>
      <c r="O2248" t="s">
        <v>77</v>
      </c>
      <c r="P2248" t="s">
        <v>78</v>
      </c>
      <c r="Q2248" t="s">
        <v>50</v>
      </c>
      <c r="R2248" t="s">
        <v>208</v>
      </c>
      <c r="S2248" t="s">
        <v>209</v>
      </c>
      <c r="T2248" t="s">
        <v>210</v>
      </c>
      <c r="U2248" s="1">
        <v>46072.48228009259</v>
      </c>
      <c r="V2248" t="s">
        <v>54</v>
      </c>
      <c r="W2248" t="s">
        <v>55</v>
      </c>
      <c r="X2248" t="s">
        <v>211</v>
      </c>
      <c r="Y2248" t="s">
        <v>8669</v>
      </c>
      <c r="Z2248" t="s">
        <v>5594</v>
      </c>
      <c r="AA2248" t="s">
        <v>54</v>
      </c>
      <c r="AB2248" t="s">
        <v>213</v>
      </c>
      <c r="AC2248" t="s">
        <v>85</v>
      </c>
      <c r="AD2248" t="s">
        <v>214</v>
      </c>
      <c r="AE2248" t="s">
        <v>215</v>
      </c>
      <c r="AF2248" t="s">
        <v>216</v>
      </c>
      <c r="AG2248" t="s">
        <v>5594</v>
      </c>
      <c r="AH2248">
        <v>15701</v>
      </c>
      <c r="AK2248">
        <v>1</v>
      </c>
      <c r="AL2248" t="s">
        <v>61</v>
      </c>
      <c r="AM2248" t="s">
        <v>8982</v>
      </c>
      <c r="AN2248" t="s">
        <v>8983</v>
      </c>
    </row>
    <row r="2249" spans="1:40" x14ac:dyDescent="0.35">
      <c r="A2249" t="s">
        <v>37</v>
      </c>
      <c r="B2249" t="s">
        <v>8984</v>
      </c>
      <c r="C2249" t="s">
        <v>39</v>
      </c>
      <c r="D2249" t="s">
        <v>837</v>
      </c>
      <c r="E2249" t="s">
        <v>838</v>
      </c>
      <c r="F2249" s="1">
        <v>46072.460162037038</v>
      </c>
      <c r="G2249" t="s">
        <v>355</v>
      </c>
      <c r="H2249" t="s">
        <v>356</v>
      </c>
      <c r="I2249" t="s">
        <v>171</v>
      </c>
      <c r="J2249" t="s">
        <v>3423</v>
      </c>
      <c r="K2249" t="s">
        <v>75</v>
      </c>
      <c r="M2249" t="s">
        <v>47</v>
      </c>
      <c r="O2249" t="s">
        <v>77</v>
      </c>
      <c r="P2249" t="s">
        <v>78</v>
      </c>
      <c r="Q2249" t="s">
        <v>50</v>
      </c>
      <c r="R2249" t="s">
        <v>79</v>
      </c>
      <c r="S2249" t="s">
        <v>172</v>
      </c>
      <c r="T2249" t="s">
        <v>173</v>
      </c>
      <c r="U2249" s="1">
        <v>46072.464479166665</v>
      </c>
      <c r="V2249" t="s">
        <v>54</v>
      </c>
      <c r="W2249" t="s">
        <v>55</v>
      </c>
      <c r="X2249" t="s">
        <v>82</v>
      </c>
      <c r="Y2249" t="s">
        <v>3424</v>
      </c>
      <c r="Z2249" t="s">
        <v>5594</v>
      </c>
      <c r="AA2249" t="s">
        <v>54</v>
      </c>
      <c r="AB2249" t="s">
        <v>3425</v>
      </c>
      <c r="AC2249" t="s">
        <v>85</v>
      </c>
      <c r="AD2249" t="s">
        <v>79</v>
      </c>
      <c r="AE2249" t="s">
        <v>172</v>
      </c>
      <c r="AF2249" t="s">
        <v>173</v>
      </c>
      <c r="AG2249" t="s">
        <v>5594</v>
      </c>
      <c r="AH2249">
        <v>15898</v>
      </c>
      <c r="AK2249">
        <v>0</v>
      </c>
      <c r="AL2249" t="s">
        <v>61</v>
      </c>
      <c r="AM2249" t="s">
        <v>842</v>
      </c>
      <c r="AN2249" t="s">
        <v>843</v>
      </c>
    </row>
    <row r="2250" spans="1:40" x14ac:dyDescent="0.35">
      <c r="A2250" t="s">
        <v>37</v>
      </c>
      <c r="B2250" t="s">
        <v>8985</v>
      </c>
      <c r="C2250" t="s">
        <v>39</v>
      </c>
      <c r="D2250" t="s">
        <v>1751</v>
      </c>
      <c r="E2250" t="s">
        <v>1316</v>
      </c>
      <c r="F2250" s="1">
        <v>46072.459351851852</v>
      </c>
      <c r="G2250" t="s">
        <v>1752</v>
      </c>
      <c r="H2250" t="s">
        <v>447</v>
      </c>
      <c r="I2250" t="s">
        <v>8986</v>
      </c>
      <c r="J2250" t="s">
        <v>1754</v>
      </c>
      <c r="K2250" t="s">
        <v>1755</v>
      </c>
      <c r="M2250" t="s">
        <v>47</v>
      </c>
      <c r="O2250" t="s">
        <v>77</v>
      </c>
      <c r="P2250" t="s">
        <v>78</v>
      </c>
      <c r="Q2250" t="s">
        <v>50</v>
      </c>
      <c r="R2250" t="s">
        <v>51</v>
      </c>
      <c r="S2250" t="s">
        <v>52</v>
      </c>
      <c r="T2250" t="s">
        <v>773</v>
      </c>
      <c r="U2250" s="1">
        <v>46074.957060185188</v>
      </c>
      <c r="V2250" t="s">
        <v>54</v>
      </c>
      <c r="W2250" t="s">
        <v>55</v>
      </c>
      <c r="X2250" t="s">
        <v>134</v>
      </c>
      <c r="Y2250" t="s">
        <v>8987</v>
      </c>
      <c r="Z2250" t="s">
        <v>5594</v>
      </c>
      <c r="AA2250" t="s">
        <v>54</v>
      </c>
      <c r="AB2250" t="s">
        <v>1757</v>
      </c>
      <c r="AC2250" t="s">
        <v>85</v>
      </c>
      <c r="AD2250" t="s">
        <v>52</v>
      </c>
      <c r="AE2250" t="s">
        <v>243</v>
      </c>
      <c r="AF2250" t="s">
        <v>409</v>
      </c>
      <c r="AG2250" t="s">
        <v>5594</v>
      </c>
      <c r="AK2250">
        <v>1</v>
      </c>
      <c r="AL2250" t="s">
        <v>61</v>
      </c>
      <c r="AM2250" t="s">
        <v>1757</v>
      </c>
      <c r="AN2250" t="s">
        <v>1758</v>
      </c>
    </row>
    <row r="2251" spans="1:40" x14ac:dyDescent="0.35">
      <c r="A2251" t="s">
        <v>37</v>
      </c>
      <c r="B2251" t="s">
        <v>8988</v>
      </c>
      <c r="C2251" t="s">
        <v>39</v>
      </c>
      <c r="D2251" t="s">
        <v>391</v>
      </c>
      <c r="E2251" t="s">
        <v>8989</v>
      </c>
      <c r="F2251" s="1">
        <v>46072.458981481483</v>
      </c>
      <c r="G2251" t="s">
        <v>297</v>
      </c>
      <c r="H2251" t="s">
        <v>287</v>
      </c>
      <c r="I2251" t="s">
        <v>205</v>
      </c>
      <c r="J2251" t="s">
        <v>7089</v>
      </c>
      <c r="K2251" t="s">
        <v>207</v>
      </c>
      <c r="M2251" t="s">
        <v>47</v>
      </c>
      <c r="O2251" t="s">
        <v>77</v>
      </c>
      <c r="P2251" t="s">
        <v>78</v>
      </c>
      <c r="Q2251" t="s">
        <v>50</v>
      </c>
      <c r="R2251" t="s">
        <v>208</v>
      </c>
      <c r="S2251" t="s">
        <v>209</v>
      </c>
      <c r="T2251" t="s">
        <v>210</v>
      </c>
      <c r="U2251" s="1">
        <v>46072.481261574074</v>
      </c>
      <c r="V2251" t="s">
        <v>54</v>
      </c>
      <c r="W2251" t="s">
        <v>55</v>
      </c>
      <c r="X2251" t="s">
        <v>211</v>
      </c>
      <c r="Y2251" t="s">
        <v>8669</v>
      </c>
      <c r="Z2251" t="s">
        <v>5594</v>
      </c>
      <c r="AA2251" t="s">
        <v>54</v>
      </c>
      <c r="AB2251" t="s">
        <v>213</v>
      </c>
      <c r="AC2251" t="s">
        <v>85</v>
      </c>
      <c r="AD2251" t="s">
        <v>214</v>
      </c>
      <c r="AE2251" t="s">
        <v>215</v>
      </c>
      <c r="AF2251" t="s">
        <v>216</v>
      </c>
      <c r="AG2251" t="s">
        <v>5594</v>
      </c>
      <c r="AH2251">
        <v>12189</v>
      </c>
      <c r="AK2251">
        <v>1</v>
      </c>
      <c r="AL2251" t="s">
        <v>61</v>
      </c>
      <c r="AM2251" t="s">
        <v>8990</v>
      </c>
      <c r="AN2251" t="s">
        <v>8991</v>
      </c>
    </row>
    <row r="2252" spans="1:40" x14ac:dyDescent="0.35">
      <c r="A2252" t="s">
        <v>37</v>
      </c>
      <c r="B2252" t="s">
        <v>8992</v>
      </c>
      <c r="C2252" t="s">
        <v>39</v>
      </c>
      <c r="D2252" t="s">
        <v>8993</v>
      </c>
      <c r="E2252" t="s">
        <v>8994</v>
      </c>
      <c r="F2252" s="1">
        <v>46072.461469907408</v>
      </c>
      <c r="G2252" t="s">
        <v>377</v>
      </c>
      <c r="H2252" t="s">
        <v>287</v>
      </c>
      <c r="I2252" t="s">
        <v>8995</v>
      </c>
      <c r="J2252" t="s">
        <v>695</v>
      </c>
      <c r="K2252" t="s">
        <v>75</v>
      </c>
      <c r="M2252" t="s">
        <v>47</v>
      </c>
      <c r="O2252" t="s">
        <v>77</v>
      </c>
      <c r="P2252" t="s">
        <v>78</v>
      </c>
      <c r="Q2252" t="s">
        <v>4087</v>
      </c>
      <c r="R2252" t="s">
        <v>79</v>
      </c>
      <c r="S2252" t="s">
        <v>8996</v>
      </c>
      <c r="T2252" t="s">
        <v>8996</v>
      </c>
      <c r="U2252" s="1">
        <v>46072.465671296297</v>
      </c>
      <c r="V2252" t="s">
        <v>54</v>
      </c>
      <c r="W2252" t="s">
        <v>55</v>
      </c>
      <c r="X2252" t="s">
        <v>134</v>
      </c>
      <c r="Y2252" t="s">
        <v>8997</v>
      </c>
      <c r="Z2252" t="s">
        <v>5594</v>
      </c>
      <c r="AA2252" t="s">
        <v>54</v>
      </c>
      <c r="AB2252" t="s">
        <v>698</v>
      </c>
      <c r="AC2252" t="s">
        <v>85</v>
      </c>
      <c r="AD2252" t="s">
        <v>79</v>
      </c>
      <c r="AE2252" t="s">
        <v>8998</v>
      </c>
      <c r="AF2252" t="s">
        <v>8998</v>
      </c>
      <c r="AG2252" t="s">
        <v>5594</v>
      </c>
      <c r="AH2252">
        <v>10855</v>
      </c>
      <c r="AK2252">
        <v>2</v>
      </c>
      <c r="AL2252" t="s">
        <v>410</v>
      </c>
      <c r="AM2252" t="s">
        <v>8999</v>
      </c>
      <c r="AN2252" t="s">
        <v>9000</v>
      </c>
    </row>
    <row r="2253" spans="1:40" x14ac:dyDescent="0.35">
      <c r="A2253" t="s">
        <v>37</v>
      </c>
      <c r="B2253" t="s">
        <v>9001</v>
      </c>
      <c r="C2253" t="s">
        <v>656</v>
      </c>
      <c r="D2253" t="s">
        <v>1315</v>
      </c>
      <c r="E2253" t="s">
        <v>1316</v>
      </c>
      <c r="F2253" s="1">
        <v>46072.461527777778</v>
      </c>
      <c r="G2253" t="s">
        <v>355</v>
      </c>
      <c r="H2253" t="s">
        <v>356</v>
      </c>
      <c r="I2253" t="s">
        <v>9002</v>
      </c>
      <c r="J2253" t="s">
        <v>9003</v>
      </c>
      <c r="K2253" t="s">
        <v>1319</v>
      </c>
      <c r="M2253" t="s">
        <v>76</v>
      </c>
      <c r="O2253" t="s">
        <v>77</v>
      </c>
      <c r="P2253" t="s">
        <v>78</v>
      </c>
      <c r="Q2253" t="s">
        <v>1320</v>
      </c>
      <c r="R2253" t="s">
        <v>1321</v>
      </c>
      <c r="S2253" t="s">
        <v>1322</v>
      </c>
      <c r="T2253" t="s">
        <v>9004</v>
      </c>
      <c r="U2253" s="1">
        <v>46076.462581018517</v>
      </c>
      <c r="V2253" t="s">
        <v>54</v>
      </c>
      <c r="W2253" t="s">
        <v>55</v>
      </c>
      <c r="X2253" t="s">
        <v>134</v>
      </c>
      <c r="Y2253" t="s">
        <v>9005</v>
      </c>
      <c r="Z2253" t="s">
        <v>58</v>
      </c>
      <c r="AA2253" t="s">
        <v>54</v>
      </c>
      <c r="AB2253" t="s">
        <v>1325</v>
      </c>
      <c r="AC2253" t="s">
        <v>85</v>
      </c>
      <c r="AD2253" t="s">
        <v>1321</v>
      </c>
      <c r="AE2253" t="s">
        <v>1322</v>
      </c>
      <c r="AF2253" t="s">
        <v>9004</v>
      </c>
      <c r="AG2253" t="s">
        <v>58</v>
      </c>
      <c r="AK2253">
        <v>0</v>
      </c>
      <c r="AL2253" t="s">
        <v>61</v>
      </c>
      <c r="AM2253" t="s">
        <v>1325</v>
      </c>
      <c r="AN2253" t="s">
        <v>1327</v>
      </c>
    </row>
    <row r="2254" spans="1:40" x14ac:dyDescent="0.35">
      <c r="A2254" t="s">
        <v>37</v>
      </c>
      <c r="B2254" t="s">
        <v>9006</v>
      </c>
      <c r="C2254" t="s">
        <v>39</v>
      </c>
      <c r="D2254" t="s">
        <v>7445</v>
      </c>
      <c r="E2254" t="s">
        <v>1316</v>
      </c>
      <c r="F2254" s="1">
        <v>46072.458749999998</v>
      </c>
      <c r="G2254" t="s">
        <v>286</v>
      </c>
      <c r="H2254" t="s">
        <v>287</v>
      </c>
      <c r="I2254" t="s">
        <v>9007</v>
      </c>
      <c r="J2254" t="s">
        <v>7447</v>
      </c>
      <c r="K2254" t="s">
        <v>7448</v>
      </c>
      <c r="M2254" t="s">
        <v>131</v>
      </c>
      <c r="O2254" t="s">
        <v>77</v>
      </c>
      <c r="P2254" t="s">
        <v>78</v>
      </c>
      <c r="Q2254" t="s">
        <v>50</v>
      </c>
      <c r="R2254" t="s">
        <v>51</v>
      </c>
      <c r="S2254" t="s">
        <v>52</v>
      </c>
      <c r="T2254" t="s">
        <v>240</v>
      </c>
      <c r="U2254" s="1">
        <v>46078.398923611108</v>
      </c>
      <c r="V2254" t="s">
        <v>54</v>
      </c>
      <c r="W2254" t="s">
        <v>55</v>
      </c>
      <c r="X2254" t="s">
        <v>134</v>
      </c>
      <c r="Y2254" t="s">
        <v>9008</v>
      </c>
      <c r="Z2254" t="s">
        <v>58</v>
      </c>
      <c r="AA2254" t="s">
        <v>54</v>
      </c>
      <c r="AB2254" t="s">
        <v>7450</v>
      </c>
      <c r="AC2254" t="s">
        <v>85</v>
      </c>
      <c r="AD2254" t="s">
        <v>52</v>
      </c>
      <c r="AE2254" t="s">
        <v>999</v>
      </c>
      <c r="AF2254" t="s">
        <v>2272</v>
      </c>
      <c r="AG2254" t="s">
        <v>58</v>
      </c>
      <c r="AK2254">
        <v>0</v>
      </c>
      <c r="AL2254" t="s">
        <v>61</v>
      </c>
      <c r="AM2254" t="s">
        <v>7451</v>
      </c>
      <c r="AN2254" t="s">
        <v>7452</v>
      </c>
    </row>
    <row r="2255" spans="1:40" x14ac:dyDescent="0.35">
      <c r="A2255" t="s">
        <v>37</v>
      </c>
      <c r="B2255" t="s">
        <v>9009</v>
      </c>
      <c r="C2255" t="s">
        <v>39</v>
      </c>
      <c r="D2255" t="s">
        <v>4311</v>
      </c>
      <c r="E2255" t="s">
        <v>230</v>
      </c>
      <c r="F2255" s="1">
        <v>46072.457187499997</v>
      </c>
      <c r="G2255" t="s">
        <v>402</v>
      </c>
      <c r="H2255" t="s">
        <v>72</v>
      </c>
      <c r="I2255" t="s">
        <v>9010</v>
      </c>
      <c r="J2255" t="s">
        <v>5248</v>
      </c>
      <c r="K2255" t="s">
        <v>1834</v>
      </c>
      <c r="M2255" t="s">
        <v>47</v>
      </c>
      <c r="O2255" t="s">
        <v>77</v>
      </c>
      <c r="P2255" t="s">
        <v>78</v>
      </c>
      <c r="Q2255" t="s">
        <v>50</v>
      </c>
      <c r="R2255" t="s">
        <v>51</v>
      </c>
      <c r="S2255" t="s">
        <v>52</v>
      </c>
      <c r="T2255" t="s">
        <v>240</v>
      </c>
      <c r="U2255" s="1">
        <v>46072.659988425927</v>
      </c>
      <c r="V2255" t="s">
        <v>54</v>
      </c>
      <c r="W2255" t="s">
        <v>55</v>
      </c>
      <c r="X2255" t="s">
        <v>134</v>
      </c>
      <c r="Y2255" t="s">
        <v>9011</v>
      </c>
      <c r="Z2255" t="s">
        <v>5594</v>
      </c>
      <c r="AA2255" t="s">
        <v>54</v>
      </c>
      <c r="AB2255" t="s">
        <v>5250</v>
      </c>
      <c r="AC2255" t="s">
        <v>85</v>
      </c>
      <c r="AD2255" t="s">
        <v>52</v>
      </c>
      <c r="AE2255" t="s">
        <v>243</v>
      </c>
      <c r="AF2255" t="s">
        <v>2533</v>
      </c>
      <c r="AG2255" t="s">
        <v>5594</v>
      </c>
      <c r="AH2255">
        <v>14618</v>
      </c>
      <c r="AK2255">
        <v>0</v>
      </c>
      <c r="AL2255" t="s">
        <v>61</v>
      </c>
      <c r="AM2255" t="s">
        <v>9012</v>
      </c>
      <c r="AN2255" t="s">
        <v>9013</v>
      </c>
    </row>
    <row r="2256" spans="1:40" x14ac:dyDescent="0.35">
      <c r="A2256" t="s">
        <v>37</v>
      </c>
      <c r="B2256" t="s">
        <v>9014</v>
      </c>
      <c r="C2256" t="s">
        <v>39</v>
      </c>
      <c r="D2256" t="s">
        <v>9015</v>
      </c>
      <c r="E2256" t="s">
        <v>127</v>
      </c>
      <c r="F2256" s="1">
        <v>46072.457187499997</v>
      </c>
      <c r="G2256" t="s">
        <v>540</v>
      </c>
      <c r="H2256" t="s">
        <v>447</v>
      </c>
      <c r="I2256" t="s">
        <v>9016</v>
      </c>
      <c r="J2256" t="s">
        <v>3257</v>
      </c>
      <c r="K2256" t="s">
        <v>1834</v>
      </c>
      <c r="M2256" t="s">
        <v>47</v>
      </c>
      <c r="O2256" t="s">
        <v>77</v>
      </c>
      <c r="P2256" t="s">
        <v>78</v>
      </c>
      <c r="Q2256" t="s">
        <v>50</v>
      </c>
      <c r="R2256" t="s">
        <v>51</v>
      </c>
      <c r="S2256" t="s">
        <v>52</v>
      </c>
      <c r="T2256" t="s">
        <v>240</v>
      </c>
      <c r="U2256" s="1">
        <v>46073.530810185184</v>
      </c>
      <c r="V2256" t="s">
        <v>54</v>
      </c>
      <c r="W2256" t="s">
        <v>55</v>
      </c>
      <c r="X2256" t="s">
        <v>134</v>
      </c>
      <c r="Y2256" t="s">
        <v>3258</v>
      </c>
      <c r="Z2256" t="s">
        <v>5594</v>
      </c>
      <c r="AA2256" t="s">
        <v>54</v>
      </c>
      <c r="AB2256" t="s">
        <v>3259</v>
      </c>
      <c r="AC2256" t="s">
        <v>85</v>
      </c>
      <c r="AD2256" t="s">
        <v>52</v>
      </c>
      <c r="AE2256" t="s">
        <v>243</v>
      </c>
      <c r="AF2256" t="s">
        <v>1470</v>
      </c>
      <c r="AG2256" t="s">
        <v>5594</v>
      </c>
      <c r="AH2256">
        <v>14398</v>
      </c>
      <c r="AK2256">
        <v>0</v>
      </c>
      <c r="AL2256" t="s">
        <v>61</v>
      </c>
      <c r="AM2256" t="s">
        <v>9017</v>
      </c>
      <c r="AN2256" t="s">
        <v>9018</v>
      </c>
    </row>
    <row r="2257" spans="1:40" x14ac:dyDescent="0.35">
      <c r="A2257" t="s">
        <v>37</v>
      </c>
      <c r="B2257" t="s">
        <v>9019</v>
      </c>
      <c r="C2257" t="s">
        <v>39</v>
      </c>
      <c r="D2257" t="s">
        <v>5457</v>
      </c>
      <c r="E2257" t="s">
        <v>1990</v>
      </c>
      <c r="F2257" s="1">
        <v>46072.456909722219</v>
      </c>
      <c r="G2257" t="s">
        <v>250</v>
      </c>
      <c r="H2257" t="s">
        <v>106</v>
      </c>
      <c r="I2257" t="s">
        <v>9020</v>
      </c>
      <c r="J2257" t="s">
        <v>4338</v>
      </c>
      <c r="K2257" t="s">
        <v>405</v>
      </c>
      <c r="M2257" t="s">
        <v>76</v>
      </c>
      <c r="O2257" t="s">
        <v>237</v>
      </c>
      <c r="P2257" t="s">
        <v>238</v>
      </c>
      <c r="Q2257" t="s">
        <v>50</v>
      </c>
      <c r="R2257" t="s">
        <v>51</v>
      </c>
      <c r="S2257" t="s">
        <v>52</v>
      </c>
      <c r="T2257" t="s">
        <v>240</v>
      </c>
      <c r="U2257" s="1">
        <v>46078.381666666668</v>
      </c>
      <c r="V2257" t="s">
        <v>54</v>
      </c>
      <c r="W2257" t="s">
        <v>55</v>
      </c>
      <c r="X2257" t="s">
        <v>211</v>
      </c>
      <c r="Y2257" t="s">
        <v>9021</v>
      </c>
      <c r="Z2257" t="s">
        <v>58</v>
      </c>
      <c r="AA2257" t="s">
        <v>54</v>
      </c>
      <c r="AB2257" t="s">
        <v>213</v>
      </c>
      <c r="AC2257" t="s">
        <v>242</v>
      </c>
      <c r="AD2257" t="s">
        <v>52</v>
      </c>
      <c r="AE2257" t="s">
        <v>243</v>
      </c>
      <c r="AF2257" t="s">
        <v>409</v>
      </c>
      <c r="AG2257" t="s">
        <v>58</v>
      </c>
      <c r="AH2257">
        <v>13169</v>
      </c>
      <c r="AK2257">
        <v>1</v>
      </c>
      <c r="AL2257" t="s">
        <v>61</v>
      </c>
      <c r="AM2257" t="s">
        <v>9022</v>
      </c>
      <c r="AN2257" t="s">
        <v>9023</v>
      </c>
    </row>
    <row r="2258" spans="1:40" x14ac:dyDescent="0.35">
      <c r="A2258" t="s">
        <v>37</v>
      </c>
      <c r="B2258" t="s">
        <v>9024</v>
      </c>
      <c r="C2258" t="s">
        <v>39</v>
      </c>
      <c r="D2258" t="s">
        <v>5437</v>
      </c>
      <c r="E2258" t="s">
        <v>9025</v>
      </c>
      <c r="F2258" s="1">
        <v>46072.45722222222</v>
      </c>
      <c r="G2258" t="s">
        <v>71</v>
      </c>
      <c r="H2258" t="s">
        <v>72</v>
      </c>
      <c r="I2258" t="s">
        <v>9026</v>
      </c>
      <c r="J2258" t="s">
        <v>724</v>
      </c>
      <c r="K2258" t="s">
        <v>75</v>
      </c>
      <c r="M2258" t="s">
        <v>47</v>
      </c>
      <c r="O2258" t="s">
        <v>77</v>
      </c>
      <c r="P2258" t="s">
        <v>78</v>
      </c>
      <c r="Q2258" t="s">
        <v>50</v>
      </c>
      <c r="R2258" t="s">
        <v>79</v>
      </c>
      <c r="S2258" t="s">
        <v>1078</v>
      </c>
      <c r="T2258" t="s">
        <v>1078</v>
      </c>
      <c r="U2258" s="1">
        <v>46072.457800925928</v>
      </c>
      <c r="V2258" t="s">
        <v>54</v>
      </c>
      <c r="W2258" t="s">
        <v>55</v>
      </c>
      <c r="X2258" t="s">
        <v>82</v>
      </c>
      <c r="Y2258" t="s">
        <v>9027</v>
      </c>
      <c r="Z2258" t="s">
        <v>5594</v>
      </c>
      <c r="AA2258" t="s">
        <v>54</v>
      </c>
      <c r="AB2258" t="s">
        <v>727</v>
      </c>
      <c r="AC2258" t="s">
        <v>85</v>
      </c>
      <c r="AD2258" t="s">
        <v>79</v>
      </c>
      <c r="AE2258" t="s">
        <v>1078</v>
      </c>
      <c r="AF2258" t="s">
        <v>1078</v>
      </c>
      <c r="AG2258" t="s">
        <v>5594</v>
      </c>
      <c r="AH2258">
        <v>12169</v>
      </c>
      <c r="AK2258">
        <v>0</v>
      </c>
      <c r="AL2258" t="s">
        <v>61</v>
      </c>
      <c r="AM2258" t="s">
        <v>9028</v>
      </c>
      <c r="AN2258" t="s">
        <v>9029</v>
      </c>
    </row>
    <row r="2259" spans="1:40" x14ac:dyDescent="0.35">
      <c r="A2259" t="s">
        <v>37</v>
      </c>
      <c r="B2259" t="s">
        <v>9030</v>
      </c>
      <c r="C2259" t="s">
        <v>39</v>
      </c>
      <c r="D2259" t="s">
        <v>9031</v>
      </c>
      <c r="E2259" t="s">
        <v>9032</v>
      </c>
      <c r="F2259" s="1">
        <v>46072.455937500003</v>
      </c>
      <c r="G2259" t="s">
        <v>355</v>
      </c>
      <c r="H2259" t="s">
        <v>356</v>
      </c>
      <c r="I2259" t="s">
        <v>205</v>
      </c>
      <c r="J2259" t="s">
        <v>9033</v>
      </c>
      <c r="K2259" t="s">
        <v>207</v>
      </c>
      <c r="M2259" t="s">
        <v>47</v>
      </c>
      <c r="O2259" t="s">
        <v>77</v>
      </c>
      <c r="P2259" t="s">
        <v>78</v>
      </c>
      <c r="Q2259" t="s">
        <v>50</v>
      </c>
      <c r="R2259" t="s">
        <v>305</v>
      </c>
      <c r="S2259" t="s">
        <v>306</v>
      </c>
      <c r="T2259" t="s">
        <v>307</v>
      </c>
      <c r="U2259" s="1">
        <v>46072.544351851851</v>
      </c>
      <c r="V2259" t="s">
        <v>54</v>
      </c>
      <c r="W2259" t="s">
        <v>55</v>
      </c>
      <c r="X2259" t="s">
        <v>211</v>
      </c>
      <c r="Y2259" t="s">
        <v>9034</v>
      </c>
      <c r="Z2259" t="s">
        <v>5594</v>
      </c>
      <c r="AA2259" t="s">
        <v>54</v>
      </c>
      <c r="AB2259" t="s">
        <v>213</v>
      </c>
      <c r="AC2259" t="s">
        <v>85</v>
      </c>
      <c r="AD2259" t="s">
        <v>214</v>
      </c>
      <c r="AE2259" t="s">
        <v>215</v>
      </c>
      <c r="AF2259" t="s">
        <v>216</v>
      </c>
      <c r="AG2259" t="s">
        <v>5594</v>
      </c>
      <c r="AH2259" t="s">
        <v>9035</v>
      </c>
      <c r="AK2259">
        <v>2</v>
      </c>
      <c r="AL2259" t="s">
        <v>61</v>
      </c>
      <c r="AM2259" t="s">
        <v>9036</v>
      </c>
      <c r="AN2259" t="s">
        <v>9037</v>
      </c>
    </row>
    <row r="2260" spans="1:40" x14ac:dyDescent="0.35">
      <c r="A2260" t="s">
        <v>37</v>
      </c>
      <c r="B2260" t="s">
        <v>9038</v>
      </c>
      <c r="C2260" t="s">
        <v>39</v>
      </c>
      <c r="D2260" t="s">
        <v>3885</v>
      </c>
      <c r="E2260" t="s">
        <v>9039</v>
      </c>
      <c r="F2260" s="1">
        <v>46072.458425925928</v>
      </c>
      <c r="G2260" t="s">
        <v>4421</v>
      </c>
      <c r="H2260" t="s">
        <v>92</v>
      </c>
      <c r="I2260" t="s">
        <v>9040</v>
      </c>
      <c r="J2260" t="s">
        <v>1058</v>
      </c>
      <c r="K2260" t="s">
        <v>436</v>
      </c>
      <c r="M2260" t="s">
        <v>47</v>
      </c>
      <c r="O2260" t="s">
        <v>77</v>
      </c>
      <c r="P2260" t="s">
        <v>78</v>
      </c>
      <c r="Q2260" t="s">
        <v>50</v>
      </c>
      <c r="R2260" t="s">
        <v>51</v>
      </c>
      <c r="S2260" t="s">
        <v>52</v>
      </c>
      <c r="T2260" t="s">
        <v>240</v>
      </c>
      <c r="U2260" s="1">
        <v>46072.481956018521</v>
      </c>
      <c r="V2260" t="s">
        <v>54</v>
      </c>
      <c r="W2260" t="s">
        <v>55</v>
      </c>
      <c r="X2260" t="s">
        <v>134</v>
      </c>
      <c r="Y2260" t="s">
        <v>9041</v>
      </c>
      <c r="Z2260" t="s">
        <v>5594</v>
      </c>
      <c r="AA2260" t="s">
        <v>54</v>
      </c>
      <c r="AB2260" t="s">
        <v>612</v>
      </c>
      <c r="AC2260" t="s">
        <v>85</v>
      </c>
      <c r="AD2260" t="s">
        <v>52</v>
      </c>
      <c r="AE2260" t="s">
        <v>438</v>
      </c>
      <c r="AF2260" t="s">
        <v>775</v>
      </c>
      <c r="AG2260" t="s">
        <v>5594</v>
      </c>
      <c r="AH2260" t="s">
        <v>9042</v>
      </c>
      <c r="AK2260">
        <v>1</v>
      </c>
      <c r="AL2260" t="s">
        <v>61</v>
      </c>
      <c r="AM2260" t="s">
        <v>9043</v>
      </c>
      <c r="AN2260" t="s">
        <v>9044</v>
      </c>
    </row>
    <row r="2261" spans="1:40" x14ac:dyDescent="0.35">
      <c r="A2261" t="s">
        <v>37</v>
      </c>
      <c r="B2261" t="s">
        <v>9045</v>
      </c>
      <c r="C2261" t="s">
        <v>102</v>
      </c>
      <c r="D2261" t="s">
        <v>9046</v>
      </c>
      <c r="E2261" t="s">
        <v>5458</v>
      </c>
      <c r="F2261" s="1">
        <v>46072.45516203704</v>
      </c>
      <c r="G2261" t="s">
        <v>464</v>
      </c>
      <c r="H2261" t="s">
        <v>287</v>
      </c>
      <c r="I2261" t="s">
        <v>9047</v>
      </c>
      <c r="J2261" t="s">
        <v>750</v>
      </c>
      <c r="K2261" t="s">
        <v>751</v>
      </c>
      <c r="M2261" t="s">
        <v>47</v>
      </c>
      <c r="O2261" t="s">
        <v>237</v>
      </c>
      <c r="P2261" t="s">
        <v>238</v>
      </c>
      <c r="Q2261" t="s">
        <v>50</v>
      </c>
      <c r="R2261" t="s">
        <v>305</v>
      </c>
      <c r="S2261" t="s">
        <v>306</v>
      </c>
      <c r="T2261" t="s">
        <v>307</v>
      </c>
      <c r="U2261" s="1">
        <v>46072.547349537039</v>
      </c>
      <c r="V2261" t="s">
        <v>54</v>
      </c>
      <c r="W2261" t="s">
        <v>55</v>
      </c>
      <c r="X2261" t="s">
        <v>211</v>
      </c>
      <c r="Y2261" t="s">
        <v>9048</v>
      </c>
      <c r="Z2261" t="s">
        <v>5594</v>
      </c>
      <c r="AA2261" t="s">
        <v>54</v>
      </c>
      <c r="AB2261" t="s">
        <v>213</v>
      </c>
      <c r="AC2261" t="s">
        <v>242</v>
      </c>
      <c r="AD2261" t="s">
        <v>305</v>
      </c>
      <c r="AE2261" t="s">
        <v>306</v>
      </c>
      <c r="AF2261" t="s">
        <v>307</v>
      </c>
      <c r="AG2261" t="s">
        <v>5594</v>
      </c>
      <c r="AH2261">
        <v>13251</v>
      </c>
      <c r="AK2261">
        <v>1</v>
      </c>
      <c r="AL2261" t="s">
        <v>61</v>
      </c>
      <c r="AM2261" t="s">
        <v>9049</v>
      </c>
      <c r="AN2261" t="s">
        <v>9050</v>
      </c>
    </row>
    <row r="2262" spans="1:40" x14ac:dyDescent="0.35">
      <c r="A2262" t="s">
        <v>37</v>
      </c>
      <c r="B2262" t="s">
        <v>9051</v>
      </c>
      <c r="C2262" t="s">
        <v>39</v>
      </c>
      <c r="D2262" t="s">
        <v>303</v>
      </c>
      <c r="E2262" t="s">
        <v>1157</v>
      </c>
      <c r="F2262" s="1">
        <v>46072.454618055555</v>
      </c>
      <c r="G2262" t="s">
        <v>297</v>
      </c>
      <c r="H2262" t="s">
        <v>287</v>
      </c>
      <c r="I2262" t="s">
        <v>205</v>
      </c>
      <c r="J2262" t="s">
        <v>7089</v>
      </c>
      <c r="K2262" t="s">
        <v>207</v>
      </c>
      <c r="M2262" t="s">
        <v>47</v>
      </c>
      <c r="O2262" t="s">
        <v>77</v>
      </c>
      <c r="P2262" t="s">
        <v>78</v>
      </c>
      <c r="Q2262" t="s">
        <v>50</v>
      </c>
      <c r="R2262" t="s">
        <v>208</v>
      </c>
      <c r="S2262" t="s">
        <v>209</v>
      </c>
      <c r="T2262" t="s">
        <v>210</v>
      </c>
      <c r="U2262" s="1">
        <v>46072.479432870372</v>
      </c>
      <c r="V2262" t="s">
        <v>54</v>
      </c>
      <c r="W2262" t="s">
        <v>55</v>
      </c>
      <c r="X2262" t="s">
        <v>211</v>
      </c>
      <c r="Y2262" t="s">
        <v>8669</v>
      </c>
      <c r="Z2262" t="s">
        <v>5594</v>
      </c>
      <c r="AA2262" t="s">
        <v>54</v>
      </c>
      <c r="AB2262" t="s">
        <v>213</v>
      </c>
      <c r="AC2262" t="s">
        <v>85</v>
      </c>
      <c r="AD2262" t="s">
        <v>214</v>
      </c>
      <c r="AE2262" t="s">
        <v>215</v>
      </c>
      <c r="AF2262" t="s">
        <v>216</v>
      </c>
      <c r="AG2262" t="s">
        <v>5594</v>
      </c>
      <c r="AH2262">
        <v>12271</v>
      </c>
      <c r="AK2262">
        <v>1</v>
      </c>
      <c r="AL2262" t="s">
        <v>61</v>
      </c>
      <c r="AM2262" t="s">
        <v>9052</v>
      </c>
      <c r="AN2262" t="s">
        <v>9053</v>
      </c>
    </row>
    <row r="2263" spans="1:40" x14ac:dyDescent="0.35">
      <c r="A2263" t="s">
        <v>37</v>
      </c>
      <c r="B2263" t="s">
        <v>9054</v>
      </c>
      <c r="C2263" t="s">
        <v>102</v>
      </c>
      <c r="D2263" t="s">
        <v>9055</v>
      </c>
      <c r="E2263" t="s">
        <v>1248</v>
      </c>
      <c r="F2263" s="1">
        <v>46072.454479166663</v>
      </c>
      <c r="G2263" t="s">
        <v>377</v>
      </c>
      <c r="H2263" t="s">
        <v>287</v>
      </c>
      <c r="I2263" t="s">
        <v>4398</v>
      </c>
      <c r="J2263" t="s">
        <v>5027</v>
      </c>
      <c r="K2263" t="s">
        <v>951</v>
      </c>
      <c r="M2263" t="s">
        <v>76</v>
      </c>
      <c r="O2263" t="s">
        <v>237</v>
      </c>
      <c r="P2263" t="s">
        <v>238</v>
      </c>
      <c r="Q2263" t="s">
        <v>50</v>
      </c>
      <c r="R2263" t="s">
        <v>79</v>
      </c>
      <c r="S2263" t="s">
        <v>967</v>
      </c>
      <c r="T2263" t="s">
        <v>4400</v>
      </c>
      <c r="U2263" s="1">
        <v>46076.514618055553</v>
      </c>
      <c r="V2263" t="s">
        <v>54</v>
      </c>
      <c r="W2263" t="s">
        <v>55</v>
      </c>
      <c r="X2263" t="s">
        <v>134</v>
      </c>
      <c r="Y2263" t="s">
        <v>9056</v>
      </c>
      <c r="Z2263" t="s">
        <v>58</v>
      </c>
      <c r="AA2263" t="s">
        <v>54</v>
      </c>
      <c r="AB2263" t="s">
        <v>458</v>
      </c>
      <c r="AC2263" t="s">
        <v>242</v>
      </c>
      <c r="AD2263" t="s">
        <v>79</v>
      </c>
      <c r="AE2263" t="s">
        <v>967</v>
      </c>
      <c r="AF2263" t="s">
        <v>4400</v>
      </c>
      <c r="AG2263" t="s">
        <v>58</v>
      </c>
      <c r="AH2263">
        <v>15206</v>
      </c>
      <c r="AK2263">
        <v>4</v>
      </c>
      <c r="AL2263" t="s">
        <v>61</v>
      </c>
      <c r="AM2263" t="s">
        <v>9057</v>
      </c>
      <c r="AN2263" t="s">
        <v>9058</v>
      </c>
    </row>
    <row r="2264" spans="1:40" x14ac:dyDescent="0.35">
      <c r="A2264" t="s">
        <v>37</v>
      </c>
      <c r="B2264" t="s">
        <v>9059</v>
      </c>
      <c r="C2264" t="s">
        <v>39</v>
      </c>
      <c r="D2264" t="s">
        <v>1215</v>
      </c>
      <c r="E2264" t="s">
        <v>4565</v>
      </c>
      <c r="F2264" s="1">
        <v>46072.453784722224</v>
      </c>
      <c r="G2264" t="s">
        <v>297</v>
      </c>
      <c r="H2264" t="s">
        <v>287</v>
      </c>
      <c r="I2264" t="s">
        <v>205</v>
      </c>
      <c r="J2264" t="s">
        <v>7089</v>
      </c>
      <c r="K2264" t="s">
        <v>207</v>
      </c>
      <c r="M2264" t="s">
        <v>47</v>
      </c>
      <c r="O2264" t="s">
        <v>77</v>
      </c>
      <c r="P2264" t="s">
        <v>78</v>
      </c>
      <c r="R2264" t="s">
        <v>208</v>
      </c>
      <c r="S2264" t="s">
        <v>209</v>
      </c>
      <c r="T2264" t="s">
        <v>210</v>
      </c>
      <c r="U2264" s="1">
        <v>46072.479074074072</v>
      </c>
      <c r="V2264" t="s">
        <v>54</v>
      </c>
      <c r="W2264" t="s">
        <v>55</v>
      </c>
      <c r="X2264" t="s">
        <v>211</v>
      </c>
      <c r="Y2264" t="s">
        <v>8669</v>
      </c>
      <c r="Z2264" t="s">
        <v>5594</v>
      </c>
      <c r="AA2264" t="s">
        <v>54</v>
      </c>
      <c r="AB2264" t="s">
        <v>213</v>
      </c>
      <c r="AC2264" t="s">
        <v>85</v>
      </c>
      <c r="AD2264" t="s">
        <v>214</v>
      </c>
      <c r="AE2264" t="s">
        <v>215</v>
      </c>
      <c r="AF2264" t="s">
        <v>216</v>
      </c>
      <c r="AG2264" t="s">
        <v>5594</v>
      </c>
      <c r="AH2264">
        <v>15258</v>
      </c>
      <c r="AK2264">
        <v>1</v>
      </c>
      <c r="AL2264" t="s">
        <v>61</v>
      </c>
      <c r="AM2264" t="s">
        <v>4568</v>
      </c>
      <c r="AN2264" t="s">
        <v>4569</v>
      </c>
    </row>
    <row r="2265" spans="1:40" x14ac:dyDescent="0.35">
      <c r="A2265" t="s">
        <v>37</v>
      </c>
      <c r="B2265" t="s">
        <v>9060</v>
      </c>
      <c r="C2265" t="s">
        <v>102</v>
      </c>
      <c r="D2265" t="s">
        <v>747</v>
      </c>
      <c r="E2265" t="s">
        <v>748</v>
      </c>
      <c r="F2265" s="1">
        <v>46072.452951388892</v>
      </c>
      <c r="G2265" t="s">
        <v>464</v>
      </c>
      <c r="H2265" t="s">
        <v>287</v>
      </c>
      <c r="I2265" t="s">
        <v>1474</v>
      </c>
      <c r="J2265" t="s">
        <v>750</v>
      </c>
      <c r="K2265" t="s">
        <v>751</v>
      </c>
      <c r="M2265" t="s">
        <v>47</v>
      </c>
      <c r="O2265" t="s">
        <v>237</v>
      </c>
      <c r="P2265" t="s">
        <v>238</v>
      </c>
      <c r="Q2265" t="s">
        <v>50</v>
      </c>
      <c r="R2265" t="s">
        <v>305</v>
      </c>
      <c r="S2265" t="s">
        <v>306</v>
      </c>
      <c r="T2265" t="s">
        <v>307</v>
      </c>
      <c r="U2265" s="1">
        <v>46072.597858796296</v>
      </c>
      <c r="V2265" t="s">
        <v>54</v>
      </c>
      <c r="W2265" t="s">
        <v>55</v>
      </c>
      <c r="X2265" t="s">
        <v>211</v>
      </c>
      <c r="Y2265" t="s">
        <v>9061</v>
      </c>
      <c r="Z2265" t="s">
        <v>5594</v>
      </c>
      <c r="AA2265" t="s">
        <v>54</v>
      </c>
      <c r="AB2265" t="s">
        <v>213</v>
      </c>
      <c r="AC2265" t="s">
        <v>242</v>
      </c>
      <c r="AD2265" t="s">
        <v>305</v>
      </c>
      <c r="AE2265" t="s">
        <v>306</v>
      </c>
      <c r="AF2265" t="s">
        <v>307</v>
      </c>
      <c r="AG2265" t="s">
        <v>5594</v>
      </c>
      <c r="AH2265">
        <v>12153</v>
      </c>
      <c r="AK2265">
        <v>1</v>
      </c>
      <c r="AL2265" t="s">
        <v>61</v>
      </c>
      <c r="AM2265" t="s">
        <v>753</v>
      </c>
      <c r="AN2265" t="s">
        <v>754</v>
      </c>
    </row>
    <row r="2266" spans="1:40" x14ac:dyDescent="0.35">
      <c r="A2266" t="s">
        <v>37</v>
      </c>
      <c r="B2266" t="s">
        <v>9062</v>
      </c>
      <c r="C2266" t="s">
        <v>39</v>
      </c>
      <c r="D2266" t="s">
        <v>9063</v>
      </c>
      <c r="E2266" t="s">
        <v>9064</v>
      </c>
      <c r="F2266" s="1">
        <v>46072.452627314815</v>
      </c>
      <c r="G2266" t="s">
        <v>355</v>
      </c>
      <c r="H2266" t="s">
        <v>356</v>
      </c>
      <c r="I2266" t="s">
        <v>205</v>
      </c>
      <c r="J2266" t="s">
        <v>7089</v>
      </c>
      <c r="K2266" t="s">
        <v>207</v>
      </c>
      <c r="M2266" t="s">
        <v>47</v>
      </c>
      <c r="O2266" t="s">
        <v>77</v>
      </c>
      <c r="P2266" t="s">
        <v>78</v>
      </c>
      <c r="Q2266" t="s">
        <v>50</v>
      </c>
      <c r="R2266" t="s">
        <v>208</v>
      </c>
      <c r="S2266" t="s">
        <v>209</v>
      </c>
      <c r="T2266" t="s">
        <v>210</v>
      </c>
      <c r="U2266" s="1">
        <v>46072.47619212963</v>
      </c>
      <c r="V2266" t="s">
        <v>54</v>
      </c>
      <c r="W2266" t="s">
        <v>55</v>
      </c>
      <c r="X2266" t="s">
        <v>211</v>
      </c>
      <c r="Y2266" t="s">
        <v>8669</v>
      </c>
      <c r="Z2266" t="s">
        <v>5594</v>
      </c>
      <c r="AA2266" t="s">
        <v>54</v>
      </c>
      <c r="AB2266" t="s">
        <v>213</v>
      </c>
      <c r="AC2266" t="s">
        <v>85</v>
      </c>
      <c r="AD2266" t="s">
        <v>214</v>
      </c>
      <c r="AE2266" t="s">
        <v>215</v>
      </c>
      <c r="AF2266" t="s">
        <v>216</v>
      </c>
      <c r="AG2266" t="s">
        <v>5594</v>
      </c>
      <c r="AH2266">
        <v>15463</v>
      </c>
      <c r="AK2266">
        <v>1</v>
      </c>
      <c r="AL2266" t="s">
        <v>61</v>
      </c>
      <c r="AM2266" t="s">
        <v>9065</v>
      </c>
      <c r="AN2266" t="s">
        <v>9066</v>
      </c>
    </row>
    <row r="2267" spans="1:40" x14ac:dyDescent="0.35">
      <c r="A2267" t="s">
        <v>37</v>
      </c>
      <c r="B2267" t="s">
        <v>9067</v>
      </c>
      <c r="C2267" t="s">
        <v>102</v>
      </c>
      <c r="D2267" t="s">
        <v>824</v>
      </c>
      <c r="E2267" t="s">
        <v>825</v>
      </c>
      <c r="F2267" s="1">
        <v>46072.453530092593</v>
      </c>
      <c r="G2267" t="s">
        <v>826</v>
      </c>
      <c r="H2267" t="s">
        <v>356</v>
      </c>
      <c r="I2267" t="s">
        <v>9068</v>
      </c>
      <c r="J2267" t="s">
        <v>828</v>
      </c>
      <c r="K2267" t="s">
        <v>829</v>
      </c>
      <c r="M2267" t="s">
        <v>131</v>
      </c>
      <c r="O2267" t="s">
        <v>237</v>
      </c>
      <c r="P2267" t="s">
        <v>238</v>
      </c>
      <c r="Q2267" t="s">
        <v>50</v>
      </c>
      <c r="R2267" t="s">
        <v>51</v>
      </c>
      <c r="S2267" t="s">
        <v>831</v>
      </c>
      <c r="T2267" t="s">
        <v>829</v>
      </c>
      <c r="U2267" s="1">
        <v>46078.480567129627</v>
      </c>
      <c r="V2267" t="s">
        <v>54</v>
      </c>
      <c r="W2267" t="s">
        <v>55</v>
      </c>
      <c r="X2267" t="s">
        <v>134</v>
      </c>
      <c r="Y2267" t="s">
        <v>9069</v>
      </c>
      <c r="Z2267" t="s">
        <v>58</v>
      </c>
      <c r="AA2267" t="s">
        <v>54</v>
      </c>
      <c r="AB2267" t="s">
        <v>833</v>
      </c>
      <c r="AC2267" t="s">
        <v>242</v>
      </c>
      <c r="AD2267" t="s">
        <v>51</v>
      </c>
      <c r="AE2267" t="s">
        <v>834</v>
      </c>
      <c r="AF2267" t="s">
        <v>834</v>
      </c>
      <c r="AG2267" t="s">
        <v>58</v>
      </c>
      <c r="AH2267">
        <v>12697</v>
      </c>
      <c r="AK2267">
        <v>0</v>
      </c>
      <c r="AL2267" t="s">
        <v>61</v>
      </c>
      <c r="AM2267" t="s">
        <v>833</v>
      </c>
      <c r="AN2267" t="s">
        <v>835</v>
      </c>
    </row>
    <row r="2268" spans="1:40" x14ac:dyDescent="0.35">
      <c r="A2268" t="s">
        <v>37</v>
      </c>
      <c r="B2268" t="s">
        <v>9070</v>
      </c>
      <c r="C2268" t="s">
        <v>39</v>
      </c>
      <c r="D2268" t="s">
        <v>7588</v>
      </c>
      <c r="E2268" t="s">
        <v>7589</v>
      </c>
      <c r="F2268" s="1">
        <v>46072.451377314814</v>
      </c>
      <c r="G2268" t="s">
        <v>1217</v>
      </c>
      <c r="H2268" t="s">
        <v>92</v>
      </c>
      <c r="I2268" t="s">
        <v>205</v>
      </c>
      <c r="J2268" t="s">
        <v>7089</v>
      </c>
      <c r="K2268" t="s">
        <v>207</v>
      </c>
      <c r="M2268" t="s">
        <v>47</v>
      </c>
      <c r="O2268" t="s">
        <v>77</v>
      </c>
      <c r="P2268" t="s">
        <v>78</v>
      </c>
      <c r="Q2268" t="s">
        <v>7591</v>
      </c>
      <c r="R2268" t="s">
        <v>208</v>
      </c>
      <c r="S2268" t="s">
        <v>209</v>
      </c>
      <c r="T2268" t="s">
        <v>210</v>
      </c>
      <c r="U2268" s="1">
        <v>46072.474629629629</v>
      </c>
      <c r="V2268" t="s">
        <v>54</v>
      </c>
      <c r="W2268" t="s">
        <v>55</v>
      </c>
      <c r="X2268" t="s">
        <v>211</v>
      </c>
      <c r="Y2268" t="s">
        <v>9071</v>
      </c>
      <c r="Z2268" t="s">
        <v>5594</v>
      </c>
      <c r="AA2268" t="s">
        <v>54</v>
      </c>
      <c r="AB2268" t="s">
        <v>213</v>
      </c>
      <c r="AC2268" t="s">
        <v>85</v>
      </c>
      <c r="AD2268" t="s">
        <v>214</v>
      </c>
      <c r="AE2268" t="s">
        <v>215</v>
      </c>
      <c r="AF2268" t="s">
        <v>216</v>
      </c>
      <c r="AG2268" t="s">
        <v>5594</v>
      </c>
      <c r="AH2268">
        <v>13737</v>
      </c>
      <c r="AK2268">
        <v>1</v>
      </c>
      <c r="AL2268" t="s">
        <v>61</v>
      </c>
      <c r="AM2268" t="s">
        <v>7594</v>
      </c>
      <c r="AN2268" t="s">
        <v>7595</v>
      </c>
    </row>
    <row r="2269" spans="1:40" x14ac:dyDescent="0.35">
      <c r="A2269" t="s">
        <v>37</v>
      </c>
      <c r="B2269" t="s">
        <v>9072</v>
      </c>
      <c r="C2269" t="s">
        <v>39</v>
      </c>
      <c r="D2269" t="s">
        <v>7445</v>
      </c>
      <c r="E2269" t="s">
        <v>1316</v>
      </c>
      <c r="F2269" s="1">
        <v>46072.451458333337</v>
      </c>
      <c r="G2269" t="s">
        <v>286</v>
      </c>
      <c r="H2269" t="s">
        <v>287</v>
      </c>
      <c r="I2269" t="s">
        <v>9073</v>
      </c>
      <c r="J2269" t="s">
        <v>8674</v>
      </c>
      <c r="K2269" t="s">
        <v>7448</v>
      </c>
      <c r="M2269" t="s">
        <v>47</v>
      </c>
      <c r="O2269" t="s">
        <v>77</v>
      </c>
      <c r="P2269" t="s">
        <v>78</v>
      </c>
      <c r="Q2269" t="s">
        <v>50</v>
      </c>
      <c r="R2269" t="s">
        <v>51</v>
      </c>
      <c r="S2269" t="s">
        <v>52</v>
      </c>
      <c r="T2269" t="s">
        <v>240</v>
      </c>
      <c r="U2269" s="1">
        <v>46072.616076388891</v>
      </c>
      <c r="V2269" t="s">
        <v>54</v>
      </c>
      <c r="W2269" t="s">
        <v>55</v>
      </c>
      <c r="X2269" t="s">
        <v>113</v>
      </c>
      <c r="Y2269" t="s">
        <v>8675</v>
      </c>
      <c r="Z2269" t="s">
        <v>5594</v>
      </c>
      <c r="AA2269" t="s">
        <v>54</v>
      </c>
      <c r="AB2269" t="s">
        <v>8676</v>
      </c>
      <c r="AC2269" t="s">
        <v>85</v>
      </c>
      <c r="AD2269" t="s">
        <v>52</v>
      </c>
      <c r="AE2269" t="s">
        <v>243</v>
      </c>
      <c r="AF2269" t="s">
        <v>244</v>
      </c>
      <c r="AG2269" t="s">
        <v>5594</v>
      </c>
      <c r="AK2269">
        <v>0</v>
      </c>
      <c r="AL2269" t="s">
        <v>61</v>
      </c>
      <c r="AM2269" t="s">
        <v>7451</v>
      </c>
      <c r="AN2269" t="s">
        <v>7452</v>
      </c>
    </row>
    <row r="2270" spans="1:40" x14ac:dyDescent="0.35">
      <c r="A2270" t="s">
        <v>37</v>
      </c>
      <c r="B2270" t="s">
        <v>9074</v>
      </c>
      <c r="C2270" t="s">
        <v>39</v>
      </c>
      <c r="D2270" t="s">
        <v>5637</v>
      </c>
      <c r="E2270" t="s">
        <v>1146</v>
      </c>
      <c r="F2270" s="1">
        <v>46072.452222222222</v>
      </c>
      <c r="G2270" t="s">
        <v>855</v>
      </c>
      <c r="H2270" t="s">
        <v>447</v>
      </c>
      <c r="I2270" t="s">
        <v>9075</v>
      </c>
      <c r="J2270" t="s">
        <v>394</v>
      </c>
      <c r="K2270" t="s">
        <v>75</v>
      </c>
      <c r="M2270" t="s">
        <v>47</v>
      </c>
      <c r="O2270" t="s">
        <v>77</v>
      </c>
      <c r="P2270" t="s">
        <v>78</v>
      </c>
      <c r="Q2270" t="s">
        <v>50</v>
      </c>
      <c r="R2270" t="s">
        <v>79</v>
      </c>
      <c r="S2270" t="s">
        <v>967</v>
      </c>
      <c r="T2270" t="s">
        <v>1028</v>
      </c>
      <c r="U2270" s="1">
        <v>46072.453229166669</v>
      </c>
      <c r="V2270" t="s">
        <v>54</v>
      </c>
      <c r="W2270" t="s">
        <v>55</v>
      </c>
      <c r="X2270" t="s">
        <v>82</v>
      </c>
      <c r="Y2270" t="s">
        <v>9076</v>
      </c>
      <c r="Z2270" t="s">
        <v>5594</v>
      </c>
      <c r="AA2270" t="s">
        <v>54</v>
      </c>
      <c r="AB2270" t="s">
        <v>396</v>
      </c>
      <c r="AC2270" t="s">
        <v>85</v>
      </c>
      <c r="AD2270" t="s">
        <v>79</v>
      </c>
      <c r="AE2270" t="s">
        <v>967</v>
      </c>
      <c r="AF2270" t="s">
        <v>1028</v>
      </c>
      <c r="AG2270" t="s">
        <v>5594</v>
      </c>
      <c r="AH2270" t="s">
        <v>8976</v>
      </c>
      <c r="AK2270">
        <v>0</v>
      </c>
      <c r="AL2270" t="s">
        <v>61</v>
      </c>
      <c r="AM2270" t="s">
        <v>8977</v>
      </c>
      <c r="AN2270" t="s">
        <v>8978</v>
      </c>
    </row>
    <row r="2271" spans="1:40" x14ac:dyDescent="0.35">
      <c r="A2271" t="s">
        <v>37</v>
      </c>
      <c r="B2271" t="s">
        <v>9077</v>
      </c>
      <c r="C2271" t="s">
        <v>39</v>
      </c>
      <c r="D2271" t="s">
        <v>4122</v>
      </c>
      <c r="E2271" t="s">
        <v>9078</v>
      </c>
      <c r="F2271" s="1">
        <v>46072.450613425928</v>
      </c>
      <c r="G2271" t="s">
        <v>297</v>
      </c>
      <c r="H2271" t="s">
        <v>287</v>
      </c>
      <c r="I2271" t="s">
        <v>1422</v>
      </c>
      <c r="J2271" t="s">
        <v>9079</v>
      </c>
      <c r="K2271" t="s">
        <v>1424</v>
      </c>
      <c r="M2271" t="s">
        <v>47</v>
      </c>
      <c r="O2271" t="s">
        <v>77</v>
      </c>
      <c r="P2271" t="s">
        <v>78</v>
      </c>
      <c r="Q2271" t="s">
        <v>9080</v>
      </c>
      <c r="R2271" t="s">
        <v>305</v>
      </c>
      <c r="S2271" t="s">
        <v>306</v>
      </c>
      <c r="T2271" t="s">
        <v>307</v>
      </c>
      <c r="U2271" s="1">
        <v>46072.457905092589</v>
      </c>
      <c r="V2271" t="s">
        <v>54</v>
      </c>
      <c r="X2271" t="s">
        <v>211</v>
      </c>
      <c r="Y2271" t="s">
        <v>9081</v>
      </c>
      <c r="Z2271" t="s">
        <v>5594</v>
      </c>
      <c r="AA2271" t="s">
        <v>54</v>
      </c>
      <c r="AB2271" t="s">
        <v>213</v>
      </c>
      <c r="AC2271" t="s">
        <v>85</v>
      </c>
      <c r="AD2271" t="s">
        <v>305</v>
      </c>
      <c r="AE2271" t="s">
        <v>306</v>
      </c>
      <c r="AF2271" t="s">
        <v>307</v>
      </c>
      <c r="AG2271" t="s">
        <v>5594</v>
      </c>
      <c r="AH2271">
        <v>6732</v>
      </c>
      <c r="AK2271">
        <v>1</v>
      </c>
      <c r="AL2271" t="s">
        <v>61</v>
      </c>
      <c r="AM2271" t="s">
        <v>9082</v>
      </c>
      <c r="AN2271" t="s">
        <v>9083</v>
      </c>
    </row>
    <row r="2272" spans="1:40" x14ac:dyDescent="0.35">
      <c r="A2272" t="s">
        <v>37</v>
      </c>
      <c r="B2272" t="s">
        <v>9084</v>
      </c>
      <c r="C2272" t="s">
        <v>39</v>
      </c>
      <c r="D2272" t="s">
        <v>9085</v>
      </c>
      <c r="E2272" t="s">
        <v>9086</v>
      </c>
      <c r="F2272" s="1">
        <v>46072.451678240737</v>
      </c>
      <c r="G2272" t="s">
        <v>250</v>
      </c>
      <c r="H2272" t="s">
        <v>106</v>
      </c>
      <c r="I2272" t="s">
        <v>9087</v>
      </c>
      <c r="J2272" t="s">
        <v>8141</v>
      </c>
      <c r="K2272" t="s">
        <v>951</v>
      </c>
      <c r="M2272" t="s">
        <v>47</v>
      </c>
      <c r="O2272" t="s">
        <v>77</v>
      </c>
      <c r="P2272" t="s">
        <v>78</v>
      </c>
      <c r="Q2272" t="s">
        <v>9088</v>
      </c>
      <c r="R2272" t="s">
        <v>79</v>
      </c>
      <c r="S2272" t="s">
        <v>642</v>
      </c>
      <c r="T2272" t="s">
        <v>5069</v>
      </c>
      <c r="U2272" s="1">
        <v>46072.465405092589</v>
      </c>
      <c r="V2272" t="s">
        <v>54</v>
      </c>
      <c r="W2272" t="s">
        <v>55</v>
      </c>
      <c r="X2272" t="s">
        <v>134</v>
      </c>
      <c r="Y2272" t="s">
        <v>9089</v>
      </c>
      <c r="Z2272" t="s">
        <v>5594</v>
      </c>
      <c r="AA2272" t="s">
        <v>54</v>
      </c>
      <c r="AB2272" t="s">
        <v>458</v>
      </c>
      <c r="AC2272" t="s">
        <v>85</v>
      </c>
      <c r="AD2272" t="s">
        <v>79</v>
      </c>
      <c r="AE2272" t="s">
        <v>642</v>
      </c>
      <c r="AF2272" t="s">
        <v>5069</v>
      </c>
      <c r="AG2272" t="s">
        <v>5594</v>
      </c>
      <c r="AH2272">
        <v>6584</v>
      </c>
      <c r="AK2272">
        <v>1</v>
      </c>
      <c r="AL2272" t="s">
        <v>61</v>
      </c>
      <c r="AM2272" t="s">
        <v>9090</v>
      </c>
      <c r="AN2272" t="s">
        <v>9091</v>
      </c>
    </row>
    <row r="2273" spans="1:40" x14ac:dyDescent="0.35">
      <c r="A2273" t="s">
        <v>37</v>
      </c>
      <c r="B2273" t="s">
        <v>9092</v>
      </c>
      <c r="C2273" t="s">
        <v>39</v>
      </c>
      <c r="D2273" t="s">
        <v>1147</v>
      </c>
      <c r="E2273" t="s">
        <v>9093</v>
      </c>
      <c r="F2273" s="1">
        <v>46072.449293981481</v>
      </c>
      <c r="G2273" t="s">
        <v>105</v>
      </c>
      <c r="H2273" t="s">
        <v>106</v>
      </c>
      <c r="I2273" t="s">
        <v>205</v>
      </c>
      <c r="J2273" t="s">
        <v>7089</v>
      </c>
      <c r="K2273" t="s">
        <v>207</v>
      </c>
      <c r="M2273" t="s">
        <v>47</v>
      </c>
      <c r="O2273" t="s">
        <v>77</v>
      </c>
      <c r="P2273" t="s">
        <v>78</v>
      </c>
      <c r="R2273" t="s">
        <v>305</v>
      </c>
      <c r="S2273" t="s">
        <v>306</v>
      </c>
      <c r="T2273" t="s">
        <v>307</v>
      </c>
      <c r="U2273" s="1">
        <v>46072.534826388888</v>
      </c>
      <c r="V2273" t="s">
        <v>54</v>
      </c>
      <c r="W2273" t="s">
        <v>55</v>
      </c>
      <c r="X2273" t="s">
        <v>211</v>
      </c>
      <c r="Y2273" t="s">
        <v>9094</v>
      </c>
      <c r="Z2273" t="s">
        <v>5594</v>
      </c>
      <c r="AA2273" t="s">
        <v>54</v>
      </c>
      <c r="AB2273" t="s">
        <v>213</v>
      </c>
      <c r="AC2273" t="s">
        <v>85</v>
      </c>
      <c r="AD2273" t="s">
        <v>214</v>
      </c>
      <c r="AE2273" t="s">
        <v>215</v>
      </c>
      <c r="AF2273" t="s">
        <v>216</v>
      </c>
      <c r="AG2273" t="s">
        <v>5594</v>
      </c>
      <c r="AH2273">
        <v>15006</v>
      </c>
      <c r="AK2273">
        <v>3</v>
      </c>
      <c r="AL2273" t="s">
        <v>61</v>
      </c>
      <c r="AM2273" t="s">
        <v>9095</v>
      </c>
      <c r="AN2273" t="s">
        <v>9096</v>
      </c>
    </row>
    <row r="2274" spans="1:40" x14ac:dyDescent="0.35">
      <c r="A2274" t="s">
        <v>37</v>
      </c>
      <c r="B2274" t="s">
        <v>9097</v>
      </c>
      <c r="C2274" t="s">
        <v>102</v>
      </c>
      <c r="D2274" t="s">
        <v>1055</v>
      </c>
      <c r="E2274" t="s">
        <v>1056</v>
      </c>
      <c r="F2274" s="1">
        <v>46072.454247685186</v>
      </c>
      <c r="G2274" t="s">
        <v>355</v>
      </c>
      <c r="H2274" t="s">
        <v>356</v>
      </c>
      <c r="I2274" t="s">
        <v>9098</v>
      </c>
      <c r="J2274" t="s">
        <v>695</v>
      </c>
      <c r="K2274" t="s">
        <v>75</v>
      </c>
      <c r="M2274" t="s">
        <v>76</v>
      </c>
      <c r="O2274" t="s">
        <v>237</v>
      </c>
      <c r="P2274" t="s">
        <v>238</v>
      </c>
      <c r="Q2274" t="s">
        <v>50</v>
      </c>
      <c r="R2274" t="s">
        <v>79</v>
      </c>
      <c r="S2274" t="s">
        <v>781</v>
      </c>
      <c r="T2274" t="s">
        <v>782</v>
      </c>
      <c r="U2274" s="1">
        <v>46077.46125</v>
      </c>
      <c r="V2274" t="s">
        <v>54</v>
      </c>
      <c r="W2274" t="s">
        <v>55</v>
      </c>
      <c r="X2274" t="s">
        <v>82</v>
      </c>
      <c r="Y2274" t="s">
        <v>9099</v>
      </c>
      <c r="Z2274" t="s">
        <v>58</v>
      </c>
      <c r="AA2274" t="s">
        <v>54</v>
      </c>
      <c r="AB2274" t="s">
        <v>698</v>
      </c>
      <c r="AC2274" t="s">
        <v>242</v>
      </c>
      <c r="AD2274" t="s">
        <v>79</v>
      </c>
      <c r="AE2274" t="s">
        <v>784</v>
      </c>
      <c r="AF2274" t="s">
        <v>785</v>
      </c>
      <c r="AG2274" t="s">
        <v>58</v>
      </c>
      <c r="AH2274" t="s">
        <v>1060</v>
      </c>
      <c r="AK2274">
        <v>2</v>
      </c>
      <c r="AL2274" t="s">
        <v>61</v>
      </c>
      <c r="AM2274" t="s">
        <v>1061</v>
      </c>
      <c r="AN2274" t="s">
        <v>1062</v>
      </c>
    </row>
    <row r="2275" spans="1:40" x14ac:dyDescent="0.35">
      <c r="A2275" t="s">
        <v>37</v>
      </c>
      <c r="B2275" t="s">
        <v>9100</v>
      </c>
      <c r="C2275" t="s">
        <v>102</v>
      </c>
      <c r="D2275" t="s">
        <v>1698</v>
      </c>
      <c r="E2275" t="s">
        <v>584</v>
      </c>
      <c r="F2275" s="1">
        <v>46072.448761574073</v>
      </c>
      <c r="G2275" t="s">
        <v>105</v>
      </c>
      <c r="H2275" t="s">
        <v>106</v>
      </c>
      <c r="I2275" t="s">
        <v>8861</v>
      </c>
      <c r="J2275" t="s">
        <v>108</v>
      </c>
      <c r="K2275" t="s">
        <v>109</v>
      </c>
      <c r="M2275" t="s">
        <v>47</v>
      </c>
      <c r="O2275" t="s">
        <v>77</v>
      </c>
      <c r="P2275" t="s">
        <v>78</v>
      </c>
      <c r="Q2275" t="s">
        <v>50</v>
      </c>
      <c r="R2275" t="s">
        <v>111</v>
      </c>
      <c r="S2275" t="s">
        <v>51</v>
      </c>
      <c r="T2275" t="s">
        <v>1583</v>
      </c>
      <c r="U2275" s="1">
        <v>46072.718912037039</v>
      </c>
      <c r="V2275" t="s">
        <v>54</v>
      </c>
      <c r="W2275" t="s">
        <v>1584</v>
      </c>
      <c r="X2275" t="s">
        <v>134</v>
      </c>
      <c r="Y2275" t="s">
        <v>9101</v>
      </c>
      <c r="Z2275" t="s">
        <v>5594</v>
      </c>
      <c r="AA2275" t="s">
        <v>54</v>
      </c>
      <c r="AB2275" t="s">
        <v>1701</v>
      </c>
      <c r="AC2275" t="s">
        <v>85</v>
      </c>
      <c r="AD2275" t="s">
        <v>116</v>
      </c>
      <c r="AE2275" t="s">
        <v>1586</v>
      </c>
      <c r="AF2275" t="s">
        <v>5119</v>
      </c>
      <c r="AG2275" t="s">
        <v>5594</v>
      </c>
      <c r="AK2275">
        <v>1</v>
      </c>
      <c r="AL2275" t="s">
        <v>61</v>
      </c>
      <c r="AM2275" t="s">
        <v>1701</v>
      </c>
      <c r="AN2275" t="s">
        <v>1702</v>
      </c>
    </row>
    <row r="2276" spans="1:40" x14ac:dyDescent="0.35">
      <c r="A2276" t="s">
        <v>37</v>
      </c>
      <c r="B2276" t="s">
        <v>9102</v>
      </c>
      <c r="C2276" t="s">
        <v>102</v>
      </c>
      <c r="D2276" t="s">
        <v>824</v>
      </c>
      <c r="E2276" t="s">
        <v>825</v>
      </c>
      <c r="F2276" s="1">
        <v>46072.45171296296</v>
      </c>
      <c r="G2276" t="s">
        <v>826</v>
      </c>
      <c r="H2276" t="s">
        <v>356</v>
      </c>
      <c r="I2276" t="s">
        <v>9103</v>
      </c>
      <c r="J2276" t="s">
        <v>828</v>
      </c>
      <c r="K2276" t="s">
        <v>829</v>
      </c>
      <c r="M2276" t="s">
        <v>131</v>
      </c>
      <c r="O2276" t="s">
        <v>237</v>
      </c>
      <c r="P2276" t="s">
        <v>238</v>
      </c>
      <c r="Q2276" t="s">
        <v>50</v>
      </c>
      <c r="R2276" t="s">
        <v>51</v>
      </c>
      <c r="S2276" t="s">
        <v>831</v>
      </c>
      <c r="T2276" t="s">
        <v>829</v>
      </c>
      <c r="U2276" s="1">
        <v>46076.382939814815</v>
      </c>
      <c r="V2276" t="s">
        <v>54</v>
      </c>
      <c r="W2276" t="s">
        <v>55</v>
      </c>
      <c r="X2276" t="s">
        <v>134</v>
      </c>
      <c r="Y2276" t="s">
        <v>9104</v>
      </c>
      <c r="Z2276" t="s">
        <v>58</v>
      </c>
      <c r="AA2276" t="s">
        <v>54</v>
      </c>
      <c r="AB2276" t="s">
        <v>833</v>
      </c>
      <c r="AC2276" t="s">
        <v>242</v>
      </c>
      <c r="AD2276" t="s">
        <v>51</v>
      </c>
      <c r="AE2276" t="s">
        <v>834</v>
      </c>
      <c r="AF2276" t="s">
        <v>834</v>
      </c>
      <c r="AG2276" t="s">
        <v>58</v>
      </c>
      <c r="AH2276">
        <v>12697</v>
      </c>
      <c r="AK2276">
        <v>0</v>
      </c>
      <c r="AL2276" t="s">
        <v>61</v>
      </c>
      <c r="AM2276" t="s">
        <v>833</v>
      </c>
      <c r="AN2276" t="s">
        <v>835</v>
      </c>
    </row>
    <row r="2277" spans="1:40" x14ac:dyDescent="0.35">
      <c r="A2277" t="s">
        <v>37</v>
      </c>
      <c r="B2277" t="s">
        <v>9105</v>
      </c>
      <c r="C2277" t="s">
        <v>39</v>
      </c>
      <c r="D2277" t="s">
        <v>713</v>
      </c>
      <c r="E2277" t="s">
        <v>714</v>
      </c>
      <c r="F2277" s="1">
        <v>46072.449791666666</v>
      </c>
      <c r="G2277" t="s">
        <v>688</v>
      </c>
      <c r="H2277" t="s">
        <v>106</v>
      </c>
      <c r="I2277" t="s">
        <v>9106</v>
      </c>
      <c r="J2277" t="s">
        <v>3423</v>
      </c>
      <c r="K2277" t="s">
        <v>75</v>
      </c>
      <c r="M2277" t="s">
        <v>47</v>
      </c>
      <c r="O2277" t="s">
        <v>77</v>
      </c>
      <c r="P2277" t="s">
        <v>78</v>
      </c>
      <c r="Q2277" t="s">
        <v>50</v>
      </c>
      <c r="R2277" t="s">
        <v>79</v>
      </c>
      <c r="S2277" t="s">
        <v>80</v>
      </c>
      <c r="T2277" t="s">
        <v>81</v>
      </c>
      <c r="U2277" s="1">
        <v>46072.457175925927</v>
      </c>
      <c r="V2277" t="s">
        <v>54</v>
      </c>
      <c r="W2277" t="s">
        <v>55</v>
      </c>
      <c r="X2277" t="s">
        <v>82</v>
      </c>
      <c r="Y2277" t="s">
        <v>3621</v>
      </c>
      <c r="Z2277" t="s">
        <v>5594</v>
      </c>
      <c r="AA2277" t="s">
        <v>54</v>
      </c>
      <c r="AB2277" t="s">
        <v>3425</v>
      </c>
      <c r="AC2277" t="s">
        <v>85</v>
      </c>
      <c r="AD2277" t="s">
        <v>79</v>
      </c>
      <c r="AE2277" t="s">
        <v>80</v>
      </c>
      <c r="AF2277" t="s">
        <v>81</v>
      </c>
      <c r="AG2277" t="s">
        <v>5594</v>
      </c>
      <c r="AH2277">
        <v>12597</v>
      </c>
      <c r="AK2277">
        <v>0</v>
      </c>
      <c r="AL2277" t="s">
        <v>61</v>
      </c>
      <c r="AM2277" t="s">
        <v>717</v>
      </c>
      <c r="AN2277" t="s">
        <v>718</v>
      </c>
    </row>
    <row r="2278" spans="1:40" x14ac:dyDescent="0.35">
      <c r="A2278" t="s">
        <v>37</v>
      </c>
      <c r="B2278" t="s">
        <v>9107</v>
      </c>
      <c r="C2278" t="s">
        <v>39</v>
      </c>
      <c r="D2278" t="s">
        <v>5437</v>
      </c>
      <c r="E2278" t="s">
        <v>757</v>
      </c>
      <c r="F2278" s="1">
        <v>46072.446979166663</v>
      </c>
      <c r="G2278" t="s">
        <v>105</v>
      </c>
      <c r="H2278" t="s">
        <v>106</v>
      </c>
      <c r="I2278" t="s">
        <v>205</v>
      </c>
      <c r="J2278" t="s">
        <v>741</v>
      </c>
      <c r="K2278" t="s">
        <v>207</v>
      </c>
      <c r="M2278" t="s">
        <v>47</v>
      </c>
      <c r="O2278" t="s">
        <v>77</v>
      </c>
      <c r="P2278" t="s">
        <v>78</v>
      </c>
      <c r="Q2278" t="s">
        <v>50</v>
      </c>
      <c r="R2278" t="s">
        <v>305</v>
      </c>
      <c r="S2278" t="s">
        <v>306</v>
      </c>
      <c r="T2278" t="s">
        <v>307</v>
      </c>
      <c r="U2278" s="1">
        <v>46072.518831018519</v>
      </c>
      <c r="V2278" t="s">
        <v>54</v>
      </c>
      <c r="W2278" t="s">
        <v>55</v>
      </c>
      <c r="X2278" t="s">
        <v>211</v>
      </c>
      <c r="Y2278" t="s">
        <v>9094</v>
      </c>
      <c r="Z2278" t="s">
        <v>5594</v>
      </c>
      <c r="AA2278" t="s">
        <v>54</v>
      </c>
      <c r="AB2278" t="s">
        <v>213</v>
      </c>
      <c r="AC2278" t="s">
        <v>85</v>
      </c>
      <c r="AD2278" t="s">
        <v>214</v>
      </c>
      <c r="AE2278" t="s">
        <v>215</v>
      </c>
      <c r="AF2278" t="s">
        <v>216</v>
      </c>
      <c r="AG2278" t="s">
        <v>5594</v>
      </c>
      <c r="AH2278">
        <v>14657</v>
      </c>
      <c r="AK2278">
        <v>2</v>
      </c>
      <c r="AL2278" t="s">
        <v>61</v>
      </c>
      <c r="AM2278" t="s">
        <v>9108</v>
      </c>
      <c r="AN2278" t="s">
        <v>9109</v>
      </c>
    </row>
    <row r="2279" spans="1:40" x14ac:dyDescent="0.35">
      <c r="A2279" t="s">
        <v>37</v>
      </c>
      <c r="B2279" t="s">
        <v>9110</v>
      </c>
      <c r="C2279" t="s">
        <v>39</v>
      </c>
      <c r="D2279" t="s">
        <v>8962</v>
      </c>
      <c r="E2279" t="s">
        <v>513</v>
      </c>
      <c r="F2279" s="1">
        <v>46072.451168981483</v>
      </c>
      <c r="G2279" t="s">
        <v>3396</v>
      </c>
      <c r="H2279" t="s">
        <v>106</v>
      </c>
      <c r="I2279" t="s">
        <v>3679</v>
      </c>
      <c r="J2279" t="s">
        <v>8166</v>
      </c>
      <c r="K2279" t="s">
        <v>3681</v>
      </c>
      <c r="M2279" t="s">
        <v>47</v>
      </c>
      <c r="O2279" t="s">
        <v>77</v>
      </c>
      <c r="P2279" t="s">
        <v>78</v>
      </c>
      <c r="Q2279" t="s">
        <v>2169</v>
      </c>
      <c r="R2279" t="s">
        <v>51</v>
      </c>
      <c r="S2279" t="s">
        <v>52</v>
      </c>
      <c r="T2279" t="s">
        <v>240</v>
      </c>
      <c r="U2279" s="1">
        <v>46073.514999999999</v>
      </c>
      <c r="V2279" t="s">
        <v>54</v>
      </c>
      <c r="W2279" t="s">
        <v>55</v>
      </c>
      <c r="X2279" t="s">
        <v>134</v>
      </c>
      <c r="Y2279" t="s">
        <v>9111</v>
      </c>
      <c r="Z2279" t="s">
        <v>5594</v>
      </c>
      <c r="AA2279" t="s">
        <v>54</v>
      </c>
      <c r="AB2279" t="s">
        <v>612</v>
      </c>
      <c r="AC2279" t="s">
        <v>85</v>
      </c>
      <c r="AD2279" t="s">
        <v>52</v>
      </c>
      <c r="AE2279" t="s">
        <v>243</v>
      </c>
      <c r="AF2279" t="s">
        <v>1470</v>
      </c>
      <c r="AG2279" t="s">
        <v>5594</v>
      </c>
      <c r="AH2279">
        <v>7112</v>
      </c>
      <c r="AK2279">
        <v>1</v>
      </c>
      <c r="AL2279" t="s">
        <v>61</v>
      </c>
      <c r="AM2279" t="s">
        <v>8964</v>
      </c>
      <c r="AN2279" t="s">
        <v>8965</v>
      </c>
    </row>
    <row r="2280" spans="1:40" x14ac:dyDescent="0.35">
      <c r="A2280" t="s">
        <v>37</v>
      </c>
      <c r="B2280" t="s">
        <v>9112</v>
      </c>
      <c r="C2280" t="s">
        <v>39</v>
      </c>
      <c r="D2280" t="s">
        <v>481</v>
      </c>
      <c r="E2280" t="s">
        <v>4373</v>
      </c>
      <c r="F2280" s="1">
        <v>46072.446585648147</v>
      </c>
      <c r="G2280" t="s">
        <v>4421</v>
      </c>
      <c r="H2280" t="s">
        <v>92</v>
      </c>
      <c r="I2280" t="s">
        <v>9113</v>
      </c>
      <c r="J2280" t="s">
        <v>404</v>
      </c>
      <c r="K2280" t="s">
        <v>405</v>
      </c>
      <c r="M2280" t="s">
        <v>76</v>
      </c>
      <c r="O2280" t="s">
        <v>77</v>
      </c>
      <c r="P2280" t="s">
        <v>78</v>
      </c>
      <c r="Q2280" t="s">
        <v>50</v>
      </c>
      <c r="R2280" t="s">
        <v>51</v>
      </c>
      <c r="S2280" t="s">
        <v>52</v>
      </c>
      <c r="T2280" t="s">
        <v>240</v>
      </c>
      <c r="U2280" s="1">
        <v>46077.361967592595</v>
      </c>
      <c r="V2280" t="s">
        <v>54</v>
      </c>
      <c r="W2280" t="s">
        <v>55</v>
      </c>
      <c r="X2280" t="s">
        <v>134</v>
      </c>
      <c r="Y2280" t="s">
        <v>9114</v>
      </c>
      <c r="Z2280" t="s">
        <v>58</v>
      </c>
      <c r="AA2280" t="s">
        <v>54</v>
      </c>
      <c r="AB2280" t="s">
        <v>612</v>
      </c>
      <c r="AC2280" t="s">
        <v>85</v>
      </c>
      <c r="AD2280" t="s">
        <v>52</v>
      </c>
      <c r="AE2280" t="s">
        <v>438</v>
      </c>
      <c r="AF2280" t="s">
        <v>775</v>
      </c>
      <c r="AG2280" t="s">
        <v>58</v>
      </c>
      <c r="AH2280">
        <v>15915</v>
      </c>
      <c r="AK2280">
        <v>1</v>
      </c>
      <c r="AL2280" t="s">
        <v>61</v>
      </c>
      <c r="AM2280" t="s">
        <v>4438</v>
      </c>
      <c r="AN2280" t="s">
        <v>4439</v>
      </c>
    </row>
    <row r="2281" spans="1:40" x14ac:dyDescent="0.35">
      <c r="A2281" t="s">
        <v>37</v>
      </c>
      <c r="B2281" t="s">
        <v>9115</v>
      </c>
      <c r="C2281" t="s">
        <v>39</v>
      </c>
      <c r="D2281" t="s">
        <v>4330</v>
      </c>
      <c r="E2281" t="s">
        <v>321</v>
      </c>
      <c r="F2281" s="1">
        <v>46072.445289351854</v>
      </c>
      <c r="G2281" t="s">
        <v>42</v>
      </c>
      <c r="H2281" t="s">
        <v>43</v>
      </c>
      <c r="I2281" t="s">
        <v>1185</v>
      </c>
      <c r="J2281" t="s">
        <v>2406</v>
      </c>
      <c r="K2281" t="s">
        <v>1187</v>
      </c>
      <c r="M2281" t="s">
        <v>131</v>
      </c>
      <c r="O2281" t="s">
        <v>77</v>
      </c>
      <c r="P2281" t="s">
        <v>78</v>
      </c>
      <c r="Q2281" t="s">
        <v>50</v>
      </c>
      <c r="R2281" t="s">
        <v>305</v>
      </c>
      <c r="S2281" t="s">
        <v>306</v>
      </c>
      <c r="T2281" t="s">
        <v>307</v>
      </c>
      <c r="U2281" s="1">
        <v>46076.649224537039</v>
      </c>
      <c r="V2281" t="s">
        <v>54</v>
      </c>
      <c r="W2281" t="s">
        <v>55</v>
      </c>
      <c r="X2281" t="s">
        <v>211</v>
      </c>
      <c r="Y2281" t="s">
        <v>9116</v>
      </c>
      <c r="Z2281" t="s">
        <v>58</v>
      </c>
      <c r="AA2281" t="s">
        <v>54</v>
      </c>
      <c r="AB2281" t="s">
        <v>213</v>
      </c>
      <c r="AC2281" t="s">
        <v>85</v>
      </c>
      <c r="AD2281" t="s">
        <v>1189</v>
      </c>
      <c r="AE2281" t="s">
        <v>1190</v>
      </c>
      <c r="AF2281" t="s">
        <v>1191</v>
      </c>
      <c r="AG2281" t="s">
        <v>58</v>
      </c>
      <c r="AH2281">
        <v>15376</v>
      </c>
      <c r="AK2281">
        <v>3</v>
      </c>
      <c r="AL2281" t="s">
        <v>61</v>
      </c>
      <c r="AM2281" t="s">
        <v>4332</v>
      </c>
      <c r="AN2281" t="s">
        <v>4333</v>
      </c>
    </row>
    <row r="2282" spans="1:40" x14ac:dyDescent="0.35">
      <c r="A2282" t="s">
        <v>37</v>
      </c>
      <c r="B2282" t="s">
        <v>9117</v>
      </c>
      <c r="C2282" t="s">
        <v>656</v>
      </c>
      <c r="D2282" t="s">
        <v>9118</v>
      </c>
      <c r="E2282" t="s">
        <v>9119</v>
      </c>
      <c r="F2282" s="1">
        <v>46072.444606481484</v>
      </c>
      <c r="G2282" t="s">
        <v>286</v>
      </c>
      <c r="H2282" t="s">
        <v>287</v>
      </c>
      <c r="I2282" t="s">
        <v>3776</v>
      </c>
      <c r="J2282" t="s">
        <v>2550</v>
      </c>
      <c r="K2282" t="s">
        <v>2551</v>
      </c>
      <c r="M2282" t="s">
        <v>131</v>
      </c>
      <c r="O2282" t="s">
        <v>77</v>
      </c>
      <c r="P2282" t="s">
        <v>78</v>
      </c>
      <c r="Q2282" t="s">
        <v>50</v>
      </c>
      <c r="R2282" t="s">
        <v>208</v>
      </c>
      <c r="S2282" t="s">
        <v>209</v>
      </c>
      <c r="T2282" t="s">
        <v>3776</v>
      </c>
      <c r="U2282" s="1">
        <v>46076.543217592596</v>
      </c>
      <c r="V2282" t="s">
        <v>54</v>
      </c>
      <c r="W2282" t="s">
        <v>55</v>
      </c>
      <c r="X2282" t="s">
        <v>134</v>
      </c>
      <c r="Y2282" t="s">
        <v>3777</v>
      </c>
      <c r="Z2282" t="s">
        <v>58</v>
      </c>
      <c r="AA2282" t="s">
        <v>54</v>
      </c>
      <c r="AB2282" t="s">
        <v>612</v>
      </c>
      <c r="AC2282" t="s">
        <v>85</v>
      </c>
      <c r="AD2282" t="s">
        <v>208</v>
      </c>
      <c r="AE2282" t="s">
        <v>209</v>
      </c>
      <c r="AF2282" t="s">
        <v>3776</v>
      </c>
      <c r="AG2282" t="s">
        <v>58</v>
      </c>
      <c r="AH2282" t="s">
        <v>9120</v>
      </c>
      <c r="AK2282">
        <v>2</v>
      </c>
      <c r="AL2282" t="s">
        <v>61</v>
      </c>
      <c r="AM2282" t="s">
        <v>9121</v>
      </c>
      <c r="AN2282" t="s">
        <v>9122</v>
      </c>
    </row>
    <row r="2283" spans="1:40" x14ac:dyDescent="0.35">
      <c r="A2283" t="s">
        <v>37</v>
      </c>
      <c r="B2283" t="s">
        <v>9123</v>
      </c>
      <c r="C2283" t="s">
        <v>39</v>
      </c>
      <c r="D2283" t="s">
        <v>444</v>
      </c>
      <c r="E2283" t="s">
        <v>90</v>
      </c>
      <c r="F2283" s="1">
        <v>46072.442210648151</v>
      </c>
      <c r="G2283" t="s">
        <v>793</v>
      </c>
      <c r="H2283" t="s">
        <v>356</v>
      </c>
      <c r="I2283" t="s">
        <v>9124</v>
      </c>
      <c r="J2283" t="s">
        <v>1833</v>
      </c>
      <c r="K2283" t="s">
        <v>1834</v>
      </c>
      <c r="M2283" t="s">
        <v>47</v>
      </c>
      <c r="O2283" t="s">
        <v>237</v>
      </c>
      <c r="P2283" t="s">
        <v>238</v>
      </c>
      <c r="Q2283" t="s">
        <v>50</v>
      </c>
      <c r="R2283" t="s">
        <v>51</v>
      </c>
      <c r="S2283" t="s">
        <v>52</v>
      </c>
      <c r="T2283" t="s">
        <v>240</v>
      </c>
      <c r="U2283" s="1">
        <v>46073.37736111111</v>
      </c>
      <c r="V2283" t="s">
        <v>54</v>
      </c>
      <c r="W2283" t="s">
        <v>55</v>
      </c>
      <c r="X2283" t="s">
        <v>211</v>
      </c>
      <c r="Y2283" t="s">
        <v>9125</v>
      </c>
      <c r="Z2283" t="s">
        <v>5594</v>
      </c>
      <c r="AA2283" t="s">
        <v>54</v>
      </c>
      <c r="AB2283" t="s">
        <v>213</v>
      </c>
      <c r="AC2283" t="s">
        <v>242</v>
      </c>
      <c r="AD2283" t="s">
        <v>52</v>
      </c>
      <c r="AE2283" t="s">
        <v>243</v>
      </c>
      <c r="AF2283" t="s">
        <v>1470</v>
      </c>
      <c r="AG2283" t="s">
        <v>5594</v>
      </c>
      <c r="AH2283">
        <v>14495</v>
      </c>
      <c r="AK2283">
        <v>1</v>
      </c>
      <c r="AL2283" t="s">
        <v>61</v>
      </c>
      <c r="AM2283" t="s">
        <v>6472</v>
      </c>
      <c r="AN2283" t="s">
        <v>6473</v>
      </c>
    </row>
    <row r="2284" spans="1:40" x14ac:dyDescent="0.35">
      <c r="A2284" t="s">
        <v>37</v>
      </c>
      <c r="B2284" t="s">
        <v>9126</v>
      </c>
      <c r="C2284" t="s">
        <v>39</v>
      </c>
      <c r="D2284" t="s">
        <v>5637</v>
      </c>
      <c r="E2284" t="s">
        <v>1146</v>
      </c>
      <c r="F2284" s="1">
        <v>46072.441631944443</v>
      </c>
      <c r="G2284" t="s">
        <v>855</v>
      </c>
      <c r="H2284" t="s">
        <v>447</v>
      </c>
      <c r="I2284" t="s">
        <v>1196</v>
      </c>
      <c r="J2284" t="s">
        <v>394</v>
      </c>
      <c r="K2284" t="s">
        <v>75</v>
      </c>
      <c r="M2284" t="s">
        <v>47</v>
      </c>
      <c r="O2284" t="s">
        <v>77</v>
      </c>
      <c r="P2284" t="s">
        <v>78</v>
      </c>
      <c r="Q2284" t="s">
        <v>50</v>
      </c>
      <c r="R2284" t="s">
        <v>79</v>
      </c>
      <c r="S2284" t="s">
        <v>1078</v>
      </c>
      <c r="T2284" t="s">
        <v>1078</v>
      </c>
      <c r="U2284" s="1">
        <v>46072.442187499997</v>
      </c>
      <c r="V2284" t="s">
        <v>54</v>
      </c>
      <c r="W2284" t="s">
        <v>55</v>
      </c>
      <c r="X2284" t="s">
        <v>82</v>
      </c>
      <c r="Y2284" t="s">
        <v>1197</v>
      </c>
      <c r="Z2284" t="s">
        <v>5594</v>
      </c>
      <c r="AA2284" t="s">
        <v>54</v>
      </c>
      <c r="AB2284" t="s">
        <v>396</v>
      </c>
      <c r="AC2284" t="s">
        <v>85</v>
      </c>
      <c r="AD2284" t="s">
        <v>79</v>
      </c>
      <c r="AE2284" t="s">
        <v>1078</v>
      </c>
      <c r="AF2284" t="s">
        <v>1078</v>
      </c>
      <c r="AG2284" t="s">
        <v>5594</v>
      </c>
      <c r="AH2284" t="s">
        <v>8976</v>
      </c>
      <c r="AK2284">
        <v>0</v>
      </c>
      <c r="AL2284" t="s">
        <v>61</v>
      </c>
      <c r="AM2284" t="s">
        <v>8977</v>
      </c>
      <c r="AN2284" t="s">
        <v>8978</v>
      </c>
    </row>
    <row r="2285" spans="1:40" x14ac:dyDescent="0.35">
      <c r="A2285" t="s">
        <v>37</v>
      </c>
      <c r="B2285" t="s">
        <v>9127</v>
      </c>
      <c r="C2285" t="s">
        <v>39</v>
      </c>
      <c r="D2285" t="s">
        <v>9128</v>
      </c>
      <c r="E2285" t="s">
        <v>9129</v>
      </c>
      <c r="F2285" s="1">
        <v>46072.441284722219</v>
      </c>
      <c r="G2285" t="s">
        <v>355</v>
      </c>
      <c r="H2285" t="s">
        <v>356</v>
      </c>
      <c r="I2285" t="s">
        <v>9130</v>
      </c>
      <c r="J2285" t="s">
        <v>1823</v>
      </c>
      <c r="K2285" t="s">
        <v>1824</v>
      </c>
      <c r="M2285" t="s">
        <v>47</v>
      </c>
      <c r="O2285" t="s">
        <v>77</v>
      </c>
      <c r="P2285" t="s">
        <v>78</v>
      </c>
      <c r="Q2285" t="s">
        <v>50</v>
      </c>
      <c r="R2285" t="s">
        <v>51</v>
      </c>
      <c r="S2285" t="s">
        <v>52</v>
      </c>
      <c r="T2285" t="s">
        <v>240</v>
      </c>
      <c r="U2285" s="1">
        <v>46072.48810185185</v>
      </c>
      <c r="V2285" t="s">
        <v>54</v>
      </c>
      <c r="W2285" t="s">
        <v>55</v>
      </c>
      <c r="X2285" t="s">
        <v>113</v>
      </c>
      <c r="Y2285" t="s">
        <v>9131</v>
      </c>
      <c r="Z2285" t="s">
        <v>5594</v>
      </c>
      <c r="AA2285" t="s">
        <v>54</v>
      </c>
      <c r="AB2285" t="s">
        <v>1826</v>
      </c>
      <c r="AC2285" t="s">
        <v>85</v>
      </c>
      <c r="AD2285" t="s">
        <v>52</v>
      </c>
      <c r="AE2285" t="s">
        <v>967</v>
      </c>
      <c r="AF2285" t="s">
        <v>9132</v>
      </c>
      <c r="AG2285" t="s">
        <v>5594</v>
      </c>
      <c r="AH2285">
        <v>12896</v>
      </c>
      <c r="AK2285">
        <v>0</v>
      </c>
      <c r="AL2285" t="s">
        <v>61</v>
      </c>
      <c r="AM2285" t="s">
        <v>9133</v>
      </c>
      <c r="AN2285" t="s">
        <v>9134</v>
      </c>
    </row>
    <row r="2286" spans="1:40" x14ac:dyDescent="0.35">
      <c r="A2286" t="s">
        <v>37</v>
      </c>
      <c r="B2286" t="s">
        <v>9135</v>
      </c>
      <c r="C2286" t="s">
        <v>39</v>
      </c>
      <c r="D2286" t="s">
        <v>799</v>
      </c>
      <c r="E2286" t="s">
        <v>9136</v>
      </c>
      <c r="F2286" s="1">
        <v>46072.453217592592</v>
      </c>
      <c r="G2286" t="s">
        <v>402</v>
      </c>
      <c r="H2286" t="s">
        <v>72</v>
      </c>
      <c r="I2286" t="s">
        <v>9137</v>
      </c>
      <c r="J2286" t="s">
        <v>1518</v>
      </c>
      <c r="K2286" t="s">
        <v>75</v>
      </c>
      <c r="M2286" t="s">
        <v>47</v>
      </c>
      <c r="O2286" t="s">
        <v>77</v>
      </c>
      <c r="P2286" t="s">
        <v>78</v>
      </c>
      <c r="Q2286" t="s">
        <v>50</v>
      </c>
      <c r="R2286" t="s">
        <v>79</v>
      </c>
      <c r="S2286" t="s">
        <v>80</v>
      </c>
      <c r="T2286" t="s">
        <v>81</v>
      </c>
      <c r="U2286" s="1">
        <v>46072.573587962965</v>
      </c>
      <c r="V2286" t="s">
        <v>54</v>
      </c>
      <c r="W2286" t="s">
        <v>55</v>
      </c>
      <c r="X2286" t="s">
        <v>82</v>
      </c>
      <c r="Y2286" t="s">
        <v>9138</v>
      </c>
      <c r="Z2286" t="s">
        <v>5594</v>
      </c>
      <c r="AA2286" t="s">
        <v>54</v>
      </c>
      <c r="AB2286" t="s">
        <v>1503</v>
      </c>
      <c r="AC2286" t="s">
        <v>85</v>
      </c>
      <c r="AD2286" t="s">
        <v>79</v>
      </c>
      <c r="AE2286" t="s">
        <v>80</v>
      </c>
      <c r="AF2286" t="s">
        <v>81</v>
      </c>
      <c r="AG2286" t="s">
        <v>5594</v>
      </c>
      <c r="AH2286">
        <v>11949</v>
      </c>
      <c r="AK2286">
        <v>0</v>
      </c>
      <c r="AL2286" t="s">
        <v>61</v>
      </c>
      <c r="AM2286" t="s">
        <v>9139</v>
      </c>
      <c r="AN2286" t="s">
        <v>9140</v>
      </c>
    </row>
    <row r="2287" spans="1:40" x14ac:dyDescent="0.35">
      <c r="A2287" t="s">
        <v>37</v>
      </c>
      <c r="B2287" t="s">
        <v>9141</v>
      </c>
      <c r="C2287" t="s">
        <v>102</v>
      </c>
      <c r="D2287" t="s">
        <v>5192</v>
      </c>
      <c r="E2287" t="s">
        <v>3482</v>
      </c>
      <c r="F2287" s="1">
        <v>46072.437789351854</v>
      </c>
      <c r="G2287" t="s">
        <v>204</v>
      </c>
      <c r="H2287" t="s">
        <v>92</v>
      </c>
      <c r="I2287" t="s">
        <v>9142</v>
      </c>
      <c r="J2287" t="s">
        <v>1454</v>
      </c>
      <c r="K2287" t="s">
        <v>75</v>
      </c>
      <c r="M2287" t="s">
        <v>47</v>
      </c>
      <c r="O2287" t="s">
        <v>237</v>
      </c>
      <c r="P2287" t="s">
        <v>238</v>
      </c>
      <c r="Q2287" t="s">
        <v>50</v>
      </c>
      <c r="R2287" t="s">
        <v>79</v>
      </c>
      <c r="S2287" t="s">
        <v>696</v>
      </c>
      <c r="T2287" t="s">
        <v>1266</v>
      </c>
      <c r="U2287" s="1">
        <v>46072.466990740744</v>
      </c>
      <c r="V2287" t="s">
        <v>54</v>
      </c>
      <c r="W2287" t="s">
        <v>55</v>
      </c>
      <c r="X2287" t="s">
        <v>82</v>
      </c>
      <c r="Y2287" t="s">
        <v>9143</v>
      </c>
      <c r="Z2287" t="s">
        <v>5594</v>
      </c>
      <c r="AA2287" t="s">
        <v>54</v>
      </c>
      <c r="AB2287" t="s">
        <v>2721</v>
      </c>
      <c r="AC2287" t="s">
        <v>242</v>
      </c>
      <c r="AD2287" t="s">
        <v>79</v>
      </c>
      <c r="AE2287" t="s">
        <v>696</v>
      </c>
      <c r="AF2287" t="s">
        <v>1266</v>
      </c>
      <c r="AG2287" t="s">
        <v>5594</v>
      </c>
      <c r="AH2287">
        <v>15272</v>
      </c>
      <c r="AK2287">
        <v>0</v>
      </c>
      <c r="AL2287" t="s">
        <v>410</v>
      </c>
      <c r="AM2287" t="s">
        <v>9144</v>
      </c>
      <c r="AN2287" t="s">
        <v>9145</v>
      </c>
    </row>
    <row r="2288" spans="1:40" x14ac:dyDescent="0.35">
      <c r="A2288" t="s">
        <v>37</v>
      </c>
      <c r="B2288" t="s">
        <v>9146</v>
      </c>
      <c r="C2288" t="s">
        <v>39</v>
      </c>
      <c r="D2288" t="s">
        <v>2391</v>
      </c>
      <c r="E2288" t="s">
        <v>2038</v>
      </c>
      <c r="F2288" s="1">
        <v>46072.436620370368</v>
      </c>
      <c r="G2288" t="s">
        <v>446</v>
      </c>
      <c r="H2288" t="s">
        <v>447</v>
      </c>
      <c r="I2288" t="s">
        <v>815</v>
      </c>
      <c r="J2288" t="s">
        <v>816</v>
      </c>
      <c r="K2288" t="s">
        <v>817</v>
      </c>
      <c r="M2288" t="s">
        <v>47</v>
      </c>
      <c r="O2288" t="s">
        <v>77</v>
      </c>
      <c r="P2288" t="s">
        <v>78</v>
      </c>
      <c r="R2288" t="s">
        <v>51</v>
      </c>
      <c r="S2288" t="s">
        <v>819</v>
      </c>
      <c r="T2288" t="s">
        <v>817</v>
      </c>
      <c r="U2288" s="1">
        <v>46073.455555555556</v>
      </c>
      <c r="V2288" t="s">
        <v>54</v>
      </c>
      <c r="W2288" t="s">
        <v>55</v>
      </c>
      <c r="X2288" t="s">
        <v>134</v>
      </c>
      <c r="Y2288" t="s">
        <v>9147</v>
      </c>
      <c r="Z2288" t="s">
        <v>5594</v>
      </c>
      <c r="AA2288" t="s">
        <v>54</v>
      </c>
      <c r="AB2288" t="s">
        <v>408</v>
      </c>
      <c r="AC2288" t="s">
        <v>85</v>
      </c>
      <c r="AD2288" t="s">
        <v>51</v>
      </c>
      <c r="AE2288" t="s">
        <v>819</v>
      </c>
      <c r="AF2288" t="s">
        <v>817</v>
      </c>
      <c r="AG2288" t="s">
        <v>5594</v>
      </c>
      <c r="AH2288" t="s">
        <v>2392</v>
      </c>
      <c r="AK2288">
        <v>1</v>
      </c>
      <c r="AL2288" t="s">
        <v>61</v>
      </c>
      <c r="AM2288" t="s">
        <v>2393</v>
      </c>
      <c r="AN2288" t="s">
        <v>2394</v>
      </c>
    </row>
    <row r="2289" spans="1:40" x14ac:dyDescent="0.35">
      <c r="A2289" t="s">
        <v>37</v>
      </c>
      <c r="B2289" t="s">
        <v>9148</v>
      </c>
      <c r="C2289" t="s">
        <v>39</v>
      </c>
      <c r="D2289" t="s">
        <v>4241</v>
      </c>
      <c r="E2289" t="s">
        <v>9149</v>
      </c>
      <c r="F2289" s="1">
        <v>46072.435069444444</v>
      </c>
      <c r="G2289" t="s">
        <v>734</v>
      </c>
      <c r="H2289" t="s">
        <v>356</v>
      </c>
      <c r="I2289" t="s">
        <v>9150</v>
      </c>
      <c r="J2289" t="s">
        <v>1518</v>
      </c>
      <c r="K2289" t="s">
        <v>75</v>
      </c>
      <c r="M2289" t="s">
        <v>47</v>
      </c>
      <c r="O2289" t="s">
        <v>77</v>
      </c>
      <c r="P2289" t="s">
        <v>78</v>
      </c>
      <c r="Q2289" t="s">
        <v>50</v>
      </c>
      <c r="R2289" t="s">
        <v>79</v>
      </c>
      <c r="S2289" t="s">
        <v>1078</v>
      </c>
      <c r="T2289" t="s">
        <v>1078</v>
      </c>
      <c r="U2289" s="1">
        <v>46072.572951388887</v>
      </c>
      <c r="V2289" t="s">
        <v>54</v>
      </c>
      <c r="W2289" t="s">
        <v>55</v>
      </c>
      <c r="X2289" t="s">
        <v>82</v>
      </c>
      <c r="Y2289" t="s">
        <v>9150</v>
      </c>
      <c r="Z2289" t="s">
        <v>5594</v>
      </c>
      <c r="AA2289" t="s">
        <v>54</v>
      </c>
      <c r="AB2289" t="s">
        <v>1503</v>
      </c>
      <c r="AC2289" t="s">
        <v>85</v>
      </c>
      <c r="AD2289" t="s">
        <v>79</v>
      </c>
      <c r="AE2289" t="s">
        <v>1078</v>
      </c>
      <c r="AF2289" t="s">
        <v>1078</v>
      </c>
      <c r="AG2289" t="s">
        <v>5594</v>
      </c>
      <c r="AH2289">
        <v>15713</v>
      </c>
      <c r="AK2289">
        <v>0</v>
      </c>
      <c r="AL2289" t="s">
        <v>61</v>
      </c>
      <c r="AM2289" t="s">
        <v>9151</v>
      </c>
      <c r="AN2289" t="s">
        <v>9152</v>
      </c>
    </row>
    <row r="2290" spans="1:40" x14ac:dyDescent="0.35">
      <c r="A2290" t="s">
        <v>37</v>
      </c>
      <c r="B2290" t="s">
        <v>9153</v>
      </c>
      <c r="C2290" t="s">
        <v>39</v>
      </c>
      <c r="D2290" t="s">
        <v>1751</v>
      </c>
      <c r="E2290" t="s">
        <v>1316</v>
      </c>
      <c r="F2290" s="1">
        <v>46072.434120370373</v>
      </c>
      <c r="G2290" t="s">
        <v>1752</v>
      </c>
      <c r="H2290" t="s">
        <v>447</v>
      </c>
      <c r="I2290" t="s">
        <v>9154</v>
      </c>
      <c r="J2290" t="s">
        <v>1754</v>
      </c>
      <c r="K2290" t="s">
        <v>1755</v>
      </c>
      <c r="M2290" t="s">
        <v>47</v>
      </c>
      <c r="O2290" t="s">
        <v>77</v>
      </c>
      <c r="P2290" t="s">
        <v>78</v>
      </c>
      <c r="Q2290" t="s">
        <v>50</v>
      </c>
      <c r="R2290" t="s">
        <v>51</v>
      </c>
      <c r="S2290" t="s">
        <v>52</v>
      </c>
      <c r="T2290" t="s">
        <v>773</v>
      </c>
      <c r="U2290" s="1">
        <v>46074.954270833332</v>
      </c>
      <c r="V2290" t="s">
        <v>54</v>
      </c>
      <c r="W2290" t="s">
        <v>55</v>
      </c>
      <c r="X2290" t="s">
        <v>134</v>
      </c>
      <c r="Y2290" t="s">
        <v>8551</v>
      </c>
      <c r="Z2290" t="s">
        <v>5594</v>
      </c>
      <c r="AA2290" t="s">
        <v>54</v>
      </c>
      <c r="AB2290" t="s">
        <v>1757</v>
      </c>
      <c r="AC2290" t="s">
        <v>85</v>
      </c>
      <c r="AD2290" t="s">
        <v>52</v>
      </c>
      <c r="AE2290" t="s">
        <v>243</v>
      </c>
      <c r="AF2290" t="s">
        <v>409</v>
      </c>
      <c r="AG2290" t="s">
        <v>5594</v>
      </c>
      <c r="AK2290">
        <v>1</v>
      </c>
      <c r="AL2290" t="s">
        <v>61</v>
      </c>
      <c r="AM2290" t="s">
        <v>1757</v>
      </c>
      <c r="AN2290" t="s">
        <v>1758</v>
      </c>
    </row>
    <row r="2291" spans="1:40" x14ac:dyDescent="0.35">
      <c r="A2291" t="s">
        <v>37</v>
      </c>
      <c r="B2291" t="s">
        <v>9155</v>
      </c>
      <c r="C2291" t="s">
        <v>39</v>
      </c>
      <c r="D2291" t="s">
        <v>7445</v>
      </c>
      <c r="E2291" t="s">
        <v>1316</v>
      </c>
      <c r="F2291" s="1">
        <v>46072.442106481481</v>
      </c>
      <c r="G2291" t="s">
        <v>286</v>
      </c>
      <c r="H2291" t="s">
        <v>287</v>
      </c>
      <c r="I2291" t="s">
        <v>9156</v>
      </c>
      <c r="J2291" t="s">
        <v>7447</v>
      </c>
      <c r="K2291" t="s">
        <v>7448</v>
      </c>
      <c r="M2291" t="s">
        <v>131</v>
      </c>
      <c r="O2291" t="s">
        <v>77</v>
      </c>
      <c r="P2291" t="s">
        <v>78</v>
      </c>
      <c r="Q2291" t="s">
        <v>50</v>
      </c>
      <c r="R2291" t="s">
        <v>51</v>
      </c>
      <c r="S2291" t="s">
        <v>52</v>
      </c>
      <c r="T2291" t="s">
        <v>240</v>
      </c>
      <c r="U2291" s="1">
        <v>46078.398564814815</v>
      </c>
      <c r="V2291" t="s">
        <v>54</v>
      </c>
      <c r="W2291" t="s">
        <v>55</v>
      </c>
      <c r="X2291" t="s">
        <v>134</v>
      </c>
      <c r="Y2291" t="s">
        <v>8700</v>
      </c>
      <c r="Z2291" t="s">
        <v>58</v>
      </c>
      <c r="AA2291" t="s">
        <v>54</v>
      </c>
      <c r="AB2291" t="s">
        <v>7450</v>
      </c>
      <c r="AC2291" t="s">
        <v>85</v>
      </c>
      <c r="AD2291" t="s">
        <v>52</v>
      </c>
      <c r="AE2291" t="s">
        <v>243</v>
      </c>
      <c r="AF2291" t="s">
        <v>409</v>
      </c>
      <c r="AG2291" t="s">
        <v>58</v>
      </c>
      <c r="AK2291">
        <v>0</v>
      </c>
      <c r="AL2291" t="s">
        <v>61</v>
      </c>
      <c r="AM2291" t="s">
        <v>7451</v>
      </c>
      <c r="AN2291" t="s">
        <v>7452</v>
      </c>
    </row>
    <row r="2292" spans="1:40" x14ac:dyDescent="0.35">
      <c r="A2292" t="s">
        <v>37</v>
      </c>
      <c r="B2292" t="s">
        <v>9157</v>
      </c>
      <c r="C2292" t="s">
        <v>39</v>
      </c>
      <c r="D2292" t="s">
        <v>4036</v>
      </c>
      <c r="E2292" t="s">
        <v>303</v>
      </c>
      <c r="F2292" s="1">
        <v>46072.434999999998</v>
      </c>
      <c r="G2292" t="s">
        <v>105</v>
      </c>
      <c r="H2292" t="s">
        <v>106</v>
      </c>
      <c r="I2292" t="s">
        <v>9158</v>
      </c>
      <c r="J2292" t="s">
        <v>2117</v>
      </c>
      <c r="K2292" t="s">
        <v>2118</v>
      </c>
      <c r="M2292" t="s">
        <v>131</v>
      </c>
      <c r="O2292" t="s">
        <v>77</v>
      </c>
      <c r="P2292" t="s">
        <v>78</v>
      </c>
      <c r="Q2292" t="s">
        <v>541</v>
      </c>
      <c r="R2292" t="s">
        <v>51</v>
      </c>
      <c r="S2292" t="s">
        <v>52</v>
      </c>
      <c r="T2292" t="s">
        <v>240</v>
      </c>
      <c r="U2292" s="1">
        <v>46077.338240740741</v>
      </c>
      <c r="V2292" t="s">
        <v>54</v>
      </c>
      <c r="W2292" t="s">
        <v>55</v>
      </c>
      <c r="X2292" t="s">
        <v>134</v>
      </c>
      <c r="Y2292" t="s">
        <v>4088</v>
      </c>
      <c r="Z2292" t="s">
        <v>58</v>
      </c>
      <c r="AA2292" t="s">
        <v>54</v>
      </c>
      <c r="AB2292" t="s">
        <v>408</v>
      </c>
      <c r="AC2292" t="s">
        <v>85</v>
      </c>
      <c r="AD2292" t="s">
        <v>52</v>
      </c>
      <c r="AE2292" t="s">
        <v>243</v>
      </c>
      <c r="AF2292" t="s">
        <v>1470</v>
      </c>
      <c r="AG2292" t="s">
        <v>58</v>
      </c>
      <c r="AH2292">
        <v>5981</v>
      </c>
      <c r="AK2292">
        <v>1</v>
      </c>
      <c r="AL2292" t="s">
        <v>61</v>
      </c>
      <c r="AM2292" t="s">
        <v>4039</v>
      </c>
      <c r="AN2292" t="s">
        <v>4040</v>
      </c>
    </row>
    <row r="2293" spans="1:40" x14ac:dyDescent="0.35">
      <c r="A2293" t="s">
        <v>37</v>
      </c>
      <c r="B2293" t="s">
        <v>9159</v>
      </c>
      <c r="C2293" t="s">
        <v>39</v>
      </c>
      <c r="D2293" t="s">
        <v>7445</v>
      </c>
      <c r="E2293" t="s">
        <v>1316</v>
      </c>
      <c r="F2293" s="1">
        <v>46072.433113425926</v>
      </c>
      <c r="G2293" t="s">
        <v>286</v>
      </c>
      <c r="H2293" t="s">
        <v>287</v>
      </c>
      <c r="I2293" t="s">
        <v>9160</v>
      </c>
      <c r="J2293" t="s">
        <v>7447</v>
      </c>
      <c r="K2293" t="s">
        <v>7448</v>
      </c>
      <c r="M2293" t="s">
        <v>131</v>
      </c>
      <c r="O2293" t="s">
        <v>77</v>
      </c>
      <c r="P2293" t="s">
        <v>78</v>
      </c>
      <c r="Q2293" t="s">
        <v>50</v>
      </c>
      <c r="R2293" t="s">
        <v>51</v>
      </c>
      <c r="S2293" t="s">
        <v>52</v>
      </c>
      <c r="T2293" t="s">
        <v>240</v>
      </c>
      <c r="U2293" s="1">
        <v>46078.398414351854</v>
      </c>
      <c r="V2293" t="s">
        <v>54</v>
      </c>
      <c r="W2293" t="s">
        <v>55</v>
      </c>
      <c r="X2293" t="s">
        <v>134</v>
      </c>
      <c r="Y2293" t="s">
        <v>9161</v>
      </c>
      <c r="Z2293" t="s">
        <v>58</v>
      </c>
      <c r="AA2293" t="s">
        <v>54</v>
      </c>
      <c r="AB2293" t="s">
        <v>7450</v>
      </c>
      <c r="AC2293" t="s">
        <v>85</v>
      </c>
      <c r="AD2293" t="s">
        <v>51</v>
      </c>
      <c r="AE2293" t="s">
        <v>834</v>
      </c>
      <c r="AF2293" t="s">
        <v>834</v>
      </c>
      <c r="AG2293" t="s">
        <v>58</v>
      </c>
      <c r="AK2293">
        <v>0</v>
      </c>
      <c r="AL2293" t="s">
        <v>61</v>
      </c>
      <c r="AM2293" t="s">
        <v>7451</v>
      </c>
      <c r="AN2293" t="s">
        <v>7452</v>
      </c>
    </row>
    <row r="2294" spans="1:40" x14ac:dyDescent="0.35">
      <c r="A2294" t="s">
        <v>37</v>
      </c>
      <c r="B2294" t="s">
        <v>9162</v>
      </c>
      <c r="C2294" t="s">
        <v>39</v>
      </c>
      <c r="D2294" t="s">
        <v>7445</v>
      </c>
      <c r="E2294" t="s">
        <v>1316</v>
      </c>
      <c r="F2294" s="1">
        <v>46072.430555555555</v>
      </c>
      <c r="G2294" t="s">
        <v>286</v>
      </c>
      <c r="H2294" t="s">
        <v>287</v>
      </c>
      <c r="I2294" t="s">
        <v>9163</v>
      </c>
      <c r="J2294" t="s">
        <v>8674</v>
      </c>
      <c r="K2294" t="s">
        <v>7448</v>
      </c>
      <c r="M2294" t="s">
        <v>47</v>
      </c>
      <c r="O2294" t="s">
        <v>77</v>
      </c>
      <c r="P2294" t="s">
        <v>78</v>
      </c>
      <c r="Q2294" t="s">
        <v>50</v>
      </c>
      <c r="R2294" t="s">
        <v>51</v>
      </c>
      <c r="S2294" t="s">
        <v>52</v>
      </c>
      <c r="T2294" t="s">
        <v>240</v>
      </c>
      <c r="U2294" s="1">
        <v>46072.615914351853</v>
      </c>
      <c r="V2294" t="s">
        <v>54</v>
      </c>
      <c r="W2294" t="s">
        <v>55</v>
      </c>
      <c r="X2294" t="s">
        <v>113</v>
      </c>
      <c r="Y2294" t="s">
        <v>8924</v>
      </c>
      <c r="Z2294" t="s">
        <v>5594</v>
      </c>
      <c r="AA2294" t="s">
        <v>54</v>
      </c>
      <c r="AB2294" t="s">
        <v>8676</v>
      </c>
      <c r="AC2294" t="s">
        <v>85</v>
      </c>
      <c r="AD2294" t="s">
        <v>52</v>
      </c>
      <c r="AE2294" t="s">
        <v>243</v>
      </c>
      <c r="AF2294" t="s">
        <v>244</v>
      </c>
      <c r="AG2294" t="s">
        <v>5594</v>
      </c>
      <c r="AK2294">
        <v>0</v>
      </c>
      <c r="AL2294" t="s">
        <v>61</v>
      </c>
      <c r="AM2294" t="s">
        <v>7451</v>
      </c>
      <c r="AN2294" t="s">
        <v>7452</v>
      </c>
    </row>
    <row r="2295" spans="1:40" x14ac:dyDescent="0.35">
      <c r="A2295" t="s">
        <v>37</v>
      </c>
      <c r="B2295" t="s">
        <v>9164</v>
      </c>
      <c r="C2295" t="s">
        <v>39</v>
      </c>
      <c r="D2295" t="s">
        <v>7445</v>
      </c>
      <c r="E2295" t="s">
        <v>1316</v>
      </c>
      <c r="F2295" s="1">
        <v>46072.429050925923</v>
      </c>
      <c r="G2295" t="s">
        <v>286</v>
      </c>
      <c r="H2295" t="s">
        <v>287</v>
      </c>
      <c r="I2295" t="s">
        <v>9165</v>
      </c>
      <c r="J2295" t="s">
        <v>7447</v>
      </c>
      <c r="K2295" t="s">
        <v>7448</v>
      </c>
      <c r="M2295" t="s">
        <v>131</v>
      </c>
      <c r="O2295" t="s">
        <v>77</v>
      </c>
      <c r="P2295" t="s">
        <v>78</v>
      </c>
      <c r="Q2295" t="s">
        <v>50</v>
      </c>
      <c r="R2295" t="s">
        <v>51</v>
      </c>
      <c r="S2295" t="s">
        <v>52</v>
      </c>
      <c r="T2295" t="s">
        <v>240</v>
      </c>
      <c r="U2295" s="1">
        <v>46078.398229166669</v>
      </c>
      <c r="V2295" t="s">
        <v>54</v>
      </c>
      <c r="W2295" t="s">
        <v>55</v>
      </c>
      <c r="X2295" t="s">
        <v>134</v>
      </c>
      <c r="Y2295" t="s">
        <v>8924</v>
      </c>
      <c r="Z2295" t="s">
        <v>58</v>
      </c>
      <c r="AA2295" t="s">
        <v>54</v>
      </c>
      <c r="AB2295" t="s">
        <v>7450</v>
      </c>
      <c r="AC2295" t="s">
        <v>85</v>
      </c>
      <c r="AD2295" t="s">
        <v>52</v>
      </c>
      <c r="AE2295" t="s">
        <v>243</v>
      </c>
      <c r="AF2295" t="s">
        <v>2913</v>
      </c>
      <c r="AG2295" t="s">
        <v>58</v>
      </c>
      <c r="AK2295">
        <v>0</v>
      </c>
      <c r="AL2295" t="s">
        <v>61</v>
      </c>
      <c r="AM2295" t="s">
        <v>7451</v>
      </c>
      <c r="AN2295" t="s">
        <v>7452</v>
      </c>
    </row>
    <row r="2296" spans="1:40" x14ac:dyDescent="0.35">
      <c r="A2296" t="s">
        <v>37</v>
      </c>
      <c r="B2296" t="s">
        <v>9166</v>
      </c>
      <c r="C2296" t="s">
        <v>656</v>
      </c>
      <c r="D2296" t="s">
        <v>9167</v>
      </c>
      <c r="E2296" t="s">
        <v>9168</v>
      </c>
      <c r="F2296" s="1">
        <v>46072.433229166665</v>
      </c>
      <c r="G2296" t="s">
        <v>355</v>
      </c>
      <c r="H2296" t="s">
        <v>356</v>
      </c>
      <c r="I2296" t="s">
        <v>9169</v>
      </c>
      <c r="J2296" t="s">
        <v>2357</v>
      </c>
      <c r="K2296" t="s">
        <v>2358</v>
      </c>
      <c r="M2296" t="s">
        <v>47</v>
      </c>
      <c r="O2296" t="s">
        <v>77</v>
      </c>
      <c r="P2296" t="s">
        <v>78</v>
      </c>
      <c r="Q2296" t="s">
        <v>50</v>
      </c>
      <c r="R2296" t="s">
        <v>3056</v>
      </c>
      <c r="S2296" t="s">
        <v>3057</v>
      </c>
      <c r="T2296" t="s">
        <v>4820</v>
      </c>
      <c r="U2296" s="1">
        <v>46073.390659722223</v>
      </c>
      <c r="V2296" t="s">
        <v>54</v>
      </c>
      <c r="W2296" t="s">
        <v>55</v>
      </c>
      <c r="X2296" t="s">
        <v>134</v>
      </c>
      <c r="Y2296" t="s">
        <v>9170</v>
      </c>
      <c r="Z2296" t="s">
        <v>5594</v>
      </c>
      <c r="AA2296" t="s">
        <v>54</v>
      </c>
      <c r="AB2296" t="s">
        <v>612</v>
      </c>
      <c r="AC2296" t="s">
        <v>85</v>
      </c>
      <c r="AD2296" t="s">
        <v>8343</v>
      </c>
      <c r="AE2296" t="s">
        <v>8344</v>
      </c>
      <c r="AF2296" t="s">
        <v>9171</v>
      </c>
      <c r="AG2296" t="s">
        <v>5594</v>
      </c>
      <c r="AH2296" t="s">
        <v>9172</v>
      </c>
      <c r="AK2296">
        <v>1</v>
      </c>
      <c r="AL2296" t="s">
        <v>61</v>
      </c>
      <c r="AM2296" t="s">
        <v>9173</v>
      </c>
      <c r="AN2296" t="s">
        <v>9174</v>
      </c>
    </row>
    <row r="2297" spans="1:40" x14ac:dyDescent="0.35">
      <c r="A2297" t="s">
        <v>37</v>
      </c>
      <c r="B2297" t="s">
        <v>9175</v>
      </c>
      <c r="C2297" t="s">
        <v>39</v>
      </c>
      <c r="D2297" t="s">
        <v>9176</v>
      </c>
      <c r="E2297" t="s">
        <v>9177</v>
      </c>
      <c r="F2297" s="1">
        <v>46072.426377314812</v>
      </c>
      <c r="G2297" t="s">
        <v>1217</v>
      </c>
      <c r="H2297" t="s">
        <v>92</v>
      </c>
      <c r="I2297" t="s">
        <v>2746</v>
      </c>
      <c r="J2297" t="s">
        <v>4070</v>
      </c>
      <c r="K2297" t="s">
        <v>951</v>
      </c>
      <c r="M2297" t="s">
        <v>47</v>
      </c>
      <c r="O2297" t="s">
        <v>77</v>
      </c>
      <c r="P2297" t="s">
        <v>78</v>
      </c>
      <c r="Q2297" t="s">
        <v>50</v>
      </c>
      <c r="R2297" t="s">
        <v>305</v>
      </c>
      <c r="S2297" t="s">
        <v>306</v>
      </c>
      <c r="T2297" t="s">
        <v>307</v>
      </c>
      <c r="U2297" s="1">
        <v>46072.518043981479</v>
      </c>
      <c r="V2297" t="s">
        <v>54</v>
      </c>
      <c r="W2297" t="s">
        <v>55</v>
      </c>
      <c r="X2297" t="s">
        <v>211</v>
      </c>
      <c r="Y2297" t="s">
        <v>9178</v>
      </c>
      <c r="Z2297" t="s">
        <v>5594</v>
      </c>
      <c r="AA2297" t="s">
        <v>54</v>
      </c>
      <c r="AB2297" t="s">
        <v>213</v>
      </c>
      <c r="AC2297" t="s">
        <v>85</v>
      </c>
      <c r="AD2297" t="s">
        <v>79</v>
      </c>
      <c r="AE2297" t="s">
        <v>4503</v>
      </c>
      <c r="AF2297" t="s">
        <v>4504</v>
      </c>
      <c r="AG2297" t="s">
        <v>5594</v>
      </c>
      <c r="AH2297">
        <v>15143</v>
      </c>
      <c r="AK2297">
        <v>2</v>
      </c>
      <c r="AL2297" t="s">
        <v>61</v>
      </c>
      <c r="AM2297" t="s">
        <v>9179</v>
      </c>
      <c r="AN2297" t="s">
        <v>9180</v>
      </c>
    </row>
    <row r="2298" spans="1:40" x14ac:dyDescent="0.35">
      <c r="A2298" t="s">
        <v>37</v>
      </c>
      <c r="B2298" t="s">
        <v>9181</v>
      </c>
      <c r="C2298" t="s">
        <v>39</v>
      </c>
      <c r="D2298" t="s">
        <v>9182</v>
      </c>
      <c r="E2298" t="s">
        <v>9183</v>
      </c>
      <c r="F2298" s="1">
        <v>46072.42596064815</v>
      </c>
      <c r="G2298" t="s">
        <v>250</v>
      </c>
      <c r="H2298" t="s">
        <v>106</v>
      </c>
      <c r="I2298" t="s">
        <v>8741</v>
      </c>
      <c r="J2298" t="s">
        <v>7078</v>
      </c>
      <c r="K2298" t="s">
        <v>75</v>
      </c>
      <c r="M2298" t="s">
        <v>76</v>
      </c>
      <c r="O2298" t="s">
        <v>77</v>
      </c>
      <c r="P2298" t="s">
        <v>78</v>
      </c>
      <c r="Q2298" t="s">
        <v>252</v>
      </c>
      <c r="R2298" t="s">
        <v>305</v>
      </c>
      <c r="S2298" t="s">
        <v>306</v>
      </c>
      <c r="T2298" t="s">
        <v>307</v>
      </c>
      <c r="U2298" s="1">
        <v>46078.438425925924</v>
      </c>
      <c r="V2298" t="s">
        <v>54</v>
      </c>
      <c r="W2298" t="s">
        <v>55</v>
      </c>
      <c r="X2298" t="s">
        <v>211</v>
      </c>
      <c r="Y2298" t="s">
        <v>9184</v>
      </c>
      <c r="Z2298" t="s">
        <v>58</v>
      </c>
      <c r="AA2298" t="s">
        <v>54</v>
      </c>
      <c r="AB2298" t="s">
        <v>213</v>
      </c>
      <c r="AC2298" t="s">
        <v>85</v>
      </c>
      <c r="AD2298" t="s">
        <v>79</v>
      </c>
      <c r="AE2298" t="s">
        <v>172</v>
      </c>
      <c r="AF2298" t="s">
        <v>9185</v>
      </c>
      <c r="AG2298" t="s">
        <v>58</v>
      </c>
      <c r="AH2298">
        <v>6329</v>
      </c>
      <c r="AK2298">
        <v>5</v>
      </c>
      <c r="AL2298" t="s">
        <v>61</v>
      </c>
      <c r="AM2298" t="s">
        <v>9186</v>
      </c>
      <c r="AN2298" t="s">
        <v>9187</v>
      </c>
    </row>
    <row r="2299" spans="1:40" x14ac:dyDescent="0.35">
      <c r="A2299" t="s">
        <v>37</v>
      </c>
      <c r="B2299" t="s">
        <v>9188</v>
      </c>
      <c r="C2299" t="s">
        <v>102</v>
      </c>
      <c r="D2299" t="s">
        <v>761</v>
      </c>
      <c r="E2299" t="s">
        <v>762</v>
      </c>
      <c r="F2299" s="1">
        <v>46072.426701388889</v>
      </c>
      <c r="G2299" t="s">
        <v>105</v>
      </c>
      <c r="H2299" t="s">
        <v>106</v>
      </c>
      <c r="I2299" t="s">
        <v>5624</v>
      </c>
      <c r="J2299" t="s">
        <v>108</v>
      </c>
      <c r="K2299" t="s">
        <v>571</v>
      </c>
      <c r="M2299" t="s">
        <v>47</v>
      </c>
      <c r="O2299" t="s">
        <v>77</v>
      </c>
      <c r="P2299" t="s">
        <v>78</v>
      </c>
      <c r="Q2299" t="s">
        <v>50</v>
      </c>
      <c r="R2299" t="s">
        <v>111</v>
      </c>
      <c r="S2299" t="s">
        <v>51</v>
      </c>
      <c r="T2299" t="s">
        <v>112</v>
      </c>
      <c r="U2299" s="1">
        <v>46074.449178240742</v>
      </c>
      <c r="V2299" t="s">
        <v>54</v>
      </c>
      <c r="W2299" t="s">
        <v>55</v>
      </c>
      <c r="X2299" t="s">
        <v>113</v>
      </c>
      <c r="Y2299" t="s">
        <v>9189</v>
      </c>
      <c r="Z2299" t="s">
        <v>5594</v>
      </c>
      <c r="AA2299" t="s">
        <v>54</v>
      </c>
      <c r="AB2299" t="s">
        <v>115</v>
      </c>
      <c r="AC2299" t="s">
        <v>85</v>
      </c>
      <c r="AD2299" t="s">
        <v>116</v>
      </c>
      <c r="AE2299" t="s">
        <v>574</v>
      </c>
      <c r="AF2299" t="s">
        <v>1377</v>
      </c>
      <c r="AG2299" t="s">
        <v>5594</v>
      </c>
      <c r="AH2299" t="s">
        <v>765</v>
      </c>
      <c r="AK2299">
        <v>1</v>
      </c>
      <c r="AL2299" t="s">
        <v>61</v>
      </c>
      <c r="AM2299" t="s">
        <v>766</v>
      </c>
      <c r="AN2299" t="s">
        <v>767</v>
      </c>
    </row>
    <row r="2300" spans="1:40" x14ac:dyDescent="0.35">
      <c r="A2300" t="s">
        <v>37</v>
      </c>
      <c r="B2300" t="s">
        <v>9190</v>
      </c>
      <c r="C2300" t="s">
        <v>39</v>
      </c>
      <c r="D2300" t="s">
        <v>89</v>
      </c>
      <c r="E2300" t="s">
        <v>5458</v>
      </c>
      <c r="F2300" s="1">
        <v>46072.425706018519</v>
      </c>
      <c r="G2300" t="s">
        <v>497</v>
      </c>
      <c r="H2300" t="s">
        <v>72</v>
      </c>
      <c r="I2300" t="s">
        <v>9191</v>
      </c>
      <c r="J2300" t="s">
        <v>4338</v>
      </c>
      <c r="K2300" t="s">
        <v>405</v>
      </c>
      <c r="M2300" t="s">
        <v>76</v>
      </c>
      <c r="O2300" t="s">
        <v>77</v>
      </c>
      <c r="P2300" t="s">
        <v>78</v>
      </c>
      <c r="Q2300" t="s">
        <v>50</v>
      </c>
      <c r="R2300" t="s">
        <v>51</v>
      </c>
      <c r="S2300" t="s">
        <v>52</v>
      </c>
      <c r="T2300" t="s">
        <v>240</v>
      </c>
      <c r="U2300" s="1">
        <v>46077.38490740741</v>
      </c>
      <c r="V2300" t="s">
        <v>54</v>
      </c>
      <c r="W2300" t="s">
        <v>55</v>
      </c>
      <c r="X2300" t="s">
        <v>134</v>
      </c>
      <c r="Y2300" t="s">
        <v>9192</v>
      </c>
      <c r="Z2300" t="s">
        <v>58</v>
      </c>
      <c r="AA2300" t="s">
        <v>54</v>
      </c>
      <c r="AB2300" t="s">
        <v>612</v>
      </c>
      <c r="AC2300" t="s">
        <v>85</v>
      </c>
      <c r="AD2300" t="s">
        <v>52</v>
      </c>
      <c r="AE2300" t="s">
        <v>243</v>
      </c>
      <c r="AF2300" t="s">
        <v>244</v>
      </c>
      <c r="AG2300" t="s">
        <v>58</v>
      </c>
      <c r="AH2300">
        <v>13568</v>
      </c>
      <c r="AK2300">
        <v>1</v>
      </c>
      <c r="AL2300" t="s">
        <v>61</v>
      </c>
      <c r="AM2300" t="s">
        <v>9193</v>
      </c>
      <c r="AN2300" t="s">
        <v>9194</v>
      </c>
    </row>
    <row r="2301" spans="1:40" x14ac:dyDescent="0.35">
      <c r="A2301" t="s">
        <v>37</v>
      </c>
      <c r="B2301" t="s">
        <v>9195</v>
      </c>
      <c r="C2301" t="s">
        <v>102</v>
      </c>
      <c r="D2301" t="s">
        <v>2780</v>
      </c>
      <c r="E2301" t="s">
        <v>1231</v>
      </c>
      <c r="F2301" s="1">
        <v>46072.424201388887</v>
      </c>
      <c r="G2301" t="s">
        <v>2015</v>
      </c>
      <c r="H2301" t="s">
        <v>447</v>
      </c>
      <c r="I2301" t="s">
        <v>9196</v>
      </c>
      <c r="J2301" t="s">
        <v>695</v>
      </c>
      <c r="K2301" t="s">
        <v>75</v>
      </c>
      <c r="M2301" t="s">
        <v>76</v>
      </c>
      <c r="O2301" t="s">
        <v>237</v>
      </c>
      <c r="P2301" t="s">
        <v>238</v>
      </c>
      <c r="R2301" t="s">
        <v>79</v>
      </c>
      <c r="S2301" t="s">
        <v>936</v>
      </c>
      <c r="T2301" t="s">
        <v>9197</v>
      </c>
      <c r="U2301" s="1">
        <v>46076.504131944443</v>
      </c>
      <c r="V2301" t="s">
        <v>54</v>
      </c>
      <c r="W2301" t="s">
        <v>55</v>
      </c>
      <c r="X2301" t="s">
        <v>82</v>
      </c>
      <c r="Y2301" t="s">
        <v>4598</v>
      </c>
      <c r="Z2301" t="s">
        <v>58</v>
      </c>
      <c r="AA2301" t="s">
        <v>54</v>
      </c>
      <c r="AB2301" t="s">
        <v>698</v>
      </c>
      <c r="AC2301" t="s">
        <v>242</v>
      </c>
      <c r="AD2301" t="s">
        <v>79</v>
      </c>
      <c r="AE2301" t="s">
        <v>936</v>
      </c>
      <c r="AF2301" t="s">
        <v>9198</v>
      </c>
      <c r="AG2301" t="s">
        <v>58</v>
      </c>
      <c r="AH2301">
        <v>11680</v>
      </c>
      <c r="AK2301">
        <v>2</v>
      </c>
      <c r="AL2301" t="s">
        <v>61</v>
      </c>
      <c r="AM2301" t="s">
        <v>2902</v>
      </c>
      <c r="AN2301" t="s">
        <v>2903</v>
      </c>
    </row>
    <row r="2302" spans="1:40" x14ac:dyDescent="0.35">
      <c r="A2302" t="s">
        <v>37</v>
      </c>
      <c r="B2302" t="s">
        <v>9199</v>
      </c>
      <c r="C2302" t="s">
        <v>39</v>
      </c>
      <c r="D2302" t="s">
        <v>9200</v>
      </c>
      <c r="E2302" t="s">
        <v>469</v>
      </c>
      <c r="F2302" s="1">
        <v>46072.422893518517</v>
      </c>
      <c r="G2302" t="s">
        <v>261</v>
      </c>
      <c r="H2302" t="s">
        <v>72</v>
      </c>
      <c r="I2302" t="s">
        <v>171</v>
      </c>
      <c r="J2302" t="s">
        <v>3423</v>
      </c>
      <c r="K2302" t="s">
        <v>75</v>
      </c>
      <c r="M2302" t="s">
        <v>47</v>
      </c>
      <c r="O2302" t="s">
        <v>77</v>
      </c>
      <c r="P2302" t="s">
        <v>78</v>
      </c>
      <c r="Q2302" t="s">
        <v>50</v>
      </c>
      <c r="R2302" t="s">
        <v>79</v>
      </c>
      <c r="S2302" t="s">
        <v>172</v>
      </c>
      <c r="T2302" t="s">
        <v>173</v>
      </c>
      <c r="U2302" s="1">
        <v>46072.457465277781</v>
      </c>
      <c r="V2302" t="s">
        <v>54</v>
      </c>
      <c r="W2302" t="s">
        <v>55</v>
      </c>
      <c r="X2302" t="s">
        <v>82</v>
      </c>
      <c r="Y2302" t="s">
        <v>3424</v>
      </c>
      <c r="Z2302" t="s">
        <v>5594</v>
      </c>
      <c r="AA2302" t="s">
        <v>54</v>
      </c>
      <c r="AB2302" t="s">
        <v>3425</v>
      </c>
      <c r="AC2302" t="s">
        <v>85</v>
      </c>
      <c r="AD2302" t="s">
        <v>79</v>
      </c>
      <c r="AE2302" t="s">
        <v>172</v>
      </c>
      <c r="AF2302" t="s">
        <v>173</v>
      </c>
      <c r="AG2302" t="s">
        <v>5594</v>
      </c>
      <c r="AH2302">
        <v>15383</v>
      </c>
      <c r="AK2302">
        <v>0</v>
      </c>
      <c r="AL2302" t="s">
        <v>61</v>
      </c>
      <c r="AM2302" t="s">
        <v>9201</v>
      </c>
      <c r="AN2302" t="s">
        <v>9202</v>
      </c>
    </row>
    <row r="2303" spans="1:40" x14ac:dyDescent="0.35">
      <c r="A2303" t="s">
        <v>37</v>
      </c>
      <c r="B2303" t="s">
        <v>9203</v>
      </c>
      <c r="C2303" t="s">
        <v>656</v>
      </c>
      <c r="D2303" t="s">
        <v>1711</v>
      </c>
      <c r="E2303" t="s">
        <v>1712</v>
      </c>
      <c r="F2303" s="1">
        <v>46072.422256944446</v>
      </c>
      <c r="G2303" t="s">
        <v>1713</v>
      </c>
      <c r="H2303" t="s">
        <v>356</v>
      </c>
      <c r="I2303" t="s">
        <v>9204</v>
      </c>
      <c r="J2303" t="s">
        <v>5555</v>
      </c>
      <c r="K2303" t="s">
        <v>5556</v>
      </c>
      <c r="M2303" t="s">
        <v>76</v>
      </c>
      <c r="O2303" t="s">
        <v>237</v>
      </c>
      <c r="P2303" t="s">
        <v>238</v>
      </c>
      <c r="Q2303" t="s">
        <v>50</v>
      </c>
      <c r="R2303" t="s">
        <v>51</v>
      </c>
      <c r="S2303" t="s">
        <v>52</v>
      </c>
      <c r="T2303" t="s">
        <v>240</v>
      </c>
      <c r="U2303" s="1">
        <v>46076.577638888892</v>
      </c>
      <c r="V2303" t="s">
        <v>54</v>
      </c>
      <c r="W2303" t="s">
        <v>55</v>
      </c>
      <c r="X2303" t="s">
        <v>134</v>
      </c>
      <c r="Y2303" t="s">
        <v>9205</v>
      </c>
      <c r="Z2303" t="s">
        <v>58</v>
      </c>
      <c r="AA2303" t="s">
        <v>54</v>
      </c>
      <c r="AB2303" t="s">
        <v>1717</v>
      </c>
      <c r="AC2303" t="s">
        <v>242</v>
      </c>
      <c r="AD2303" t="s">
        <v>52</v>
      </c>
      <c r="AE2303" t="s">
        <v>243</v>
      </c>
      <c r="AF2303" t="s">
        <v>244</v>
      </c>
      <c r="AG2303" t="s">
        <v>58</v>
      </c>
      <c r="AK2303">
        <v>2</v>
      </c>
      <c r="AL2303" t="s">
        <v>61</v>
      </c>
      <c r="AM2303" t="s">
        <v>1717</v>
      </c>
      <c r="AN2303" t="s">
        <v>1720</v>
      </c>
    </row>
    <row r="2304" spans="1:40" x14ac:dyDescent="0.35">
      <c r="A2304" t="s">
        <v>37</v>
      </c>
      <c r="B2304" t="s">
        <v>9206</v>
      </c>
      <c r="C2304" t="s">
        <v>39</v>
      </c>
      <c r="D2304" t="s">
        <v>7445</v>
      </c>
      <c r="E2304" t="s">
        <v>1316</v>
      </c>
      <c r="F2304" s="1">
        <v>46072.426226851851</v>
      </c>
      <c r="G2304" t="s">
        <v>286</v>
      </c>
      <c r="H2304" t="s">
        <v>287</v>
      </c>
      <c r="I2304" t="s">
        <v>9207</v>
      </c>
      <c r="J2304" t="s">
        <v>7447</v>
      </c>
      <c r="K2304" t="s">
        <v>7448</v>
      </c>
      <c r="M2304" t="s">
        <v>131</v>
      </c>
      <c r="O2304" t="s">
        <v>77</v>
      </c>
      <c r="P2304" t="s">
        <v>78</v>
      </c>
      <c r="Q2304" t="s">
        <v>50</v>
      </c>
      <c r="R2304" t="s">
        <v>51</v>
      </c>
      <c r="S2304" t="s">
        <v>52</v>
      </c>
      <c r="T2304" t="s">
        <v>240</v>
      </c>
      <c r="U2304" s="1">
        <v>46078.398078703707</v>
      </c>
      <c r="V2304" t="s">
        <v>54</v>
      </c>
      <c r="W2304" t="s">
        <v>55</v>
      </c>
      <c r="X2304" t="s">
        <v>134</v>
      </c>
      <c r="Y2304" t="s">
        <v>8700</v>
      </c>
      <c r="Z2304" t="s">
        <v>58</v>
      </c>
      <c r="AA2304" t="s">
        <v>54</v>
      </c>
      <c r="AB2304" t="s">
        <v>7450</v>
      </c>
      <c r="AC2304" t="s">
        <v>85</v>
      </c>
      <c r="AD2304" t="s">
        <v>52</v>
      </c>
      <c r="AE2304" t="s">
        <v>243</v>
      </c>
      <c r="AF2304" t="s">
        <v>409</v>
      </c>
      <c r="AG2304" t="s">
        <v>58</v>
      </c>
      <c r="AK2304">
        <v>0</v>
      </c>
      <c r="AL2304" t="s">
        <v>61</v>
      </c>
      <c r="AM2304" t="s">
        <v>7451</v>
      </c>
      <c r="AN2304" t="s">
        <v>7452</v>
      </c>
    </row>
    <row r="2305" spans="1:40" x14ac:dyDescent="0.35">
      <c r="A2305" t="s">
        <v>37</v>
      </c>
      <c r="B2305" t="s">
        <v>9208</v>
      </c>
      <c r="C2305" t="s">
        <v>39</v>
      </c>
      <c r="D2305" t="s">
        <v>7445</v>
      </c>
      <c r="E2305" t="s">
        <v>1316</v>
      </c>
      <c r="F2305" s="1">
        <v>46072.421793981484</v>
      </c>
      <c r="G2305" t="s">
        <v>286</v>
      </c>
      <c r="H2305" t="s">
        <v>287</v>
      </c>
      <c r="I2305" t="s">
        <v>9209</v>
      </c>
      <c r="J2305" t="s">
        <v>7447</v>
      </c>
      <c r="K2305" t="s">
        <v>7448</v>
      </c>
      <c r="M2305" t="s">
        <v>131</v>
      </c>
      <c r="O2305" t="s">
        <v>77</v>
      </c>
      <c r="P2305" t="s">
        <v>78</v>
      </c>
      <c r="Q2305" t="s">
        <v>50</v>
      </c>
      <c r="R2305" t="s">
        <v>51</v>
      </c>
      <c r="S2305" t="s">
        <v>52</v>
      </c>
      <c r="T2305" t="s">
        <v>240</v>
      </c>
      <c r="U2305" s="1">
        <v>46078.383611111109</v>
      </c>
      <c r="V2305" t="s">
        <v>54</v>
      </c>
      <c r="W2305" t="s">
        <v>55</v>
      </c>
      <c r="X2305" t="s">
        <v>134</v>
      </c>
      <c r="Y2305" t="s">
        <v>8675</v>
      </c>
      <c r="Z2305" t="s">
        <v>58</v>
      </c>
      <c r="AA2305" t="s">
        <v>54</v>
      </c>
      <c r="AB2305" t="s">
        <v>7450</v>
      </c>
      <c r="AC2305" t="s">
        <v>85</v>
      </c>
      <c r="AD2305" t="s">
        <v>52</v>
      </c>
      <c r="AE2305" t="s">
        <v>243</v>
      </c>
      <c r="AF2305" t="s">
        <v>2913</v>
      </c>
      <c r="AG2305" t="s">
        <v>58</v>
      </c>
      <c r="AK2305">
        <v>0</v>
      </c>
      <c r="AL2305" t="s">
        <v>61</v>
      </c>
      <c r="AM2305" t="s">
        <v>7451</v>
      </c>
      <c r="AN2305" t="s">
        <v>7452</v>
      </c>
    </row>
    <row r="2306" spans="1:40" x14ac:dyDescent="0.35">
      <c r="A2306" t="s">
        <v>37</v>
      </c>
      <c r="B2306" t="s">
        <v>9210</v>
      </c>
      <c r="C2306" t="s">
        <v>39</v>
      </c>
      <c r="D2306" t="s">
        <v>7445</v>
      </c>
      <c r="E2306" t="s">
        <v>1316</v>
      </c>
      <c r="F2306" s="1">
        <v>46072.421585648146</v>
      </c>
      <c r="G2306" t="s">
        <v>286</v>
      </c>
      <c r="H2306" t="s">
        <v>287</v>
      </c>
      <c r="I2306" t="s">
        <v>9211</v>
      </c>
      <c r="J2306" t="s">
        <v>8674</v>
      </c>
      <c r="K2306" t="s">
        <v>7448</v>
      </c>
      <c r="M2306" t="s">
        <v>47</v>
      </c>
      <c r="O2306" t="s">
        <v>77</v>
      </c>
      <c r="P2306" t="s">
        <v>78</v>
      </c>
      <c r="Q2306" t="s">
        <v>50</v>
      </c>
      <c r="R2306" t="s">
        <v>51</v>
      </c>
      <c r="S2306" t="s">
        <v>52</v>
      </c>
      <c r="T2306" t="s">
        <v>240</v>
      </c>
      <c r="U2306" s="1">
        <v>46072.615729166668</v>
      </c>
      <c r="V2306" t="s">
        <v>54</v>
      </c>
      <c r="W2306" t="s">
        <v>55</v>
      </c>
      <c r="X2306" t="s">
        <v>113</v>
      </c>
      <c r="Y2306" t="s">
        <v>7449</v>
      </c>
      <c r="Z2306" t="s">
        <v>5594</v>
      </c>
      <c r="AA2306" t="s">
        <v>54</v>
      </c>
      <c r="AB2306" t="s">
        <v>8676</v>
      </c>
      <c r="AC2306" t="s">
        <v>85</v>
      </c>
      <c r="AD2306" t="s">
        <v>51</v>
      </c>
      <c r="AE2306" t="s">
        <v>834</v>
      </c>
      <c r="AF2306" t="s">
        <v>834</v>
      </c>
      <c r="AG2306" t="s">
        <v>5594</v>
      </c>
      <c r="AK2306">
        <v>0</v>
      </c>
      <c r="AL2306" t="s">
        <v>61</v>
      </c>
      <c r="AM2306" t="s">
        <v>7451</v>
      </c>
      <c r="AN2306" t="s">
        <v>7452</v>
      </c>
    </row>
    <row r="2307" spans="1:40" x14ac:dyDescent="0.35">
      <c r="A2307" t="s">
        <v>37</v>
      </c>
      <c r="B2307" t="s">
        <v>9212</v>
      </c>
      <c r="C2307" t="s">
        <v>39</v>
      </c>
      <c r="D2307" t="s">
        <v>2688</v>
      </c>
      <c r="E2307" t="s">
        <v>7278</v>
      </c>
      <c r="F2307" s="1">
        <v>46072.42083333333</v>
      </c>
      <c r="G2307" t="s">
        <v>2031</v>
      </c>
      <c r="H2307" t="s">
        <v>106</v>
      </c>
      <c r="I2307" t="s">
        <v>7304</v>
      </c>
      <c r="J2307" t="s">
        <v>3257</v>
      </c>
      <c r="K2307" t="s">
        <v>1834</v>
      </c>
      <c r="M2307" t="s">
        <v>47</v>
      </c>
      <c r="O2307" t="s">
        <v>77</v>
      </c>
      <c r="P2307" t="s">
        <v>78</v>
      </c>
      <c r="Q2307" t="s">
        <v>50</v>
      </c>
      <c r="R2307" t="s">
        <v>51</v>
      </c>
      <c r="S2307" t="s">
        <v>52</v>
      </c>
      <c r="T2307" t="s">
        <v>240</v>
      </c>
      <c r="U2307" s="1">
        <v>46073.530833333331</v>
      </c>
      <c r="V2307" t="s">
        <v>54</v>
      </c>
      <c r="W2307" t="s">
        <v>55</v>
      </c>
      <c r="X2307" t="s">
        <v>134</v>
      </c>
      <c r="Y2307" t="s">
        <v>3258</v>
      </c>
      <c r="Z2307" t="s">
        <v>5594</v>
      </c>
      <c r="AA2307" t="s">
        <v>54</v>
      </c>
      <c r="AB2307" t="s">
        <v>3259</v>
      </c>
      <c r="AC2307" t="s">
        <v>85</v>
      </c>
      <c r="AD2307" t="s">
        <v>52</v>
      </c>
      <c r="AE2307" t="s">
        <v>243</v>
      </c>
      <c r="AF2307" t="s">
        <v>1470</v>
      </c>
      <c r="AG2307" t="s">
        <v>5594</v>
      </c>
      <c r="AH2307">
        <v>12701</v>
      </c>
      <c r="AK2307">
        <v>0</v>
      </c>
      <c r="AL2307" t="s">
        <v>61</v>
      </c>
      <c r="AM2307" t="s">
        <v>7280</v>
      </c>
      <c r="AN2307" t="s">
        <v>7281</v>
      </c>
    </row>
    <row r="2308" spans="1:40" x14ac:dyDescent="0.35">
      <c r="A2308" t="s">
        <v>37</v>
      </c>
      <c r="B2308" t="s">
        <v>9213</v>
      </c>
      <c r="C2308" t="s">
        <v>39</v>
      </c>
      <c r="D2308" t="s">
        <v>9214</v>
      </c>
      <c r="E2308" t="s">
        <v>9215</v>
      </c>
      <c r="F2308" s="1">
        <v>46072.420706018522</v>
      </c>
      <c r="G2308" t="s">
        <v>2053</v>
      </c>
      <c r="H2308" t="s">
        <v>106</v>
      </c>
      <c r="I2308" t="s">
        <v>1196</v>
      </c>
      <c r="J2308" t="s">
        <v>394</v>
      </c>
      <c r="K2308" t="s">
        <v>75</v>
      </c>
      <c r="M2308" t="s">
        <v>47</v>
      </c>
      <c r="O2308" t="s">
        <v>77</v>
      </c>
      <c r="P2308" t="s">
        <v>78</v>
      </c>
      <c r="Q2308" t="s">
        <v>2169</v>
      </c>
      <c r="R2308" t="s">
        <v>79</v>
      </c>
      <c r="S2308" t="s">
        <v>1078</v>
      </c>
      <c r="T2308" t="s">
        <v>1078</v>
      </c>
      <c r="U2308" s="1">
        <v>46072.420972222222</v>
      </c>
      <c r="V2308" t="s">
        <v>54</v>
      </c>
      <c r="W2308" t="s">
        <v>55</v>
      </c>
      <c r="X2308" t="s">
        <v>82</v>
      </c>
      <c r="Y2308" t="s">
        <v>1197</v>
      </c>
      <c r="Z2308" t="s">
        <v>5594</v>
      </c>
      <c r="AA2308" t="s">
        <v>54</v>
      </c>
      <c r="AB2308" t="s">
        <v>396</v>
      </c>
      <c r="AC2308" t="s">
        <v>85</v>
      </c>
      <c r="AD2308" t="s">
        <v>79</v>
      </c>
      <c r="AE2308" t="s">
        <v>1078</v>
      </c>
      <c r="AF2308" t="s">
        <v>1078</v>
      </c>
      <c r="AG2308" t="s">
        <v>5594</v>
      </c>
      <c r="AH2308">
        <v>1050</v>
      </c>
      <c r="AK2308">
        <v>0</v>
      </c>
      <c r="AL2308" t="s">
        <v>61</v>
      </c>
      <c r="AM2308" t="s">
        <v>9216</v>
      </c>
      <c r="AN2308" t="s">
        <v>9217</v>
      </c>
    </row>
    <row r="2309" spans="1:40" x14ac:dyDescent="0.35">
      <c r="A2309" t="s">
        <v>37</v>
      </c>
      <c r="B2309" t="s">
        <v>9218</v>
      </c>
      <c r="C2309" t="s">
        <v>39</v>
      </c>
      <c r="D2309" t="s">
        <v>8775</v>
      </c>
      <c r="E2309" t="s">
        <v>8776</v>
      </c>
      <c r="F2309" s="1">
        <v>46072.419629629629</v>
      </c>
      <c r="G2309" t="s">
        <v>355</v>
      </c>
      <c r="H2309" t="s">
        <v>356</v>
      </c>
      <c r="I2309" t="s">
        <v>9219</v>
      </c>
      <c r="J2309" t="s">
        <v>1823</v>
      </c>
      <c r="K2309" t="s">
        <v>1824</v>
      </c>
      <c r="M2309" t="s">
        <v>47</v>
      </c>
      <c r="O2309" t="s">
        <v>77</v>
      </c>
      <c r="P2309" t="s">
        <v>78</v>
      </c>
      <c r="Q2309" t="s">
        <v>50</v>
      </c>
      <c r="R2309" t="s">
        <v>51</v>
      </c>
      <c r="S2309" t="s">
        <v>52</v>
      </c>
      <c r="T2309" t="s">
        <v>4080</v>
      </c>
      <c r="U2309" s="1">
        <v>46072.487858796296</v>
      </c>
      <c r="V2309" t="s">
        <v>54</v>
      </c>
      <c r="W2309" t="s">
        <v>55</v>
      </c>
      <c r="X2309" t="s">
        <v>113</v>
      </c>
      <c r="Y2309" t="s">
        <v>9220</v>
      </c>
      <c r="Z2309" t="s">
        <v>5594</v>
      </c>
      <c r="AA2309" t="s">
        <v>54</v>
      </c>
      <c r="AB2309" t="s">
        <v>8779</v>
      </c>
      <c r="AC2309" t="s">
        <v>85</v>
      </c>
      <c r="AD2309" t="s">
        <v>52</v>
      </c>
      <c r="AE2309" t="s">
        <v>438</v>
      </c>
      <c r="AF2309" t="s">
        <v>2179</v>
      </c>
      <c r="AG2309" t="s">
        <v>5594</v>
      </c>
      <c r="AH2309" t="s">
        <v>8780</v>
      </c>
      <c r="AK2309">
        <v>1</v>
      </c>
      <c r="AL2309" t="s">
        <v>61</v>
      </c>
      <c r="AM2309" t="s">
        <v>8781</v>
      </c>
      <c r="AN2309" t="s">
        <v>8782</v>
      </c>
    </row>
    <row r="2310" spans="1:40" x14ac:dyDescent="0.35">
      <c r="A2310" t="s">
        <v>37</v>
      </c>
      <c r="B2310" t="s">
        <v>9221</v>
      </c>
      <c r="C2310" t="s">
        <v>102</v>
      </c>
      <c r="D2310" t="s">
        <v>1698</v>
      </c>
      <c r="E2310" t="s">
        <v>584</v>
      </c>
      <c r="F2310" s="1">
        <v>46072.419386574074</v>
      </c>
      <c r="G2310" t="s">
        <v>105</v>
      </c>
      <c r="H2310" t="s">
        <v>106</v>
      </c>
      <c r="I2310" t="s">
        <v>3414</v>
      </c>
      <c r="J2310" t="s">
        <v>108</v>
      </c>
      <c r="K2310" t="s">
        <v>109</v>
      </c>
      <c r="M2310" t="s">
        <v>47</v>
      </c>
      <c r="O2310" t="s">
        <v>77</v>
      </c>
      <c r="P2310" t="s">
        <v>78</v>
      </c>
      <c r="Q2310" t="s">
        <v>50</v>
      </c>
      <c r="R2310" t="s">
        <v>111</v>
      </c>
      <c r="S2310" t="s">
        <v>51</v>
      </c>
      <c r="T2310" t="s">
        <v>112</v>
      </c>
      <c r="U2310" s="1">
        <v>46072.505312499998</v>
      </c>
      <c r="V2310" t="s">
        <v>54</v>
      </c>
      <c r="W2310" t="s">
        <v>55</v>
      </c>
      <c r="X2310" t="s">
        <v>134</v>
      </c>
      <c r="Y2310" t="s">
        <v>9222</v>
      </c>
      <c r="Z2310" t="s">
        <v>5594</v>
      </c>
      <c r="AA2310" t="s">
        <v>54</v>
      </c>
      <c r="AB2310" t="s">
        <v>1701</v>
      </c>
      <c r="AC2310" t="s">
        <v>85</v>
      </c>
      <c r="AD2310" t="s">
        <v>116</v>
      </c>
      <c r="AE2310" t="s">
        <v>117</v>
      </c>
      <c r="AF2310" t="s">
        <v>1843</v>
      </c>
      <c r="AG2310" t="s">
        <v>5594</v>
      </c>
      <c r="AK2310">
        <v>1</v>
      </c>
      <c r="AL2310" t="s">
        <v>61</v>
      </c>
      <c r="AM2310" t="s">
        <v>1701</v>
      </c>
      <c r="AN2310" t="s">
        <v>1702</v>
      </c>
    </row>
    <row r="2311" spans="1:40" x14ac:dyDescent="0.35">
      <c r="A2311" t="s">
        <v>37</v>
      </c>
      <c r="B2311" t="s">
        <v>9223</v>
      </c>
      <c r="C2311" t="s">
        <v>39</v>
      </c>
      <c r="D2311" t="s">
        <v>7445</v>
      </c>
      <c r="E2311" t="s">
        <v>1316</v>
      </c>
      <c r="F2311" s="1">
        <v>46072.41982638889</v>
      </c>
      <c r="G2311" t="s">
        <v>286</v>
      </c>
      <c r="H2311" t="s">
        <v>287</v>
      </c>
      <c r="I2311" t="s">
        <v>9224</v>
      </c>
      <c r="J2311" t="s">
        <v>7447</v>
      </c>
      <c r="K2311" t="s">
        <v>7448</v>
      </c>
      <c r="M2311" t="s">
        <v>131</v>
      </c>
      <c r="O2311" t="s">
        <v>77</v>
      </c>
      <c r="P2311" t="s">
        <v>78</v>
      </c>
      <c r="Q2311" t="s">
        <v>50</v>
      </c>
      <c r="R2311" t="s">
        <v>51</v>
      </c>
      <c r="S2311" t="s">
        <v>52</v>
      </c>
      <c r="T2311" t="s">
        <v>240</v>
      </c>
      <c r="U2311" s="1">
        <v>46078.383379629631</v>
      </c>
      <c r="V2311" t="s">
        <v>54</v>
      </c>
      <c r="W2311" t="s">
        <v>55</v>
      </c>
      <c r="X2311" t="s">
        <v>134</v>
      </c>
      <c r="Y2311" t="s">
        <v>7449</v>
      </c>
      <c r="Z2311" t="s">
        <v>58</v>
      </c>
      <c r="AA2311" t="s">
        <v>54</v>
      </c>
      <c r="AB2311" t="s">
        <v>7450</v>
      </c>
      <c r="AC2311" t="s">
        <v>85</v>
      </c>
      <c r="AD2311" t="s">
        <v>51</v>
      </c>
      <c r="AE2311" t="s">
        <v>834</v>
      </c>
      <c r="AF2311" t="s">
        <v>834</v>
      </c>
      <c r="AG2311" t="s">
        <v>58</v>
      </c>
      <c r="AK2311">
        <v>0</v>
      </c>
      <c r="AL2311" t="s">
        <v>61</v>
      </c>
      <c r="AM2311" t="s">
        <v>7451</v>
      </c>
      <c r="AN2311" t="s">
        <v>7452</v>
      </c>
    </row>
    <row r="2312" spans="1:40" x14ac:dyDescent="0.35">
      <c r="A2312" t="s">
        <v>37</v>
      </c>
      <c r="B2312" t="s">
        <v>9225</v>
      </c>
      <c r="C2312" t="s">
        <v>39</v>
      </c>
      <c r="D2312" t="s">
        <v>8775</v>
      </c>
      <c r="E2312" t="s">
        <v>8776</v>
      </c>
      <c r="F2312" s="1">
        <v>46072.419039351851</v>
      </c>
      <c r="G2312" t="s">
        <v>355</v>
      </c>
      <c r="H2312" t="s">
        <v>356</v>
      </c>
      <c r="I2312" t="s">
        <v>9226</v>
      </c>
      <c r="J2312" t="s">
        <v>1823</v>
      </c>
      <c r="K2312" t="s">
        <v>1824</v>
      </c>
      <c r="M2312" t="s">
        <v>47</v>
      </c>
      <c r="O2312" t="s">
        <v>77</v>
      </c>
      <c r="P2312" t="s">
        <v>78</v>
      </c>
      <c r="Q2312" t="s">
        <v>50</v>
      </c>
      <c r="R2312" t="s">
        <v>51</v>
      </c>
      <c r="S2312" t="s">
        <v>52</v>
      </c>
      <c r="T2312" t="s">
        <v>4080</v>
      </c>
      <c r="U2312" s="1">
        <v>46072.487696759257</v>
      </c>
      <c r="V2312" t="s">
        <v>54</v>
      </c>
      <c r="W2312" t="s">
        <v>55</v>
      </c>
      <c r="X2312" t="s">
        <v>113</v>
      </c>
      <c r="Y2312" t="s">
        <v>9227</v>
      </c>
      <c r="Z2312" t="s">
        <v>5594</v>
      </c>
      <c r="AA2312" t="s">
        <v>54</v>
      </c>
      <c r="AB2312" t="s">
        <v>8779</v>
      </c>
      <c r="AC2312" t="s">
        <v>85</v>
      </c>
      <c r="AD2312" t="s">
        <v>52</v>
      </c>
      <c r="AE2312" t="s">
        <v>438</v>
      </c>
      <c r="AF2312" t="s">
        <v>2179</v>
      </c>
      <c r="AG2312" t="s">
        <v>5594</v>
      </c>
      <c r="AH2312" t="s">
        <v>8780</v>
      </c>
      <c r="AK2312">
        <v>1</v>
      </c>
      <c r="AL2312" t="s">
        <v>61</v>
      </c>
      <c r="AM2312" t="s">
        <v>8781</v>
      </c>
      <c r="AN2312" t="s">
        <v>8782</v>
      </c>
    </row>
    <row r="2313" spans="1:40" x14ac:dyDescent="0.35">
      <c r="A2313" t="s">
        <v>37</v>
      </c>
      <c r="B2313" t="s">
        <v>9228</v>
      </c>
      <c r="C2313" t="s">
        <v>39</v>
      </c>
      <c r="D2313" t="s">
        <v>4789</v>
      </c>
      <c r="E2313" t="s">
        <v>4790</v>
      </c>
      <c r="F2313" s="1">
        <v>46072.420034722221</v>
      </c>
      <c r="G2313" t="s">
        <v>355</v>
      </c>
      <c r="H2313" t="s">
        <v>356</v>
      </c>
      <c r="I2313" t="s">
        <v>9229</v>
      </c>
      <c r="J2313" t="s">
        <v>4792</v>
      </c>
      <c r="K2313" t="s">
        <v>4793</v>
      </c>
      <c r="M2313" t="s">
        <v>47</v>
      </c>
      <c r="O2313" t="s">
        <v>77</v>
      </c>
      <c r="P2313" t="s">
        <v>78</v>
      </c>
      <c r="Q2313" t="s">
        <v>1174</v>
      </c>
      <c r="R2313" t="s">
        <v>51</v>
      </c>
      <c r="S2313" t="s">
        <v>52</v>
      </c>
      <c r="T2313" t="s">
        <v>240</v>
      </c>
      <c r="U2313" s="1">
        <v>46073.376701388886</v>
      </c>
      <c r="V2313" t="s">
        <v>54</v>
      </c>
      <c r="W2313" t="s">
        <v>55</v>
      </c>
      <c r="X2313" t="s">
        <v>134</v>
      </c>
      <c r="Y2313" t="s">
        <v>9230</v>
      </c>
      <c r="Z2313" t="s">
        <v>5594</v>
      </c>
      <c r="AA2313" t="s">
        <v>54</v>
      </c>
      <c r="AB2313" t="s">
        <v>4795</v>
      </c>
      <c r="AC2313" t="s">
        <v>85</v>
      </c>
      <c r="AD2313" t="s">
        <v>51</v>
      </c>
      <c r="AE2313" t="s">
        <v>52</v>
      </c>
      <c r="AF2313" t="s">
        <v>2973</v>
      </c>
      <c r="AG2313" t="s">
        <v>5594</v>
      </c>
      <c r="AH2313">
        <v>14949</v>
      </c>
      <c r="AK2313">
        <v>0</v>
      </c>
      <c r="AL2313" t="s">
        <v>61</v>
      </c>
      <c r="AM2313" t="s">
        <v>4796</v>
      </c>
      <c r="AN2313" t="s">
        <v>4797</v>
      </c>
    </row>
    <row r="2314" spans="1:40" x14ac:dyDescent="0.35">
      <c r="A2314" t="s">
        <v>37</v>
      </c>
      <c r="B2314" t="s">
        <v>9231</v>
      </c>
      <c r="C2314" t="s">
        <v>102</v>
      </c>
      <c r="D2314" t="s">
        <v>1698</v>
      </c>
      <c r="E2314" t="s">
        <v>584</v>
      </c>
      <c r="F2314" s="1">
        <v>46072.415879629632</v>
      </c>
      <c r="G2314" t="s">
        <v>105</v>
      </c>
      <c r="H2314" t="s">
        <v>106</v>
      </c>
      <c r="I2314" t="s">
        <v>1851</v>
      </c>
      <c r="J2314" t="s">
        <v>108</v>
      </c>
      <c r="K2314" t="s">
        <v>109</v>
      </c>
      <c r="M2314" t="s">
        <v>47</v>
      </c>
      <c r="O2314" t="s">
        <v>77</v>
      </c>
      <c r="P2314" t="s">
        <v>78</v>
      </c>
      <c r="Q2314" t="s">
        <v>50</v>
      </c>
      <c r="R2314" t="s">
        <v>111</v>
      </c>
      <c r="S2314" t="s">
        <v>51</v>
      </c>
      <c r="T2314" t="s">
        <v>112</v>
      </c>
      <c r="U2314" s="1">
        <v>46072.496574074074</v>
      </c>
      <c r="V2314" t="s">
        <v>54</v>
      </c>
      <c r="W2314" t="s">
        <v>55</v>
      </c>
      <c r="X2314" t="s">
        <v>134</v>
      </c>
      <c r="Y2314" t="s">
        <v>9232</v>
      </c>
      <c r="Z2314" t="s">
        <v>5594</v>
      </c>
      <c r="AA2314" t="s">
        <v>54</v>
      </c>
      <c r="AB2314" t="s">
        <v>1701</v>
      </c>
      <c r="AC2314" t="s">
        <v>85</v>
      </c>
      <c r="AD2314" t="s">
        <v>116</v>
      </c>
      <c r="AE2314" t="s">
        <v>117</v>
      </c>
      <c r="AF2314" t="s">
        <v>1706</v>
      </c>
      <c r="AG2314" t="s">
        <v>5594</v>
      </c>
      <c r="AK2314">
        <v>1</v>
      </c>
      <c r="AL2314" t="s">
        <v>61</v>
      </c>
      <c r="AM2314" t="s">
        <v>1701</v>
      </c>
      <c r="AN2314" t="s">
        <v>1702</v>
      </c>
    </row>
    <row r="2315" spans="1:40" x14ac:dyDescent="0.35">
      <c r="A2315" t="s">
        <v>37</v>
      </c>
      <c r="B2315" t="s">
        <v>9233</v>
      </c>
      <c r="C2315" t="s">
        <v>39</v>
      </c>
      <c r="D2315" t="s">
        <v>9234</v>
      </c>
      <c r="E2315" t="s">
        <v>9235</v>
      </c>
      <c r="F2315" s="1">
        <v>46072.415648148148</v>
      </c>
      <c r="G2315" t="s">
        <v>327</v>
      </c>
      <c r="H2315" t="s">
        <v>72</v>
      </c>
      <c r="I2315" t="s">
        <v>1185</v>
      </c>
      <c r="J2315" t="s">
        <v>2333</v>
      </c>
      <c r="K2315" t="s">
        <v>1187</v>
      </c>
      <c r="M2315" t="s">
        <v>47</v>
      </c>
      <c r="O2315" t="s">
        <v>77</v>
      </c>
      <c r="P2315" t="s">
        <v>78</v>
      </c>
      <c r="Q2315" t="s">
        <v>50</v>
      </c>
      <c r="R2315" t="s">
        <v>305</v>
      </c>
      <c r="S2315" t="s">
        <v>306</v>
      </c>
      <c r="T2315" t="s">
        <v>307</v>
      </c>
      <c r="U2315" s="1">
        <v>46074.836944444447</v>
      </c>
      <c r="V2315" t="s">
        <v>54</v>
      </c>
      <c r="W2315" t="s">
        <v>55</v>
      </c>
      <c r="X2315" t="s">
        <v>211</v>
      </c>
      <c r="Y2315" t="s">
        <v>9236</v>
      </c>
      <c r="Z2315" t="s">
        <v>5594</v>
      </c>
      <c r="AA2315" t="s">
        <v>54</v>
      </c>
      <c r="AB2315" t="s">
        <v>213</v>
      </c>
      <c r="AC2315" t="s">
        <v>85</v>
      </c>
      <c r="AD2315" t="s">
        <v>1189</v>
      </c>
      <c r="AE2315" t="s">
        <v>1190</v>
      </c>
      <c r="AF2315" t="s">
        <v>1191</v>
      </c>
      <c r="AG2315" t="s">
        <v>5594</v>
      </c>
      <c r="AH2315">
        <v>14080</v>
      </c>
      <c r="AK2315">
        <v>3</v>
      </c>
      <c r="AL2315" t="s">
        <v>61</v>
      </c>
      <c r="AM2315" t="s">
        <v>9237</v>
      </c>
      <c r="AN2315" t="s">
        <v>9238</v>
      </c>
    </row>
    <row r="2316" spans="1:40" x14ac:dyDescent="0.35">
      <c r="A2316" t="s">
        <v>37</v>
      </c>
      <c r="B2316" t="s">
        <v>9239</v>
      </c>
      <c r="C2316" t="s">
        <v>39</v>
      </c>
      <c r="D2316" t="s">
        <v>7445</v>
      </c>
      <c r="E2316" t="s">
        <v>1316</v>
      </c>
      <c r="F2316" s="1">
        <v>46072.415196759262</v>
      </c>
      <c r="G2316" t="s">
        <v>286</v>
      </c>
      <c r="H2316" t="s">
        <v>287</v>
      </c>
      <c r="I2316" t="s">
        <v>9240</v>
      </c>
      <c r="J2316" t="s">
        <v>7447</v>
      </c>
      <c r="K2316" t="s">
        <v>7448</v>
      </c>
      <c r="M2316" t="s">
        <v>131</v>
      </c>
      <c r="O2316" t="s">
        <v>77</v>
      </c>
      <c r="P2316" t="s">
        <v>78</v>
      </c>
      <c r="Q2316" t="s">
        <v>50</v>
      </c>
      <c r="R2316" t="s">
        <v>51</v>
      </c>
      <c r="S2316" t="s">
        <v>52</v>
      </c>
      <c r="T2316" t="s">
        <v>240</v>
      </c>
      <c r="U2316" s="1">
        <v>46078.383217592593</v>
      </c>
      <c r="V2316" t="s">
        <v>54</v>
      </c>
      <c r="W2316" t="s">
        <v>55</v>
      </c>
      <c r="X2316" t="s">
        <v>134</v>
      </c>
      <c r="Y2316" t="s">
        <v>9241</v>
      </c>
      <c r="Z2316" t="s">
        <v>58</v>
      </c>
      <c r="AA2316" t="s">
        <v>54</v>
      </c>
      <c r="AB2316" t="s">
        <v>7450</v>
      </c>
      <c r="AC2316" t="s">
        <v>85</v>
      </c>
      <c r="AD2316" t="s">
        <v>51</v>
      </c>
      <c r="AE2316" t="s">
        <v>834</v>
      </c>
      <c r="AF2316" t="s">
        <v>834</v>
      </c>
      <c r="AG2316" t="s">
        <v>58</v>
      </c>
      <c r="AK2316">
        <v>0</v>
      </c>
      <c r="AL2316" t="s">
        <v>61</v>
      </c>
      <c r="AM2316" t="s">
        <v>7451</v>
      </c>
      <c r="AN2316" t="s">
        <v>7452</v>
      </c>
    </row>
    <row r="2317" spans="1:40" x14ac:dyDescent="0.35">
      <c r="A2317" t="s">
        <v>37</v>
      </c>
      <c r="B2317" t="s">
        <v>9242</v>
      </c>
      <c r="C2317" t="s">
        <v>39</v>
      </c>
      <c r="D2317" t="s">
        <v>1751</v>
      </c>
      <c r="E2317" t="s">
        <v>1316</v>
      </c>
      <c r="F2317" s="1">
        <v>46072.414421296293</v>
      </c>
      <c r="G2317" t="s">
        <v>1752</v>
      </c>
      <c r="H2317" t="s">
        <v>447</v>
      </c>
      <c r="I2317" t="s">
        <v>9243</v>
      </c>
      <c r="J2317" t="s">
        <v>1754</v>
      </c>
      <c r="K2317" t="s">
        <v>1755</v>
      </c>
      <c r="M2317" t="s">
        <v>47</v>
      </c>
      <c r="O2317" t="s">
        <v>77</v>
      </c>
      <c r="P2317" t="s">
        <v>78</v>
      </c>
      <c r="Q2317" t="s">
        <v>50</v>
      </c>
      <c r="R2317" t="s">
        <v>51</v>
      </c>
      <c r="S2317" t="s">
        <v>52</v>
      </c>
      <c r="T2317" t="s">
        <v>773</v>
      </c>
      <c r="U2317" s="1">
        <v>46074.953379629631</v>
      </c>
      <c r="V2317" t="s">
        <v>54</v>
      </c>
      <c r="W2317" t="s">
        <v>55</v>
      </c>
      <c r="X2317" t="s">
        <v>134</v>
      </c>
      <c r="Y2317" t="s">
        <v>9244</v>
      </c>
      <c r="Z2317" t="s">
        <v>5594</v>
      </c>
      <c r="AA2317" t="s">
        <v>54</v>
      </c>
      <c r="AB2317" t="s">
        <v>1757</v>
      </c>
      <c r="AC2317" t="s">
        <v>85</v>
      </c>
      <c r="AD2317" t="s">
        <v>52</v>
      </c>
      <c r="AE2317" t="s">
        <v>243</v>
      </c>
      <c r="AF2317" t="s">
        <v>244</v>
      </c>
      <c r="AG2317" t="s">
        <v>5594</v>
      </c>
      <c r="AK2317">
        <v>1</v>
      </c>
      <c r="AL2317" t="s">
        <v>61</v>
      </c>
      <c r="AM2317" t="s">
        <v>1757</v>
      </c>
      <c r="AN2317" t="s">
        <v>1758</v>
      </c>
    </row>
    <row r="2318" spans="1:40" x14ac:dyDescent="0.35">
      <c r="A2318" t="s">
        <v>37</v>
      </c>
      <c r="B2318" t="s">
        <v>9245</v>
      </c>
      <c r="C2318" t="s">
        <v>39</v>
      </c>
      <c r="D2318" t="s">
        <v>7445</v>
      </c>
      <c r="E2318" t="s">
        <v>1316</v>
      </c>
      <c r="F2318" s="1">
        <v>46072.414988425924</v>
      </c>
      <c r="G2318" t="s">
        <v>286</v>
      </c>
      <c r="H2318" t="s">
        <v>287</v>
      </c>
      <c r="I2318" t="s">
        <v>9246</v>
      </c>
      <c r="J2318" t="s">
        <v>8674</v>
      </c>
      <c r="K2318" t="s">
        <v>7448</v>
      </c>
      <c r="M2318" t="s">
        <v>47</v>
      </c>
      <c r="O2318" t="s">
        <v>77</v>
      </c>
      <c r="P2318" t="s">
        <v>78</v>
      </c>
      <c r="Q2318" t="s">
        <v>50</v>
      </c>
      <c r="R2318" t="s">
        <v>51</v>
      </c>
      <c r="S2318" t="s">
        <v>52</v>
      </c>
      <c r="T2318" t="s">
        <v>240</v>
      </c>
      <c r="U2318" s="1">
        <v>46072.615428240744</v>
      </c>
      <c r="V2318" t="s">
        <v>54</v>
      </c>
      <c r="W2318" t="s">
        <v>55</v>
      </c>
      <c r="X2318" t="s">
        <v>113</v>
      </c>
      <c r="Y2318" t="s">
        <v>8675</v>
      </c>
      <c r="Z2318" t="s">
        <v>5594</v>
      </c>
      <c r="AA2318" t="s">
        <v>54</v>
      </c>
      <c r="AB2318" t="s">
        <v>8676</v>
      </c>
      <c r="AC2318" t="s">
        <v>85</v>
      </c>
      <c r="AD2318" t="s">
        <v>52</v>
      </c>
      <c r="AE2318" t="s">
        <v>243</v>
      </c>
      <c r="AF2318" t="s">
        <v>244</v>
      </c>
      <c r="AG2318" t="s">
        <v>5594</v>
      </c>
      <c r="AK2318">
        <v>0</v>
      </c>
      <c r="AL2318" t="s">
        <v>61</v>
      </c>
      <c r="AM2318" t="s">
        <v>7451</v>
      </c>
      <c r="AN2318" t="s">
        <v>7452</v>
      </c>
    </row>
    <row r="2319" spans="1:40" x14ac:dyDescent="0.35">
      <c r="A2319" t="s">
        <v>37</v>
      </c>
      <c r="B2319" t="s">
        <v>9247</v>
      </c>
      <c r="C2319" t="s">
        <v>39</v>
      </c>
      <c r="D2319" t="s">
        <v>7445</v>
      </c>
      <c r="E2319" t="s">
        <v>1316</v>
      </c>
      <c r="F2319" s="1">
        <v>46072.413159722222</v>
      </c>
      <c r="G2319" t="s">
        <v>286</v>
      </c>
      <c r="H2319" t="s">
        <v>287</v>
      </c>
      <c r="I2319" t="s">
        <v>9248</v>
      </c>
      <c r="J2319" t="s">
        <v>7447</v>
      </c>
      <c r="K2319" t="s">
        <v>7448</v>
      </c>
      <c r="M2319" t="s">
        <v>131</v>
      </c>
      <c r="O2319" t="s">
        <v>77</v>
      </c>
      <c r="P2319" t="s">
        <v>78</v>
      </c>
      <c r="Q2319" t="s">
        <v>50</v>
      </c>
      <c r="R2319" t="s">
        <v>51</v>
      </c>
      <c r="S2319" t="s">
        <v>52</v>
      </c>
      <c r="T2319" t="s">
        <v>240</v>
      </c>
      <c r="U2319" s="1">
        <v>46078.382824074077</v>
      </c>
      <c r="V2319" t="s">
        <v>54</v>
      </c>
      <c r="W2319" t="s">
        <v>55</v>
      </c>
      <c r="X2319" t="s">
        <v>134</v>
      </c>
      <c r="Y2319" t="s">
        <v>8675</v>
      </c>
      <c r="Z2319" t="s">
        <v>58</v>
      </c>
      <c r="AA2319" t="s">
        <v>54</v>
      </c>
      <c r="AB2319" t="s">
        <v>7450</v>
      </c>
      <c r="AC2319" t="s">
        <v>85</v>
      </c>
      <c r="AD2319" t="s">
        <v>52</v>
      </c>
      <c r="AE2319" t="s">
        <v>243</v>
      </c>
      <c r="AF2319" t="s">
        <v>2913</v>
      </c>
      <c r="AG2319" t="s">
        <v>58</v>
      </c>
      <c r="AK2319">
        <v>0</v>
      </c>
      <c r="AL2319" t="s">
        <v>61</v>
      </c>
      <c r="AM2319" t="s">
        <v>7451</v>
      </c>
      <c r="AN2319" t="s">
        <v>7452</v>
      </c>
    </row>
    <row r="2320" spans="1:40" x14ac:dyDescent="0.35">
      <c r="A2320" t="s">
        <v>37</v>
      </c>
      <c r="B2320" t="s">
        <v>9249</v>
      </c>
      <c r="C2320" t="s">
        <v>39</v>
      </c>
      <c r="D2320" t="s">
        <v>7445</v>
      </c>
      <c r="E2320" t="s">
        <v>1316</v>
      </c>
      <c r="F2320" s="1">
        <v>46072.412604166668</v>
      </c>
      <c r="G2320" t="s">
        <v>286</v>
      </c>
      <c r="H2320" t="s">
        <v>287</v>
      </c>
      <c r="I2320" t="s">
        <v>9250</v>
      </c>
      <c r="J2320" t="s">
        <v>8674</v>
      </c>
      <c r="K2320" t="s">
        <v>7448</v>
      </c>
      <c r="M2320" t="s">
        <v>47</v>
      </c>
      <c r="O2320" t="s">
        <v>77</v>
      </c>
      <c r="P2320" t="s">
        <v>78</v>
      </c>
      <c r="Q2320" t="s">
        <v>50</v>
      </c>
      <c r="R2320" t="s">
        <v>51</v>
      </c>
      <c r="S2320" t="s">
        <v>52</v>
      </c>
      <c r="T2320" t="s">
        <v>240</v>
      </c>
      <c r="U2320" s="1">
        <v>46072.615231481483</v>
      </c>
      <c r="V2320" t="s">
        <v>54</v>
      </c>
      <c r="W2320" t="s">
        <v>55</v>
      </c>
      <c r="X2320" t="s">
        <v>113</v>
      </c>
      <c r="Y2320" t="s">
        <v>8675</v>
      </c>
      <c r="Z2320" t="s">
        <v>5594</v>
      </c>
      <c r="AA2320" t="s">
        <v>54</v>
      </c>
      <c r="AB2320" t="s">
        <v>8676</v>
      </c>
      <c r="AC2320" t="s">
        <v>85</v>
      </c>
      <c r="AD2320" t="s">
        <v>52</v>
      </c>
      <c r="AE2320" t="s">
        <v>243</v>
      </c>
      <c r="AF2320" t="s">
        <v>244</v>
      </c>
      <c r="AG2320" t="s">
        <v>5594</v>
      </c>
      <c r="AK2320">
        <v>0</v>
      </c>
      <c r="AL2320" t="s">
        <v>61</v>
      </c>
      <c r="AM2320" t="s">
        <v>7451</v>
      </c>
      <c r="AN2320" t="s">
        <v>7452</v>
      </c>
    </row>
    <row r="2321" spans="1:40" x14ac:dyDescent="0.35">
      <c r="A2321" t="s">
        <v>37</v>
      </c>
      <c r="B2321" t="s">
        <v>9251</v>
      </c>
      <c r="C2321" t="s">
        <v>39</v>
      </c>
      <c r="D2321" t="s">
        <v>9200</v>
      </c>
      <c r="E2321" t="s">
        <v>469</v>
      </c>
      <c r="F2321" s="1">
        <v>46072.411481481482</v>
      </c>
      <c r="G2321" t="s">
        <v>261</v>
      </c>
      <c r="H2321" t="s">
        <v>72</v>
      </c>
      <c r="I2321" t="s">
        <v>5051</v>
      </c>
      <c r="J2321" t="s">
        <v>1454</v>
      </c>
      <c r="K2321" t="s">
        <v>75</v>
      </c>
      <c r="M2321" t="s">
        <v>47</v>
      </c>
      <c r="O2321" t="s">
        <v>77</v>
      </c>
      <c r="P2321" t="s">
        <v>78</v>
      </c>
      <c r="Q2321" t="s">
        <v>50</v>
      </c>
      <c r="R2321" t="s">
        <v>79</v>
      </c>
      <c r="S2321" t="s">
        <v>1078</v>
      </c>
      <c r="T2321" t="s">
        <v>1078</v>
      </c>
      <c r="U2321" s="1">
        <v>46072.412395833337</v>
      </c>
      <c r="V2321" t="s">
        <v>54</v>
      </c>
      <c r="W2321" t="s">
        <v>55</v>
      </c>
      <c r="X2321" t="s">
        <v>82</v>
      </c>
      <c r="Y2321" t="s">
        <v>9252</v>
      </c>
      <c r="Z2321" t="s">
        <v>5594</v>
      </c>
      <c r="AA2321" t="s">
        <v>54</v>
      </c>
      <c r="AB2321" t="s">
        <v>2721</v>
      </c>
      <c r="AC2321" t="s">
        <v>85</v>
      </c>
      <c r="AD2321" t="s">
        <v>79</v>
      </c>
      <c r="AE2321" t="s">
        <v>1078</v>
      </c>
      <c r="AF2321" t="s">
        <v>1078</v>
      </c>
      <c r="AG2321" t="s">
        <v>5594</v>
      </c>
      <c r="AH2321">
        <v>15383</v>
      </c>
      <c r="AK2321">
        <v>0</v>
      </c>
      <c r="AL2321" t="s">
        <v>61</v>
      </c>
      <c r="AM2321" t="s">
        <v>9201</v>
      </c>
      <c r="AN2321" t="s">
        <v>9202</v>
      </c>
    </row>
    <row r="2322" spans="1:40" x14ac:dyDescent="0.35">
      <c r="A2322" t="s">
        <v>37</v>
      </c>
      <c r="B2322" t="s">
        <v>9253</v>
      </c>
      <c r="C2322" t="s">
        <v>39</v>
      </c>
      <c r="D2322" t="s">
        <v>2780</v>
      </c>
      <c r="E2322" t="s">
        <v>1231</v>
      </c>
      <c r="F2322" s="1">
        <v>46072.415486111109</v>
      </c>
      <c r="G2322" t="s">
        <v>2015</v>
      </c>
      <c r="H2322" t="s">
        <v>447</v>
      </c>
      <c r="I2322" t="s">
        <v>9254</v>
      </c>
      <c r="J2322" t="s">
        <v>455</v>
      </c>
      <c r="K2322" t="s">
        <v>436</v>
      </c>
      <c r="M2322" t="s">
        <v>47</v>
      </c>
      <c r="O2322" t="s">
        <v>77</v>
      </c>
      <c r="P2322" t="s">
        <v>78</v>
      </c>
      <c r="R2322" t="s">
        <v>51</v>
      </c>
      <c r="S2322" t="s">
        <v>52</v>
      </c>
      <c r="T2322" t="s">
        <v>240</v>
      </c>
      <c r="U2322" s="1">
        <v>46072.423217592594</v>
      </c>
      <c r="V2322" t="s">
        <v>54</v>
      </c>
      <c r="W2322" t="s">
        <v>55</v>
      </c>
      <c r="X2322" t="s">
        <v>82</v>
      </c>
      <c r="Y2322" t="s">
        <v>9255</v>
      </c>
      <c r="Z2322" t="s">
        <v>5594</v>
      </c>
      <c r="AA2322" t="s">
        <v>54</v>
      </c>
      <c r="AB2322" t="s">
        <v>698</v>
      </c>
      <c r="AC2322" t="s">
        <v>85</v>
      </c>
      <c r="AD2322" t="s">
        <v>52</v>
      </c>
      <c r="AE2322" t="s">
        <v>438</v>
      </c>
      <c r="AF2322" t="s">
        <v>775</v>
      </c>
      <c r="AG2322" t="s">
        <v>5594</v>
      </c>
      <c r="AH2322">
        <v>11680</v>
      </c>
      <c r="AK2322">
        <v>1</v>
      </c>
      <c r="AL2322" t="s">
        <v>61</v>
      </c>
      <c r="AM2322" t="s">
        <v>2902</v>
      </c>
      <c r="AN2322" t="s">
        <v>2903</v>
      </c>
    </row>
    <row r="2323" spans="1:40" x14ac:dyDescent="0.35">
      <c r="A2323" t="s">
        <v>37</v>
      </c>
      <c r="B2323" t="s">
        <v>9256</v>
      </c>
      <c r="C2323" t="s">
        <v>102</v>
      </c>
      <c r="D2323" t="s">
        <v>1698</v>
      </c>
      <c r="E2323" t="s">
        <v>584</v>
      </c>
      <c r="F2323" s="1">
        <v>46072.409479166665</v>
      </c>
      <c r="G2323" t="s">
        <v>105</v>
      </c>
      <c r="H2323" t="s">
        <v>106</v>
      </c>
      <c r="I2323" t="s">
        <v>9257</v>
      </c>
      <c r="J2323" t="s">
        <v>108</v>
      </c>
      <c r="K2323" t="s">
        <v>109</v>
      </c>
      <c r="M2323" t="s">
        <v>47</v>
      </c>
      <c r="O2323" t="s">
        <v>77</v>
      </c>
      <c r="P2323" t="s">
        <v>78</v>
      </c>
      <c r="Q2323" t="s">
        <v>50</v>
      </c>
      <c r="R2323" t="s">
        <v>111</v>
      </c>
      <c r="S2323" t="s">
        <v>51</v>
      </c>
      <c r="T2323" t="s">
        <v>112</v>
      </c>
      <c r="U2323" s="1">
        <v>46072.501655092594</v>
      </c>
      <c r="V2323" t="s">
        <v>54</v>
      </c>
      <c r="W2323" t="s">
        <v>55</v>
      </c>
      <c r="X2323" t="s">
        <v>134</v>
      </c>
      <c r="Y2323" t="s">
        <v>9258</v>
      </c>
      <c r="Z2323" t="s">
        <v>5594</v>
      </c>
      <c r="AA2323" t="s">
        <v>54</v>
      </c>
      <c r="AB2323" t="s">
        <v>1701</v>
      </c>
      <c r="AC2323" t="s">
        <v>85</v>
      </c>
      <c r="AD2323" t="s">
        <v>116</v>
      </c>
      <c r="AE2323" t="s">
        <v>117</v>
      </c>
      <c r="AF2323" t="s">
        <v>1706</v>
      </c>
      <c r="AG2323" t="s">
        <v>5594</v>
      </c>
      <c r="AK2323">
        <v>1</v>
      </c>
      <c r="AL2323" t="s">
        <v>61</v>
      </c>
      <c r="AM2323" t="s">
        <v>1701</v>
      </c>
      <c r="AN2323" t="s">
        <v>1702</v>
      </c>
    </row>
    <row r="2324" spans="1:40" x14ac:dyDescent="0.35">
      <c r="A2324" t="s">
        <v>37</v>
      </c>
      <c r="B2324" t="s">
        <v>9259</v>
      </c>
      <c r="C2324" t="s">
        <v>39</v>
      </c>
      <c r="D2324" t="s">
        <v>7445</v>
      </c>
      <c r="E2324" t="s">
        <v>1316</v>
      </c>
      <c r="F2324" s="1">
        <v>46072.40960648148</v>
      </c>
      <c r="G2324" t="s">
        <v>286</v>
      </c>
      <c r="H2324" t="s">
        <v>287</v>
      </c>
      <c r="I2324" t="s">
        <v>9260</v>
      </c>
      <c r="J2324" t="s">
        <v>7447</v>
      </c>
      <c r="K2324" t="s">
        <v>7448</v>
      </c>
      <c r="M2324" t="s">
        <v>131</v>
      </c>
      <c r="O2324" t="s">
        <v>77</v>
      </c>
      <c r="P2324" t="s">
        <v>78</v>
      </c>
      <c r="Q2324" t="s">
        <v>50</v>
      </c>
      <c r="R2324" t="s">
        <v>51</v>
      </c>
      <c r="S2324" t="s">
        <v>52</v>
      </c>
      <c r="T2324" t="s">
        <v>240</v>
      </c>
      <c r="U2324" s="1">
        <v>46078.382581018515</v>
      </c>
      <c r="V2324" t="s">
        <v>54</v>
      </c>
      <c r="W2324" t="s">
        <v>55</v>
      </c>
      <c r="X2324" t="s">
        <v>134</v>
      </c>
      <c r="Y2324" t="s">
        <v>8675</v>
      </c>
      <c r="Z2324" t="s">
        <v>58</v>
      </c>
      <c r="AA2324" t="s">
        <v>54</v>
      </c>
      <c r="AB2324" t="s">
        <v>7450</v>
      </c>
      <c r="AC2324" t="s">
        <v>85</v>
      </c>
      <c r="AD2324" t="s">
        <v>52</v>
      </c>
      <c r="AE2324" t="s">
        <v>243</v>
      </c>
      <c r="AF2324" t="s">
        <v>2913</v>
      </c>
      <c r="AG2324" t="s">
        <v>58</v>
      </c>
      <c r="AK2324">
        <v>0</v>
      </c>
      <c r="AL2324" t="s">
        <v>61</v>
      </c>
      <c r="AM2324" t="s">
        <v>7451</v>
      </c>
      <c r="AN2324" t="s">
        <v>7452</v>
      </c>
    </row>
    <row r="2325" spans="1:40" x14ac:dyDescent="0.35">
      <c r="A2325" t="s">
        <v>37</v>
      </c>
      <c r="B2325" t="s">
        <v>9261</v>
      </c>
      <c r="C2325" t="s">
        <v>39</v>
      </c>
      <c r="D2325" t="s">
        <v>230</v>
      </c>
      <c r="E2325" t="s">
        <v>8719</v>
      </c>
      <c r="F2325" s="1">
        <v>46072.408784722225</v>
      </c>
      <c r="G2325" t="s">
        <v>377</v>
      </c>
      <c r="H2325" t="s">
        <v>287</v>
      </c>
      <c r="I2325" t="s">
        <v>5051</v>
      </c>
      <c r="J2325" t="s">
        <v>1454</v>
      </c>
      <c r="K2325" t="s">
        <v>75</v>
      </c>
      <c r="M2325" t="s">
        <v>47</v>
      </c>
      <c r="O2325" t="s">
        <v>77</v>
      </c>
      <c r="P2325" t="s">
        <v>78</v>
      </c>
      <c r="Q2325" t="s">
        <v>50</v>
      </c>
      <c r="R2325" t="s">
        <v>79</v>
      </c>
      <c r="S2325" t="s">
        <v>1078</v>
      </c>
      <c r="T2325" t="s">
        <v>1078</v>
      </c>
      <c r="U2325" s="1">
        <v>46072.409525462965</v>
      </c>
      <c r="V2325" t="s">
        <v>54</v>
      </c>
      <c r="W2325" t="s">
        <v>55</v>
      </c>
      <c r="X2325" t="s">
        <v>82</v>
      </c>
      <c r="Y2325" t="s">
        <v>9252</v>
      </c>
      <c r="Z2325" t="s">
        <v>5594</v>
      </c>
      <c r="AA2325" t="s">
        <v>54</v>
      </c>
      <c r="AB2325" t="s">
        <v>2721</v>
      </c>
      <c r="AC2325" t="s">
        <v>85</v>
      </c>
      <c r="AD2325" t="s">
        <v>79</v>
      </c>
      <c r="AE2325" t="s">
        <v>1078</v>
      </c>
      <c r="AF2325" t="s">
        <v>1078</v>
      </c>
      <c r="AG2325" t="s">
        <v>5594</v>
      </c>
      <c r="AH2325" t="s">
        <v>8722</v>
      </c>
      <c r="AK2325">
        <v>0</v>
      </c>
      <c r="AL2325" t="s">
        <v>61</v>
      </c>
      <c r="AM2325" t="s">
        <v>8723</v>
      </c>
      <c r="AN2325" t="s">
        <v>8724</v>
      </c>
    </row>
    <row r="2326" spans="1:40" x14ac:dyDescent="0.35">
      <c r="A2326" t="s">
        <v>37</v>
      </c>
      <c r="B2326" t="s">
        <v>9262</v>
      </c>
      <c r="C2326" t="s">
        <v>39</v>
      </c>
      <c r="D2326" t="s">
        <v>1751</v>
      </c>
      <c r="E2326" t="s">
        <v>1316</v>
      </c>
      <c r="F2326" s="1">
        <v>46072.408043981479</v>
      </c>
      <c r="G2326" t="s">
        <v>1752</v>
      </c>
      <c r="H2326" t="s">
        <v>447</v>
      </c>
      <c r="I2326" t="s">
        <v>9263</v>
      </c>
      <c r="J2326" t="s">
        <v>1754</v>
      </c>
      <c r="K2326" t="s">
        <v>1755</v>
      </c>
      <c r="M2326" t="s">
        <v>47</v>
      </c>
      <c r="O2326" t="s">
        <v>77</v>
      </c>
      <c r="P2326" t="s">
        <v>78</v>
      </c>
      <c r="Q2326" t="s">
        <v>50</v>
      </c>
      <c r="R2326" t="s">
        <v>51</v>
      </c>
      <c r="S2326" t="s">
        <v>52</v>
      </c>
      <c r="T2326" t="s">
        <v>773</v>
      </c>
      <c r="U2326" s="1">
        <v>46074.952453703707</v>
      </c>
      <c r="V2326" t="s">
        <v>54</v>
      </c>
      <c r="W2326" t="s">
        <v>55</v>
      </c>
      <c r="X2326" t="s">
        <v>134</v>
      </c>
      <c r="Y2326" t="s">
        <v>9264</v>
      </c>
      <c r="Z2326" t="s">
        <v>5594</v>
      </c>
      <c r="AA2326" t="s">
        <v>54</v>
      </c>
      <c r="AB2326" t="s">
        <v>1757</v>
      </c>
      <c r="AC2326" t="s">
        <v>85</v>
      </c>
      <c r="AD2326" t="s">
        <v>52</v>
      </c>
      <c r="AE2326" t="s">
        <v>243</v>
      </c>
      <c r="AF2326" t="s">
        <v>244</v>
      </c>
      <c r="AG2326" t="s">
        <v>5594</v>
      </c>
      <c r="AK2326">
        <v>1</v>
      </c>
      <c r="AL2326" t="s">
        <v>61</v>
      </c>
      <c r="AM2326" t="s">
        <v>1757</v>
      </c>
      <c r="AN2326" t="s">
        <v>1758</v>
      </c>
    </row>
    <row r="2327" spans="1:40" x14ac:dyDescent="0.35">
      <c r="A2327" t="s">
        <v>37</v>
      </c>
      <c r="B2327" t="s">
        <v>9265</v>
      </c>
      <c r="C2327" t="s">
        <v>39</v>
      </c>
      <c r="D2327" t="s">
        <v>127</v>
      </c>
      <c r="E2327" t="s">
        <v>1158</v>
      </c>
      <c r="F2327" s="1">
        <v>46072.410486111112</v>
      </c>
      <c r="G2327" t="s">
        <v>3396</v>
      </c>
      <c r="H2327" t="s">
        <v>106</v>
      </c>
      <c r="I2327" t="s">
        <v>9266</v>
      </c>
      <c r="J2327" t="s">
        <v>9267</v>
      </c>
      <c r="K2327" t="s">
        <v>75</v>
      </c>
      <c r="M2327" t="s">
        <v>76</v>
      </c>
      <c r="O2327" t="s">
        <v>77</v>
      </c>
      <c r="P2327" t="s">
        <v>78</v>
      </c>
      <c r="Q2327" t="s">
        <v>50</v>
      </c>
      <c r="R2327" t="s">
        <v>79</v>
      </c>
      <c r="S2327" t="s">
        <v>2748</v>
      </c>
      <c r="T2327" t="s">
        <v>9268</v>
      </c>
      <c r="U2327" s="1">
        <v>46078.360520833332</v>
      </c>
      <c r="V2327" t="s">
        <v>54</v>
      </c>
      <c r="W2327" t="s">
        <v>55</v>
      </c>
      <c r="X2327" t="s">
        <v>134</v>
      </c>
      <c r="Y2327" t="s">
        <v>9269</v>
      </c>
      <c r="Z2327" t="s">
        <v>58</v>
      </c>
      <c r="AA2327" t="s">
        <v>54</v>
      </c>
      <c r="AB2327" t="s">
        <v>408</v>
      </c>
      <c r="AC2327" t="s">
        <v>85</v>
      </c>
      <c r="AD2327" t="s">
        <v>79</v>
      </c>
      <c r="AE2327" t="s">
        <v>2748</v>
      </c>
      <c r="AF2327" t="s">
        <v>9268</v>
      </c>
      <c r="AG2327" t="s">
        <v>58</v>
      </c>
      <c r="AH2327">
        <v>13511</v>
      </c>
      <c r="AK2327">
        <v>6</v>
      </c>
      <c r="AL2327" t="s">
        <v>61</v>
      </c>
      <c r="AM2327" t="s">
        <v>9270</v>
      </c>
      <c r="AN2327" t="s">
        <v>9271</v>
      </c>
    </row>
    <row r="2328" spans="1:40" x14ac:dyDescent="0.35">
      <c r="A2328" t="s">
        <v>37</v>
      </c>
      <c r="B2328" t="s">
        <v>9272</v>
      </c>
      <c r="C2328" t="s">
        <v>39</v>
      </c>
      <c r="D2328" t="s">
        <v>9273</v>
      </c>
      <c r="E2328" t="s">
        <v>9274</v>
      </c>
      <c r="F2328" s="1">
        <v>46072.407557870371</v>
      </c>
      <c r="G2328" t="s">
        <v>464</v>
      </c>
      <c r="H2328" t="s">
        <v>287</v>
      </c>
      <c r="I2328" t="s">
        <v>171</v>
      </c>
      <c r="J2328" t="s">
        <v>3423</v>
      </c>
      <c r="K2328" t="s">
        <v>75</v>
      </c>
      <c r="M2328" t="s">
        <v>47</v>
      </c>
      <c r="O2328" t="s">
        <v>77</v>
      </c>
      <c r="P2328" t="s">
        <v>78</v>
      </c>
      <c r="Q2328" t="s">
        <v>4235</v>
      </c>
      <c r="R2328" t="s">
        <v>79</v>
      </c>
      <c r="S2328" t="s">
        <v>172</v>
      </c>
      <c r="T2328" t="s">
        <v>173</v>
      </c>
      <c r="U2328" s="1">
        <v>46072.457650462966</v>
      </c>
      <c r="V2328" t="s">
        <v>54</v>
      </c>
      <c r="W2328" t="s">
        <v>55</v>
      </c>
      <c r="X2328" t="s">
        <v>82</v>
      </c>
      <c r="Y2328" t="s">
        <v>3424</v>
      </c>
      <c r="Z2328" t="s">
        <v>5594</v>
      </c>
      <c r="AA2328" t="s">
        <v>54</v>
      </c>
      <c r="AB2328" t="s">
        <v>3425</v>
      </c>
      <c r="AC2328" t="s">
        <v>85</v>
      </c>
      <c r="AD2328" t="s">
        <v>79</v>
      </c>
      <c r="AE2328" t="s">
        <v>172</v>
      </c>
      <c r="AF2328" t="s">
        <v>173</v>
      </c>
      <c r="AG2328" t="s">
        <v>5594</v>
      </c>
      <c r="AH2328">
        <v>11114</v>
      </c>
      <c r="AK2328">
        <v>0</v>
      </c>
      <c r="AL2328" t="s">
        <v>61</v>
      </c>
      <c r="AM2328" t="s">
        <v>9275</v>
      </c>
      <c r="AN2328" t="s">
        <v>9276</v>
      </c>
    </row>
    <row r="2329" spans="1:40" x14ac:dyDescent="0.35">
      <c r="A2329" t="s">
        <v>37</v>
      </c>
      <c r="B2329" t="s">
        <v>9277</v>
      </c>
      <c r="C2329" t="s">
        <v>102</v>
      </c>
      <c r="D2329" t="s">
        <v>1698</v>
      </c>
      <c r="E2329" t="s">
        <v>584</v>
      </c>
      <c r="F2329" s="1">
        <v>46072.405243055553</v>
      </c>
      <c r="G2329" t="s">
        <v>105</v>
      </c>
      <c r="H2329" t="s">
        <v>106</v>
      </c>
      <c r="I2329" t="s">
        <v>2905</v>
      </c>
      <c r="J2329" t="s">
        <v>108</v>
      </c>
      <c r="K2329" t="s">
        <v>571</v>
      </c>
      <c r="M2329" t="s">
        <v>47</v>
      </c>
      <c r="O2329" t="s">
        <v>77</v>
      </c>
      <c r="P2329" t="s">
        <v>78</v>
      </c>
      <c r="Q2329" t="s">
        <v>50</v>
      </c>
      <c r="R2329" t="s">
        <v>111</v>
      </c>
      <c r="S2329" t="s">
        <v>51</v>
      </c>
      <c r="T2329" t="s">
        <v>112</v>
      </c>
      <c r="U2329" s="1">
        <v>46072.490856481483</v>
      </c>
      <c r="V2329" t="s">
        <v>54</v>
      </c>
      <c r="W2329" t="s">
        <v>55</v>
      </c>
      <c r="X2329" t="s">
        <v>134</v>
      </c>
      <c r="Y2329" t="s">
        <v>1680</v>
      </c>
      <c r="Z2329" t="s">
        <v>5594</v>
      </c>
      <c r="AA2329" t="s">
        <v>54</v>
      </c>
      <c r="AB2329" t="s">
        <v>1701</v>
      </c>
      <c r="AC2329" t="s">
        <v>85</v>
      </c>
      <c r="AD2329" t="s">
        <v>116</v>
      </c>
      <c r="AE2329" t="s">
        <v>574</v>
      </c>
      <c r="AF2329" t="s">
        <v>144</v>
      </c>
      <c r="AG2329" t="s">
        <v>5594</v>
      </c>
      <c r="AK2329">
        <v>1</v>
      </c>
      <c r="AL2329" t="s">
        <v>61</v>
      </c>
      <c r="AM2329" t="s">
        <v>1701</v>
      </c>
      <c r="AN2329" t="s">
        <v>1702</v>
      </c>
    </row>
    <row r="2330" spans="1:40" x14ac:dyDescent="0.35">
      <c r="A2330" t="s">
        <v>37</v>
      </c>
      <c r="B2330" t="s">
        <v>9278</v>
      </c>
      <c r="C2330" t="s">
        <v>352</v>
      </c>
      <c r="D2330" t="s">
        <v>9279</v>
      </c>
      <c r="E2330" t="s">
        <v>9280</v>
      </c>
      <c r="F2330" s="1">
        <v>46072.404733796298</v>
      </c>
      <c r="G2330" t="s">
        <v>534</v>
      </c>
      <c r="H2330" t="s">
        <v>447</v>
      </c>
      <c r="I2330" t="s">
        <v>9281</v>
      </c>
      <c r="J2330" t="s">
        <v>9282</v>
      </c>
      <c r="K2330" t="s">
        <v>9283</v>
      </c>
      <c r="M2330" t="s">
        <v>47</v>
      </c>
      <c r="O2330" t="s">
        <v>48</v>
      </c>
      <c r="P2330" t="s">
        <v>49</v>
      </c>
      <c r="Q2330" t="s">
        <v>50</v>
      </c>
      <c r="R2330" t="s">
        <v>51</v>
      </c>
      <c r="S2330" t="s">
        <v>52</v>
      </c>
      <c r="T2330" t="s">
        <v>240</v>
      </c>
      <c r="U2330" s="1">
        <v>46073.60837962963</v>
      </c>
      <c r="V2330" t="s">
        <v>54</v>
      </c>
      <c r="W2330" t="s">
        <v>55</v>
      </c>
      <c r="X2330" t="s">
        <v>134</v>
      </c>
      <c r="Y2330" t="s">
        <v>9284</v>
      </c>
      <c r="Z2330" t="s">
        <v>5594</v>
      </c>
      <c r="AA2330" t="s">
        <v>54</v>
      </c>
      <c r="AB2330" t="s">
        <v>458</v>
      </c>
      <c r="AC2330" t="s">
        <v>60</v>
      </c>
      <c r="AD2330" t="s">
        <v>51</v>
      </c>
      <c r="AE2330" t="s">
        <v>52</v>
      </c>
      <c r="AF2330" t="s">
        <v>240</v>
      </c>
      <c r="AG2330" t="s">
        <v>5594</v>
      </c>
      <c r="AH2330">
        <v>14282</v>
      </c>
      <c r="AK2330">
        <v>3</v>
      </c>
      <c r="AL2330" t="s">
        <v>61</v>
      </c>
      <c r="AM2330" t="s">
        <v>9285</v>
      </c>
      <c r="AN2330" t="s">
        <v>9286</v>
      </c>
    </row>
    <row r="2331" spans="1:40" x14ac:dyDescent="0.35">
      <c r="A2331" t="s">
        <v>37</v>
      </c>
      <c r="B2331" t="s">
        <v>9287</v>
      </c>
      <c r="C2331" t="s">
        <v>39</v>
      </c>
      <c r="D2331" t="s">
        <v>9288</v>
      </c>
      <c r="E2331" t="s">
        <v>9289</v>
      </c>
      <c r="F2331" s="1">
        <v>46072.404710648145</v>
      </c>
      <c r="G2331" t="s">
        <v>913</v>
      </c>
      <c r="H2331" t="s">
        <v>72</v>
      </c>
      <c r="I2331" t="s">
        <v>9290</v>
      </c>
      <c r="J2331" t="s">
        <v>2718</v>
      </c>
      <c r="K2331" t="s">
        <v>951</v>
      </c>
      <c r="M2331" t="s">
        <v>47</v>
      </c>
      <c r="O2331" t="s">
        <v>48</v>
      </c>
      <c r="P2331" t="s">
        <v>49</v>
      </c>
      <c r="Q2331" t="s">
        <v>50</v>
      </c>
      <c r="R2331" t="s">
        <v>79</v>
      </c>
      <c r="S2331" t="s">
        <v>952</v>
      </c>
      <c r="T2331" t="s">
        <v>9291</v>
      </c>
      <c r="U2331" s="1">
        <v>46072.413703703707</v>
      </c>
      <c r="V2331" t="s">
        <v>54</v>
      </c>
      <c r="W2331" t="s">
        <v>55</v>
      </c>
      <c r="X2331" t="s">
        <v>82</v>
      </c>
      <c r="Y2331" t="s">
        <v>9292</v>
      </c>
      <c r="Z2331" t="s">
        <v>5594</v>
      </c>
      <c r="AA2331" t="s">
        <v>54</v>
      </c>
      <c r="AB2331" t="s">
        <v>1503</v>
      </c>
      <c r="AC2331" t="s">
        <v>60</v>
      </c>
      <c r="AD2331" t="s">
        <v>79</v>
      </c>
      <c r="AE2331" t="s">
        <v>952</v>
      </c>
      <c r="AF2331" t="s">
        <v>9291</v>
      </c>
      <c r="AG2331" t="s">
        <v>5594</v>
      </c>
      <c r="AH2331">
        <v>13584</v>
      </c>
      <c r="AK2331">
        <v>1</v>
      </c>
      <c r="AL2331" t="s">
        <v>61</v>
      </c>
      <c r="AM2331" t="s">
        <v>9293</v>
      </c>
      <c r="AN2331" t="s">
        <v>9294</v>
      </c>
    </row>
    <row r="2332" spans="1:40" x14ac:dyDescent="0.35">
      <c r="A2332" t="s">
        <v>37</v>
      </c>
      <c r="B2332" t="s">
        <v>9295</v>
      </c>
      <c r="C2332" t="s">
        <v>39</v>
      </c>
      <c r="D2332" t="s">
        <v>799</v>
      </c>
      <c r="E2332" t="s">
        <v>4755</v>
      </c>
      <c r="F2332" s="1">
        <v>46072.401064814818</v>
      </c>
      <c r="G2332" t="s">
        <v>286</v>
      </c>
      <c r="H2332" t="s">
        <v>287</v>
      </c>
      <c r="I2332" t="s">
        <v>9296</v>
      </c>
      <c r="J2332" t="s">
        <v>2894</v>
      </c>
      <c r="K2332" t="s">
        <v>951</v>
      </c>
      <c r="M2332" t="s">
        <v>47</v>
      </c>
      <c r="O2332" t="s">
        <v>48</v>
      </c>
      <c r="P2332" t="s">
        <v>49</v>
      </c>
      <c r="Q2332" t="s">
        <v>50</v>
      </c>
      <c r="R2332" t="s">
        <v>79</v>
      </c>
      <c r="S2332" t="s">
        <v>642</v>
      </c>
      <c r="T2332" t="s">
        <v>9297</v>
      </c>
      <c r="U2332" s="1">
        <v>46072.46802083333</v>
      </c>
      <c r="V2332" t="s">
        <v>54</v>
      </c>
      <c r="W2332" t="s">
        <v>55</v>
      </c>
      <c r="X2332" t="s">
        <v>82</v>
      </c>
      <c r="Y2332" t="s">
        <v>9298</v>
      </c>
      <c r="Z2332" t="s">
        <v>5594</v>
      </c>
      <c r="AA2332" t="s">
        <v>54</v>
      </c>
      <c r="AB2332" t="s">
        <v>458</v>
      </c>
      <c r="AC2332" t="s">
        <v>60</v>
      </c>
      <c r="AD2332" t="s">
        <v>79</v>
      </c>
      <c r="AE2332" t="s">
        <v>642</v>
      </c>
      <c r="AF2332" t="s">
        <v>9297</v>
      </c>
      <c r="AG2332" t="s">
        <v>5594</v>
      </c>
      <c r="AH2332">
        <v>13357</v>
      </c>
      <c r="AK2332">
        <v>1</v>
      </c>
      <c r="AL2332" t="s">
        <v>61</v>
      </c>
      <c r="AM2332" t="s">
        <v>8945</v>
      </c>
      <c r="AN2332" t="s">
        <v>8946</v>
      </c>
    </row>
    <row r="2333" spans="1:40" x14ac:dyDescent="0.35">
      <c r="A2333" t="s">
        <v>37</v>
      </c>
      <c r="B2333" t="s">
        <v>9299</v>
      </c>
      <c r="C2333" t="s">
        <v>39</v>
      </c>
      <c r="D2333" t="s">
        <v>2024</v>
      </c>
      <c r="E2333" t="s">
        <v>5025</v>
      </c>
      <c r="F2333" s="1">
        <v>46072.398553240739</v>
      </c>
      <c r="G2333" t="s">
        <v>3050</v>
      </c>
      <c r="H2333" t="s">
        <v>233</v>
      </c>
      <c r="I2333" t="s">
        <v>1185</v>
      </c>
      <c r="J2333" t="s">
        <v>2406</v>
      </c>
      <c r="K2333" t="s">
        <v>1187</v>
      </c>
      <c r="M2333" t="s">
        <v>131</v>
      </c>
      <c r="O2333" t="s">
        <v>77</v>
      </c>
      <c r="P2333" t="s">
        <v>78</v>
      </c>
      <c r="Q2333" t="s">
        <v>50</v>
      </c>
      <c r="R2333" t="s">
        <v>305</v>
      </c>
      <c r="S2333" t="s">
        <v>306</v>
      </c>
      <c r="T2333" t="s">
        <v>307</v>
      </c>
      <c r="U2333" s="1">
        <v>46076.640775462962</v>
      </c>
      <c r="V2333" t="s">
        <v>54</v>
      </c>
      <c r="W2333" t="s">
        <v>55</v>
      </c>
      <c r="X2333" t="s">
        <v>211</v>
      </c>
      <c r="Y2333" t="s">
        <v>9300</v>
      </c>
      <c r="Z2333" t="s">
        <v>58</v>
      </c>
      <c r="AA2333" t="s">
        <v>54</v>
      </c>
      <c r="AB2333" t="s">
        <v>213</v>
      </c>
      <c r="AC2333" t="s">
        <v>85</v>
      </c>
      <c r="AD2333" t="s">
        <v>1189</v>
      </c>
      <c r="AE2333" t="s">
        <v>1190</v>
      </c>
      <c r="AF2333" t="s">
        <v>1191</v>
      </c>
      <c r="AG2333" t="s">
        <v>58</v>
      </c>
      <c r="AH2333">
        <v>15975</v>
      </c>
      <c r="AK2333">
        <v>3</v>
      </c>
      <c r="AL2333" t="s">
        <v>61</v>
      </c>
      <c r="AM2333" t="s">
        <v>5030</v>
      </c>
      <c r="AN2333" t="s">
        <v>5031</v>
      </c>
    </row>
    <row r="2334" spans="1:40" x14ac:dyDescent="0.35">
      <c r="A2334" t="s">
        <v>37</v>
      </c>
      <c r="B2334" t="s">
        <v>9301</v>
      </c>
      <c r="C2334" t="s">
        <v>102</v>
      </c>
      <c r="D2334" t="s">
        <v>391</v>
      </c>
      <c r="E2334" t="s">
        <v>6180</v>
      </c>
      <c r="F2334" s="1">
        <v>46072.398344907408</v>
      </c>
      <c r="G2334" t="s">
        <v>204</v>
      </c>
      <c r="H2334" t="s">
        <v>92</v>
      </c>
      <c r="I2334" t="s">
        <v>9302</v>
      </c>
      <c r="J2334" t="s">
        <v>557</v>
      </c>
      <c r="K2334" t="s">
        <v>75</v>
      </c>
      <c r="M2334" t="s">
        <v>76</v>
      </c>
      <c r="O2334" t="s">
        <v>237</v>
      </c>
      <c r="P2334" t="s">
        <v>238</v>
      </c>
      <c r="Q2334" t="s">
        <v>50</v>
      </c>
      <c r="R2334" t="s">
        <v>305</v>
      </c>
      <c r="S2334" t="s">
        <v>306</v>
      </c>
      <c r="T2334" t="s">
        <v>307</v>
      </c>
      <c r="U2334" s="1">
        <v>46077.417071759257</v>
      </c>
      <c r="V2334" t="s">
        <v>54</v>
      </c>
      <c r="W2334" t="s">
        <v>55</v>
      </c>
      <c r="X2334" t="s">
        <v>211</v>
      </c>
      <c r="Y2334" t="s">
        <v>9303</v>
      </c>
      <c r="Z2334" t="s">
        <v>58</v>
      </c>
      <c r="AA2334" t="s">
        <v>54</v>
      </c>
      <c r="AB2334" t="s">
        <v>213</v>
      </c>
      <c r="AC2334" t="s">
        <v>242</v>
      </c>
      <c r="AD2334" t="s">
        <v>79</v>
      </c>
      <c r="AE2334" t="s">
        <v>936</v>
      </c>
      <c r="AF2334" t="s">
        <v>9198</v>
      </c>
      <c r="AG2334" t="s">
        <v>58</v>
      </c>
      <c r="AH2334">
        <v>12182</v>
      </c>
      <c r="AK2334">
        <v>6</v>
      </c>
      <c r="AL2334" t="s">
        <v>61</v>
      </c>
      <c r="AM2334" t="s">
        <v>6181</v>
      </c>
      <c r="AN2334" t="s">
        <v>6182</v>
      </c>
    </row>
    <row r="2335" spans="1:40" x14ac:dyDescent="0.35">
      <c r="A2335" t="s">
        <v>37</v>
      </c>
      <c r="B2335" t="s">
        <v>9304</v>
      </c>
      <c r="C2335" t="s">
        <v>102</v>
      </c>
      <c r="D2335" t="s">
        <v>761</v>
      </c>
      <c r="E2335" t="s">
        <v>762</v>
      </c>
      <c r="F2335" s="1">
        <v>46072.399050925924</v>
      </c>
      <c r="G2335" t="s">
        <v>105</v>
      </c>
      <c r="H2335" t="s">
        <v>106</v>
      </c>
      <c r="I2335" t="s">
        <v>9305</v>
      </c>
      <c r="J2335" t="s">
        <v>108</v>
      </c>
      <c r="K2335" t="s">
        <v>341</v>
      </c>
      <c r="M2335" t="s">
        <v>47</v>
      </c>
      <c r="O2335" t="s">
        <v>77</v>
      </c>
      <c r="P2335" t="s">
        <v>78</v>
      </c>
      <c r="R2335" t="s">
        <v>111</v>
      </c>
      <c r="S2335" t="s">
        <v>51</v>
      </c>
      <c r="T2335" t="s">
        <v>112</v>
      </c>
      <c r="U2335" s="1">
        <v>46072.489236111112</v>
      </c>
      <c r="V2335" t="s">
        <v>54</v>
      </c>
      <c r="X2335" t="s">
        <v>134</v>
      </c>
      <c r="Y2335" t="s">
        <v>9306</v>
      </c>
      <c r="Z2335" t="s">
        <v>5594</v>
      </c>
      <c r="AA2335" t="s">
        <v>54</v>
      </c>
      <c r="AB2335" t="s">
        <v>115</v>
      </c>
      <c r="AC2335" t="s">
        <v>85</v>
      </c>
      <c r="AD2335" t="s">
        <v>116</v>
      </c>
      <c r="AE2335" t="s">
        <v>334</v>
      </c>
      <c r="AF2335" t="s">
        <v>9307</v>
      </c>
      <c r="AG2335" t="s">
        <v>5594</v>
      </c>
      <c r="AH2335" t="s">
        <v>765</v>
      </c>
      <c r="AK2335">
        <v>1</v>
      </c>
      <c r="AL2335" t="s">
        <v>61</v>
      </c>
      <c r="AM2335" t="s">
        <v>766</v>
      </c>
      <c r="AN2335" t="s">
        <v>767</v>
      </c>
    </row>
    <row r="2336" spans="1:40" x14ac:dyDescent="0.35">
      <c r="A2336" t="s">
        <v>37</v>
      </c>
      <c r="B2336" t="s">
        <v>9308</v>
      </c>
      <c r="C2336" t="s">
        <v>656</v>
      </c>
      <c r="D2336" t="s">
        <v>9309</v>
      </c>
      <c r="E2336" t="s">
        <v>747</v>
      </c>
      <c r="F2336" s="1">
        <v>46072.395289351851</v>
      </c>
      <c r="G2336" t="s">
        <v>42</v>
      </c>
      <c r="H2336" t="s">
        <v>43</v>
      </c>
      <c r="I2336" t="s">
        <v>9310</v>
      </c>
      <c r="J2336" t="s">
        <v>660</v>
      </c>
      <c r="K2336" t="s">
        <v>661</v>
      </c>
      <c r="M2336" t="s">
        <v>47</v>
      </c>
      <c r="O2336" t="s">
        <v>77</v>
      </c>
      <c r="P2336" t="s">
        <v>78</v>
      </c>
      <c r="Q2336" t="s">
        <v>50</v>
      </c>
      <c r="R2336" t="s">
        <v>662</v>
      </c>
      <c r="S2336" t="s">
        <v>663</v>
      </c>
      <c r="T2336" t="s">
        <v>989</v>
      </c>
      <c r="U2336" s="1">
        <v>46072.564733796295</v>
      </c>
      <c r="V2336" t="s">
        <v>54</v>
      </c>
      <c r="W2336" t="s">
        <v>55</v>
      </c>
      <c r="X2336" t="s">
        <v>134</v>
      </c>
      <c r="Y2336" t="s">
        <v>9311</v>
      </c>
      <c r="Z2336" t="s">
        <v>5594</v>
      </c>
      <c r="AA2336" t="s">
        <v>54</v>
      </c>
      <c r="AB2336" t="s">
        <v>408</v>
      </c>
      <c r="AC2336" t="s">
        <v>85</v>
      </c>
      <c r="AD2336" t="s">
        <v>667</v>
      </c>
      <c r="AE2336" t="s">
        <v>667</v>
      </c>
      <c r="AF2336" t="s">
        <v>989</v>
      </c>
      <c r="AG2336" t="s">
        <v>5594</v>
      </c>
      <c r="AH2336" t="s">
        <v>9312</v>
      </c>
      <c r="AK2336">
        <v>1</v>
      </c>
      <c r="AL2336" t="s">
        <v>61</v>
      </c>
      <c r="AM2336" t="s">
        <v>9313</v>
      </c>
      <c r="AN2336" t="s">
        <v>9314</v>
      </c>
    </row>
    <row r="2337" spans="1:40" x14ac:dyDescent="0.35">
      <c r="A2337" t="s">
        <v>37</v>
      </c>
      <c r="B2337" t="s">
        <v>9315</v>
      </c>
      <c r="C2337" t="s">
        <v>39</v>
      </c>
      <c r="D2337" t="s">
        <v>9316</v>
      </c>
      <c r="E2337" t="s">
        <v>127</v>
      </c>
      <c r="F2337" s="1">
        <v>46072.399884259263</v>
      </c>
      <c r="G2337" t="s">
        <v>105</v>
      </c>
      <c r="H2337" t="s">
        <v>106</v>
      </c>
      <c r="I2337" t="s">
        <v>9317</v>
      </c>
      <c r="J2337" t="s">
        <v>9282</v>
      </c>
      <c r="K2337" t="s">
        <v>9283</v>
      </c>
      <c r="M2337" t="s">
        <v>131</v>
      </c>
      <c r="O2337" t="s">
        <v>77</v>
      </c>
      <c r="P2337" t="s">
        <v>78</v>
      </c>
      <c r="Q2337" t="s">
        <v>50</v>
      </c>
      <c r="R2337" t="s">
        <v>79</v>
      </c>
      <c r="S2337" t="s">
        <v>975</v>
      </c>
      <c r="T2337" t="s">
        <v>2280</v>
      </c>
      <c r="U2337" s="1">
        <v>46078.683599537035</v>
      </c>
      <c r="V2337" t="s">
        <v>54</v>
      </c>
      <c r="W2337" t="s">
        <v>55</v>
      </c>
      <c r="X2337" t="s">
        <v>82</v>
      </c>
      <c r="Y2337" t="s">
        <v>9318</v>
      </c>
      <c r="Z2337" t="s">
        <v>58</v>
      </c>
      <c r="AA2337" t="s">
        <v>54</v>
      </c>
      <c r="AB2337" t="s">
        <v>396</v>
      </c>
      <c r="AC2337" t="s">
        <v>85</v>
      </c>
      <c r="AD2337" t="s">
        <v>79</v>
      </c>
      <c r="AE2337" t="s">
        <v>936</v>
      </c>
      <c r="AF2337" t="s">
        <v>937</v>
      </c>
      <c r="AG2337" t="s">
        <v>58</v>
      </c>
      <c r="AH2337">
        <v>14550</v>
      </c>
      <c r="AK2337">
        <v>1</v>
      </c>
      <c r="AL2337" t="s">
        <v>61</v>
      </c>
      <c r="AM2337" t="s">
        <v>9319</v>
      </c>
      <c r="AN2337" t="s">
        <v>9320</v>
      </c>
    </row>
    <row r="2338" spans="1:40" x14ac:dyDescent="0.35">
      <c r="A2338" t="s">
        <v>37</v>
      </c>
      <c r="B2338" t="s">
        <v>9321</v>
      </c>
      <c r="C2338" t="s">
        <v>39</v>
      </c>
      <c r="D2338" t="s">
        <v>1085</v>
      </c>
      <c r="E2338" t="s">
        <v>303</v>
      </c>
      <c r="F2338" s="1">
        <v>46072.391782407409</v>
      </c>
      <c r="G2338" t="s">
        <v>393</v>
      </c>
      <c r="H2338" t="s">
        <v>92</v>
      </c>
      <c r="I2338" t="s">
        <v>4509</v>
      </c>
      <c r="J2338" t="s">
        <v>2333</v>
      </c>
      <c r="K2338" t="s">
        <v>1187</v>
      </c>
      <c r="M2338" t="s">
        <v>76</v>
      </c>
      <c r="O2338" t="s">
        <v>77</v>
      </c>
      <c r="P2338" t="s">
        <v>78</v>
      </c>
      <c r="Q2338" t="s">
        <v>50</v>
      </c>
      <c r="R2338" t="s">
        <v>79</v>
      </c>
      <c r="S2338" t="s">
        <v>172</v>
      </c>
      <c r="T2338" t="s">
        <v>4510</v>
      </c>
      <c r="U2338" s="1">
        <v>46078.308703703704</v>
      </c>
      <c r="V2338" t="s">
        <v>54</v>
      </c>
      <c r="W2338" t="s">
        <v>55</v>
      </c>
      <c r="X2338" t="s">
        <v>134</v>
      </c>
      <c r="Y2338" t="s">
        <v>9322</v>
      </c>
      <c r="Z2338" t="s">
        <v>58</v>
      </c>
      <c r="AA2338" t="s">
        <v>54</v>
      </c>
      <c r="AB2338" t="s">
        <v>408</v>
      </c>
      <c r="AC2338" t="s">
        <v>85</v>
      </c>
      <c r="AD2338" t="s">
        <v>1189</v>
      </c>
      <c r="AE2338" t="s">
        <v>1190</v>
      </c>
      <c r="AF2338" t="s">
        <v>4512</v>
      </c>
      <c r="AG2338" t="s">
        <v>58</v>
      </c>
      <c r="AH2338">
        <v>12592</v>
      </c>
      <c r="AK2338">
        <v>3</v>
      </c>
      <c r="AL2338" t="s">
        <v>61</v>
      </c>
      <c r="AM2338" t="s">
        <v>2704</v>
      </c>
      <c r="AN2338" t="s">
        <v>2705</v>
      </c>
    </row>
    <row r="2339" spans="1:40" x14ac:dyDescent="0.35">
      <c r="A2339" t="s">
        <v>37</v>
      </c>
      <c r="B2339" t="s">
        <v>9323</v>
      </c>
      <c r="C2339" t="s">
        <v>102</v>
      </c>
      <c r="D2339" t="s">
        <v>1698</v>
      </c>
      <c r="E2339" t="s">
        <v>584</v>
      </c>
      <c r="F2339" s="1">
        <v>46072.389861111114</v>
      </c>
      <c r="G2339" t="s">
        <v>105</v>
      </c>
      <c r="H2339" t="s">
        <v>106</v>
      </c>
      <c r="I2339" t="s">
        <v>1848</v>
      </c>
      <c r="J2339" t="s">
        <v>108</v>
      </c>
      <c r="K2339" t="s">
        <v>109</v>
      </c>
      <c r="M2339" t="s">
        <v>47</v>
      </c>
      <c r="O2339" t="s">
        <v>77</v>
      </c>
      <c r="P2339" t="s">
        <v>78</v>
      </c>
      <c r="Q2339" t="s">
        <v>50</v>
      </c>
      <c r="R2339" t="s">
        <v>111</v>
      </c>
      <c r="S2339" t="s">
        <v>51</v>
      </c>
      <c r="T2339" t="s">
        <v>112</v>
      </c>
      <c r="U2339" s="1">
        <v>46072.50209490741</v>
      </c>
      <c r="V2339" t="s">
        <v>54</v>
      </c>
      <c r="W2339" t="s">
        <v>55</v>
      </c>
      <c r="X2339" t="s">
        <v>134</v>
      </c>
      <c r="Y2339" t="s">
        <v>9324</v>
      </c>
      <c r="Z2339" t="s">
        <v>5594</v>
      </c>
      <c r="AA2339" t="s">
        <v>54</v>
      </c>
      <c r="AB2339" t="s">
        <v>1701</v>
      </c>
      <c r="AC2339" t="s">
        <v>85</v>
      </c>
      <c r="AD2339" t="s">
        <v>116</v>
      </c>
      <c r="AE2339" t="s">
        <v>117</v>
      </c>
      <c r="AF2339" t="s">
        <v>1706</v>
      </c>
      <c r="AG2339" t="s">
        <v>5594</v>
      </c>
      <c r="AK2339">
        <v>1</v>
      </c>
      <c r="AL2339" t="s">
        <v>61</v>
      </c>
      <c r="AM2339" t="s">
        <v>1701</v>
      </c>
      <c r="AN2339" t="s">
        <v>1702</v>
      </c>
    </row>
    <row r="2340" spans="1:40" x14ac:dyDescent="0.35">
      <c r="A2340" t="s">
        <v>37</v>
      </c>
      <c r="B2340" t="s">
        <v>9325</v>
      </c>
      <c r="C2340" t="s">
        <v>39</v>
      </c>
      <c r="D2340" t="s">
        <v>1751</v>
      </c>
      <c r="E2340" t="s">
        <v>1316</v>
      </c>
      <c r="F2340" s="1">
        <v>46072.389120370368</v>
      </c>
      <c r="G2340" t="s">
        <v>1752</v>
      </c>
      <c r="H2340" t="s">
        <v>447</v>
      </c>
      <c r="I2340" t="s">
        <v>9326</v>
      </c>
      <c r="J2340" t="s">
        <v>1754</v>
      </c>
      <c r="K2340" t="s">
        <v>1755</v>
      </c>
      <c r="M2340" t="s">
        <v>47</v>
      </c>
      <c r="O2340" t="s">
        <v>77</v>
      </c>
      <c r="P2340" t="s">
        <v>78</v>
      </c>
      <c r="Q2340" t="s">
        <v>50</v>
      </c>
      <c r="R2340" t="s">
        <v>51</v>
      </c>
      <c r="S2340" t="s">
        <v>52</v>
      </c>
      <c r="T2340" t="s">
        <v>773</v>
      </c>
      <c r="U2340" s="1">
        <v>46074.949872685182</v>
      </c>
      <c r="V2340" t="s">
        <v>54</v>
      </c>
      <c r="W2340" t="s">
        <v>55</v>
      </c>
      <c r="X2340" t="s">
        <v>134</v>
      </c>
      <c r="Y2340" t="s">
        <v>9327</v>
      </c>
      <c r="Z2340" t="s">
        <v>5594</v>
      </c>
      <c r="AA2340" t="s">
        <v>54</v>
      </c>
      <c r="AB2340" t="s">
        <v>1757</v>
      </c>
      <c r="AC2340" t="s">
        <v>85</v>
      </c>
      <c r="AD2340" t="s">
        <v>52</v>
      </c>
      <c r="AE2340" t="s">
        <v>243</v>
      </c>
      <c r="AF2340" t="s">
        <v>244</v>
      </c>
      <c r="AG2340" t="s">
        <v>5594</v>
      </c>
      <c r="AK2340">
        <v>1</v>
      </c>
      <c r="AL2340" t="s">
        <v>61</v>
      </c>
      <c r="AM2340" t="s">
        <v>1757</v>
      </c>
      <c r="AN2340" t="s">
        <v>1758</v>
      </c>
    </row>
    <row r="2341" spans="1:40" x14ac:dyDescent="0.35">
      <c r="A2341" t="s">
        <v>37</v>
      </c>
      <c r="B2341" t="s">
        <v>9328</v>
      </c>
      <c r="C2341" t="s">
        <v>102</v>
      </c>
      <c r="D2341" t="s">
        <v>617</v>
      </c>
      <c r="E2341" t="s">
        <v>618</v>
      </c>
      <c r="F2341" s="1">
        <v>46072.390428240738</v>
      </c>
      <c r="G2341" t="s">
        <v>286</v>
      </c>
      <c r="H2341" t="s">
        <v>287</v>
      </c>
      <c r="I2341" t="s">
        <v>8970</v>
      </c>
      <c r="J2341" t="s">
        <v>620</v>
      </c>
      <c r="K2341" t="s">
        <v>130</v>
      </c>
      <c r="M2341" t="s">
        <v>47</v>
      </c>
      <c r="O2341" t="s">
        <v>77</v>
      </c>
      <c r="P2341" t="s">
        <v>78</v>
      </c>
      <c r="Q2341" t="s">
        <v>50</v>
      </c>
      <c r="R2341" t="s">
        <v>132</v>
      </c>
      <c r="S2341" t="s">
        <v>133</v>
      </c>
      <c r="T2341" t="s">
        <v>133</v>
      </c>
      <c r="U2341" s="1">
        <v>46072.501226851855</v>
      </c>
      <c r="V2341" t="s">
        <v>54</v>
      </c>
      <c r="W2341" t="s">
        <v>55</v>
      </c>
      <c r="X2341" t="s">
        <v>134</v>
      </c>
      <c r="Y2341" t="s">
        <v>9329</v>
      </c>
      <c r="Z2341" t="s">
        <v>5594</v>
      </c>
      <c r="AA2341" t="s">
        <v>54</v>
      </c>
      <c r="AB2341" t="s">
        <v>622</v>
      </c>
      <c r="AC2341" t="s">
        <v>85</v>
      </c>
      <c r="AD2341" t="s">
        <v>132</v>
      </c>
      <c r="AE2341" t="s">
        <v>133</v>
      </c>
      <c r="AF2341" t="s">
        <v>133</v>
      </c>
      <c r="AG2341" t="s">
        <v>5594</v>
      </c>
      <c r="AH2341" t="s">
        <v>623</v>
      </c>
      <c r="AK2341">
        <v>1</v>
      </c>
      <c r="AL2341" t="s">
        <v>61</v>
      </c>
      <c r="AM2341" t="s">
        <v>622</v>
      </c>
      <c r="AN2341" t="s">
        <v>624</v>
      </c>
    </row>
    <row r="2342" spans="1:40" x14ac:dyDescent="0.35">
      <c r="A2342" t="s">
        <v>37</v>
      </c>
      <c r="B2342" t="s">
        <v>9330</v>
      </c>
      <c r="C2342" t="s">
        <v>39</v>
      </c>
      <c r="D2342" t="s">
        <v>9331</v>
      </c>
      <c r="E2342" t="s">
        <v>9332</v>
      </c>
      <c r="F2342" s="1">
        <v>46072.387187499997</v>
      </c>
      <c r="G2342" t="s">
        <v>1249</v>
      </c>
      <c r="H2342" t="s">
        <v>233</v>
      </c>
      <c r="I2342" t="s">
        <v>1185</v>
      </c>
      <c r="J2342" t="s">
        <v>1186</v>
      </c>
      <c r="K2342" t="s">
        <v>1187</v>
      </c>
      <c r="M2342" t="s">
        <v>47</v>
      </c>
      <c r="O2342" t="s">
        <v>77</v>
      </c>
      <c r="P2342" t="s">
        <v>78</v>
      </c>
      <c r="Q2342" t="s">
        <v>4186</v>
      </c>
      <c r="R2342" t="s">
        <v>305</v>
      </c>
      <c r="S2342" t="s">
        <v>306</v>
      </c>
      <c r="T2342" t="s">
        <v>307</v>
      </c>
      <c r="U2342" s="1">
        <v>46073.456006944441</v>
      </c>
      <c r="V2342" t="s">
        <v>54</v>
      </c>
      <c r="W2342" t="s">
        <v>55</v>
      </c>
      <c r="X2342" t="s">
        <v>211</v>
      </c>
      <c r="Y2342" t="s">
        <v>1188</v>
      </c>
      <c r="Z2342" t="s">
        <v>5594</v>
      </c>
      <c r="AA2342" t="s">
        <v>54</v>
      </c>
      <c r="AB2342" t="s">
        <v>213</v>
      </c>
      <c r="AC2342" t="s">
        <v>85</v>
      </c>
      <c r="AD2342" t="s">
        <v>1189</v>
      </c>
      <c r="AE2342" t="s">
        <v>1190</v>
      </c>
      <c r="AF2342" t="s">
        <v>5425</v>
      </c>
      <c r="AG2342" t="s">
        <v>5594</v>
      </c>
      <c r="AH2342">
        <v>6569</v>
      </c>
      <c r="AK2342">
        <v>6</v>
      </c>
      <c r="AL2342" t="s">
        <v>61</v>
      </c>
      <c r="AM2342" t="s">
        <v>9333</v>
      </c>
      <c r="AN2342" t="s">
        <v>9334</v>
      </c>
    </row>
    <row r="2343" spans="1:40" x14ac:dyDescent="0.35">
      <c r="A2343" t="s">
        <v>37</v>
      </c>
      <c r="B2343" t="s">
        <v>9335</v>
      </c>
      <c r="C2343" t="s">
        <v>102</v>
      </c>
      <c r="D2343" t="s">
        <v>747</v>
      </c>
      <c r="E2343" t="s">
        <v>748</v>
      </c>
      <c r="F2343" s="1">
        <v>46072.386504629627</v>
      </c>
      <c r="G2343" t="s">
        <v>464</v>
      </c>
      <c r="H2343" t="s">
        <v>287</v>
      </c>
      <c r="I2343" t="s">
        <v>1474</v>
      </c>
      <c r="J2343" t="s">
        <v>750</v>
      </c>
      <c r="K2343" t="s">
        <v>751</v>
      </c>
      <c r="M2343" t="s">
        <v>47</v>
      </c>
      <c r="O2343" t="s">
        <v>237</v>
      </c>
      <c r="P2343" t="s">
        <v>238</v>
      </c>
      <c r="Q2343" t="s">
        <v>50</v>
      </c>
      <c r="R2343" t="s">
        <v>305</v>
      </c>
      <c r="S2343" t="s">
        <v>306</v>
      </c>
      <c r="T2343" t="s">
        <v>307</v>
      </c>
      <c r="U2343" s="1">
        <v>46072.597615740742</v>
      </c>
      <c r="V2343" t="s">
        <v>54</v>
      </c>
      <c r="W2343" t="s">
        <v>55</v>
      </c>
      <c r="X2343" t="s">
        <v>211</v>
      </c>
      <c r="Y2343" t="s">
        <v>9061</v>
      </c>
      <c r="Z2343" t="s">
        <v>5594</v>
      </c>
      <c r="AA2343" t="s">
        <v>54</v>
      </c>
      <c r="AB2343" t="s">
        <v>213</v>
      </c>
      <c r="AC2343" t="s">
        <v>242</v>
      </c>
      <c r="AD2343" t="s">
        <v>305</v>
      </c>
      <c r="AE2343" t="s">
        <v>306</v>
      </c>
      <c r="AF2343" t="s">
        <v>307</v>
      </c>
      <c r="AG2343" t="s">
        <v>5594</v>
      </c>
      <c r="AH2343">
        <v>12153</v>
      </c>
      <c r="AK2343">
        <v>1</v>
      </c>
      <c r="AL2343" t="s">
        <v>61</v>
      </c>
      <c r="AM2343" t="s">
        <v>753</v>
      </c>
      <c r="AN2343" t="s">
        <v>754</v>
      </c>
    </row>
    <row r="2344" spans="1:40" x14ac:dyDescent="0.35">
      <c r="A2344" t="s">
        <v>37</v>
      </c>
      <c r="B2344" t="s">
        <v>9336</v>
      </c>
      <c r="C2344" t="s">
        <v>102</v>
      </c>
      <c r="D2344" t="s">
        <v>1698</v>
      </c>
      <c r="E2344" t="s">
        <v>584</v>
      </c>
      <c r="F2344" s="1">
        <v>46072.385520833333</v>
      </c>
      <c r="G2344" t="s">
        <v>105</v>
      </c>
      <c r="H2344" t="s">
        <v>106</v>
      </c>
      <c r="I2344" t="s">
        <v>5879</v>
      </c>
      <c r="J2344" t="s">
        <v>108</v>
      </c>
      <c r="K2344" t="s">
        <v>571</v>
      </c>
      <c r="M2344" t="s">
        <v>47</v>
      </c>
      <c r="O2344" t="s">
        <v>77</v>
      </c>
      <c r="P2344" t="s">
        <v>78</v>
      </c>
      <c r="Q2344" t="s">
        <v>50</v>
      </c>
      <c r="R2344" t="s">
        <v>111</v>
      </c>
      <c r="S2344" t="s">
        <v>51</v>
      </c>
      <c r="T2344" t="s">
        <v>112</v>
      </c>
      <c r="U2344" s="1">
        <v>46072.506597222222</v>
      </c>
      <c r="V2344" t="s">
        <v>54</v>
      </c>
      <c r="W2344" t="s">
        <v>55</v>
      </c>
      <c r="X2344" t="s">
        <v>134</v>
      </c>
      <c r="Y2344" t="s">
        <v>9337</v>
      </c>
      <c r="Z2344" t="s">
        <v>5594</v>
      </c>
      <c r="AA2344" t="s">
        <v>54</v>
      </c>
      <c r="AB2344" t="s">
        <v>1701</v>
      </c>
      <c r="AC2344" t="s">
        <v>85</v>
      </c>
      <c r="AD2344" t="s">
        <v>116</v>
      </c>
      <c r="AE2344" t="s">
        <v>574</v>
      </c>
      <c r="AF2344" t="s">
        <v>1706</v>
      </c>
      <c r="AG2344" t="s">
        <v>5594</v>
      </c>
      <c r="AK2344">
        <v>1</v>
      </c>
      <c r="AL2344" t="s">
        <v>61</v>
      </c>
      <c r="AM2344" t="s">
        <v>1701</v>
      </c>
      <c r="AN2344" t="s">
        <v>1702</v>
      </c>
    </row>
    <row r="2345" spans="1:40" x14ac:dyDescent="0.35">
      <c r="A2345" t="s">
        <v>37</v>
      </c>
      <c r="B2345" t="s">
        <v>9338</v>
      </c>
      <c r="C2345" t="s">
        <v>102</v>
      </c>
      <c r="D2345" t="s">
        <v>617</v>
      </c>
      <c r="E2345" t="s">
        <v>618</v>
      </c>
      <c r="F2345" s="1">
        <v>46072.384837962964</v>
      </c>
      <c r="G2345" t="s">
        <v>286</v>
      </c>
      <c r="H2345" t="s">
        <v>287</v>
      </c>
      <c r="I2345" t="s">
        <v>9339</v>
      </c>
      <c r="J2345" t="s">
        <v>620</v>
      </c>
      <c r="K2345" t="s">
        <v>130</v>
      </c>
      <c r="M2345" t="s">
        <v>47</v>
      </c>
      <c r="O2345" t="s">
        <v>77</v>
      </c>
      <c r="P2345" t="s">
        <v>78</v>
      </c>
      <c r="Q2345" t="s">
        <v>50</v>
      </c>
      <c r="R2345" t="s">
        <v>132</v>
      </c>
      <c r="S2345" t="s">
        <v>133</v>
      </c>
      <c r="T2345" t="s">
        <v>133</v>
      </c>
      <c r="U2345" s="1">
        <v>46072.407824074071</v>
      </c>
      <c r="V2345" t="s">
        <v>54</v>
      </c>
      <c r="W2345" t="s">
        <v>55</v>
      </c>
      <c r="X2345" t="s">
        <v>134</v>
      </c>
      <c r="Y2345" t="s">
        <v>9340</v>
      </c>
      <c r="Z2345" t="s">
        <v>5594</v>
      </c>
      <c r="AA2345" t="s">
        <v>54</v>
      </c>
      <c r="AB2345" t="s">
        <v>622</v>
      </c>
      <c r="AC2345" t="s">
        <v>85</v>
      </c>
      <c r="AD2345" t="s">
        <v>132</v>
      </c>
      <c r="AE2345" t="s">
        <v>133</v>
      </c>
      <c r="AF2345" t="s">
        <v>133</v>
      </c>
      <c r="AG2345" t="s">
        <v>5594</v>
      </c>
      <c r="AH2345" t="s">
        <v>623</v>
      </c>
      <c r="AK2345">
        <v>1</v>
      </c>
      <c r="AL2345" t="s">
        <v>61</v>
      </c>
      <c r="AM2345" t="s">
        <v>622</v>
      </c>
      <c r="AN2345" t="s">
        <v>624</v>
      </c>
    </row>
    <row r="2346" spans="1:40" x14ac:dyDescent="0.35">
      <c r="A2346" t="s">
        <v>37</v>
      </c>
      <c r="B2346" t="s">
        <v>9341</v>
      </c>
      <c r="C2346" t="s">
        <v>39</v>
      </c>
      <c r="D2346" t="s">
        <v>1151</v>
      </c>
      <c r="E2346" t="s">
        <v>3010</v>
      </c>
      <c r="F2346" s="1">
        <v>46072.384247685186</v>
      </c>
      <c r="G2346" t="s">
        <v>446</v>
      </c>
      <c r="H2346" t="s">
        <v>447</v>
      </c>
      <c r="I2346" t="s">
        <v>1250</v>
      </c>
      <c r="J2346" t="s">
        <v>394</v>
      </c>
      <c r="K2346" t="s">
        <v>75</v>
      </c>
      <c r="M2346" t="s">
        <v>47</v>
      </c>
      <c r="O2346" t="s">
        <v>77</v>
      </c>
      <c r="P2346" t="s">
        <v>78</v>
      </c>
      <c r="Q2346" t="s">
        <v>50</v>
      </c>
      <c r="R2346" t="s">
        <v>79</v>
      </c>
      <c r="S2346" t="s">
        <v>1078</v>
      </c>
      <c r="T2346" t="s">
        <v>1078</v>
      </c>
      <c r="U2346" s="1">
        <v>46072.384479166663</v>
      </c>
      <c r="V2346" t="s">
        <v>54</v>
      </c>
      <c r="W2346" t="s">
        <v>55</v>
      </c>
      <c r="X2346" t="s">
        <v>82</v>
      </c>
      <c r="Y2346" t="s">
        <v>1251</v>
      </c>
      <c r="Z2346" t="s">
        <v>5594</v>
      </c>
      <c r="AA2346" t="s">
        <v>54</v>
      </c>
      <c r="AB2346" t="s">
        <v>396</v>
      </c>
      <c r="AC2346" t="s">
        <v>85</v>
      </c>
      <c r="AD2346" t="s">
        <v>79</v>
      </c>
      <c r="AE2346" t="s">
        <v>1078</v>
      </c>
      <c r="AF2346" t="s">
        <v>1078</v>
      </c>
      <c r="AG2346" t="s">
        <v>5594</v>
      </c>
      <c r="AH2346">
        <v>15531</v>
      </c>
      <c r="AK2346">
        <v>0</v>
      </c>
      <c r="AL2346" t="s">
        <v>61</v>
      </c>
      <c r="AM2346" t="s">
        <v>9342</v>
      </c>
      <c r="AN2346" t="s">
        <v>9343</v>
      </c>
    </row>
    <row r="2347" spans="1:40" x14ac:dyDescent="0.35">
      <c r="A2347" t="s">
        <v>37</v>
      </c>
      <c r="B2347" t="s">
        <v>9344</v>
      </c>
      <c r="C2347" t="s">
        <v>39</v>
      </c>
      <c r="D2347" t="s">
        <v>40</v>
      </c>
      <c r="E2347" t="s">
        <v>41</v>
      </c>
      <c r="F2347" s="1">
        <v>46072.381608796299</v>
      </c>
      <c r="G2347" t="s">
        <v>42</v>
      </c>
      <c r="H2347" t="s">
        <v>43</v>
      </c>
      <c r="I2347" t="s">
        <v>9345</v>
      </c>
      <c r="J2347" t="s">
        <v>45</v>
      </c>
      <c r="K2347" t="s">
        <v>46</v>
      </c>
      <c r="M2347" t="s">
        <v>47</v>
      </c>
      <c r="O2347" t="s">
        <v>48</v>
      </c>
      <c r="P2347" t="s">
        <v>49</v>
      </c>
      <c r="Q2347" t="s">
        <v>50</v>
      </c>
      <c r="R2347" t="s">
        <v>51</v>
      </c>
      <c r="S2347" t="s">
        <v>52</v>
      </c>
      <c r="T2347" t="s">
        <v>53</v>
      </c>
      <c r="U2347" s="1">
        <v>46072.382789351854</v>
      </c>
      <c r="V2347" t="s">
        <v>54</v>
      </c>
      <c r="W2347" t="s">
        <v>55</v>
      </c>
      <c r="X2347" t="s">
        <v>56</v>
      </c>
      <c r="Y2347" t="s">
        <v>65</v>
      </c>
      <c r="Z2347" t="s">
        <v>5594</v>
      </c>
      <c r="AA2347" t="s">
        <v>54</v>
      </c>
      <c r="AB2347" t="s">
        <v>59</v>
      </c>
      <c r="AC2347" t="s">
        <v>60</v>
      </c>
      <c r="AD2347" t="s">
        <v>51</v>
      </c>
      <c r="AE2347" t="s">
        <v>52</v>
      </c>
      <c r="AF2347" t="s">
        <v>53</v>
      </c>
      <c r="AG2347" t="s">
        <v>5594</v>
      </c>
      <c r="AK2347">
        <v>0</v>
      </c>
      <c r="AL2347" t="s">
        <v>61</v>
      </c>
      <c r="AM2347" t="s">
        <v>59</v>
      </c>
      <c r="AN2347" t="s">
        <v>62</v>
      </c>
    </row>
    <row r="2348" spans="1:40" x14ac:dyDescent="0.35">
      <c r="A2348" t="s">
        <v>37</v>
      </c>
      <c r="B2348" t="s">
        <v>9346</v>
      </c>
      <c r="C2348" t="s">
        <v>39</v>
      </c>
      <c r="D2348" t="s">
        <v>469</v>
      </c>
      <c r="E2348" t="s">
        <v>2798</v>
      </c>
      <c r="F2348" s="1">
        <v>46072.383877314816</v>
      </c>
      <c r="G2348" t="s">
        <v>497</v>
      </c>
      <c r="H2348" t="s">
        <v>72</v>
      </c>
      <c r="I2348" t="s">
        <v>403</v>
      </c>
      <c r="J2348" t="s">
        <v>4338</v>
      </c>
      <c r="K2348" t="s">
        <v>405</v>
      </c>
      <c r="M2348" t="s">
        <v>76</v>
      </c>
      <c r="O2348" t="s">
        <v>77</v>
      </c>
      <c r="P2348" t="s">
        <v>78</v>
      </c>
      <c r="R2348" t="s">
        <v>51</v>
      </c>
      <c r="S2348" t="s">
        <v>52</v>
      </c>
      <c r="T2348" t="s">
        <v>240</v>
      </c>
      <c r="U2348" s="1">
        <v>46076.448993055557</v>
      </c>
      <c r="V2348" t="s">
        <v>54</v>
      </c>
      <c r="W2348" t="s">
        <v>55</v>
      </c>
      <c r="X2348" t="s">
        <v>134</v>
      </c>
      <c r="Y2348" t="s">
        <v>9347</v>
      </c>
      <c r="Z2348" t="s">
        <v>58</v>
      </c>
      <c r="AA2348" t="s">
        <v>54</v>
      </c>
      <c r="AB2348" t="s">
        <v>408</v>
      </c>
      <c r="AC2348" t="s">
        <v>85</v>
      </c>
      <c r="AD2348" t="s">
        <v>52</v>
      </c>
      <c r="AE2348" t="s">
        <v>243</v>
      </c>
      <c r="AF2348" t="s">
        <v>409</v>
      </c>
      <c r="AG2348" t="s">
        <v>58</v>
      </c>
      <c r="AH2348" t="s">
        <v>2803</v>
      </c>
      <c r="AK2348">
        <v>2</v>
      </c>
      <c r="AL2348" t="s">
        <v>61</v>
      </c>
      <c r="AM2348" t="s">
        <v>2804</v>
      </c>
      <c r="AN2348" t="s">
        <v>2805</v>
      </c>
    </row>
    <row r="2349" spans="1:40" x14ac:dyDescent="0.35">
      <c r="A2349" t="s">
        <v>37</v>
      </c>
      <c r="B2349" t="s">
        <v>9348</v>
      </c>
      <c r="C2349" t="s">
        <v>102</v>
      </c>
      <c r="D2349" t="s">
        <v>4595</v>
      </c>
      <c r="E2349" t="s">
        <v>4596</v>
      </c>
      <c r="F2349" s="1">
        <v>46072.380706018521</v>
      </c>
      <c r="G2349" t="s">
        <v>631</v>
      </c>
      <c r="H2349" t="s">
        <v>447</v>
      </c>
      <c r="I2349" t="s">
        <v>1110</v>
      </c>
      <c r="J2349" t="s">
        <v>9282</v>
      </c>
      <c r="K2349" t="s">
        <v>9283</v>
      </c>
      <c r="M2349" t="s">
        <v>131</v>
      </c>
      <c r="O2349" t="s">
        <v>237</v>
      </c>
      <c r="P2349" t="s">
        <v>238</v>
      </c>
      <c r="Q2349" t="s">
        <v>2895</v>
      </c>
      <c r="R2349" t="s">
        <v>79</v>
      </c>
      <c r="S2349" t="s">
        <v>558</v>
      </c>
      <c r="T2349" t="s">
        <v>1108</v>
      </c>
      <c r="U2349" s="1">
        <v>46078.68273148148</v>
      </c>
      <c r="V2349" t="s">
        <v>54</v>
      </c>
      <c r="W2349" t="s">
        <v>55</v>
      </c>
      <c r="X2349" t="s">
        <v>82</v>
      </c>
      <c r="Y2349" t="s">
        <v>9349</v>
      </c>
      <c r="Z2349" t="s">
        <v>58</v>
      </c>
      <c r="AA2349" t="s">
        <v>54</v>
      </c>
      <c r="AB2349" t="s">
        <v>698</v>
      </c>
      <c r="AC2349" t="s">
        <v>242</v>
      </c>
      <c r="AD2349" t="s">
        <v>79</v>
      </c>
      <c r="AE2349" t="s">
        <v>558</v>
      </c>
      <c r="AF2349" t="s">
        <v>1110</v>
      </c>
      <c r="AG2349" t="s">
        <v>58</v>
      </c>
      <c r="AH2349">
        <v>389</v>
      </c>
      <c r="AK2349">
        <v>1</v>
      </c>
      <c r="AL2349" t="s">
        <v>410</v>
      </c>
      <c r="AM2349" t="s">
        <v>4599</v>
      </c>
      <c r="AN2349" t="s">
        <v>4600</v>
      </c>
    </row>
    <row r="2350" spans="1:40" x14ac:dyDescent="0.35">
      <c r="A2350" t="s">
        <v>37</v>
      </c>
      <c r="B2350" t="s">
        <v>9350</v>
      </c>
      <c r="C2350" t="s">
        <v>39</v>
      </c>
      <c r="D2350" t="s">
        <v>4241</v>
      </c>
      <c r="E2350" t="s">
        <v>4242</v>
      </c>
      <c r="F2350" s="1">
        <v>46072.380023148151</v>
      </c>
      <c r="G2350" t="s">
        <v>597</v>
      </c>
      <c r="H2350" t="s">
        <v>287</v>
      </c>
      <c r="I2350" t="s">
        <v>9351</v>
      </c>
      <c r="J2350" t="s">
        <v>1518</v>
      </c>
      <c r="K2350" t="s">
        <v>75</v>
      </c>
      <c r="M2350" t="s">
        <v>47</v>
      </c>
      <c r="O2350" t="s">
        <v>77</v>
      </c>
      <c r="P2350" t="s">
        <v>78</v>
      </c>
      <c r="Q2350" t="s">
        <v>50</v>
      </c>
      <c r="R2350" t="s">
        <v>79</v>
      </c>
      <c r="S2350" t="s">
        <v>172</v>
      </c>
      <c r="T2350" t="s">
        <v>173</v>
      </c>
      <c r="U2350" s="1">
        <v>46072.381365740737</v>
      </c>
      <c r="V2350" t="s">
        <v>54</v>
      </c>
      <c r="W2350" t="s">
        <v>55</v>
      </c>
      <c r="X2350" t="s">
        <v>82</v>
      </c>
      <c r="Y2350" t="s">
        <v>5826</v>
      </c>
      <c r="Z2350" t="s">
        <v>5594</v>
      </c>
      <c r="AA2350" t="s">
        <v>54</v>
      </c>
      <c r="AB2350" t="s">
        <v>1503</v>
      </c>
      <c r="AC2350" t="s">
        <v>85</v>
      </c>
      <c r="AD2350" t="s">
        <v>79</v>
      </c>
      <c r="AE2350" t="s">
        <v>172</v>
      </c>
      <c r="AF2350" t="s">
        <v>173</v>
      </c>
      <c r="AG2350" t="s">
        <v>5594</v>
      </c>
      <c r="AH2350">
        <v>6141</v>
      </c>
      <c r="AK2350">
        <v>0</v>
      </c>
      <c r="AL2350" t="s">
        <v>61</v>
      </c>
      <c r="AM2350" t="s">
        <v>4249</v>
      </c>
      <c r="AN2350" t="s">
        <v>4250</v>
      </c>
    </row>
    <row r="2351" spans="1:40" x14ac:dyDescent="0.35">
      <c r="A2351" t="s">
        <v>37</v>
      </c>
      <c r="B2351" t="s">
        <v>9352</v>
      </c>
      <c r="C2351" t="s">
        <v>102</v>
      </c>
      <c r="D2351" t="s">
        <v>9353</v>
      </c>
      <c r="E2351" t="s">
        <v>9354</v>
      </c>
      <c r="F2351" s="1">
        <v>46072.372615740744</v>
      </c>
      <c r="G2351" t="s">
        <v>250</v>
      </c>
      <c r="H2351" t="s">
        <v>106</v>
      </c>
      <c r="I2351" t="s">
        <v>9355</v>
      </c>
      <c r="J2351" t="s">
        <v>8166</v>
      </c>
      <c r="K2351" t="s">
        <v>3681</v>
      </c>
      <c r="M2351" t="s">
        <v>47</v>
      </c>
      <c r="O2351" t="s">
        <v>237</v>
      </c>
      <c r="P2351" t="s">
        <v>238</v>
      </c>
      <c r="Q2351" t="s">
        <v>50</v>
      </c>
      <c r="R2351" t="s">
        <v>51</v>
      </c>
      <c r="S2351" t="s">
        <v>52</v>
      </c>
      <c r="T2351" t="s">
        <v>9356</v>
      </c>
      <c r="U2351" s="1">
        <v>46072.442615740743</v>
      </c>
      <c r="V2351" t="s">
        <v>54</v>
      </c>
      <c r="W2351" t="s">
        <v>55</v>
      </c>
      <c r="X2351" t="s">
        <v>211</v>
      </c>
      <c r="Y2351" t="s">
        <v>9357</v>
      </c>
      <c r="Z2351" t="s">
        <v>5594</v>
      </c>
      <c r="AA2351" t="s">
        <v>54</v>
      </c>
      <c r="AB2351" t="s">
        <v>213</v>
      </c>
      <c r="AC2351" t="s">
        <v>242</v>
      </c>
      <c r="AD2351" t="s">
        <v>52</v>
      </c>
      <c r="AE2351" t="s">
        <v>243</v>
      </c>
      <c r="AF2351" t="s">
        <v>244</v>
      </c>
      <c r="AG2351" t="s">
        <v>5594</v>
      </c>
      <c r="AH2351" t="s">
        <v>9358</v>
      </c>
      <c r="AK2351">
        <v>1</v>
      </c>
      <c r="AL2351" t="s">
        <v>61</v>
      </c>
      <c r="AM2351" t="s">
        <v>9359</v>
      </c>
      <c r="AN2351" t="s">
        <v>9360</v>
      </c>
    </row>
    <row r="2352" spans="1:40" x14ac:dyDescent="0.35">
      <c r="A2352" t="s">
        <v>37</v>
      </c>
      <c r="B2352" t="s">
        <v>9361</v>
      </c>
      <c r="C2352" t="s">
        <v>656</v>
      </c>
      <c r="D2352" t="s">
        <v>9362</v>
      </c>
      <c r="E2352" t="s">
        <v>9363</v>
      </c>
      <c r="F2352" s="1">
        <v>46072.371631944443</v>
      </c>
      <c r="G2352" t="s">
        <v>286</v>
      </c>
      <c r="H2352" t="s">
        <v>287</v>
      </c>
      <c r="I2352" t="s">
        <v>988</v>
      </c>
      <c r="J2352" t="s">
        <v>660</v>
      </c>
      <c r="K2352" t="s">
        <v>661</v>
      </c>
      <c r="M2352" t="s">
        <v>47</v>
      </c>
      <c r="O2352" t="s">
        <v>77</v>
      </c>
      <c r="P2352" t="s">
        <v>78</v>
      </c>
      <c r="Q2352" t="s">
        <v>1174</v>
      </c>
      <c r="R2352" t="s">
        <v>662</v>
      </c>
      <c r="S2352" t="s">
        <v>663</v>
      </c>
      <c r="T2352" t="s">
        <v>989</v>
      </c>
      <c r="U2352" s="1">
        <v>46072.561527777776</v>
      </c>
      <c r="V2352" t="s">
        <v>54</v>
      </c>
      <c r="W2352" t="s">
        <v>55</v>
      </c>
      <c r="X2352" t="s">
        <v>134</v>
      </c>
      <c r="Y2352" t="s">
        <v>9364</v>
      </c>
      <c r="Z2352" t="s">
        <v>5594</v>
      </c>
      <c r="AA2352" t="s">
        <v>54</v>
      </c>
      <c r="AB2352" t="s">
        <v>458</v>
      </c>
      <c r="AC2352" t="s">
        <v>85</v>
      </c>
      <c r="AD2352" t="s">
        <v>667</v>
      </c>
      <c r="AE2352" t="s">
        <v>667</v>
      </c>
      <c r="AF2352" t="s">
        <v>989</v>
      </c>
      <c r="AG2352" t="s">
        <v>5594</v>
      </c>
      <c r="AH2352" t="s">
        <v>9365</v>
      </c>
      <c r="AK2352">
        <v>1</v>
      </c>
      <c r="AL2352" t="s">
        <v>61</v>
      </c>
      <c r="AM2352" t="s">
        <v>9366</v>
      </c>
      <c r="AN2352" t="s">
        <v>9367</v>
      </c>
    </row>
    <row r="2353" spans="1:40" x14ac:dyDescent="0.35">
      <c r="A2353" t="s">
        <v>37</v>
      </c>
      <c r="B2353" t="s">
        <v>9368</v>
      </c>
      <c r="C2353" t="s">
        <v>102</v>
      </c>
      <c r="D2353" t="s">
        <v>230</v>
      </c>
      <c r="E2353" t="s">
        <v>9369</v>
      </c>
      <c r="F2353" s="1">
        <v>46072.372199074074</v>
      </c>
      <c r="G2353" t="s">
        <v>4234</v>
      </c>
      <c r="H2353" t="s">
        <v>233</v>
      </c>
      <c r="I2353" t="s">
        <v>2279</v>
      </c>
      <c r="J2353" t="s">
        <v>9282</v>
      </c>
      <c r="K2353" t="s">
        <v>9283</v>
      </c>
      <c r="M2353" t="s">
        <v>131</v>
      </c>
      <c r="O2353" t="s">
        <v>237</v>
      </c>
      <c r="P2353" t="s">
        <v>238</v>
      </c>
      <c r="Q2353" t="s">
        <v>50</v>
      </c>
      <c r="R2353" t="s">
        <v>79</v>
      </c>
      <c r="S2353" t="s">
        <v>975</v>
      </c>
      <c r="T2353" t="s">
        <v>2280</v>
      </c>
      <c r="U2353" s="1">
        <v>46078.681805555556</v>
      </c>
      <c r="V2353" t="s">
        <v>54</v>
      </c>
      <c r="W2353" t="s">
        <v>55</v>
      </c>
      <c r="X2353" t="s">
        <v>82</v>
      </c>
      <c r="Y2353" t="s">
        <v>9370</v>
      </c>
      <c r="Z2353" t="s">
        <v>58</v>
      </c>
      <c r="AA2353" t="s">
        <v>54</v>
      </c>
      <c r="AB2353" t="s">
        <v>698</v>
      </c>
      <c r="AC2353" t="s">
        <v>242</v>
      </c>
      <c r="AD2353" t="s">
        <v>79</v>
      </c>
      <c r="AE2353" t="s">
        <v>936</v>
      </c>
      <c r="AF2353" t="s">
        <v>937</v>
      </c>
      <c r="AG2353" t="s">
        <v>58</v>
      </c>
      <c r="AH2353">
        <v>15879</v>
      </c>
      <c r="AK2353">
        <v>1</v>
      </c>
      <c r="AL2353" t="s">
        <v>61</v>
      </c>
      <c r="AM2353" t="s">
        <v>9371</v>
      </c>
      <c r="AN2353" t="s">
        <v>9372</v>
      </c>
    </row>
    <row r="2354" spans="1:40" x14ac:dyDescent="0.35">
      <c r="A2354" t="s">
        <v>37</v>
      </c>
      <c r="B2354" t="s">
        <v>9373</v>
      </c>
      <c r="C2354" t="s">
        <v>39</v>
      </c>
      <c r="D2354" t="s">
        <v>127</v>
      </c>
      <c r="E2354" t="s">
        <v>9374</v>
      </c>
      <c r="F2354" s="1">
        <v>46072.370613425926</v>
      </c>
      <c r="G2354" t="s">
        <v>793</v>
      </c>
      <c r="H2354" t="s">
        <v>356</v>
      </c>
      <c r="I2354" t="s">
        <v>2096</v>
      </c>
      <c r="J2354" t="s">
        <v>4338</v>
      </c>
      <c r="K2354" t="s">
        <v>405</v>
      </c>
      <c r="M2354" t="s">
        <v>47</v>
      </c>
      <c r="O2354" t="s">
        <v>77</v>
      </c>
      <c r="P2354" t="s">
        <v>78</v>
      </c>
      <c r="Q2354" t="s">
        <v>50</v>
      </c>
      <c r="R2354" t="s">
        <v>51</v>
      </c>
      <c r="S2354" t="s">
        <v>52</v>
      </c>
      <c r="T2354" t="s">
        <v>240</v>
      </c>
      <c r="U2354" s="1">
        <v>46072.469421296293</v>
      </c>
      <c r="V2354" t="s">
        <v>54</v>
      </c>
      <c r="W2354" t="s">
        <v>55</v>
      </c>
      <c r="X2354" t="s">
        <v>134</v>
      </c>
      <c r="Y2354" t="s">
        <v>8406</v>
      </c>
      <c r="Z2354" t="s">
        <v>5594</v>
      </c>
      <c r="AA2354" t="s">
        <v>54</v>
      </c>
      <c r="AB2354" t="s">
        <v>458</v>
      </c>
      <c r="AC2354" t="s">
        <v>85</v>
      </c>
      <c r="AD2354" t="s">
        <v>52</v>
      </c>
      <c r="AE2354" t="s">
        <v>243</v>
      </c>
      <c r="AF2354" t="s">
        <v>2533</v>
      </c>
      <c r="AG2354" t="s">
        <v>5594</v>
      </c>
      <c r="AH2354" t="s">
        <v>9375</v>
      </c>
      <c r="AK2354">
        <v>1</v>
      </c>
      <c r="AL2354" t="s">
        <v>61</v>
      </c>
      <c r="AM2354" t="s">
        <v>9376</v>
      </c>
      <c r="AN2354" t="s">
        <v>9377</v>
      </c>
    </row>
    <row r="2355" spans="1:40" x14ac:dyDescent="0.35">
      <c r="A2355" t="s">
        <v>37</v>
      </c>
      <c r="B2355" t="s">
        <v>9378</v>
      </c>
      <c r="C2355" t="s">
        <v>102</v>
      </c>
      <c r="D2355" t="s">
        <v>9379</v>
      </c>
      <c r="E2355" t="s">
        <v>1226</v>
      </c>
      <c r="F2355" s="1">
        <v>46072.369641203702</v>
      </c>
      <c r="G2355" t="s">
        <v>327</v>
      </c>
      <c r="H2355" t="s">
        <v>72</v>
      </c>
      <c r="I2355" t="s">
        <v>9380</v>
      </c>
      <c r="J2355" t="s">
        <v>2531</v>
      </c>
      <c r="K2355" t="s">
        <v>2532</v>
      </c>
      <c r="M2355" t="s">
        <v>47</v>
      </c>
      <c r="O2355" t="s">
        <v>237</v>
      </c>
      <c r="P2355" t="s">
        <v>238</v>
      </c>
      <c r="Q2355" t="s">
        <v>50</v>
      </c>
      <c r="R2355" t="s">
        <v>51</v>
      </c>
      <c r="S2355" t="s">
        <v>52</v>
      </c>
      <c r="T2355" t="s">
        <v>240</v>
      </c>
      <c r="U2355" s="1">
        <v>46072.601388888892</v>
      </c>
      <c r="V2355" t="s">
        <v>54</v>
      </c>
      <c r="W2355" t="s">
        <v>55</v>
      </c>
      <c r="X2355" t="s">
        <v>211</v>
      </c>
      <c r="Y2355" t="e">
        <f>- Time card has been Updated, kindly Check after some time.</f>
        <v>#NAME?</v>
      </c>
      <c r="Z2355" t="s">
        <v>5594</v>
      </c>
      <c r="AA2355" t="s">
        <v>54</v>
      </c>
      <c r="AB2355" t="s">
        <v>213</v>
      </c>
      <c r="AC2355" t="s">
        <v>242</v>
      </c>
      <c r="AD2355" t="s">
        <v>52</v>
      </c>
      <c r="AE2355" t="s">
        <v>243</v>
      </c>
      <c r="AF2355" t="s">
        <v>1470</v>
      </c>
      <c r="AG2355" t="s">
        <v>5594</v>
      </c>
      <c r="AH2355" t="s">
        <v>9381</v>
      </c>
      <c r="AK2355">
        <v>1</v>
      </c>
      <c r="AL2355" t="s">
        <v>61</v>
      </c>
      <c r="AM2355" t="s">
        <v>9382</v>
      </c>
      <c r="AN2355" t="s">
        <v>9383</v>
      </c>
    </row>
    <row r="2356" spans="1:40" x14ac:dyDescent="0.35">
      <c r="A2356" t="s">
        <v>37</v>
      </c>
      <c r="B2356" t="s">
        <v>9384</v>
      </c>
      <c r="C2356" t="s">
        <v>39</v>
      </c>
      <c r="D2356" t="s">
        <v>430</v>
      </c>
      <c r="E2356" t="s">
        <v>7312</v>
      </c>
      <c r="F2356" s="1">
        <v>46072.36513888889</v>
      </c>
      <c r="G2356" t="s">
        <v>432</v>
      </c>
      <c r="H2356" t="s">
        <v>433</v>
      </c>
      <c r="I2356" t="s">
        <v>815</v>
      </c>
      <c r="J2356" t="s">
        <v>816</v>
      </c>
      <c r="K2356" t="s">
        <v>817</v>
      </c>
      <c r="M2356" t="s">
        <v>47</v>
      </c>
      <c r="O2356" t="s">
        <v>77</v>
      </c>
      <c r="P2356" t="s">
        <v>78</v>
      </c>
      <c r="Q2356" t="s">
        <v>50</v>
      </c>
      <c r="R2356" t="s">
        <v>51</v>
      </c>
      <c r="S2356" t="s">
        <v>819</v>
      </c>
      <c r="T2356" t="s">
        <v>817</v>
      </c>
      <c r="U2356" s="1">
        <v>46072.424143518518</v>
      </c>
      <c r="V2356" t="s">
        <v>54</v>
      </c>
      <c r="W2356" t="s">
        <v>55</v>
      </c>
      <c r="X2356" t="s">
        <v>134</v>
      </c>
      <c r="Y2356" t="s">
        <v>9385</v>
      </c>
      <c r="Z2356" t="s">
        <v>5594</v>
      </c>
      <c r="AA2356" t="s">
        <v>54</v>
      </c>
      <c r="AB2356" t="s">
        <v>408</v>
      </c>
      <c r="AC2356" t="s">
        <v>85</v>
      </c>
      <c r="AD2356" t="s">
        <v>51</v>
      </c>
      <c r="AE2356" t="s">
        <v>819</v>
      </c>
      <c r="AF2356" t="s">
        <v>817</v>
      </c>
      <c r="AG2356" t="s">
        <v>5594</v>
      </c>
      <c r="AH2356">
        <v>8882</v>
      </c>
      <c r="AK2356">
        <v>1</v>
      </c>
      <c r="AL2356" t="s">
        <v>61</v>
      </c>
      <c r="AM2356" t="s">
        <v>7313</v>
      </c>
      <c r="AN2356" t="s">
        <v>7314</v>
      </c>
    </row>
    <row r="2357" spans="1:40" x14ac:dyDescent="0.35">
      <c r="A2357" t="s">
        <v>37</v>
      </c>
      <c r="B2357" t="s">
        <v>9386</v>
      </c>
      <c r="C2357" t="s">
        <v>102</v>
      </c>
      <c r="D2357" t="s">
        <v>1698</v>
      </c>
      <c r="E2357" t="s">
        <v>584</v>
      </c>
      <c r="F2357" s="1">
        <v>46072.363171296296</v>
      </c>
      <c r="G2357" t="s">
        <v>105</v>
      </c>
      <c r="H2357" t="s">
        <v>106</v>
      </c>
      <c r="I2357" t="s">
        <v>9387</v>
      </c>
      <c r="J2357" t="s">
        <v>108</v>
      </c>
      <c r="K2357" t="s">
        <v>109</v>
      </c>
      <c r="M2357" t="s">
        <v>47</v>
      </c>
      <c r="O2357" t="s">
        <v>77</v>
      </c>
      <c r="P2357" t="s">
        <v>78</v>
      </c>
      <c r="Q2357" t="s">
        <v>50</v>
      </c>
      <c r="R2357" t="s">
        <v>111</v>
      </c>
      <c r="S2357" t="s">
        <v>51</v>
      </c>
      <c r="T2357" t="s">
        <v>112</v>
      </c>
      <c r="U2357" s="1">
        <v>46072.400046296294</v>
      </c>
      <c r="V2357" t="s">
        <v>54</v>
      </c>
      <c r="W2357" t="s">
        <v>55</v>
      </c>
      <c r="X2357" t="s">
        <v>134</v>
      </c>
      <c r="Y2357" t="s">
        <v>9388</v>
      </c>
      <c r="Z2357" t="s">
        <v>5594</v>
      </c>
      <c r="AA2357" t="s">
        <v>54</v>
      </c>
      <c r="AB2357" t="s">
        <v>1701</v>
      </c>
      <c r="AC2357" t="s">
        <v>85</v>
      </c>
      <c r="AD2357" t="s">
        <v>116</v>
      </c>
      <c r="AE2357" t="s">
        <v>117</v>
      </c>
      <c r="AF2357" t="s">
        <v>1706</v>
      </c>
      <c r="AG2357" t="s">
        <v>5594</v>
      </c>
      <c r="AK2357">
        <v>1</v>
      </c>
      <c r="AL2357" t="s">
        <v>61</v>
      </c>
      <c r="AM2357" t="s">
        <v>1701</v>
      </c>
      <c r="AN2357" t="s">
        <v>1702</v>
      </c>
    </row>
    <row r="2358" spans="1:40" x14ac:dyDescent="0.35">
      <c r="A2358" t="s">
        <v>37</v>
      </c>
      <c r="B2358" t="s">
        <v>9389</v>
      </c>
      <c r="C2358" t="s">
        <v>102</v>
      </c>
      <c r="D2358" t="s">
        <v>747</v>
      </c>
      <c r="E2358" t="s">
        <v>748</v>
      </c>
      <c r="F2358" s="1">
        <v>46072.362986111111</v>
      </c>
      <c r="G2358" t="s">
        <v>464</v>
      </c>
      <c r="H2358" t="s">
        <v>287</v>
      </c>
      <c r="I2358" t="s">
        <v>9390</v>
      </c>
      <c r="J2358" t="s">
        <v>750</v>
      </c>
      <c r="K2358" t="s">
        <v>751</v>
      </c>
      <c r="M2358" t="s">
        <v>47</v>
      </c>
      <c r="O2358" t="s">
        <v>237</v>
      </c>
      <c r="P2358" t="s">
        <v>238</v>
      </c>
      <c r="Q2358" t="s">
        <v>50</v>
      </c>
      <c r="R2358" t="s">
        <v>305</v>
      </c>
      <c r="S2358" t="s">
        <v>306</v>
      </c>
      <c r="T2358" t="s">
        <v>307</v>
      </c>
      <c r="U2358" s="1">
        <v>46072.597326388888</v>
      </c>
      <c r="V2358" t="s">
        <v>54</v>
      </c>
      <c r="W2358" t="s">
        <v>55</v>
      </c>
      <c r="X2358" t="s">
        <v>211</v>
      </c>
      <c r="Y2358" t="s">
        <v>9061</v>
      </c>
      <c r="Z2358" t="s">
        <v>5594</v>
      </c>
      <c r="AA2358" t="s">
        <v>54</v>
      </c>
      <c r="AB2358" t="s">
        <v>213</v>
      </c>
      <c r="AC2358" t="s">
        <v>242</v>
      </c>
      <c r="AD2358" t="s">
        <v>305</v>
      </c>
      <c r="AE2358" t="s">
        <v>306</v>
      </c>
      <c r="AF2358" t="s">
        <v>307</v>
      </c>
      <c r="AG2358" t="s">
        <v>5594</v>
      </c>
      <c r="AH2358">
        <v>12153</v>
      </c>
      <c r="AK2358">
        <v>1</v>
      </c>
      <c r="AL2358" t="s">
        <v>61</v>
      </c>
      <c r="AM2358" t="s">
        <v>753</v>
      </c>
      <c r="AN2358" t="s">
        <v>754</v>
      </c>
    </row>
    <row r="2359" spans="1:40" x14ac:dyDescent="0.35">
      <c r="A2359" t="s">
        <v>37</v>
      </c>
      <c r="B2359" t="s">
        <v>9391</v>
      </c>
      <c r="C2359" t="s">
        <v>102</v>
      </c>
      <c r="D2359" t="s">
        <v>1698</v>
      </c>
      <c r="E2359" t="s">
        <v>584</v>
      </c>
      <c r="F2359" s="1">
        <v>46072.362407407411</v>
      </c>
      <c r="G2359" t="s">
        <v>105</v>
      </c>
      <c r="H2359" t="s">
        <v>106</v>
      </c>
      <c r="I2359" t="s">
        <v>9387</v>
      </c>
      <c r="J2359" t="s">
        <v>108</v>
      </c>
      <c r="K2359" t="s">
        <v>109</v>
      </c>
      <c r="M2359" t="s">
        <v>47</v>
      </c>
      <c r="O2359" t="s">
        <v>77</v>
      </c>
      <c r="P2359" t="s">
        <v>78</v>
      </c>
      <c r="Q2359" t="s">
        <v>50</v>
      </c>
      <c r="R2359" t="s">
        <v>111</v>
      </c>
      <c r="S2359" t="s">
        <v>51</v>
      </c>
      <c r="T2359" t="s">
        <v>112</v>
      </c>
      <c r="U2359" s="1">
        <v>46072.367337962962</v>
      </c>
      <c r="V2359" t="s">
        <v>54</v>
      </c>
      <c r="W2359" t="s">
        <v>55</v>
      </c>
      <c r="X2359" t="s">
        <v>134</v>
      </c>
      <c r="Y2359" t="s">
        <v>9392</v>
      </c>
      <c r="Z2359" t="s">
        <v>5594</v>
      </c>
      <c r="AA2359" t="s">
        <v>54</v>
      </c>
      <c r="AB2359" t="s">
        <v>1701</v>
      </c>
      <c r="AC2359" t="s">
        <v>85</v>
      </c>
      <c r="AD2359" t="s">
        <v>116</v>
      </c>
      <c r="AE2359" t="s">
        <v>117</v>
      </c>
      <c r="AF2359" t="s">
        <v>1706</v>
      </c>
      <c r="AG2359" t="s">
        <v>5594</v>
      </c>
      <c r="AK2359">
        <v>1</v>
      </c>
      <c r="AL2359" t="s">
        <v>61</v>
      </c>
      <c r="AM2359" t="s">
        <v>1701</v>
      </c>
      <c r="AN2359" t="s">
        <v>1702</v>
      </c>
    </row>
    <row r="2360" spans="1:40" x14ac:dyDescent="0.35">
      <c r="A2360" t="s">
        <v>37</v>
      </c>
      <c r="B2360" t="s">
        <v>9393</v>
      </c>
      <c r="C2360" t="s">
        <v>102</v>
      </c>
      <c r="D2360" t="s">
        <v>462</v>
      </c>
      <c r="E2360" t="s">
        <v>392</v>
      </c>
      <c r="F2360" s="1">
        <v>46072.362268518518</v>
      </c>
      <c r="G2360" t="s">
        <v>402</v>
      </c>
      <c r="H2360" t="s">
        <v>72</v>
      </c>
      <c r="I2360" t="s">
        <v>9394</v>
      </c>
      <c r="J2360" t="s">
        <v>9282</v>
      </c>
      <c r="K2360" t="s">
        <v>9283</v>
      </c>
      <c r="M2360" t="s">
        <v>131</v>
      </c>
      <c r="O2360" t="s">
        <v>237</v>
      </c>
      <c r="P2360" t="s">
        <v>238</v>
      </c>
      <c r="Q2360" t="s">
        <v>50</v>
      </c>
      <c r="R2360" t="s">
        <v>305</v>
      </c>
      <c r="S2360" t="s">
        <v>306</v>
      </c>
      <c r="T2360" t="s">
        <v>307</v>
      </c>
      <c r="U2360" s="1">
        <v>46078.680532407408</v>
      </c>
      <c r="V2360" t="s">
        <v>54</v>
      </c>
      <c r="W2360" t="s">
        <v>55</v>
      </c>
      <c r="X2360" t="s">
        <v>211</v>
      </c>
      <c r="Y2360" t="s">
        <v>9349</v>
      </c>
      <c r="Z2360" t="s">
        <v>58</v>
      </c>
      <c r="AA2360" t="s">
        <v>54</v>
      </c>
      <c r="AB2360" t="s">
        <v>213</v>
      </c>
      <c r="AC2360" t="s">
        <v>242</v>
      </c>
      <c r="AD2360" t="s">
        <v>79</v>
      </c>
      <c r="AE2360" t="s">
        <v>558</v>
      </c>
      <c r="AF2360" t="s">
        <v>1110</v>
      </c>
      <c r="AG2360" t="s">
        <v>58</v>
      </c>
      <c r="AH2360">
        <v>14638</v>
      </c>
      <c r="AK2360">
        <v>2</v>
      </c>
      <c r="AL2360" t="s">
        <v>61</v>
      </c>
      <c r="AM2360" t="s">
        <v>9395</v>
      </c>
      <c r="AN2360" t="s">
        <v>9396</v>
      </c>
    </row>
    <row r="2361" spans="1:40" x14ac:dyDescent="0.35">
      <c r="A2361" t="s">
        <v>37</v>
      </c>
      <c r="B2361" t="s">
        <v>9397</v>
      </c>
      <c r="C2361" t="s">
        <v>39</v>
      </c>
      <c r="D2361" t="s">
        <v>640</v>
      </c>
      <c r="E2361" t="s">
        <v>226</v>
      </c>
      <c r="F2361" s="1">
        <v>46072.36246527778</v>
      </c>
      <c r="G2361" t="s">
        <v>267</v>
      </c>
      <c r="H2361" t="s">
        <v>233</v>
      </c>
      <c r="I2361" t="s">
        <v>3451</v>
      </c>
      <c r="J2361" t="s">
        <v>3423</v>
      </c>
      <c r="K2361" t="s">
        <v>75</v>
      </c>
      <c r="M2361" t="s">
        <v>47</v>
      </c>
      <c r="O2361" t="s">
        <v>77</v>
      </c>
      <c r="P2361" t="s">
        <v>78</v>
      </c>
      <c r="Q2361" t="s">
        <v>50</v>
      </c>
      <c r="R2361" t="s">
        <v>79</v>
      </c>
      <c r="S2361" t="s">
        <v>1078</v>
      </c>
      <c r="T2361" t="s">
        <v>1078</v>
      </c>
      <c r="U2361" s="1">
        <v>46072.458414351851</v>
      </c>
      <c r="V2361" t="s">
        <v>54</v>
      </c>
      <c r="W2361" t="s">
        <v>55</v>
      </c>
      <c r="X2361" t="s">
        <v>82</v>
      </c>
      <c r="Y2361" t="s">
        <v>3452</v>
      </c>
      <c r="Z2361" t="s">
        <v>5594</v>
      </c>
      <c r="AA2361" t="s">
        <v>54</v>
      </c>
      <c r="AB2361" t="s">
        <v>3425</v>
      </c>
      <c r="AC2361" t="s">
        <v>85</v>
      </c>
      <c r="AD2361" t="s">
        <v>79</v>
      </c>
      <c r="AE2361" t="s">
        <v>1078</v>
      </c>
      <c r="AF2361" t="s">
        <v>1078</v>
      </c>
      <c r="AG2361" t="s">
        <v>5594</v>
      </c>
      <c r="AH2361">
        <v>15431</v>
      </c>
      <c r="AK2361">
        <v>0</v>
      </c>
      <c r="AL2361" t="s">
        <v>61</v>
      </c>
      <c r="AM2361" t="s">
        <v>9398</v>
      </c>
      <c r="AN2361" t="s">
        <v>9399</v>
      </c>
    </row>
    <row r="2362" spans="1:40" x14ac:dyDescent="0.35">
      <c r="A2362" t="s">
        <v>37</v>
      </c>
      <c r="B2362" t="s">
        <v>9400</v>
      </c>
      <c r="C2362" t="s">
        <v>102</v>
      </c>
      <c r="D2362" t="s">
        <v>1698</v>
      </c>
      <c r="E2362" t="s">
        <v>584</v>
      </c>
      <c r="F2362" s="1">
        <v>46072.361678240741</v>
      </c>
      <c r="G2362" t="s">
        <v>105</v>
      </c>
      <c r="H2362" t="s">
        <v>106</v>
      </c>
      <c r="I2362" t="s">
        <v>9401</v>
      </c>
      <c r="J2362" t="s">
        <v>108</v>
      </c>
      <c r="K2362" t="s">
        <v>109</v>
      </c>
      <c r="M2362" t="s">
        <v>47</v>
      </c>
      <c r="O2362" t="s">
        <v>77</v>
      </c>
      <c r="P2362" t="s">
        <v>78</v>
      </c>
      <c r="Q2362" t="s">
        <v>50</v>
      </c>
      <c r="R2362" t="s">
        <v>111</v>
      </c>
      <c r="S2362" t="s">
        <v>51</v>
      </c>
      <c r="T2362" t="s">
        <v>112</v>
      </c>
      <c r="U2362" s="1">
        <v>46072.502395833333</v>
      </c>
      <c r="V2362" t="s">
        <v>54</v>
      </c>
      <c r="W2362" t="s">
        <v>55</v>
      </c>
      <c r="X2362" t="s">
        <v>134</v>
      </c>
      <c r="Y2362" t="s">
        <v>9402</v>
      </c>
      <c r="Z2362" t="s">
        <v>5594</v>
      </c>
      <c r="AA2362" t="s">
        <v>54</v>
      </c>
      <c r="AB2362" t="s">
        <v>1701</v>
      </c>
      <c r="AC2362" t="s">
        <v>85</v>
      </c>
      <c r="AD2362" t="s">
        <v>116</v>
      </c>
      <c r="AE2362" t="s">
        <v>117</v>
      </c>
      <c r="AF2362" t="s">
        <v>118</v>
      </c>
      <c r="AG2362" t="s">
        <v>5594</v>
      </c>
      <c r="AK2362">
        <v>1</v>
      </c>
      <c r="AL2362" t="s">
        <v>61</v>
      </c>
      <c r="AM2362" t="s">
        <v>1701</v>
      </c>
      <c r="AN2362" t="s">
        <v>1702</v>
      </c>
    </row>
    <row r="2363" spans="1:40" x14ac:dyDescent="0.35">
      <c r="A2363" t="s">
        <v>37</v>
      </c>
      <c r="B2363" t="s">
        <v>9403</v>
      </c>
      <c r="C2363" t="s">
        <v>102</v>
      </c>
      <c r="D2363" t="s">
        <v>761</v>
      </c>
      <c r="E2363" t="s">
        <v>762</v>
      </c>
      <c r="F2363" s="1">
        <v>46072.360902777778</v>
      </c>
      <c r="G2363" t="s">
        <v>105</v>
      </c>
      <c r="H2363" t="s">
        <v>106</v>
      </c>
      <c r="I2363" t="s">
        <v>9404</v>
      </c>
      <c r="J2363" t="s">
        <v>108</v>
      </c>
      <c r="K2363" t="s">
        <v>571</v>
      </c>
      <c r="M2363" t="s">
        <v>47</v>
      </c>
      <c r="O2363" t="s">
        <v>77</v>
      </c>
      <c r="P2363" t="s">
        <v>78</v>
      </c>
      <c r="Q2363" t="s">
        <v>50</v>
      </c>
      <c r="R2363" t="s">
        <v>111</v>
      </c>
      <c r="S2363" t="s">
        <v>51</v>
      </c>
      <c r="T2363" t="s">
        <v>112</v>
      </c>
      <c r="U2363" s="1">
        <v>46073.063009259262</v>
      </c>
      <c r="V2363" t="s">
        <v>54</v>
      </c>
      <c r="W2363" t="s">
        <v>55</v>
      </c>
      <c r="X2363" t="s">
        <v>134</v>
      </c>
      <c r="Y2363" t="s">
        <v>8045</v>
      </c>
      <c r="Z2363" t="s">
        <v>5594</v>
      </c>
      <c r="AA2363" t="s">
        <v>54</v>
      </c>
      <c r="AB2363" t="s">
        <v>115</v>
      </c>
      <c r="AC2363" t="s">
        <v>85</v>
      </c>
      <c r="AD2363" t="s">
        <v>116</v>
      </c>
      <c r="AE2363" t="s">
        <v>1541</v>
      </c>
      <c r="AF2363" t="s">
        <v>2738</v>
      </c>
      <c r="AG2363" t="s">
        <v>5594</v>
      </c>
      <c r="AH2363" t="s">
        <v>765</v>
      </c>
      <c r="AK2363">
        <v>1</v>
      </c>
      <c r="AL2363" t="s">
        <v>61</v>
      </c>
      <c r="AM2363" t="s">
        <v>766</v>
      </c>
      <c r="AN2363" t="s">
        <v>767</v>
      </c>
    </row>
    <row r="2364" spans="1:40" x14ac:dyDescent="0.35">
      <c r="A2364" t="s">
        <v>37</v>
      </c>
      <c r="B2364" t="s">
        <v>9405</v>
      </c>
      <c r="C2364" t="s">
        <v>39</v>
      </c>
      <c r="D2364" t="s">
        <v>2503</v>
      </c>
      <c r="E2364" t="s">
        <v>8580</v>
      </c>
      <c r="F2364" s="1">
        <v>46072.360590277778</v>
      </c>
      <c r="G2364" t="s">
        <v>446</v>
      </c>
      <c r="H2364" t="s">
        <v>447</v>
      </c>
      <c r="I2364" t="s">
        <v>9406</v>
      </c>
      <c r="J2364" t="s">
        <v>435</v>
      </c>
      <c r="K2364" t="s">
        <v>436</v>
      </c>
      <c r="M2364" t="s">
        <v>47</v>
      </c>
      <c r="O2364" t="s">
        <v>77</v>
      </c>
      <c r="P2364" t="s">
        <v>78</v>
      </c>
      <c r="Q2364" t="s">
        <v>50</v>
      </c>
      <c r="R2364" t="s">
        <v>51</v>
      </c>
      <c r="S2364" t="s">
        <v>52</v>
      </c>
      <c r="T2364" t="s">
        <v>240</v>
      </c>
      <c r="U2364" s="1">
        <v>46073.511238425926</v>
      </c>
      <c r="V2364" t="s">
        <v>54</v>
      </c>
      <c r="W2364" t="s">
        <v>55</v>
      </c>
      <c r="X2364" t="s">
        <v>134</v>
      </c>
      <c r="Y2364" t="s">
        <v>9407</v>
      </c>
      <c r="Z2364" t="s">
        <v>5594</v>
      </c>
      <c r="AA2364" t="s">
        <v>54</v>
      </c>
      <c r="AB2364" t="s">
        <v>408</v>
      </c>
      <c r="AC2364" t="s">
        <v>85</v>
      </c>
      <c r="AD2364" t="s">
        <v>52</v>
      </c>
      <c r="AE2364" t="s">
        <v>243</v>
      </c>
      <c r="AF2364" t="s">
        <v>244</v>
      </c>
      <c r="AG2364" t="s">
        <v>5594</v>
      </c>
      <c r="AH2364">
        <v>14694</v>
      </c>
      <c r="AK2364">
        <v>1</v>
      </c>
      <c r="AL2364" t="s">
        <v>61</v>
      </c>
      <c r="AM2364" t="s">
        <v>8583</v>
      </c>
      <c r="AN2364" t="s">
        <v>8584</v>
      </c>
    </row>
    <row r="2365" spans="1:40" x14ac:dyDescent="0.35">
      <c r="A2365" t="s">
        <v>37</v>
      </c>
      <c r="B2365" t="s">
        <v>9408</v>
      </c>
      <c r="C2365" t="s">
        <v>102</v>
      </c>
      <c r="D2365" t="s">
        <v>747</v>
      </c>
      <c r="E2365" t="s">
        <v>748</v>
      </c>
      <c r="F2365" s="1">
        <v>46072.352268518516</v>
      </c>
      <c r="G2365" t="s">
        <v>464</v>
      </c>
      <c r="H2365" t="s">
        <v>287</v>
      </c>
      <c r="I2365" t="s">
        <v>9409</v>
      </c>
      <c r="J2365" t="s">
        <v>750</v>
      </c>
      <c r="K2365" t="s">
        <v>751</v>
      </c>
      <c r="M2365" t="s">
        <v>47</v>
      </c>
      <c r="O2365" t="s">
        <v>237</v>
      </c>
      <c r="P2365" t="s">
        <v>238</v>
      </c>
      <c r="Q2365" t="s">
        <v>50</v>
      </c>
      <c r="R2365" t="s">
        <v>305</v>
      </c>
      <c r="S2365" t="s">
        <v>306</v>
      </c>
      <c r="T2365" t="s">
        <v>307</v>
      </c>
      <c r="U2365" s="1">
        <v>46072.597002314818</v>
      </c>
      <c r="V2365" t="s">
        <v>54</v>
      </c>
      <c r="W2365" t="s">
        <v>55</v>
      </c>
      <c r="X2365" t="s">
        <v>211</v>
      </c>
      <c r="Y2365" t="s">
        <v>9410</v>
      </c>
      <c r="Z2365" t="s">
        <v>5594</v>
      </c>
      <c r="AA2365" t="s">
        <v>54</v>
      </c>
      <c r="AB2365" t="s">
        <v>213</v>
      </c>
      <c r="AC2365" t="s">
        <v>242</v>
      </c>
      <c r="AD2365" t="s">
        <v>305</v>
      </c>
      <c r="AE2365" t="s">
        <v>306</v>
      </c>
      <c r="AF2365" t="s">
        <v>307</v>
      </c>
      <c r="AG2365" t="s">
        <v>5594</v>
      </c>
      <c r="AH2365">
        <v>12153</v>
      </c>
      <c r="AK2365">
        <v>1</v>
      </c>
      <c r="AL2365" t="s">
        <v>61</v>
      </c>
      <c r="AM2365" t="s">
        <v>753</v>
      </c>
      <c r="AN2365" t="s">
        <v>754</v>
      </c>
    </row>
    <row r="2366" spans="1:40" x14ac:dyDescent="0.35">
      <c r="A2366" t="s">
        <v>37</v>
      </c>
      <c r="B2366" t="s">
        <v>9411</v>
      </c>
      <c r="C2366" t="s">
        <v>102</v>
      </c>
      <c r="D2366" t="s">
        <v>9046</v>
      </c>
      <c r="E2366" t="s">
        <v>5458</v>
      </c>
      <c r="F2366" s="1">
        <v>46072.351030092592</v>
      </c>
      <c r="G2366" t="s">
        <v>464</v>
      </c>
      <c r="H2366" t="s">
        <v>287</v>
      </c>
      <c r="I2366" t="s">
        <v>9412</v>
      </c>
      <c r="J2366" t="s">
        <v>750</v>
      </c>
      <c r="K2366" t="s">
        <v>751</v>
      </c>
      <c r="M2366" t="s">
        <v>47</v>
      </c>
      <c r="O2366" t="s">
        <v>237</v>
      </c>
      <c r="P2366" t="s">
        <v>238</v>
      </c>
      <c r="Q2366" t="s">
        <v>50</v>
      </c>
      <c r="R2366" t="s">
        <v>305</v>
      </c>
      <c r="S2366" t="s">
        <v>306</v>
      </c>
      <c r="T2366" t="s">
        <v>307</v>
      </c>
      <c r="U2366" s="1">
        <v>46072.547094907408</v>
      </c>
      <c r="V2366" t="s">
        <v>54</v>
      </c>
      <c r="W2366" t="s">
        <v>55</v>
      </c>
      <c r="X2366" t="s">
        <v>211</v>
      </c>
      <c r="Y2366" t="s">
        <v>9048</v>
      </c>
      <c r="Z2366" t="s">
        <v>5594</v>
      </c>
      <c r="AA2366" t="s">
        <v>54</v>
      </c>
      <c r="AB2366" t="s">
        <v>213</v>
      </c>
      <c r="AC2366" t="s">
        <v>242</v>
      </c>
      <c r="AD2366" t="s">
        <v>305</v>
      </c>
      <c r="AE2366" t="s">
        <v>306</v>
      </c>
      <c r="AF2366" t="s">
        <v>307</v>
      </c>
      <c r="AG2366" t="s">
        <v>5594</v>
      </c>
      <c r="AH2366">
        <v>13251</v>
      </c>
      <c r="AK2366">
        <v>1</v>
      </c>
      <c r="AL2366" t="s">
        <v>61</v>
      </c>
      <c r="AM2366" t="s">
        <v>9049</v>
      </c>
      <c r="AN2366" t="s">
        <v>9050</v>
      </c>
    </row>
    <row r="2367" spans="1:40" x14ac:dyDescent="0.35">
      <c r="A2367" t="s">
        <v>37</v>
      </c>
      <c r="B2367" t="s">
        <v>9413</v>
      </c>
      <c r="C2367" t="s">
        <v>102</v>
      </c>
      <c r="D2367" t="s">
        <v>617</v>
      </c>
      <c r="E2367" t="s">
        <v>618</v>
      </c>
      <c r="F2367" s="1">
        <v>46072.352662037039</v>
      </c>
      <c r="G2367" t="s">
        <v>286</v>
      </c>
      <c r="H2367" t="s">
        <v>287</v>
      </c>
      <c r="I2367" t="s">
        <v>9414</v>
      </c>
      <c r="J2367" t="s">
        <v>620</v>
      </c>
      <c r="K2367" t="s">
        <v>130</v>
      </c>
      <c r="M2367" t="s">
        <v>47</v>
      </c>
      <c r="O2367" t="s">
        <v>77</v>
      </c>
      <c r="P2367" t="s">
        <v>78</v>
      </c>
      <c r="Q2367" t="s">
        <v>50</v>
      </c>
      <c r="R2367" t="s">
        <v>132</v>
      </c>
      <c r="S2367" t="s">
        <v>133</v>
      </c>
      <c r="T2367" t="s">
        <v>133</v>
      </c>
      <c r="U2367" s="1">
        <v>46072.409826388888</v>
      </c>
      <c r="V2367" t="s">
        <v>54</v>
      </c>
      <c r="W2367" t="s">
        <v>55</v>
      </c>
      <c r="X2367" t="s">
        <v>134</v>
      </c>
      <c r="Y2367" t="s">
        <v>9415</v>
      </c>
      <c r="Z2367" t="s">
        <v>5594</v>
      </c>
      <c r="AA2367" t="s">
        <v>54</v>
      </c>
      <c r="AB2367" t="s">
        <v>622</v>
      </c>
      <c r="AC2367" t="s">
        <v>85</v>
      </c>
      <c r="AD2367" t="s">
        <v>132</v>
      </c>
      <c r="AE2367" t="s">
        <v>133</v>
      </c>
      <c r="AF2367" t="s">
        <v>133</v>
      </c>
      <c r="AG2367" t="s">
        <v>5594</v>
      </c>
      <c r="AH2367" t="s">
        <v>623</v>
      </c>
      <c r="AK2367">
        <v>1</v>
      </c>
      <c r="AL2367" t="s">
        <v>61</v>
      </c>
      <c r="AM2367" t="s">
        <v>622</v>
      </c>
      <c r="AN2367" t="s">
        <v>624</v>
      </c>
    </row>
    <row r="2368" spans="1:40" x14ac:dyDescent="0.35">
      <c r="A2368" t="s">
        <v>37</v>
      </c>
      <c r="B2368" t="s">
        <v>9416</v>
      </c>
      <c r="C2368" t="s">
        <v>102</v>
      </c>
      <c r="D2368" t="s">
        <v>747</v>
      </c>
      <c r="E2368" t="s">
        <v>748</v>
      </c>
      <c r="F2368" s="1">
        <v>46072.34957175926</v>
      </c>
      <c r="G2368" t="s">
        <v>464</v>
      </c>
      <c r="H2368" t="s">
        <v>287</v>
      </c>
      <c r="I2368" t="s">
        <v>7661</v>
      </c>
      <c r="J2368" t="s">
        <v>750</v>
      </c>
      <c r="K2368" t="s">
        <v>751</v>
      </c>
      <c r="M2368" t="s">
        <v>47</v>
      </c>
      <c r="O2368" t="s">
        <v>237</v>
      </c>
      <c r="P2368" t="s">
        <v>238</v>
      </c>
      <c r="Q2368" t="s">
        <v>50</v>
      </c>
      <c r="R2368" t="s">
        <v>305</v>
      </c>
      <c r="S2368" t="s">
        <v>306</v>
      </c>
      <c r="T2368" t="s">
        <v>307</v>
      </c>
      <c r="U2368" s="1">
        <v>46072.596319444441</v>
      </c>
      <c r="V2368" t="s">
        <v>54</v>
      </c>
      <c r="W2368" t="s">
        <v>55</v>
      </c>
      <c r="X2368" t="s">
        <v>211</v>
      </c>
      <c r="Y2368" t="s">
        <v>9061</v>
      </c>
      <c r="Z2368" t="s">
        <v>5594</v>
      </c>
      <c r="AA2368" t="s">
        <v>54</v>
      </c>
      <c r="AB2368" t="s">
        <v>213</v>
      </c>
      <c r="AC2368" t="s">
        <v>242</v>
      </c>
      <c r="AD2368" t="s">
        <v>305</v>
      </c>
      <c r="AE2368" t="s">
        <v>306</v>
      </c>
      <c r="AF2368" t="s">
        <v>307</v>
      </c>
      <c r="AG2368" t="s">
        <v>5594</v>
      </c>
      <c r="AH2368">
        <v>12153</v>
      </c>
      <c r="AK2368">
        <v>1</v>
      </c>
      <c r="AL2368" t="s">
        <v>61</v>
      </c>
      <c r="AM2368" t="s">
        <v>753</v>
      </c>
      <c r="AN2368" t="s">
        <v>754</v>
      </c>
    </row>
    <row r="2369" spans="1:40" x14ac:dyDescent="0.35">
      <c r="A2369" t="s">
        <v>37</v>
      </c>
      <c r="B2369" t="s">
        <v>9417</v>
      </c>
      <c r="C2369" t="s">
        <v>39</v>
      </c>
      <c r="D2369" t="s">
        <v>127</v>
      </c>
      <c r="E2369" t="s">
        <v>9418</v>
      </c>
      <c r="F2369" s="1">
        <v>46072.430185185185</v>
      </c>
      <c r="G2369" t="s">
        <v>71</v>
      </c>
      <c r="H2369" t="s">
        <v>72</v>
      </c>
      <c r="I2369" t="s">
        <v>9419</v>
      </c>
      <c r="J2369" t="s">
        <v>1518</v>
      </c>
      <c r="K2369" t="s">
        <v>75</v>
      </c>
      <c r="M2369" t="s">
        <v>47</v>
      </c>
      <c r="O2369" t="s">
        <v>77</v>
      </c>
      <c r="P2369" t="s">
        <v>78</v>
      </c>
      <c r="Q2369" t="s">
        <v>50</v>
      </c>
      <c r="R2369" t="s">
        <v>79</v>
      </c>
      <c r="S2369" t="s">
        <v>1970</v>
      </c>
      <c r="T2369" t="s">
        <v>1971</v>
      </c>
      <c r="U2369" s="1">
        <v>46072.432430555556</v>
      </c>
      <c r="V2369" t="s">
        <v>54</v>
      </c>
      <c r="W2369" t="s">
        <v>55</v>
      </c>
      <c r="X2369" t="s">
        <v>82</v>
      </c>
      <c r="Y2369" t="s">
        <v>9420</v>
      </c>
      <c r="Z2369" t="s">
        <v>5594</v>
      </c>
      <c r="AA2369" t="s">
        <v>54</v>
      </c>
      <c r="AB2369" t="s">
        <v>1503</v>
      </c>
      <c r="AC2369" t="s">
        <v>85</v>
      </c>
      <c r="AD2369" t="s">
        <v>79</v>
      </c>
      <c r="AE2369" t="s">
        <v>1970</v>
      </c>
      <c r="AF2369" t="s">
        <v>1971</v>
      </c>
      <c r="AG2369" t="s">
        <v>5594</v>
      </c>
      <c r="AH2369" t="s">
        <v>9421</v>
      </c>
      <c r="AK2369">
        <v>0</v>
      </c>
      <c r="AL2369" t="s">
        <v>61</v>
      </c>
      <c r="AM2369" t="s">
        <v>9422</v>
      </c>
      <c r="AN2369" t="s">
        <v>9423</v>
      </c>
    </row>
    <row r="2370" spans="1:40" x14ac:dyDescent="0.35">
      <c r="A2370" t="s">
        <v>37</v>
      </c>
      <c r="B2370" t="s">
        <v>9424</v>
      </c>
      <c r="C2370" t="s">
        <v>39</v>
      </c>
      <c r="D2370" t="s">
        <v>127</v>
      </c>
      <c r="E2370" t="s">
        <v>9425</v>
      </c>
      <c r="F2370" s="1">
        <v>46072.429895833331</v>
      </c>
      <c r="G2370" t="s">
        <v>464</v>
      </c>
      <c r="H2370" t="s">
        <v>287</v>
      </c>
      <c r="I2370" t="s">
        <v>9419</v>
      </c>
      <c r="J2370" t="s">
        <v>1518</v>
      </c>
      <c r="K2370" t="s">
        <v>75</v>
      </c>
      <c r="M2370" t="s">
        <v>47</v>
      </c>
      <c r="O2370" t="s">
        <v>77</v>
      </c>
      <c r="P2370" t="s">
        <v>78</v>
      </c>
      <c r="Q2370" t="s">
        <v>465</v>
      </c>
      <c r="R2370" t="s">
        <v>79</v>
      </c>
      <c r="S2370" t="s">
        <v>1970</v>
      </c>
      <c r="T2370" t="s">
        <v>1971</v>
      </c>
      <c r="U2370" s="1">
        <v>46072.432824074072</v>
      </c>
      <c r="V2370" t="s">
        <v>54</v>
      </c>
      <c r="W2370" t="s">
        <v>55</v>
      </c>
      <c r="X2370" t="s">
        <v>82</v>
      </c>
      <c r="Y2370" t="s">
        <v>9420</v>
      </c>
      <c r="Z2370" t="s">
        <v>5594</v>
      </c>
      <c r="AA2370" t="s">
        <v>54</v>
      </c>
      <c r="AB2370" t="s">
        <v>1503</v>
      </c>
      <c r="AC2370" t="s">
        <v>85</v>
      </c>
      <c r="AD2370" t="s">
        <v>79</v>
      </c>
      <c r="AE2370" t="s">
        <v>1970</v>
      </c>
      <c r="AF2370" t="s">
        <v>1971</v>
      </c>
      <c r="AG2370" t="s">
        <v>5594</v>
      </c>
      <c r="AH2370">
        <v>6804</v>
      </c>
      <c r="AK2370">
        <v>0</v>
      </c>
      <c r="AL2370" t="s">
        <v>61</v>
      </c>
      <c r="AM2370" t="s">
        <v>9426</v>
      </c>
      <c r="AN2370" t="s">
        <v>9427</v>
      </c>
    </row>
    <row r="2371" spans="1:40" x14ac:dyDescent="0.35">
      <c r="A2371" t="s">
        <v>37</v>
      </c>
      <c r="B2371" t="s">
        <v>9428</v>
      </c>
      <c r="C2371" t="s">
        <v>39</v>
      </c>
      <c r="D2371" t="s">
        <v>303</v>
      </c>
      <c r="E2371" t="s">
        <v>1429</v>
      </c>
      <c r="F2371" s="1">
        <v>46072.346342592595</v>
      </c>
      <c r="G2371" t="s">
        <v>1249</v>
      </c>
      <c r="H2371" t="s">
        <v>233</v>
      </c>
      <c r="I2371" t="s">
        <v>205</v>
      </c>
      <c r="J2371" t="s">
        <v>206</v>
      </c>
      <c r="K2371" t="s">
        <v>207</v>
      </c>
      <c r="M2371" t="s">
        <v>47</v>
      </c>
      <c r="O2371" t="s">
        <v>77</v>
      </c>
      <c r="P2371" t="s">
        <v>78</v>
      </c>
      <c r="Q2371" t="s">
        <v>1088</v>
      </c>
      <c r="R2371" t="s">
        <v>208</v>
      </c>
      <c r="S2371" t="s">
        <v>209</v>
      </c>
      <c r="T2371" t="s">
        <v>210</v>
      </c>
      <c r="U2371" s="1">
        <v>46072.357314814813</v>
      </c>
      <c r="V2371" t="s">
        <v>54</v>
      </c>
      <c r="W2371" t="s">
        <v>55</v>
      </c>
      <c r="X2371" t="s">
        <v>211</v>
      </c>
      <c r="Y2371" t="s">
        <v>9429</v>
      </c>
      <c r="Z2371" t="s">
        <v>5594</v>
      </c>
      <c r="AA2371" t="s">
        <v>54</v>
      </c>
      <c r="AB2371" t="s">
        <v>213</v>
      </c>
      <c r="AC2371" t="s">
        <v>85</v>
      </c>
      <c r="AD2371" t="s">
        <v>214</v>
      </c>
      <c r="AE2371" t="s">
        <v>215</v>
      </c>
      <c r="AF2371" t="s">
        <v>216</v>
      </c>
      <c r="AG2371" t="s">
        <v>5594</v>
      </c>
      <c r="AH2371">
        <v>4373</v>
      </c>
      <c r="AK2371">
        <v>1</v>
      </c>
      <c r="AL2371" t="s">
        <v>61</v>
      </c>
      <c r="AM2371" t="s">
        <v>9430</v>
      </c>
      <c r="AN2371" t="s">
        <v>9431</v>
      </c>
    </row>
    <row r="2372" spans="1:40" x14ac:dyDescent="0.35">
      <c r="A2372" t="s">
        <v>37</v>
      </c>
      <c r="B2372" t="s">
        <v>9432</v>
      </c>
      <c r="C2372" t="s">
        <v>39</v>
      </c>
      <c r="D2372" t="s">
        <v>1121</v>
      </c>
      <c r="E2372" t="s">
        <v>9433</v>
      </c>
      <c r="F2372" s="1">
        <v>46072.344733796293</v>
      </c>
      <c r="G2372" t="s">
        <v>688</v>
      </c>
      <c r="H2372" t="s">
        <v>106</v>
      </c>
      <c r="I2372" t="s">
        <v>205</v>
      </c>
      <c r="J2372" t="s">
        <v>206</v>
      </c>
      <c r="K2372" t="s">
        <v>207</v>
      </c>
      <c r="M2372" t="s">
        <v>47</v>
      </c>
      <c r="O2372" t="s">
        <v>77</v>
      </c>
      <c r="P2372" t="s">
        <v>78</v>
      </c>
      <c r="Q2372" t="s">
        <v>9434</v>
      </c>
      <c r="R2372" t="s">
        <v>208</v>
      </c>
      <c r="S2372" t="s">
        <v>209</v>
      </c>
      <c r="T2372" t="s">
        <v>210</v>
      </c>
      <c r="U2372" s="1">
        <v>46072.356874999998</v>
      </c>
      <c r="V2372" t="s">
        <v>54</v>
      </c>
      <c r="W2372" t="s">
        <v>55</v>
      </c>
      <c r="X2372" t="s">
        <v>211</v>
      </c>
      <c r="Y2372" t="s">
        <v>9429</v>
      </c>
      <c r="Z2372" t="s">
        <v>5594</v>
      </c>
      <c r="AA2372" t="s">
        <v>54</v>
      </c>
      <c r="AB2372" t="s">
        <v>213</v>
      </c>
      <c r="AC2372" t="s">
        <v>85</v>
      </c>
      <c r="AD2372" t="s">
        <v>214</v>
      </c>
      <c r="AE2372" t="s">
        <v>215</v>
      </c>
      <c r="AF2372" t="s">
        <v>216</v>
      </c>
      <c r="AG2372" t="s">
        <v>5594</v>
      </c>
      <c r="AH2372">
        <v>9907</v>
      </c>
      <c r="AK2372">
        <v>1</v>
      </c>
      <c r="AL2372" t="s">
        <v>61</v>
      </c>
      <c r="AM2372" t="s">
        <v>9435</v>
      </c>
      <c r="AN2372" t="s">
        <v>9436</v>
      </c>
    </row>
    <row r="2373" spans="1:40" x14ac:dyDescent="0.35">
      <c r="A2373" t="s">
        <v>37</v>
      </c>
      <c r="B2373" t="s">
        <v>9437</v>
      </c>
      <c r="C2373" t="s">
        <v>39</v>
      </c>
      <c r="D2373" t="s">
        <v>220</v>
      </c>
      <c r="E2373" t="s">
        <v>9438</v>
      </c>
      <c r="F2373" s="1">
        <v>46072.342951388891</v>
      </c>
      <c r="G2373" t="s">
        <v>1117</v>
      </c>
      <c r="H2373" t="s">
        <v>92</v>
      </c>
      <c r="I2373" t="s">
        <v>205</v>
      </c>
      <c r="J2373" t="s">
        <v>206</v>
      </c>
      <c r="K2373" t="s">
        <v>207</v>
      </c>
      <c r="M2373" t="s">
        <v>47</v>
      </c>
      <c r="O2373" t="s">
        <v>77</v>
      </c>
      <c r="P2373" t="s">
        <v>78</v>
      </c>
      <c r="Q2373" t="s">
        <v>1174</v>
      </c>
      <c r="R2373" t="s">
        <v>208</v>
      </c>
      <c r="S2373" t="s">
        <v>209</v>
      </c>
      <c r="T2373" t="s">
        <v>210</v>
      </c>
      <c r="U2373" s="1">
        <v>46072.356504629628</v>
      </c>
      <c r="V2373" t="s">
        <v>54</v>
      </c>
      <c r="W2373" t="s">
        <v>55</v>
      </c>
      <c r="X2373" t="s">
        <v>211</v>
      </c>
      <c r="Y2373" t="s">
        <v>9429</v>
      </c>
      <c r="Z2373" t="s">
        <v>5594</v>
      </c>
      <c r="AA2373" t="s">
        <v>54</v>
      </c>
      <c r="AB2373" t="s">
        <v>213</v>
      </c>
      <c r="AC2373" t="s">
        <v>85</v>
      </c>
      <c r="AD2373" t="s">
        <v>214</v>
      </c>
      <c r="AE2373" t="s">
        <v>215</v>
      </c>
      <c r="AF2373" t="s">
        <v>216</v>
      </c>
      <c r="AG2373" t="s">
        <v>5594</v>
      </c>
      <c r="AH2373">
        <v>12332</v>
      </c>
      <c r="AK2373">
        <v>1</v>
      </c>
      <c r="AL2373" t="s">
        <v>61</v>
      </c>
      <c r="AM2373" t="s">
        <v>9439</v>
      </c>
      <c r="AN2373" t="s">
        <v>9440</v>
      </c>
    </row>
    <row r="2374" spans="1:40" x14ac:dyDescent="0.35">
      <c r="A2374" t="s">
        <v>37</v>
      </c>
      <c r="B2374" t="s">
        <v>9441</v>
      </c>
      <c r="C2374" t="s">
        <v>39</v>
      </c>
      <c r="D2374" t="s">
        <v>4330</v>
      </c>
      <c r="E2374" t="s">
        <v>321</v>
      </c>
      <c r="F2374" s="1">
        <v>46072.343773148146</v>
      </c>
      <c r="G2374" t="s">
        <v>42</v>
      </c>
      <c r="H2374" t="s">
        <v>43</v>
      </c>
      <c r="I2374" t="s">
        <v>1517</v>
      </c>
      <c r="J2374" t="s">
        <v>741</v>
      </c>
      <c r="K2374" t="s">
        <v>207</v>
      </c>
      <c r="M2374" t="s">
        <v>47</v>
      </c>
      <c r="O2374" t="s">
        <v>77</v>
      </c>
      <c r="P2374" t="s">
        <v>78</v>
      </c>
      <c r="Q2374" t="s">
        <v>50</v>
      </c>
      <c r="R2374" t="s">
        <v>79</v>
      </c>
      <c r="S2374" t="s">
        <v>967</v>
      </c>
      <c r="T2374" t="s">
        <v>1072</v>
      </c>
      <c r="U2374" s="1">
        <v>46072.350972222222</v>
      </c>
      <c r="V2374" t="s">
        <v>54</v>
      </c>
      <c r="W2374" t="s">
        <v>55</v>
      </c>
      <c r="X2374" t="s">
        <v>82</v>
      </c>
      <c r="Y2374" t="s">
        <v>9442</v>
      </c>
      <c r="Z2374" t="s">
        <v>5594</v>
      </c>
      <c r="AA2374" t="s">
        <v>54</v>
      </c>
      <c r="AB2374" t="s">
        <v>396</v>
      </c>
      <c r="AC2374" t="s">
        <v>85</v>
      </c>
      <c r="AD2374" t="s">
        <v>79</v>
      </c>
      <c r="AE2374" t="s">
        <v>967</v>
      </c>
      <c r="AF2374" t="s">
        <v>1072</v>
      </c>
      <c r="AG2374" t="s">
        <v>5594</v>
      </c>
      <c r="AH2374">
        <v>15376</v>
      </c>
      <c r="AK2374">
        <v>1</v>
      </c>
      <c r="AL2374" t="s">
        <v>61</v>
      </c>
      <c r="AM2374" t="s">
        <v>4332</v>
      </c>
      <c r="AN2374" t="s">
        <v>4333</v>
      </c>
    </row>
    <row r="2375" spans="1:40" x14ac:dyDescent="0.35">
      <c r="A2375" t="s">
        <v>37</v>
      </c>
      <c r="B2375" t="s">
        <v>9443</v>
      </c>
      <c r="C2375" t="s">
        <v>39</v>
      </c>
      <c r="D2375" t="s">
        <v>9444</v>
      </c>
      <c r="E2375" t="s">
        <v>9445</v>
      </c>
      <c r="F2375" s="1">
        <v>46072.341608796298</v>
      </c>
      <c r="G2375" t="s">
        <v>91</v>
      </c>
      <c r="H2375" t="s">
        <v>92</v>
      </c>
      <c r="I2375" t="s">
        <v>9446</v>
      </c>
      <c r="J2375" t="s">
        <v>206</v>
      </c>
      <c r="K2375" t="s">
        <v>207</v>
      </c>
      <c r="M2375" t="s">
        <v>47</v>
      </c>
      <c r="O2375" t="s">
        <v>77</v>
      </c>
      <c r="P2375" t="s">
        <v>78</v>
      </c>
      <c r="Q2375" t="s">
        <v>50</v>
      </c>
      <c r="R2375" t="s">
        <v>79</v>
      </c>
      <c r="S2375" t="s">
        <v>967</v>
      </c>
      <c r="T2375" t="s">
        <v>1072</v>
      </c>
      <c r="U2375" s="1">
        <v>46072.349374999998</v>
      </c>
      <c r="V2375" t="s">
        <v>54</v>
      </c>
      <c r="W2375" t="s">
        <v>55</v>
      </c>
      <c r="X2375" t="s">
        <v>82</v>
      </c>
      <c r="Y2375" t="s">
        <v>9447</v>
      </c>
      <c r="Z2375" t="s">
        <v>5594</v>
      </c>
      <c r="AA2375" t="s">
        <v>54</v>
      </c>
      <c r="AB2375" t="s">
        <v>709</v>
      </c>
      <c r="AC2375" t="s">
        <v>85</v>
      </c>
      <c r="AD2375" t="s">
        <v>79</v>
      </c>
      <c r="AE2375" t="s">
        <v>967</v>
      </c>
      <c r="AF2375" t="s">
        <v>1072</v>
      </c>
      <c r="AG2375" t="s">
        <v>5594</v>
      </c>
      <c r="AH2375">
        <v>14620</v>
      </c>
      <c r="AK2375">
        <v>1</v>
      </c>
      <c r="AL2375" t="s">
        <v>61</v>
      </c>
      <c r="AM2375" t="s">
        <v>9448</v>
      </c>
      <c r="AN2375" t="s">
        <v>9449</v>
      </c>
    </row>
    <row r="2376" spans="1:40" x14ac:dyDescent="0.35">
      <c r="A2376" t="s">
        <v>37</v>
      </c>
      <c r="B2376" t="s">
        <v>9450</v>
      </c>
      <c r="C2376" t="s">
        <v>102</v>
      </c>
      <c r="D2376" t="s">
        <v>747</v>
      </c>
      <c r="E2376" t="s">
        <v>748</v>
      </c>
      <c r="F2376" s="1">
        <v>46072.340185185189</v>
      </c>
      <c r="G2376" t="s">
        <v>464</v>
      </c>
      <c r="H2376" t="s">
        <v>287</v>
      </c>
      <c r="I2376" t="s">
        <v>9451</v>
      </c>
      <c r="J2376" t="s">
        <v>750</v>
      </c>
      <c r="K2376" t="s">
        <v>751</v>
      </c>
      <c r="M2376" t="s">
        <v>47</v>
      </c>
      <c r="O2376" t="s">
        <v>237</v>
      </c>
      <c r="P2376" t="s">
        <v>238</v>
      </c>
      <c r="Q2376" t="s">
        <v>50</v>
      </c>
      <c r="R2376" t="s">
        <v>305</v>
      </c>
      <c r="S2376" t="s">
        <v>306</v>
      </c>
      <c r="T2376" t="s">
        <v>307</v>
      </c>
      <c r="U2376" s="1">
        <v>46072.595949074072</v>
      </c>
      <c r="V2376" t="s">
        <v>54</v>
      </c>
      <c r="W2376" t="s">
        <v>55</v>
      </c>
      <c r="X2376" t="s">
        <v>211</v>
      </c>
      <c r="Y2376" t="s">
        <v>9061</v>
      </c>
      <c r="Z2376" t="s">
        <v>5594</v>
      </c>
      <c r="AA2376" t="s">
        <v>54</v>
      </c>
      <c r="AB2376" t="s">
        <v>213</v>
      </c>
      <c r="AC2376" t="s">
        <v>242</v>
      </c>
      <c r="AD2376" t="s">
        <v>305</v>
      </c>
      <c r="AE2376" t="s">
        <v>306</v>
      </c>
      <c r="AF2376" t="s">
        <v>307</v>
      </c>
      <c r="AG2376" t="s">
        <v>5594</v>
      </c>
      <c r="AH2376">
        <v>12153</v>
      </c>
      <c r="AK2376">
        <v>1</v>
      </c>
      <c r="AL2376" t="s">
        <v>61</v>
      </c>
      <c r="AM2376" t="s">
        <v>753</v>
      </c>
      <c r="AN2376" t="s">
        <v>754</v>
      </c>
    </row>
    <row r="2377" spans="1:40" x14ac:dyDescent="0.35">
      <c r="A2377" t="s">
        <v>37</v>
      </c>
      <c r="B2377" t="s">
        <v>9452</v>
      </c>
      <c r="C2377" t="s">
        <v>39</v>
      </c>
      <c r="D2377" t="s">
        <v>40</v>
      </c>
      <c r="E2377" t="s">
        <v>41</v>
      </c>
      <c r="F2377" s="1">
        <v>46072.339097222219</v>
      </c>
      <c r="G2377" t="s">
        <v>42</v>
      </c>
      <c r="H2377" t="s">
        <v>43</v>
      </c>
      <c r="I2377" t="s">
        <v>9453</v>
      </c>
      <c r="J2377" t="s">
        <v>45</v>
      </c>
      <c r="K2377" t="s">
        <v>46</v>
      </c>
      <c r="M2377" t="s">
        <v>47</v>
      </c>
      <c r="O2377" t="s">
        <v>48</v>
      </c>
      <c r="P2377" t="s">
        <v>49</v>
      </c>
      <c r="Q2377" t="s">
        <v>50</v>
      </c>
      <c r="R2377" t="s">
        <v>51</v>
      </c>
      <c r="S2377" t="s">
        <v>52</v>
      </c>
      <c r="T2377" t="s">
        <v>53</v>
      </c>
      <c r="U2377" s="1">
        <v>46072.339918981481</v>
      </c>
      <c r="V2377" t="s">
        <v>54</v>
      </c>
      <c r="W2377" t="s">
        <v>55</v>
      </c>
      <c r="X2377" t="s">
        <v>56</v>
      </c>
      <c r="Y2377" t="s">
        <v>65</v>
      </c>
      <c r="Z2377" t="s">
        <v>5594</v>
      </c>
      <c r="AA2377" t="s">
        <v>54</v>
      </c>
      <c r="AB2377" t="s">
        <v>59</v>
      </c>
      <c r="AC2377" t="s">
        <v>60</v>
      </c>
      <c r="AD2377" t="s">
        <v>51</v>
      </c>
      <c r="AE2377" t="s">
        <v>52</v>
      </c>
      <c r="AF2377" t="s">
        <v>53</v>
      </c>
      <c r="AG2377" t="s">
        <v>5594</v>
      </c>
      <c r="AK2377">
        <v>0</v>
      </c>
      <c r="AL2377" t="s">
        <v>61</v>
      </c>
      <c r="AM2377" t="s">
        <v>59</v>
      </c>
      <c r="AN2377" t="s">
        <v>62</v>
      </c>
    </row>
    <row r="2378" spans="1:40" x14ac:dyDescent="0.35">
      <c r="A2378" t="s">
        <v>37</v>
      </c>
      <c r="B2378" t="s">
        <v>9454</v>
      </c>
      <c r="C2378" t="s">
        <v>102</v>
      </c>
      <c r="D2378" t="s">
        <v>1698</v>
      </c>
      <c r="E2378" t="s">
        <v>584</v>
      </c>
      <c r="F2378" s="1">
        <v>46072.337222222224</v>
      </c>
      <c r="G2378" t="s">
        <v>105</v>
      </c>
      <c r="H2378" t="s">
        <v>106</v>
      </c>
      <c r="I2378" t="s">
        <v>9387</v>
      </c>
      <c r="J2378" t="s">
        <v>108</v>
      </c>
      <c r="K2378" t="s">
        <v>109</v>
      </c>
      <c r="M2378" t="s">
        <v>47</v>
      </c>
      <c r="O2378" t="s">
        <v>77</v>
      </c>
      <c r="P2378" t="s">
        <v>78</v>
      </c>
      <c r="Q2378" t="s">
        <v>50</v>
      </c>
      <c r="R2378" t="s">
        <v>111</v>
      </c>
      <c r="S2378" t="s">
        <v>51</v>
      </c>
      <c r="T2378" t="s">
        <v>112</v>
      </c>
      <c r="U2378" s="1">
        <v>46072.503657407404</v>
      </c>
      <c r="V2378" t="s">
        <v>54</v>
      </c>
      <c r="W2378" t="s">
        <v>55</v>
      </c>
      <c r="X2378" t="s">
        <v>134</v>
      </c>
      <c r="Y2378" t="s">
        <v>9455</v>
      </c>
      <c r="Z2378" t="s">
        <v>5594</v>
      </c>
      <c r="AA2378" t="s">
        <v>54</v>
      </c>
      <c r="AB2378" t="s">
        <v>1701</v>
      </c>
      <c r="AC2378" t="s">
        <v>85</v>
      </c>
      <c r="AD2378" t="s">
        <v>116</v>
      </c>
      <c r="AE2378" t="s">
        <v>117</v>
      </c>
      <c r="AF2378" t="s">
        <v>1706</v>
      </c>
      <c r="AG2378" t="s">
        <v>5594</v>
      </c>
      <c r="AK2378">
        <v>1</v>
      </c>
      <c r="AL2378" t="s">
        <v>61</v>
      </c>
      <c r="AM2378" t="s">
        <v>1701</v>
      </c>
      <c r="AN2378" t="s">
        <v>1702</v>
      </c>
    </row>
    <row r="2379" spans="1:40" x14ac:dyDescent="0.35">
      <c r="A2379" t="s">
        <v>37</v>
      </c>
      <c r="B2379" t="s">
        <v>9456</v>
      </c>
      <c r="C2379" t="s">
        <v>102</v>
      </c>
      <c r="D2379" t="s">
        <v>9046</v>
      </c>
      <c r="E2379" t="s">
        <v>5458</v>
      </c>
      <c r="F2379" s="1">
        <v>46072.334513888891</v>
      </c>
      <c r="G2379" t="s">
        <v>464</v>
      </c>
      <c r="H2379" t="s">
        <v>287</v>
      </c>
      <c r="I2379" t="s">
        <v>9457</v>
      </c>
      <c r="J2379" t="s">
        <v>750</v>
      </c>
      <c r="K2379" t="s">
        <v>751</v>
      </c>
      <c r="M2379" t="s">
        <v>47</v>
      </c>
      <c r="O2379" t="s">
        <v>237</v>
      </c>
      <c r="P2379" t="s">
        <v>238</v>
      </c>
      <c r="Q2379" t="s">
        <v>50</v>
      </c>
      <c r="R2379" t="s">
        <v>305</v>
      </c>
      <c r="S2379" t="s">
        <v>306</v>
      </c>
      <c r="T2379" t="s">
        <v>307</v>
      </c>
      <c r="U2379" s="1">
        <v>46072.546770833331</v>
      </c>
      <c r="V2379" t="s">
        <v>54</v>
      </c>
      <c r="W2379" t="s">
        <v>55</v>
      </c>
      <c r="X2379" t="s">
        <v>211</v>
      </c>
      <c r="Y2379" t="s">
        <v>9048</v>
      </c>
      <c r="Z2379" t="s">
        <v>5594</v>
      </c>
      <c r="AA2379" t="s">
        <v>54</v>
      </c>
      <c r="AB2379" t="s">
        <v>213</v>
      </c>
      <c r="AC2379" t="s">
        <v>242</v>
      </c>
      <c r="AD2379" t="s">
        <v>305</v>
      </c>
      <c r="AE2379" t="s">
        <v>306</v>
      </c>
      <c r="AF2379" t="s">
        <v>307</v>
      </c>
      <c r="AG2379" t="s">
        <v>5594</v>
      </c>
      <c r="AH2379">
        <v>13251</v>
      </c>
      <c r="AK2379">
        <v>1</v>
      </c>
      <c r="AL2379" t="s">
        <v>61</v>
      </c>
      <c r="AM2379" t="s">
        <v>9049</v>
      </c>
      <c r="AN2379" t="s">
        <v>9050</v>
      </c>
    </row>
    <row r="2380" spans="1:40" x14ac:dyDescent="0.35">
      <c r="A2380" t="s">
        <v>37</v>
      </c>
      <c r="B2380" t="s">
        <v>9458</v>
      </c>
      <c r="C2380" t="s">
        <v>102</v>
      </c>
      <c r="D2380" t="s">
        <v>747</v>
      </c>
      <c r="E2380" t="s">
        <v>748</v>
      </c>
      <c r="F2380" s="1">
        <v>46072.332708333335</v>
      </c>
      <c r="G2380" t="s">
        <v>464</v>
      </c>
      <c r="H2380" t="s">
        <v>287</v>
      </c>
      <c r="I2380" t="s">
        <v>1474</v>
      </c>
      <c r="J2380" t="s">
        <v>750</v>
      </c>
      <c r="K2380" t="s">
        <v>751</v>
      </c>
      <c r="M2380" t="s">
        <v>47</v>
      </c>
      <c r="O2380" t="s">
        <v>237</v>
      </c>
      <c r="P2380" t="s">
        <v>238</v>
      </c>
      <c r="Q2380" t="s">
        <v>50</v>
      </c>
      <c r="R2380" t="s">
        <v>305</v>
      </c>
      <c r="S2380" t="s">
        <v>306</v>
      </c>
      <c r="T2380" t="s">
        <v>307</v>
      </c>
      <c r="U2380" s="1">
        <v>46072.59574074074</v>
      </c>
      <c r="V2380" t="s">
        <v>54</v>
      </c>
      <c r="W2380" t="s">
        <v>55</v>
      </c>
      <c r="X2380" t="s">
        <v>211</v>
      </c>
      <c r="Y2380" t="s">
        <v>9061</v>
      </c>
      <c r="Z2380" t="s">
        <v>5594</v>
      </c>
      <c r="AA2380" t="s">
        <v>54</v>
      </c>
      <c r="AB2380" t="s">
        <v>213</v>
      </c>
      <c r="AC2380" t="s">
        <v>242</v>
      </c>
      <c r="AD2380" t="s">
        <v>305</v>
      </c>
      <c r="AE2380" t="s">
        <v>306</v>
      </c>
      <c r="AF2380" t="s">
        <v>307</v>
      </c>
      <c r="AG2380" t="s">
        <v>5594</v>
      </c>
      <c r="AH2380">
        <v>12153</v>
      </c>
      <c r="AK2380">
        <v>1</v>
      </c>
      <c r="AL2380" t="s">
        <v>61</v>
      </c>
      <c r="AM2380" t="s">
        <v>753</v>
      </c>
      <c r="AN2380" t="s">
        <v>754</v>
      </c>
    </row>
    <row r="2381" spans="1:40" x14ac:dyDescent="0.35">
      <c r="A2381" t="s">
        <v>37</v>
      </c>
      <c r="B2381" t="s">
        <v>9459</v>
      </c>
      <c r="C2381" t="s">
        <v>656</v>
      </c>
      <c r="D2381" t="s">
        <v>1379</v>
      </c>
      <c r="E2381" t="s">
        <v>1380</v>
      </c>
      <c r="F2381" s="1">
        <v>46072.333321759259</v>
      </c>
      <c r="G2381" t="s">
        <v>355</v>
      </c>
      <c r="H2381" t="s">
        <v>356</v>
      </c>
      <c r="I2381" t="s">
        <v>9460</v>
      </c>
      <c r="J2381" t="s">
        <v>1382</v>
      </c>
      <c r="K2381" t="s">
        <v>661</v>
      </c>
      <c r="M2381" t="s">
        <v>47</v>
      </c>
      <c r="O2381" t="s">
        <v>77</v>
      </c>
      <c r="P2381" t="s">
        <v>78</v>
      </c>
      <c r="Q2381" t="s">
        <v>50</v>
      </c>
      <c r="R2381" t="s">
        <v>662</v>
      </c>
      <c r="S2381" t="s">
        <v>663</v>
      </c>
      <c r="T2381" t="s">
        <v>1462</v>
      </c>
      <c r="U2381" s="1">
        <v>46073.446793981479</v>
      </c>
      <c r="V2381" t="s">
        <v>54</v>
      </c>
      <c r="W2381" t="s">
        <v>55</v>
      </c>
      <c r="X2381" t="s">
        <v>56</v>
      </c>
      <c r="Y2381" t="s">
        <v>9461</v>
      </c>
      <c r="Z2381" t="s">
        <v>5594</v>
      </c>
      <c r="AA2381" t="s">
        <v>54</v>
      </c>
      <c r="AB2381" t="s">
        <v>1384</v>
      </c>
      <c r="AC2381" t="s">
        <v>85</v>
      </c>
      <c r="AD2381" t="s">
        <v>667</v>
      </c>
      <c r="AE2381" t="s">
        <v>667</v>
      </c>
      <c r="AF2381" t="s">
        <v>989</v>
      </c>
      <c r="AG2381" t="s">
        <v>5594</v>
      </c>
      <c r="AH2381" t="s">
        <v>1385</v>
      </c>
      <c r="AK2381">
        <v>0</v>
      </c>
      <c r="AL2381" t="s">
        <v>61</v>
      </c>
      <c r="AM2381" t="s">
        <v>1384</v>
      </c>
      <c r="AN2381" t="s">
        <v>1386</v>
      </c>
    </row>
    <row r="2382" spans="1:40" x14ac:dyDescent="0.35">
      <c r="A2382" t="s">
        <v>37</v>
      </c>
      <c r="B2382" t="s">
        <v>9462</v>
      </c>
      <c r="C2382" t="s">
        <v>656</v>
      </c>
      <c r="D2382" t="s">
        <v>1379</v>
      </c>
      <c r="E2382" t="s">
        <v>1380</v>
      </c>
      <c r="F2382" s="1">
        <v>46072.332175925927</v>
      </c>
      <c r="G2382" t="s">
        <v>355</v>
      </c>
      <c r="H2382" t="s">
        <v>356</v>
      </c>
      <c r="I2382" t="s">
        <v>9463</v>
      </c>
      <c r="J2382" t="s">
        <v>1382</v>
      </c>
      <c r="K2382" t="s">
        <v>661</v>
      </c>
      <c r="M2382" t="s">
        <v>131</v>
      </c>
      <c r="O2382" t="s">
        <v>77</v>
      </c>
      <c r="P2382" t="s">
        <v>78</v>
      </c>
      <c r="Q2382" t="s">
        <v>50</v>
      </c>
      <c r="R2382" t="s">
        <v>662</v>
      </c>
      <c r="S2382" t="s">
        <v>663</v>
      </c>
      <c r="T2382" t="s">
        <v>664</v>
      </c>
      <c r="U2382" s="1">
        <v>46077.471435185187</v>
      </c>
      <c r="V2382" t="s">
        <v>54</v>
      </c>
      <c r="W2382" t="s">
        <v>55</v>
      </c>
      <c r="X2382" t="s">
        <v>56</v>
      </c>
      <c r="Y2382" t="s">
        <v>9464</v>
      </c>
      <c r="Z2382" t="s">
        <v>58</v>
      </c>
      <c r="AA2382" t="s">
        <v>54</v>
      </c>
      <c r="AB2382" t="s">
        <v>1384</v>
      </c>
      <c r="AC2382" t="s">
        <v>85</v>
      </c>
      <c r="AD2382" t="s">
        <v>667</v>
      </c>
      <c r="AE2382" t="s">
        <v>667</v>
      </c>
      <c r="AF2382" t="s">
        <v>664</v>
      </c>
      <c r="AG2382" t="s">
        <v>58</v>
      </c>
      <c r="AH2382" t="s">
        <v>1385</v>
      </c>
      <c r="AK2382">
        <v>0</v>
      </c>
      <c r="AL2382" t="s">
        <v>61</v>
      </c>
      <c r="AM2382" t="s">
        <v>1384</v>
      </c>
      <c r="AN2382" t="s">
        <v>1386</v>
      </c>
    </row>
    <row r="2383" spans="1:40" x14ac:dyDescent="0.35">
      <c r="A2383" t="s">
        <v>37</v>
      </c>
      <c r="B2383" t="s">
        <v>9465</v>
      </c>
      <c r="C2383" t="s">
        <v>656</v>
      </c>
      <c r="D2383" t="s">
        <v>1379</v>
      </c>
      <c r="E2383" t="s">
        <v>1380</v>
      </c>
      <c r="F2383" s="1">
        <v>46072.331296296295</v>
      </c>
      <c r="G2383" t="s">
        <v>355</v>
      </c>
      <c r="H2383" t="s">
        <v>356</v>
      </c>
      <c r="I2383" t="s">
        <v>9466</v>
      </c>
      <c r="J2383" t="s">
        <v>1382</v>
      </c>
      <c r="K2383" t="s">
        <v>661</v>
      </c>
      <c r="M2383" t="s">
        <v>131</v>
      </c>
      <c r="O2383" t="s">
        <v>77</v>
      </c>
      <c r="P2383" t="s">
        <v>78</v>
      </c>
      <c r="Q2383" t="s">
        <v>50</v>
      </c>
      <c r="R2383" t="s">
        <v>662</v>
      </c>
      <c r="S2383" t="s">
        <v>663</v>
      </c>
      <c r="T2383" t="s">
        <v>664</v>
      </c>
      <c r="U2383" s="1">
        <v>46077.470671296294</v>
      </c>
      <c r="V2383" t="s">
        <v>54</v>
      </c>
      <c r="W2383" t="s">
        <v>55</v>
      </c>
      <c r="X2383" t="s">
        <v>56</v>
      </c>
      <c r="Y2383" t="s">
        <v>9464</v>
      </c>
      <c r="Z2383" t="s">
        <v>58</v>
      </c>
      <c r="AA2383" t="s">
        <v>54</v>
      </c>
      <c r="AB2383" t="s">
        <v>1384</v>
      </c>
      <c r="AC2383" t="s">
        <v>85</v>
      </c>
      <c r="AD2383" t="s">
        <v>667</v>
      </c>
      <c r="AE2383" t="s">
        <v>667</v>
      </c>
      <c r="AF2383" t="s">
        <v>664</v>
      </c>
      <c r="AG2383" t="s">
        <v>58</v>
      </c>
      <c r="AH2383" t="s">
        <v>1385</v>
      </c>
      <c r="AK2383">
        <v>0</v>
      </c>
      <c r="AL2383" t="s">
        <v>61</v>
      </c>
      <c r="AM2383" t="s">
        <v>1384</v>
      </c>
      <c r="AN2383" t="s">
        <v>1386</v>
      </c>
    </row>
    <row r="2384" spans="1:40" x14ac:dyDescent="0.35">
      <c r="A2384" t="s">
        <v>37</v>
      </c>
      <c r="B2384" t="s">
        <v>9467</v>
      </c>
      <c r="C2384" t="s">
        <v>102</v>
      </c>
      <c r="D2384" t="s">
        <v>747</v>
      </c>
      <c r="E2384" t="s">
        <v>748</v>
      </c>
      <c r="F2384" s="1">
        <v>46072.329988425925</v>
      </c>
      <c r="G2384" t="s">
        <v>464</v>
      </c>
      <c r="H2384" t="s">
        <v>287</v>
      </c>
      <c r="I2384" t="s">
        <v>749</v>
      </c>
      <c r="J2384" t="s">
        <v>750</v>
      </c>
      <c r="K2384" t="s">
        <v>751</v>
      </c>
      <c r="M2384" t="s">
        <v>47</v>
      </c>
      <c r="O2384" t="s">
        <v>237</v>
      </c>
      <c r="P2384" t="s">
        <v>238</v>
      </c>
      <c r="Q2384" t="s">
        <v>50</v>
      </c>
      <c r="R2384" t="s">
        <v>305</v>
      </c>
      <c r="S2384" t="s">
        <v>306</v>
      </c>
      <c r="T2384" t="s">
        <v>307</v>
      </c>
      <c r="U2384" s="1">
        <v>46072.595416666663</v>
      </c>
      <c r="V2384" t="s">
        <v>54</v>
      </c>
      <c r="W2384" t="s">
        <v>55</v>
      </c>
      <c r="X2384" t="s">
        <v>211</v>
      </c>
      <c r="Y2384" t="s">
        <v>9061</v>
      </c>
      <c r="Z2384" t="s">
        <v>5594</v>
      </c>
      <c r="AA2384" t="s">
        <v>54</v>
      </c>
      <c r="AB2384" t="s">
        <v>213</v>
      </c>
      <c r="AC2384" t="s">
        <v>242</v>
      </c>
      <c r="AD2384" t="s">
        <v>305</v>
      </c>
      <c r="AE2384" t="s">
        <v>306</v>
      </c>
      <c r="AF2384" t="s">
        <v>307</v>
      </c>
      <c r="AG2384" t="s">
        <v>5594</v>
      </c>
      <c r="AH2384">
        <v>12153</v>
      </c>
      <c r="AK2384">
        <v>1</v>
      </c>
      <c r="AL2384" t="s">
        <v>61</v>
      </c>
      <c r="AM2384" t="s">
        <v>753</v>
      </c>
      <c r="AN2384" t="s">
        <v>754</v>
      </c>
    </row>
    <row r="2385" spans="1:40" x14ac:dyDescent="0.35">
      <c r="A2385" t="s">
        <v>37</v>
      </c>
      <c r="B2385" t="s">
        <v>9468</v>
      </c>
      <c r="C2385" t="s">
        <v>102</v>
      </c>
      <c r="D2385" t="s">
        <v>9469</v>
      </c>
      <c r="E2385" t="s">
        <v>9470</v>
      </c>
      <c r="F2385" s="1">
        <v>46072.329618055555</v>
      </c>
      <c r="G2385" t="s">
        <v>170</v>
      </c>
      <c r="H2385" t="s">
        <v>92</v>
      </c>
      <c r="I2385" t="s">
        <v>9471</v>
      </c>
      <c r="J2385" t="s">
        <v>9472</v>
      </c>
      <c r="K2385" t="s">
        <v>588</v>
      </c>
      <c r="M2385" t="s">
        <v>47</v>
      </c>
      <c r="O2385" t="s">
        <v>237</v>
      </c>
      <c r="P2385" t="s">
        <v>238</v>
      </c>
      <c r="Q2385" t="s">
        <v>50</v>
      </c>
      <c r="R2385" t="s">
        <v>1993</v>
      </c>
      <c r="S2385" t="s">
        <v>9473</v>
      </c>
      <c r="T2385" t="s">
        <v>9474</v>
      </c>
      <c r="U2385" s="1">
        <v>46073.136782407404</v>
      </c>
      <c r="V2385" t="s">
        <v>54</v>
      </c>
      <c r="W2385" t="s">
        <v>55</v>
      </c>
      <c r="X2385" t="s">
        <v>134</v>
      </c>
      <c r="Y2385" t="s">
        <v>9475</v>
      </c>
      <c r="Z2385" t="s">
        <v>5594</v>
      </c>
      <c r="AA2385" t="s">
        <v>54</v>
      </c>
      <c r="AB2385" t="s">
        <v>2609</v>
      </c>
      <c r="AC2385" t="s">
        <v>242</v>
      </c>
      <c r="AD2385" t="s">
        <v>1993</v>
      </c>
      <c r="AE2385" t="s">
        <v>9476</v>
      </c>
      <c r="AF2385" t="s">
        <v>9477</v>
      </c>
      <c r="AG2385" t="s">
        <v>5594</v>
      </c>
      <c r="AH2385">
        <v>15911</v>
      </c>
      <c r="AK2385">
        <v>0</v>
      </c>
      <c r="AL2385" t="s">
        <v>61</v>
      </c>
      <c r="AM2385" t="s">
        <v>9478</v>
      </c>
      <c r="AN2385" t="s">
        <v>9479</v>
      </c>
    </row>
    <row r="2386" spans="1:40" x14ac:dyDescent="0.35">
      <c r="A2386" t="s">
        <v>37</v>
      </c>
      <c r="B2386" t="s">
        <v>9480</v>
      </c>
      <c r="C2386" t="s">
        <v>102</v>
      </c>
      <c r="D2386" t="s">
        <v>747</v>
      </c>
      <c r="E2386" t="s">
        <v>748</v>
      </c>
      <c r="F2386" s="1">
        <v>46072.328576388885</v>
      </c>
      <c r="G2386" t="s">
        <v>464</v>
      </c>
      <c r="H2386" t="s">
        <v>287</v>
      </c>
      <c r="I2386" t="s">
        <v>9481</v>
      </c>
      <c r="J2386" t="s">
        <v>750</v>
      </c>
      <c r="K2386" t="s">
        <v>751</v>
      </c>
      <c r="M2386" t="s">
        <v>47</v>
      </c>
      <c r="O2386" t="s">
        <v>237</v>
      </c>
      <c r="P2386" t="s">
        <v>238</v>
      </c>
      <c r="Q2386" t="s">
        <v>50</v>
      </c>
      <c r="R2386" t="s">
        <v>305</v>
      </c>
      <c r="S2386" t="s">
        <v>306</v>
      </c>
      <c r="T2386" t="s">
        <v>307</v>
      </c>
      <c r="U2386" s="1">
        <v>46072.595150462963</v>
      </c>
      <c r="V2386" t="s">
        <v>54</v>
      </c>
      <c r="W2386" t="s">
        <v>55</v>
      </c>
      <c r="X2386" t="s">
        <v>211</v>
      </c>
      <c r="Y2386" t="s">
        <v>9061</v>
      </c>
      <c r="Z2386" t="s">
        <v>5594</v>
      </c>
      <c r="AA2386" t="s">
        <v>54</v>
      </c>
      <c r="AB2386" t="s">
        <v>213</v>
      </c>
      <c r="AC2386" t="s">
        <v>242</v>
      </c>
      <c r="AD2386" t="s">
        <v>305</v>
      </c>
      <c r="AE2386" t="s">
        <v>306</v>
      </c>
      <c r="AF2386" t="s">
        <v>307</v>
      </c>
      <c r="AG2386" t="s">
        <v>5594</v>
      </c>
      <c r="AH2386">
        <v>12153</v>
      </c>
      <c r="AK2386">
        <v>1</v>
      </c>
      <c r="AL2386" t="s">
        <v>61</v>
      </c>
      <c r="AM2386" t="s">
        <v>753</v>
      </c>
      <c r="AN2386" t="s">
        <v>754</v>
      </c>
    </row>
    <row r="2387" spans="1:40" x14ac:dyDescent="0.35">
      <c r="A2387" t="s">
        <v>37</v>
      </c>
      <c r="B2387" t="s">
        <v>9482</v>
      </c>
      <c r="C2387" t="s">
        <v>39</v>
      </c>
      <c r="D2387" t="s">
        <v>40</v>
      </c>
      <c r="E2387" t="s">
        <v>41</v>
      </c>
      <c r="F2387" s="1">
        <v>46072.327986111108</v>
      </c>
      <c r="G2387" t="s">
        <v>42</v>
      </c>
      <c r="H2387" t="s">
        <v>43</v>
      </c>
      <c r="I2387" t="s">
        <v>9483</v>
      </c>
      <c r="J2387" t="s">
        <v>45</v>
      </c>
      <c r="K2387" t="s">
        <v>46</v>
      </c>
      <c r="M2387" t="s">
        <v>47</v>
      </c>
      <c r="O2387" t="s">
        <v>48</v>
      </c>
      <c r="P2387" t="s">
        <v>49</v>
      </c>
      <c r="Q2387" t="s">
        <v>50</v>
      </c>
      <c r="R2387" t="s">
        <v>51</v>
      </c>
      <c r="S2387" t="s">
        <v>52</v>
      </c>
      <c r="T2387" t="s">
        <v>53</v>
      </c>
      <c r="U2387" s="1">
        <v>46072.328680555554</v>
      </c>
      <c r="V2387" t="s">
        <v>54</v>
      </c>
      <c r="W2387" t="s">
        <v>55</v>
      </c>
      <c r="X2387" t="s">
        <v>56</v>
      </c>
      <c r="Y2387" t="s">
        <v>57</v>
      </c>
      <c r="Z2387" t="s">
        <v>5594</v>
      </c>
      <c r="AA2387" t="s">
        <v>54</v>
      </c>
      <c r="AB2387" t="s">
        <v>59</v>
      </c>
      <c r="AC2387" t="s">
        <v>60</v>
      </c>
      <c r="AD2387" t="s">
        <v>51</v>
      </c>
      <c r="AE2387" t="s">
        <v>52</v>
      </c>
      <c r="AF2387" t="s">
        <v>53</v>
      </c>
      <c r="AG2387" t="s">
        <v>5594</v>
      </c>
      <c r="AK2387">
        <v>0</v>
      </c>
      <c r="AL2387" t="s">
        <v>61</v>
      </c>
      <c r="AM2387" t="s">
        <v>59</v>
      </c>
      <c r="AN2387" t="s">
        <v>62</v>
      </c>
    </row>
    <row r="2388" spans="1:40" x14ac:dyDescent="0.35">
      <c r="A2388" t="s">
        <v>37</v>
      </c>
      <c r="B2388" t="s">
        <v>9484</v>
      </c>
      <c r="C2388" t="s">
        <v>39</v>
      </c>
      <c r="D2388" t="s">
        <v>40</v>
      </c>
      <c r="E2388" t="s">
        <v>41</v>
      </c>
      <c r="F2388" s="1">
        <v>46072.327916666669</v>
      </c>
      <c r="G2388" t="s">
        <v>42</v>
      </c>
      <c r="H2388" t="s">
        <v>43</v>
      </c>
      <c r="I2388" t="s">
        <v>9485</v>
      </c>
      <c r="J2388" t="s">
        <v>45</v>
      </c>
      <c r="K2388" t="s">
        <v>46</v>
      </c>
      <c r="M2388" t="s">
        <v>47</v>
      </c>
      <c r="O2388" t="s">
        <v>48</v>
      </c>
      <c r="P2388" t="s">
        <v>49</v>
      </c>
      <c r="Q2388" t="s">
        <v>50</v>
      </c>
      <c r="R2388" t="s">
        <v>51</v>
      </c>
      <c r="S2388" t="s">
        <v>52</v>
      </c>
      <c r="T2388" t="s">
        <v>53</v>
      </c>
      <c r="U2388" s="1">
        <v>46072.328680555554</v>
      </c>
      <c r="V2388" t="s">
        <v>54</v>
      </c>
      <c r="W2388" t="s">
        <v>55</v>
      </c>
      <c r="X2388" t="s">
        <v>56</v>
      </c>
      <c r="Y2388" t="s">
        <v>57</v>
      </c>
      <c r="Z2388" t="s">
        <v>5594</v>
      </c>
      <c r="AA2388" t="s">
        <v>54</v>
      </c>
      <c r="AB2388" t="s">
        <v>59</v>
      </c>
      <c r="AC2388" t="s">
        <v>60</v>
      </c>
      <c r="AD2388" t="s">
        <v>51</v>
      </c>
      <c r="AE2388" t="s">
        <v>52</v>
      </c>
      <c r="AF2388" t="s">
        <v>53</v>
      </c>
      <c r="AG2388" t="s">
        <v>5594</v>
      </c>
      <c r="AK2388">
        <v>0</v>
      </c>
      <c r="AL2388" t="s">
        <v>61</v>
      </c>
      <c r="AM2388" t="s">
        <v>59</v>
      </c>
      <c r="AN2388" t="s">
        <v>62</v>
      </c>
    </row>
    <row r="2389" spans="1:40" x14ac:dyDescent="0.35">
      <c r="A2389" t="s">
        <v>37</v>
      </c>
      <c r="B2389" t="s">
        <v>9486</v>
      </c>
      <c r="C2389" t="s">
        <v>39</v>
      </c>
      <c r="D2389" t="s">
        <v>303</v>
      </c>
      <c r="E2389" t="s">
        <v>9487</v>
      </c>
      <c r="F2389" s="1">
        <v>46072.326319444444</v>
      </c>
      <c r="G2389" t="s">
        <v>497</v>
      </c>
      <c r="H2389" t="s">
        <v>72</v>
      </c>
      <c r="I2389" t="s">
        <v>2746</v>
      </c>
      <c r="J2389" t="s">
        <v>2718</v>
      </c>
      <c r="K2389" t="s">
        <v>951</v>
      </c>
      <c r="M2389" t="s">
        <v>76</v>
      </c>
      <c r="O2389" t="s">
        <v>77</v>
      </c>
      <c r="P2389" t="s">
        <v>78</v>
      </c>
      <c r="Q2389" t="s">
        <v>818</v>
      </c>
      <c r="R2389" t="s">
        <v>305</v>
      </c>
      <c r="S2389" t="s">
        <v>306</v>
      </c>
      <c r="T2389" t="s">
        <v>307</v>
      </c>
      <c r="U2389" s="1">
        <v>46077.392557870371</v>
      </c>
      <c r="V2389" t="s">
        <v>54</v>
      </c>
      <c r="W2389" t="s">
        <v>55</v>
      </c>
      <c r="X2389" t="s">
        <v>211</v>
      </c>
      <c r="Y2389" t="s">
        <v>9488</v>
      </c>
      <c r="Z2389" t="s">
        <v>58</v>
      </c>
      <c r="AA2389" t="s">
        <v>54</v>
      </c>
      <c r="AB2389" t="s">
        <v>213</v>
      </c>
      <c r="AC2389" t="s">
        <v>85</v>
      </c>
      <c r="AD2389" t="s">
        <v>79</v>
      </c>
      <c r="AE2389" t="s">
        <v>4869</v>
      </c>
      <c r="AF2389" t="s">
        <v>4870</v>
      </c>
      <c r="AG2389" t="s">
        <v>58</v>
      </c>
      <c r="AH2389">
        <v>350</v>
      </c>
      <c r="AK2389">
        <v>4</v>
      </c>
      <c r="AL2389" t="s">
        <v>61</v>
      </c>
      <c r="AM2389" t="s">
        <v>9489</v>
      </c>
      <c r="AN2389" t="s">
        <v>9490</v>
      </c>
    </row>
    <row r="2390" spans="1:40" x14ac:dyDescent="0.35">
      <c r="A2390" t="s">
        <v>37</v>
      </c>
      <c r="B2390" t="s">
        <v>9491</v>
      </c>
      <c r="C2390" t="s">
        <v>102</v>
      </c>
      <c r="D2390" t="s">
        <v>1698</v>
      </c>
      <c r="E2390" t="s">
        <v>584</v>
      </c>
      <c r="F2390" s="1">
        <v>46072.32534722222</v>
      </c>
      <c r="G2390" t="s">
        <v>105</v>
      </c>
      <c r="H2390" t="s">
        <v>106</v>
      </c>
      <c r="I2390" t="s">
        <v>1902</v>
      </c>
      <c r="J2390" t="s">
        <v>108</v>
      </c>
      <c r="K2390" t="s">
        <v>341</v>
      </c>
      <c r="M2390" t="s">
        <v>47</v>
      </c>
      <c r="O2390" t="s">
        <v>77</v>
      </c>
      <c r="P2390" t="s">
        <v>78</v>
      </c>
      <c r="Q2390" t="s">
        <v>50</v>
      </c>
      <c r="R2390" t="s">
        <v>111</v>
      </c>
      <c r="S2390" t="s">
        <v>51</v>
      </c>
      <c r="T2390" t="s">
        <v>112</v>
      </c>
      <c r="U2390" s="1">
        <v>46072.401354166665</v>
      </c>
      <c r="V2390" t="s">
        <v>54</v>
      </c>
      <c r="X2390" t="s">
        <v>134</v>
      </c>
      <c r="Y2390" t="s">
        <v>9492</v>
      </c>
      <c r="Z2390" t="s">
        <v>5594</v>
      </c>
      <c r="AA2390" t="s">
        <v>54</v>
      </c>
      <c r="AB2390" t="s">
        <v>1701</v>
      </c>
      <c r="AC2390" t="s">
        <v>85</v>
      </c>
      <c r="AD2390" t="s">
        <v>116</v>
      </c>
      <c r="AE2390" t="s">
        <v>117</v>
      </c>
      <c r="AF2390" t="s">
        <v>1740</v>
      </c>
      <c r="AG2390" t="s">
        <v>5594</v>
      </c>
      <c r="AK2390">
        <v>1</v>
      </c>
      <c r="AL2390" t="s">
        <v>61</v>
      </c>
      <c r="AM2390" t="s">
        <v>1701</v>
      </c>
      <c r="AN2390" t="s">
        <v>1702</v>
      </c>
    </row>
    <row r="2391" spans="1:40" x14ac:dyDescent="0.35">
      <c r="A2391" t="s">
        <v>37</v>
      </c>
      <c r="B2391" t="s">
        <v>9493</v>
      </c>
      <c r="C2391" t="s">
        <v>39</v>
      </c>
      <c r="D2391" t="s">
        <v>7673</v>
      </c>
      <c r="E2391" t="s">
        <v>7674</v>
      </c>
      <c r="F2391" s="1">
        <v>46072.338229166664</v>
      </c>
      <c r="G2391" t="s">
        <v>105</v>
      </c>
      <c r="H2391" t="s">
        <v>106</v>
      </c>
      <c r="I2391" t="s">
        <v>171</v>
      </c>
      <c r="J2391" t="s">
        <v>707</v>
      </c>
      <c r="K2391" t="s">
        <v>75</v>
      </c>
      <c r="M2391" t="s">
        <v>47</v>
      </c>
      <c r="O2391" t="s">
        <v>77</v>
      </c>
      <c r="P2391" t="s">
        <v>78</v>
      </c>
      <c r="Q2391" t="s">
        <v>50</v>
      </c>
      <c r="R2391" t="s">
        <v>79</v>
      </c>
      <c r="S2391" t="s">
        <v>172</v>
      </c>
      <c r="T2391" t="s">
        <v>173</v>
      </c>
      <c r="U2391" s="1">
        <v>46072.33861111111</v>
      </c>
      <c r="V2391" t="s">
        <v>54</v>
      </c>
      <c r="W2391" t="s">
        <v>55</v>
      </c>
      <c r="X2391" t="s">
        <v>82</v>
      </c>
      <c r="Y2391" t="s">
        <v>9494</v>
      </c>
      <c r="Z2391" t="s">
        <v>5594</v>
      </c>
      <c r="AA2391" t="s">
        <v>54</v>
      </c>
      <c r="AB2391" t="s">
        <v>709</v>
      </c>
      <c r="AC2391" t="s">
        <v>85</v>
      </c>
      <c r="AD2391" t="s">
        <v>79</v>
      </c>
      <c r="AE2391" t="s">
        <v>172</v>
      </c>
      <c r="AF2391" t="s">
        <v>173</v>
      </c>
      <c r="AG2391" t="s">
        <v>5594</v>
      </c>
      <c r="AH2391" t="s">
        <v>7675</v>
      </c>
      <c r="AK2391">
        <v>0</v>
      </c>
      <c r="AL2391" t="s">
        <v>61</v>
      </c>
      <c r="AM2391" t="s">
        <v>7676</v>
      </c>
      <c r="AN2391" t="s">
        <v>7677</v>
      </c>
    </row>
    <row r="2392" spans="1:40" x14ac:dyDescent="0.35">
      <c r="A2392" t="s">
        <v>37</v>
      </c>
      <c r="B2392" t="s">
        <v>9495</v>
      </c>
      <c r="C2392" t="s">
        <v>102</v>
      </c>
      <c r="D2392" t="s">
        <v>1698</v>
      </c>
      <c r="E2392" t="s">
        <v>584</v>
      </c>
      <c r="F2392" s="1">
        <v>46072.320462962962</v>
      </c>
      <c r="G2392" t="s">
        <v>105</v>
      </c>
      <c r="H2392" t="s">
        <v>106</v>
      </c>
      <c r="I2392" t="s">
        <v>3222</v>
      </c>
      <c r="J2392" t="s">
        <v>108</v>
      </c>
      <c r="K2392" t="s">
        <v>109</v>
      </c>
      <c r="M2392" t="s">
        <v>47</v>
      </c>
      <c r="O2392" t="s">
        <v>77</v>
      </c>
      <c r="P2392" t="s">
        <v>78</v>
      </c>
      <c r="Q2392" t="s">
        <v>50</v>
      </c>
      <c r="R2392" t="s">
        <v>111</v>
      </c>
      <c r="S2392" t="s">
        <v>51</v>
      </c>
      <c r="T2392" t="s">
        <v>112</v>
      </c>
      <c r="U2392" s="1">
        <v>46072.399375000001</v>
      </c>
      <c r="V2392" t="s">
        <v>54</v>
      </c>
      <c r="W2392" t="s">
        <v>55</v>
      </c>
      <c r="X2392" t="s">
        <v>134</v>
      </c>
      <c r="Y2392" t="s">
        <v>9496</v>
      </c>
      <c r="Z2392" t="s">
        <v>5594</v>
      </c>
      <c r="AA2392" t="s">
        <v>54</v>
      </c>
      <c r="AB2392" t="s">
        <v>1701</v>
      </c>
      <c r="AC2392" t="s">
        <v>85</v>
      </c>
      <c r="AD2392" t="s">
        <v>116</v>
      </c>
      <c r="AE2392" t="s">
        <v>117</v>
      </c>
      <c r="AF2392" t="s">
        <v>118</v>
      </c>
      <c r="AG2392" t="s">
        <v>5594</v>
      </c>
      <c r="AK2392">
        <v>1</v>
      </c>
      <c r="AL2392" t="s">
        <v>61</v>
      </c>
      <c r="AM2392" t="s">
        <v>1701</v>
      </c>
      <c r="AN2392" t="s">
        <v>1702</v>
      </c>
    </row>
    <row r="2393" spans="1:40" x14ac:dyDescent="0.35">
      <c r="A2393" t="s">
        <v>37</v>
      </c>
      <c r="B2393" t="s">
        <v>9497</v>
      </c>
      <c r="C2393" t="s">
        <v>102</v>
      </c>
      <c r="D2393" t="s">
        <v>1698</v>
      </c>
      <c r="E2393" t="s">
        <v>584</v>
      </c>
      <c r="F2393" s="1">
        <v>46072.319039351853</v>
      </c>
      <c r="G2393" t="s">
        <v>105</v>
      </c>
      <c r="H2393" t="s">
        <v>106</v>
      </c>
      <c r="I2393" t="s">
        <v>1745</v>
      </c>
      <c r="J2393" t="s">
        <v>108</v>
      </c>
      <c r="K2393" t="s">
        <v>341</v>
      </c>
      <c r="M2393" t="s">
        <v>47</v>
      </c>
      <c r="O2393" t="s">
        <v>77</v>
      </c>
      <c r="P2393" t="s">
        <v>78</v>
      </c>
      <c r="Q2393" t="s">
        <v>50</v>
      </c>
      <c r="R2393" t="s">
        <v>111</v>
      </c>
      <c r="S2393" t="s">
        <v>51</v>
      </c>
      <c r="T2393" t="s">
        <v>112</v>
      </c>
      <c r="U2393" s="1">
        <v>46072.401064814818</v>
      </c>
      <c r="V2393" t="s">
        <v>54</v>
      </c>
      <c r="X2393" t="s">
        <v>134</v>
      </c>
      <c r="Y2393" t="s">
        <v>9498</v>
      </c>
      <c r="Z2393" t="s">
        <v>5594</v>
      </c>
      <c r="AA2393" t="s">
        <v>54</v>
      </c>
      <c r="AB2393" t="s">
        <v>1701</v>
      </c>
      <c r="AC2393" t="s">
        <v>85</v>
      </c>
      <c r="AD2393" t="s">
        <v>116</v>
      </c>
      <c r="AE2393" t="s">
        <v>117</v>
      </c>
      <c r="AF2393" t="s">
        <v>1740</v>
      </c>
      <c r="AG2393" t="s">
        <v>5594</v>
      </c>
      <c r="AK2393">
        <v>1</v>
      </c>
      <c r="AL2393" t="s">
        <v>61</v>
      </c>
      <c r="AM2393" t="s">
        <v>1701</v>
      </c>
      <c r="AN2393" t="s">
        <v>1702</v>
      </c>
    </row>
    <row r="2394" spans="1:40" x14ac:dyDescent="0.35">
      <c r="A2394" t="s">
        <v>37</v>
      </c>
      <c r="B2394" t="s">
        <v>9499</v>
      </c>
      <c r="C2394" t="s">
        <v>39</v>
      </c>
      <c r="D2394" t="s">
        <v>127</v>
      </c>
      <c r="E2394" t="s">
        <v>9500</v>
      </c>
      <c r="F2394" s="1">
        <v>46072.313506944447</v>
      </c>
      <c r="G2394" t="s">
        <v>597</v>
      </c>
      <c r="H2394" t="s">
        <v>287</v>
      </c>
      <c r="I2394" t="s">
        <v>1071</v>
      </c>
      <c r="J2394" t="s">
        <v>707</v>
      </c>
      <c r="K2394" t="s">
        <v>75</v>
      </c>
      <c r="M2394" t="s">
        <v>47</v>
      </c>
      <c r="O2394" t="s">
        <v>77</v>
      </c>
      <c r="P2394" t="s">
        <v>78</v>
      </c>
      <c r="R2394" t="s">
        <v>79</v>
      </c>
      <c r="S2394" t="s">
        <v>967</v>
      </c>
      <c r="T2394" t="s">
        <v>1072</v>
      </c>
      <c r="U2394" s="1">
        <v>46072.315000000002</v>
      </c>
      <c r="V2394" t="s">
        <v>54</v>
      </c>
      <c r="W2394" t="s">
        <v>55</v>
      </c>
      <c r="X2394" t="s">
        <v>82</v>
      </c>
      <c r="Y2394" t="s">
        <v>9501</v>
      </c>
      <c r="Z2394" t="s">
        <v>5594</v>
      </c>
      <c r="AA2394" t="s">
        <v>54</v>
      </c>
      <c r="AB2394" t="s">
        <v>709</v>
      </c>
      <c r="AC2394" t="s">
        <v>85</v>
      </c>
      <c r="AD2394" t="s">
        <v>79</v>
      </c>
      <c r="AE2394" t="s">
        <v>967</v>
      </c>
      <c r="AF2394" t="s">
        <v>1072</v>
      </c>
      <c r="AG2394" t="s">
        <v>5594</v>
      </c>
      <c r="AH2394" t="s">
        <v>9502</v>
      </c>
      <c r="AK2394">
        <v>0</v>
      </c>
      <c r="AL2394" t="s">
        <v>61</v>
      </c>
      <c r="AM2394" t="s">
        <v>9503</v>
      </c>
      <c r="AN2394" t="s">
        <v>9504</v>
      </c>
    </row>
    <row r="2395" spans="1:40" x14ac:dyDescent="0.35">
      <c r="A2395" t="s">
        <v>37</v>
      </c>
      <c r="B2395" t="s">
        <v>9505</v>
      </c>
      <c r="C2395" t="s">
        <v>656</v>
      </c>
      <c r="D2395" t="s">
        <v>8663</v>
      </c>
      <c r="E2395" t="s">
        <v>8664</v>
      </c>
      <c r="F2395" s="1">
        <v>46072.31349537037</v>
      </c>
      <c r="G2395" t="s">
        <v>105</v>
      </c>
      <c r="H2395" t="s">
        <v>106</v>
      </c>
      <c r="I2395" t="s">
        <v>9506</v>
      </c>
      <c r="J2395" t="s">
        <v>8789</v>
      </c>
      <c r="K2395" t="s">
        <v>8790</v>
      </c>
      <c r="M2395" t="s">
        <v>47</v>
      </c>
      <c r="O2395" t="s">
        <v>77</v>
      </c>
      <c r="P2395" t="s">
        <v>78</v>
      </c>
      <c r="Q2395" t="s">
        <v>50</v>
      </c>
      <c r="R2395" t="s">
        <v>51</v>
      </c>
      <c r="S2395" t="s">
        <v>8791</v>
      </c>
      <c r="T2395" t="s">
        <v>8791</v>
      </c>
      <c r="U2395" s="1">
        <v>46072.34302083333</v>
      </c>
      <c r="V2395" t="s">
        <v>54</v>
      </c>
      <c r="W2395" t="s">
        <v>55</v>
      </c>
      <c r="X2395" t="s">
        <v>56</v>
      </c>
      <c r="Y2395" t="s">
        <v>9507</v>
      </c>
      <c r="Z2395" t="s">
        <v>5594</v>
      </c>
      <c r="AA2395" t="s">
        <v>54</v>
      </c>
      <c r="AB2395" t="s">
        <v>8666</v>
      </c>
      <c r="AC2395" t="s">
        <v>85</v>
      </c>
      <c r="AD2395" t="s">
        <v>51</v>
      </c>
      <c r="AE2395" t="s">
        <v>240</v>
      </c>
      <c r="AF2395" t="s">
        <v>8790</v>
      </c>
      <c r="AG2395" t="s">
        <v>5594</v>
      </c>
      <c r="AH2395" t="s">
        <v>8665</v>
      </c>
      <c r="AK2395">
        <v>0</v>
      </c>
      <c r="AL2395" t="s">
        <v>61</v>
      </c>
      <c r="AM2395" t="s">
        <v>8666</v>
      </c>
      <c r="AN2395" t="s">
        <v>8667</v>
      </c>
    </row>
    <row r="2396" spans="1:40" x14ac:dyDescent="0.35">
      <c r="A2396" t="s">
        <v>37</v>
      </c>
      <c r="B2396" t="s">
        <v>9508</v>
      </c>
      <c r="C2396" t="s">
        <v>656</v>
      </c>
      <c r="D2396" t="s">
        <v>8663</v>
      </c>
      <c r="E2396" t="s">
        <v>8664</v>
      </c>
      <c r="F2396" s="1">
        <v>46072.31046296296</v>
      </c>
      <c r="G2396" t="s">
        <v>105</v>
      </c>
      <c r="H2396" t="s">
        <v>106</v>
      </c>
      <c r="I2396" t="s">
        <v>9509</v>
      </c>
      <c r="J2396" t="s">
        <v>8789</v>
      </c>
      <c r="K2396" t="s">
        <v>8790</v>
      </c>
      <c r="M2396" t="s">
        <v>47</v>
      </c>
      <c r="O2396" t="s">
        <v>77</v>
      </c>
      <c r="P2396" t="s">
        <v>78</v>
      </c>
      <c r="Q2396" t="s">
        <v>50</v>
      </c>
      <c r="R2396" t="s">
        <v>51</v>
      </c>
      <c r="S2396" t="s">
        <v>8791</v>
      </c>
      <c r="T2396" t="s">
        <v>8791</v>
      </c>
      <c r="U2396" s="1">
        <v>46072.343564814815</v>
      </c>
      <c r="V2396" t="s">
        <v>54</v>
      </c>
      <c r="W2396" t="s">
        <v>55</v>
      </c>
      <c r="X2396" t="s">
        <v>56</v>
      </c>
      <c r="Y2396" t="s">
        <v>9507</v>
      </c>
      <c r="Z2396" t="s">
        <v>5594</v>
      </c>
      <c r="AA2396" t="s">
        <v>54</v>
      </c>
      <c r="AB2396" t="s">
        <v>8666</v>
      </c>
      <c r="AC2396" t="s">
        <v>85</v>
      </c>
      <c r="AD2396" t="s">
        <v>51</v>
      </c>
      <c r="AE2396" t="s">
        <v>240</v>
      </c>
      <c r="AF2396" t="s">
        <v>8790</v>
      </c>
      <c r="AG2396" t="s">
        <v>5594</v>
      </c>
      <c r="AH2396" t="s">
        <v>8665</v>
      </c>
      <c r="AK2396">
        <v>0</v>
      </c>
      <c r="AL2396" t="s">
        <v>61</v>
      </c>
      <c r="AM2396" t="s">
        <v>8666</v>
      </c>
      <c r="AN2396" t="s">
        <v>8667</v>
      </c>
    </row>
    <row r="2397" spans="1:40" x14ac:dyDescent="0.35">
      <c r="A2397" t="s">
        <v>37</v>
      </c>
      <c r="B2397" t="s">
        <v>9510</v>
      </c>
      <c r="C2397" t="s">
        <v>102</v>
      </c>
      <c r="D2397" t="s">
        <v>1698</v>
      </c>
      <c r="E2397" t="s">
        <v>584</v>
      </c>
      <c r="F2397" s="1">
        <v>46072.305115740739</v>
      </c>
      <c r="G2397" t="s">
        <v>105</v>
      </c>
      <c r="H2397" t="s">
        <v>106</v>
      </c>
      <c r="I2397" t="s">
        <v>3412</v>
      </c>
      <c r="J2397" t="s">
        <v>108</v>
      </c>
      <c r="K2397" t="s">
        <v>571</v>
      </c>
      <c r="M2397" t="s">
        <v>47</v>
      </c>
      <c r="O2397" t="s">
        <v>77</v>
      </c>
      <c r="P2397" t="s">
        <v>78</v>
      </c>
      <c r="Q2397" t="s">
        <v>50</v>
      </c>
      <c r="R2397" t="s">
        <v>111</v>
      </c>
      <c r="S2397" t="s">
        <v>51</v>
      </c>
      <c r="T2397" t="s">
        <v>112</v>
      </c>
      <c r="U2397" s="1">
        <v>46072.374560185184</v>
      </c>
      <c r="V2397" t="s">
        <v>54</v>
      </c>
      <c r="W2397" t="s">
        <v>55</v>
      </c>
      <c r="X2397" t="s">
        <v>134</v>
      </c>
      <c r="Y2397" t="s">
        <v>9511</v>
      </c>
      <c r="Z2397" t="s">
        <v>5594</v>
      </c>
      <c r="AA2397" t="s">
        <v>54</v>
      </c>
      <c r="AB2397" t="s">
        <v>1701</v>
      </c>
      <c r="AC2397" t="s">
        <v>85</v>
      </c>
      <c r="AD2397" t="s">
        <v>116</v>
      </c>
      <c r="AE2397" t="s">
        <v>574</v>
      </c>
      <c r="AF2397" t="s">
        <v>575</v>
      </c>
      <c r="AG2397" t="s">
        <v>5594</v>
      </c>
      <c r="AK2397">
        <v>1</v>
      </c>
      <c r="AL2397" t="s">
        <v>61</v>
      </c>
      <c r="AM2397" t="s">
        <v>1701</v>
      </c>
      <c r="AN2397" t="s">
        <v>1702</v>
      </c>
    </row>
    <row r="2398" spans="1:40" x14ac:dyDescent="0.35">
      <c r="A2398" t="s">
        <v>37</v>
      </c>
      <c r="B2398" t="s">
        <v>9512</v>
      </c>
      <c r="C2398" t="s">
        <v>102</v>
      </c>
      <c r="D2398" t="s">
        <v>1698</v>
      </c>
      <c r="E2398" t="s">
        <v>584</v>
      </c>
      <c r="F2398" s="1">
        <v>46072.303657407407</v>
      </c>
      <c r="G2398" t="s">
        <v>105</v>
      </c>
      <c r="H2398" t="s">
        <v>106</v>
      </c>
      <c r="I2398" t="s">
        <v>9513</v>
      </c>
      <c r="J2398" t="s">
        <v>108</v>
      </c>
      <c r="K2398" t="s">
        <v>571</v>
      </c>
      <c r="M2398" t="s">
        <v>47</v>
      </c>
      <c r="O2398" t="s">
        <v>77</v>
      </c>
      <c r="P2398" t="s">
        <v>78</v>
      </c>
      <c r="Q2398" t="s">
        <v>50</v>
      </c>
      <c r="R2398" t="s">
        <v>111</v>
      </c>
      <c r="S2398" t="s">
        <v>51</v>
      </c>
      <c r="T2398" t="s">
        <v>112</v>
      </c>
      <c r="U2398" s="1">
        <v>46072.395277777781</v>
      </c>
      <c r="V2398" t="s">
        <v>54</v>
      </c>
      <c r="W2398" t="s">
        <v>55</v>
      </c>
      <c r="X2398" t="s">
        <v>134</v>
      </c>
      <c r="Y2398" t="s">
        <v>1680</v>
      </c>
      <c r="Z2398" t="s">
        <v>5594</v>
      </c>
      <c r="AA2398" t="s">
        <v>54</v>
      </c>
      <c r="AB2398" t="s">
        <v>1701</v>
      </c>
      <c r="AC2398" t="s">
        <v>85</v>
      </c>
      <c r="AD2398" t="s">
        <v>116</v>
      </c>
      <c r="AE2398" t="s">
        <v>574</v>
      </c>
      <c r="AF2398" t="s">
        <v>144</v>
      </c>
      <c r="AG2398" t="s">
        <v>5594</v>
      </c>
      <c r="AK2398">
        <v>1</v>
      </c>
      <c r="AL2398" t="s">
        <v>61</v>
      </c>
      <c r="AM2398" t="s">
        <v>1701</v>
      </c>
      <c r="AN2398" t="s">
        <v>1702</v>
      </c>
    </row>
    <row r="2399" spans="1:40" x14ac:dyDescent="0.35">
      <c r="A2399" t="s">
        <v>37</v>
      </c>
      <c r="B2399" t="s">
        <v>9514</v>
      </c>
      <c r="C2399" t="s">
        <v>39</v>
      </c>
      <c r="D2399" t="s">
        <v>1982</v>
      </c>
      <c r="E2399" t="s">
        <v>3678</v>
      </c>
      <c r="F2399" s="1">
        <v>46072.301215277781</v>
      </c>
      <c r="G2399" t="s">
        <v>105</v>
      </c>
      <c r="H2399" t="s">
        <v>106</v>
      </c>
      <c r="I2399" t="s">
        <v>1354</v>
      </c>
      <c r="J2399" t="s">
        <v>707</v>
      </c>
      <c r="K2399" t="s">
        <v>75</v>
      </c>
      <c r="M2399" t="s">
        <v>47</v>
      </c>
      <c r="O2399" t="s">
        <v>77</v>
      </c>
      <c r="P2399" t="s">
        <v>78</v>
      </c>
      <c r="Q2399" t="s">
        <v>50</v>
      </c>
      <c r="R2399" t="s">
        <v>79</v>
      </c>
      <c r="S2399" t="s">
        <v>80</v>
      </c>
      <c r="T2399" t="s">
        <v>1355</v>
      </c>
      <c r="U2399" s="1">
        <v>46072.30133101852</v>
      </c>
      <c r="V2399" t="s">
        <v>54</v>
      </c>
      <c r="W2399" t="s">
        <v>55</v>
      </c>
      <c r="X2399" t="s">
        <v>82</v>
      </c>
      <c r="Y2399" t="s">
        <v>6354</v>
      </c>
      <c r="Z2399" t="s">
        <v>5594</v>
      </c>
      <c r="AA2399" t="s">
        <v>54</v>
      </c>
      <c r="AB2399" t="s">
        <v>709</v>
      </c>
      <c r="AC2399" t="s">
        <v>85</v>
      </c>
      <c r="AD2399" t="s">
        <v>79</v>
      </c>
      <c r="AE2399" t="s">
        <v>80</v>
      </c>
      <c r="AF2399" t="s">
        <v>1355</v>
      </c>
      <c r="AG2399" t="s">
        <v>5594</v>
      </c>
      <c r="AH2399">
        <v>13832</v>
      </c>
      <c r="AK2399">
        <v>0</v>
      </c>
      <c r="AL2399" t="s">
        <v>61</v>
      </c>
      <c r="AM2399" t="s">
        <v>9515</v>
      </c>
      <c r="AN2399" t="s">
        <v>9516</v>
      </c>
    </row>
    <row r="2400" spans="1:40" x14ac:dyDescent="0.35">
      <c r="A2400" t="s">
        <v>37</v>
      </c>
      <c r="B2400" t="s">
        <v>9517</v>
      </c>
      <c r="C2400" t="s">
        <v>656</v>
      </c>
      <c r="D2400" t="s">
        <v>8663</v>
      </c>
      <c r="E2400" t="s">
        <v>8664</v>
      </c>
      <c r="F2400" s="1">
        <v>46072.301689814813</v>
      </c>
      <c r="G2400" t="s">
        <v>105</v>
      </c>
      <c r="H2400" t="s">
        <v>106</v>
      </c>
      <c r="I2400" t="s">
        <v>9518</v>
      </c>
      <c r="J2400" t="s">
        <v>8789</v>
      </c>
      <c r="K2400" t="s">
        <v>8790</v>
      </c>
      <c r="M2400" t="s">
        <v>47</v>
      </c>
      <c r="O2400" t="s">
        <v>77</v>
      </c>
      <c r="P2400" t="s">
        <v>78</v>
      </c>
      <c r="Q2400" t="s">
        <v>50</v>
      </c>
      <c r="R2400" t="s">
        <v>51</v>
      </c>
      <c r="S2400" t="s">
        <v>8791</v>
      </c>
      <c r="T2400" t="s">
        <v>8791</v>
      </c>
      <c r="U2400" s="1">
        <v>46072.304456018515</v>
      </c>
      <c r="V2400" t="s">
        <v>54</v>
      </c>
      <c r="W2400" t="s">
        <v>55</v>
      </c>
      <c r="X2400" t="s">
        <v>56</v>
      </c>
      <c r="Y2400" t="s">
        <v>9519</v>
      </c>
      <c r="Z2400" t="s">
        <v>5594</v>
      </c>
      <c r="AA2400" t="s">
        <v>54</v>
      </c>
      <c r="AB2400" t="s">
        <v>8666</v>
      </c>
      <c r="AC2400" t="s">
        <v>85</v>
      </c>
      <c r="AD2400" t="s">
        <v>51</v>
      </c>
      <c r="AE2400" t="s">
        <v>240</v>
      </c>
      <c r="AF2400" t="s">
        <v>8790</v>
      </c>
      <c r="AG2400" t="s">
        <v>5594</v>
      </c>
      <c r="AH2400" t="s">
        <v>8665</v>
      </c>
      <c r="AK2400">
        <v>1</v>
      </c>
      <c r="AL2400" t="s">
        <v>61</v>
      </c>
      <c r="AM2400" t="s">
        <v>8666</v>
      </c>
      <c r="AN2400" t="s">
        <v>8667</v>
      </c>
    </row>
    <row r="2401" spans="1:40" x14ac:dyDescent="0.35">
      <c r="A2401" t="s">
        <v>37</v>
      </c>
      <c r="B2401" t="s">
        <v>9520</v>
      </c>
      <c r="C2401" t="s">
        <v>39</v>
      </c>
      <c r="D2401" t="s">
        <v>3394</v>
      </c>
      <c r="E2401" t="s">
        <v>9521</v>
      </c>
      <c r="F2401" s="1">
        <v>46072.30059027778</v>
      </c>
      <c r="G2401" t="s">
        <v>250</v>
      </c>
      <c r="H2401" t="s">
        <v>106</v>
      </c>
      <c r="I2401" t="s">
        <v>1354</v>
      </c>
      <c r="J2401" t="s">
        <v>707</v>
      </c>
      <c r="K2401" t="s">
        <v>75</v>
      </c>
      <c r="M2401" t="s">
        <v>47</v>
      </c>
      <c r="O2401" t="s">
        <v>77</v>
      </c>
      <c r="P2401" t="s">
        <v>78</v>
      </c>
      <c r="Q2401" t="s">
        <v>50</v>
      </c>
      <c r="R2401" t="s">
        <v>79</v>
      </c>
      <c r="S2401" t="s">
        <v>80</v>
      </c>
      <c r="T2401" t="s">
        <v>1355</v>
      </c>
      <c r="U2401" s="1">
        <v>46072.3128125</v>
      </c>
      <c r="V2401" t="s">
        <v>54</v>
      </c>
      <c r="W2401" t="s">
        <v>55</v>
      </c>
      <c r="X2401" t="s">
        <v>82</v>
      </c>
      <c r="Y2401" t="s">
        <v>6354</v>
      </c>
      <c r="Z2401" t="s">
        <v>5594</v>
      </c>
      <c r="AA2401" t="s">
        <v>54</v>
      </c>
      <c r="AB2401" t="s">
        <v>709</v>
      </c>
      <c r="AC2401" t="s">
        <v>85</v>
      </c>
      <c r="AD2401" t="s">
        <v>79</v>
      </c>
      <c r="AE2401" t="s">
        <v>80</v>
      </c>
      <c r="AF2401" t="s">
        <v>1355</v>
      </c>
      <c r="AG2401" t="s">
        <v>5594</v>
      </c>
      <c r="AH2401" t="s">
        <v>9522</v>
      </c>
      <c r="AK2401">
        <v>0</v>
      </c>
      <c r="AL2401" t="s">
        <v>61</v>
      </c>
      <c r="AM2401" t="s">
        <v>9523</v>
      </c>
      <c r="AN2401" t="s">
        <v>9524</v>
      </c>
    </row>
    <row r="2402" spans="1:40" x14ac:dyDescent="0.35">
      <c r="A2402" t="s">
        <v>37</v>
      </c>
      <c r="B2402" t="s">
        <v>9525</v>
      </c>
      <c r="C2402" t="s">
        <v>39</v>
      </c>
      <c r="D2402" t="s">
        <v>40</v>
      </c>
      <c r="E2402" t="s">
        <v>41</v>
      </c>
      <c r="F2402" s="1">
        <v>46072.296620370369</v>
      </c>
      <c r="G2402" t="s">
        <v>42</v>
      </c>
      <c r="H2402" t="s">
        <v>43</v>
      </c>
      <c r="I2402" t="s">
        <v>9526</v>
      </c>
      <c r="J2402" t="s">
        <v>45</v>
      </c>
      <c r="K2402" t="s">
        <v>46</v>
      </c>
      <c r="M2402" t="s">
        <v>47</v>
      </c>
      <c r="O2402" t="s">
        <v>48</v>
      </c>
      <c r="P2402" t="s">
        <v>49</v>
      </c>
      <c r="Q2402" t="s">
        <v>50</v>
      </c>
      <c r="R2402" t="s">
        <v>51</v>
      </c>
      <c r="S2402" t="s">
        <v>52</v>
      </c>
      <c r="T2402" t="s">
        <v>53</v>
      </c>
      <c r="U2402" s="1">
        <v>46072.29724537037</v>
      </c>
      <c r="V2402" t="s">
        <v>54</v>
      </c>
      <c r="W2402" t="s">
        <v>55</v>
      </c>
      <c r="X2402" t="s">
        <v>56</v>
      </c>
      <c r="Y2402" t="s">
        <v>65</v>
      </c>
      <c r="Z2402" t="s">
        <v>5594</v>
      </c>
      <c r="AA2402" t="s">
        <v>54</v>
      </c>
      <c r="AB2402" t="s">
        <v>59</v>
      </c>
      <c r="AC2402" t="s">
        <v>60</v>
      </c>
      <c r="AD2402" t="s">
        <v>51</v>
      </c>
      <c r="AE2402" t="s">
        <v>52</v>
      </c>
      <c r="AF2402" t="s">
        <v>53</v>
      </c>
      <c r="AG2402" t="s">
        <v>5594</v>
      </c>
      <c r="AK2402">
        <v>0</v>
      </c>
      <c r="AL2402" t="s">
        <v>61</v>
      </c>
      <c r="AM2402" t="s">
        <v>59</v>
      </c>
      <c r="AN2402" t="s">
        <v>62</v>
      </c>
    </row>
    <row r="2403" spans="1:40" x14ac:dyDescent="0.35">
      <c r="A2403" t="s">
        <v>37</v>
      </c>
      <c r="B2403" t="s">
        <v>9527</v>
      </c>
      <c r="C2403" t="s">
        <v>39</v>
      </c>
      <c r="D2403" t="s">
        <v>1481</v>
      </c>
      <c r="E2403" t="s">
        <v>1316</v>
      </c>
      <c r="F2403" s="1">
        <v>46072.295300925929</v>
      </c>
      <c r="G2403" t="s">
        <v>286</v>
      </c>
      <c r="H2403" t="s">
        <v>287</v>
      </c>
      <c r="I2403" t="s">
        <v>9528</v>
      </c>
      <c r="J2403" t="s">
        <v>1483</v>
      </c>
      <c r="K2403" t="s">
        <v>1484</v>
      </c>
      <c r="M2403" t="s">
        <v>47</v>
      </c>
      <c r="O2403" t="s">
        <v>77</v>
      </c>
      <c r="P2403" t="s">
        <v>78</v>
      </c>
      <c r="Q2403" t="s">
        <v>50</v>
      </c>
      <c r="R2403" t="s">
        <v>51</v>
      </c>
      <c r="S2403" t="s">
        <v>52</v>
      </c>
      <c r="T2403" t="s">
        <v>240</v>
      </c>
      <c r="U2403" s="1">
        <v>46072.460694444446</v>
      </c>
      <c r="V2403" t="s">
        <v>54</v>
      </c>
      <c r="W2403" t="s">
        <v>55</v>
      </c>
      <c r="X2403" t="s">
        <v>134</v>
      </c>
      <c r="Y2403" t="s">
        <v>1485</v>
      </c>
      <c r="Z2403" t="s">
        <v>5594</v>
      </c>
      <c r="AA2403" t="s">
        <v>54</v>
      </c>
      <c r="AB2403" t="s">
        <v>1486</v>
      </c>
      <c r="AC2403" t="s">
        <v>85</v>
      </c>
      <c r="AD2403" t="s">
        <v>52</v>
      </c>
      <c r="AE2403" t="s">
        <v>243</v>
      </c>
      <c r="AF2403" t="s">
        <v>409</v>
      </c>
      <c r="AG2403" t="s">
        <v>5594</v>
      </c>
      <c r="AK2403">
        <v>1</v>
      </c>
      <c r="AL2403" t="s">
        <v>61</v>
      </c>
      <c r="AM2403" t="s">
        <v>1487</v>
      </c>
      <c r="AN2403" t="s">
        <v>1488</v>
      </c>
    </row>
    <row r="2404" spans="1:40" x14ac:dyDescent="0.35">
      <c r="A2404" t="s">
        <v>37</v>
      </c>
      <c r="B2404" t="s">
        <v>9529</v>
      </c>
      <c r="C2404" t="s">
        <v>39</v>
      </c>
      <c r="D2404" t="s">
        <v>1481</v>
      </c>
      <c r="E2404" t="s">
        <v>1316</v>
      </c>
      <c r="F2404" s="1">
        <v>46072.293993055559</v>
      </c>
      <c r="G2404" t="s">
        <v>286</v>
      </c>
      <c r="H2404" t="s">
        <v>287</v>
      </c>
      <c r="I2404" t="s">
        <v>9530</v>
      </c>
      <c r="J2404" t="s">
        <v>1483</v>
      </c>
      <c r="K2404" t="s">
        <v>1484</v>
      </c>
      <c r="M2404" t="s">
        <v>47</v>
      </c>
      <c r="O2404" t="s">
        <v>77</v>
      </c>
      <c r="P2404" t="s">
        <v>78</v>
      </c>
      <c r="Q2404" t="s">
        <v>50</v>
      </c>
      <c r="R2404" t="s">
        <v>51</v>
      </c>
      <c r="S2404" t="s">
        <v>52</v>
      </c>
      <c r="T2404" t="s">
        <v>240</v>
      </c>
      <c r="U2404" s="1">
        <v>46073.319328703707</v>
      </c>
      <c r="V2404" t="s">
        <v>54</v>
      </c>
      <c r="W2404" t="s">
        <v>55</v>
      </c>
      <c r="X2404" t="s">
        <v>134</v>
      </c>
      <c r="Y2404" t="s">
        <v>1485</v>
      </c>
      <c r="Z2404" t="s">
        <v>5594</v>
      </c>
      <c r="AA2404" t="s">
        <v>54</v>
      </c>
      <c r="AB2404" t="s">
        <v>1486</v>
      </c>
      <c r="AC2404" t="s">
        <v>85</v>
      </c>
      <c r="AD2404" t="s">
        <v>52</v>
      </c>
      <c r="AE2404" t="s">
        <v>243</v>
      </c>
      <c r="AF2404" t="s">
        <v>409</v>
      </c>
      <c r="AG2404" t="s">
        <v>5594</v>
      </c>
      <c r="AK2404">
        <v>1</v>
      </c>
      <c r="AL2404" t="s">
        <v>61</v>
      </c>
      <c r="AM2404" t="s">
        <v>1487</v>
      </c>
      <c r="AN2404" t="s">
        <v>1488</v>
      </c>
    </row>
    <row r="2405" spans="1:40" x14ac:dyDescent="0.35">
      <c r="A2405" t="s">
        <v>37</v>
      </c>
      <c r="B2405" t="s">
        <v>9531</v>
      </c>
      <c r="C2405" t="s">
        <v>102</v>
      </c>
      <c r="D2405" t="s">
        <v>1698</v>
      </c>
      <c r="E2405" t="s">
        <v>584</v>
      </c>
      <c r="F2405" s="1">
        <v>46072.292488425926</v>
      </c>
      <c r="G2405" t="s">
        <v>105</v>
      </c>
      <c r="H2405" t="s">
        <v>106</v>
      </c>
      <c r="I2405" t="s">
        <v>7816</v>
      </c>
      <c r="J2405" t="s">
        <v>108</v>
      </c>
      <c r="K2405" t="s">
        <v>341</v>
      </c>
      <c r="M2405" t="s">
        <v>47</v>
      </c>
      <c r="O2405" t="s">
        <v>77</v>
      </c>
      <c r="P2405" t="s">
        <v>78</v>
      </c>
      <c r="Q2405" t="s">
        <v>50</v>
      </c>
      <c r="R2405" t="s">
        <v>111</v>
      </c>
      <c r="S2405" t="s">
        <v>51</v>
      </c>
      <c r="T2405" t="s">
        <v>112</v>
      </c>
      <c r="U2405" s="1">
        <v>46072.611805555556</v>
      </c>
      <c r="V2405" t="s">
        <v>54</v>
      </c>
      <c r="X2405" t="s">
        <v>134</v>
      </c>
      <c r="Y2405" t="s">
        <v>9532</v>
      </c>
      <c r="Z2405" t="s">
        <v>5594</v>
      </c>
      <c r="AA2405" t="s">
        <v>54</v>
      </c>
      <c r="AB2405" t="s">
        <v>1701</v>
      </c>
      <c r="AC2405" t="s">
        <v>85</v>
      </c>
      <c r="AD2405" t="s">
        <v>116</v>
      </c>
      <c r="AE2405" t="s">
        <v>574</v>
      </c>
      <c r="AF2405" t="s">
        <v>1740</v>
      </c>
      <c r="AG2405" t="s">
        <v>5594</v>
      </c>
      <c r="AK2405">
        <v>1</v>
      </c>
      <c r="AL2405" t="s">
        <v>61</v>
      </c>
      <c r="AM2405" t="s">
        <v>1701</v>
      </c>
      <c r="AN2405" t="s">
        <v>1702</v>
      </c>
    </row>
    <row r="2406" spans="1:40" x14ac:dyDescent="0.35">
      <c r="A2406" t="s">
        <v>37</v>
      </c>
      <c r="B2406" t="s">
        <v>9533</v>
      </c>
      <c r="C2406" t="s">
        <v>39</v>
      </c>
      <c r="D2406" t="s">
        <v>1481</v>
      </c>
      <c r="E2406" t="s">
        <v>1316</v>
      </c>
      <c r="F2406" s="1">
        <v>46072.292685185188</v>
      </c>
      <c r="G2406" t="s">
        <v>286</v>
      </c>
      <c r="H2406" t="s">
        <v>287</v>
      </c>
      <c r="I2406" t="s">
        <v>9534</v>
      </c>
      <c r="J2406" t="s">
        <v>1483</v>
      </c>
      <c r="K2406" t="s">
        <v>1484</v>
      </c>
      <c r="M2406" t="s">
        <v>47</v>
      </c>
      <c r="O2406" t="s">
        <v>77</v>
      </c>
      <c r="P2406" t="s">
        <v>78</v>
      </c>
      <c r="Q2406" t="s">
        <v>50</v>
      </c>
      <c r="R2406" t="s">
        <v>51</v>
      </c>
      <c r="S2406" t="s">
        <v>52</v>
      </c>
      <c r="T2406" t="s">
        <v>240</v>
      </c>
      <c r="U2406" s="1">
        <v>46072.461759259262</v>
      </c>
      <c r="V2406" t="s">
        <v>54</v>
      </c>
      <c r="W2406" t="s">
        <v>55</v>
      </c>
      <c r="X2406" t="s">
        <v>134</v>
      </c>
      <c r="Y2406" t="s">
        <v>1485</v>
      </c>
      <c r="Z2406" t="s">
        <v>5594</v>
      </c>
      <c r="AA2406" t="s">
        <v>54</v>
      </c>
      <c r="AB2406" t="s">
        <v>1486</v>
      </c>
      <c r="AC2406" t="s">
        <v>85</v>
      </c>
      <c r="AD2406" t="s">
        <v>52</v>
      </c>
      <c r="AE2406" t="s">
        <v>243</v>
      </c>
      <c r="AF2406" t="s">
        <v>409</v>
      </c>
      <c r="AG2406" t="s">
        <v>5594</v>
      </c>
      <c r="AK2406">
        <v>1</v>
      </c>
      <c r="AL2406" t="s">
        <v>61</v>
      </c>
      <c r="AM2406" t="s">
        <v>1487</v>
      </c>
      <c r="AN2406" t="s">
        <v>1488</v>
      </c>
    </row>
    <row r="2407" spans="1:40" x14ac:dyDescent="0.35">
      <c r="A2407" t="s">
        <v>37</v>
      </c>
      <c r="B2407" t="s">
        <v>9535</v>
      </c>
      <c r="C2407" t="s">
        <v>102</v>
      </c>
      <c r="D2407" t="s">
        <v>1698</v>
      </c>
      <c r="E2407" t="s">
        <v>584</v>
      </c>
      <c r="F2407" s="1">
        <v>46072.284050925926</v>
      </c>
      <c r="G2407" t="s">
        <v>105</v>
      </c>
      <c r="H2407" t="s">
        <v>106</v>
      </c>
      <c r="I2407" t="s">
        <v>3346</v>
      </c>
      <c r="J2407" t="s">
        <v>108</v>
      </c>
      <c r="K2407" t="s">
        <v>109</v>
      </c>
      <c r="M2407" t="s">
        <v>47</v>
      </c>
      <c r="O2407" t="s">
        <v>77</v>
      </c>
      <c r="P2407" t="s">
        <v>78</v>
      </c>
      <c r="Q2407" t="s">
        <v>50</v>
      </c>
      <c r="R2407" t="s">
        <v>111</v>
      </c>
      <c r="S2407" t="s">
        <v>51</v>
      </c>
      <c r="T2407" t="s">
        <v>112</v>
      </c>
      <c r="U2407" s="1">
        <v>46072.399675925924</v>
      </c>
      <c r="V2407" t="s">
        <v>54</v>
      </c>
      <c r="W2407" t="s">
        <v>55</v>
      </c>
      <c r="X2407" t="s">
        <v>134</v>
      </c>
      <c r="Y2407" t="s">
        <v>9536</v>
      </c>
      <c r="Z2407" t="s">
        <v>5594</v>
      </c>
      <c r="AA2407" t="s">
        <v>54</v>
      </c>
      <c r="AB2407" t="s">
        <v>1701</v>
      </c>
      <c r="AC2407" t="s">
        <v>85</v>
      </c>
      <c r="AD2407" t="s">
        <v>116</v>
      </c>
      <c r="AE2407" t="s">
        <v>117</v>
      </c>
      <c r="AF2407" t="s">
        <v>1706</v>
      </c>
      <c r="AG2407" t="s">
        <v>5594</v>
      </c>
      <c r="AK2407">
        <v>1</v>
      </c>
      <c r="AL2407" t="s">
        <v>61</v>
      </c>
      <c r="AM2407" t="s">
        <v>1701</v>
      </c>
      <c r="AN2407" t="s">
        <v>1702</v>
      </c>
    </row>
    <row r="2408" spans="1:40" x14ac:dyDescent="0.35">
      <c r="A2408" t="s">
        <v>37</v>
      </c>
      <c r="B2408" t="s">
        <v>9537</v>
      </c>
      <c r="C2408" t="s">
        <v>39</v>
      </c>
      <c r="D2408" t="s">
        <v>1481</v>
      </c>
      <c r="E2408" t="s">
        <v>1316</v>
      </c>
      <c r="F2408" s="1">
        <v>46072.270636574074</v>
      </c>
      <c r="G2408" t="s">
        <v>286</v>
      </c>
      <c r="H2408" t="s">
        <v>287</v>
      </c>
      <c r="I2408" t="s">
        <v>9538</v>
      </c>
      <c r="J2408" t="s">
        <v>1483</v>
      </c>
      <c r="K2408" t="s">
        <v>1484</v>
      </c>
      <c r="M2408" t="s">
        <v>47</v>
      </c>
      <c r="O2408" t="s">
        <v>77</v>
      </c>
      <c r="P2408" t="s">
        <v>78</v>
      </c>
      <c r="Q2408" t="s">
        <v>50</v>
      </c>
      <c r="R2408" t="s">
        <v>51</v>
      </c>
      <c r="S2408" t="s">
        <v>52</v>
      </c>
      <c r="T2408" t="s">
        <v>240</v>
      </c>
      <c r="U2408" s="1">
        <v>46072.461319444446</v>
      </c>
      <c r="V2408" t="s">
        <v>54</v>
      </c>
      <c r="W2408" t="s">
        <v>55</v>
      </c>
      <c r="X2408" t="s">
        <v>134</v>
      </c>
      <c r="Y2408" t="s">
        <v>1485</v>
      </c>
      <c r="Z2408" t="s">
        <v>5594</v>
      </c>
      <c r="AA2408" t="s">
        <v>54</v>
      </c>
      <c r="AB2408" t="s">
        <v>1486</v>
      </c>
      <c r="AC2408" t="s">
        <v>85</v>
      </c>
      <c r="AD2408" t="s">
        <v>52</v>
      </c>
      <c r="AE2408" t="s">
        <v>243</v>
      </c>
      <c r="AF2408" t="s">
        <v>409</v>
      </c>
      <c r="AG2408" t="s">
        <v>5594</v>
      </c>
      <c r="AK2408">
        <v>1</v>
      </c>
      <c r="AL2408" t="s">
        <v>61</v>
      </c>
      <c r="AM2408" t="s">
        <v>1487</v>
      </c>
      <c r="AN2408" t="s">
        <v>1488</v>
      </c>
    </row>
    <row r="2409" spans="1:40" x14ac:dyDescent="0.35">
      <c r="A2409" t="s">
        <v>37</v>
      </c>
      <c r="B2409" t="s">
        <v>9539</v>
      </c>
      <c r="C2409" t="s">
        <v>39</v>
      </c>
      <c r="D2409" t="s">
        <v>40</v>
      </c>
      <c r="E2409" t="s">
        <v>41</v>
      </c>
      <c r="F2409" s="1">
        <v>46072.244571759256</v>
      </c>
      <c r="G2409" t="s">
        <v>42</v>
      </c>
      <c r="H2409" t="s">
        <v>43</v>
      </c>
      <c r="I2409" t="s">
        <v>9540</v>
      </c>
      <c r="J2409" t="s">
        <v>45</v>
      </c>
      <c r="K2409" t="s">
        <v>46</v>
      </c>
      <c r="M2409" t="s">
        <v>47</v>
      </c>
      <c r="O2409" t="s">
        <v>48</v>
      </c>
      <c r="P2409" t="s">
        <v>49</v>
      </c>
      <c r="Q2409" t="s">
        <v>50</v>
      </c>
      <c r="R2409" t="s">
        <v>51</v>
      </c>
      <c r="S2409" t="s">
        <v>52</v>
      </c>
      <c r="T2409" t="s">
        <v>53</v>
      </c>
      <c r="U2409" s="1">
        <v>46072.245196759257</v>
      </c>
      <c r="V2409" t="s">
        <v>54</v>
      </c>
      <c r="W2409" t="s">
        <v>55</v>
      </c>
      <c r="X2409" t="s">
        <v>56</v>
      </c>
      <c r="Y2409" t="s">
        <v>57</v>
      </c>
      <c r="Z2409" t="s">
        <v>5594</v>
      </c>
      <c r="AA2409" t="s">
        <v>54</v>
      </c>
      <c r="AB2409" t="s">
        <v>59</v>
      </c>
      <c r="AC2409" t="s">
        <v>60</v>
      </c>
      <c r="AD2409" t="s">
        <v>51</v>
      </c>
      <c r="AE2409" t="s">
        <v>52</v>
      </c>
      <c r="AF2409" t="s">
        <v>53</v>
      </c>
      <c r="AG2409" t="s">
        <v>5594</v>
      </c>
      <c r="AK2409">
        <v>0</v>
      </c>
      <c r="AL2409" t="s">
        <v>61</v>
      </c>
      <c r="AM2409" t="s">
        <v>59</v>
      </c>
      <c r="AN2409" t="s">
        <v>62</v>
      </c>
    </row>
    <row r="2410" spans="1:40" x14ac:dyDescent="0.35">
      <c r="A2410" t="s">
        <v>37</v>
      </c>
      <c r="B2410" t="s">
        <v>9541</v>
      </c>
      <c r="C2410" t="s">
        <v>102</v>
      </c>
      <c r="D2410" t="s">
        <v>1698</v>
      </c>
      <c r="E2410" t="s">
        <v>584</v>
      </c>
      <c r="F2410" s="1">
        <v>46072.230011574073</v>
      </c>
      <c r="G2410" t="s">
        <v>105</v>
      </c>
      <c r="H2410" t="s">
        <v>106</v>
      </c>
      <c r="I2410" t="s">
        <v>9542</v>
      </c>
      <c r="J2410" t="s">
        <v>108</v>
      </c>
      <c r="K2410" t="s">
        <v>109</v>
      </c>
      <c r="M2410" t="s">
        <v>47</v>
      </c>
      <c r="O2410" t="s">
        <v>77</v>
      </c>
      <c r="P2410" t="s">
        <v>78</v>
      </c>
      <c r="Q2410" t="s">
        <v>50</v>
      </c>
      <c r="R2410" t="s">
        <v>111</v>
      </c>
      <c r="S2410" t="s">
        <v>51</v>
      </c>
      <c r="T2410" t="s">
        <v>112</v>
      </c>
      <c r="U2410" s="1">
        <v>46072.361828703702</v>
      </c>
      <c r="V2410" t="s">
        <v>54</v>
      </c>
      <c r="W2410" t="s">
        <v>55</v>
      </c>
      <c r="X2410" t="s">
        <v>134</v>
      </c>
      <c r="Y2410" t="s">
        <v>9543</v>
      </c>
      <c r="Z2410" t="s">
        <v>5594</v>
      </c>
      <c r="AA2410" t="s">
        <v>54</v>
      </c>
      <c r="AB2410" t="s">
        <v>1701</v>
      </c>
      <c r="AC2410" t="s">
        <v>85</v>
      </c>
      <c r="AD2410" t="s">
        <v>116</v>
      </c>
      <c r="AE2410" t="s">
        <v>117</v>
      </c>
      <c r="AF2410" t="s">
        <v>118</v>
      </c>
      <c r="AG2410" t="s">
        <v>5594</v>
      </c>
      <c r="AK2410">
        <v>1</v>
      </c>
      <c r="AL2410" t="s">
        <v>61</v>
      </c>
      <c r="AM2410" t="s">
        <v>1701</v>
      </c>
      <c r="AN2410" t="s">
        <v>1702</v>
      </c>
    </row>
    <row r="2411" spans="1:40" x14ac:dyDescent="0.35">
      <c r="A2411" t="s">
        <v>37</v>
      </c>
      <c r="B2411" t="s">
        <v>9544</v>
      </c>
      <c r="C2411" t="s">
        <v>102</v>
      </c>
      <c r="D2411" t="s">
        <v>1698</v>
      </c>
      <c r="E2411" t="s">
        <v>584</v>
      </c>
      <c r="F2411" s="1">
        <v>46072.230011574073</v>
      </c>
      <c r="G2411" t="s">
        <v>105</v>
      </c>
      <c r="H2411" t="s">
        <v>106</v>
      </c>
      <c r="I2411" t="s">
        <v>5843</v>
      </c>
      <c r="J2411" t="s">
        <v>108</v>
      </c>
      <c r="K2411" t="s">
        <v>109</v>
      </c>
      <c r="M2411" t="s">
        <v>47</v>
      </c>
      <c r="O2411" t="s">
        <v>77</v>
      </c>
      <c r="P2411" t="s">
        <v>78</v>
      </c>
      <c r="Q2411" t="s">
        <v>50</v>
      </c>
      <c r="R2411" t="s">
        <v>111</v>
      </c>
      <c r="S2411" t="s">
        <v>51</v>
      </c>
      <c r="T2411" t="s">
        <v>112</v>
      </c>
      <c r="U2411" s="1">
        <v>46072.482129629629</v>
      </c>
      <c r="V2411" t="s">
        <v>54</v>
      </c>
      <c r="W2411" t="s">
        <v>55</v>
      </c>
      <c r="X2411" t="s">
        <v>134</v>
      </c>
      <c r="Y2411" t="s">
        <v>5915</v>
      </c>
      <c r="Z2411" t="s">
        <v>5594</v>
      </c>
      <c r="AA2411" t="s">
        <v>54</v>
      </c>
      <c r="AB2411" t="s">
        <v>1701</v>
      </c>
      <c r="AC2411" t="s">
        <v>85</v>
      </c>
      <c r="AD2411" t="s">
        <v>116</v>
      </c>
      <c r="AE2411" t="s">
        <v>117</v>
      </c>
      <c r="AF2411" t="s">
        <v>1843</v>
      </c>
      <c r="AG2411" t="s">
        <v>5594</v>
      </c>
      <c r="AK2411">
        <v>1</v>
      </c>
      <c r="AL2411" t="s">
        <v>61</v>
      </c>
      <c r="AM2411" t="s">
        <v>1701</v>
      </c>
      <c r="AN2411" t="s">
        <v>1702</v>
      </c>
    </row>
    <row r="2412" spans="1:40" x14ac:dyDescent="0.35">
      <c r="A2412" t="s">
        <v>37</v>
      </c>
      <c r="B2412" t="s">
        <v>9545</v>
      </c>
      <c r="C2412" t="s">
        <v>102</v>
      </c>
      <c r="D2412" t="s">
        <v>1698</v>
      </c>
      <c r="E2412" t="s">
        <v>584</v>
      </c>
      <c r="F2412" s="1">
        <v>46072.230011574073</v>
      </c>
      <c r="G2412" t="s">
        <v>105</v>
      </c>
      <c r="H2412" t="s">
        <v>106</v>
      </c>
      <c r="I2412" t="s">
        <v>7244</v>
      </c>
      <c r="J2412" t="s">
        <v>108</v>
      </c>
      <c r="K2412" t="s">
        <v>109</v>
      </c>
      <c r="M2412" t="s">
        <v>47</v>
      </c>
      <c r="O2412" t="s">
        <v>77</v>
      </c>
      <c r="P2412" t="s">
        <v>78</v>
      </c>
      <c r="Q2412" t="s">
        <v>50</v>
      </c>
      <c r="R2412" t="s">
        <v>111</v>
      </c>
      <c r="S2412" t="s">
        <v>51</v>
      </c>
      <c r="T2412" t="s">
        <v>112</v>
      </c>
      <c r="U2412" s="1">
        <v>46072.496215277781</v>
      </c>
      <c r="V2412" t="s">
        <v>54</v>
      </c>
      <c r="W2412" t="s">
        <v>55</v>
      </c>
      <c r="X2412" t="s">
        <v>134</v>
      </c>
      <c r="Y2412" t="s">
        <v>9546</v>
      </c>
      <c r="Z2412" t="s">
        <v>5594</v>
      </c>
      <c r="AA2412" t="s">
        <v>54</v>
      </c>
      <c r="AB2412" t="s">
        <v>1701</v>
      </c>
      <c r="AC2412" t="s">
        <v>85</v>
      </c>
      <c r="AD2412" t="s">
        <v>116</v>
      </c>
      <c r="AE2412" t="s">
        <v>117</v>
      </c>
      <c r="AF2412" t="s">
        <v>1896</v>
      </c>
      <c r="AG2412" t="s">
        <v>5594</v>
      </c>
      <c r="AK2412">
        <v>1</v>
      </c>
      <c r="AL2412" t="s">
        <v>61</v>
      </c>
      <c r="AM2412" t="s">
        <v>1701</v>
      </c>
      <c r="AN2412" t="s">
        <v>1702</v>
      </c>
    </row>
    <row r="2413" spans="1:40" x14ac:dyDescent="0.35">
      <c r="A2413" t="s">
        <v>37</v>
      </c>
      <c r="B2413" t="s">
        <v>9547</v>
      </c>
      <c r="C2413" t="s">
        <v>656</v>
      </c>
      <c r="D2413" t="s">
        <v>1711</v>
      </c>
      <c r="E2413" t="s">
        <v>1712</v>
      </c>
      <c r="F2413" s="1">
        <v>46072.217418981483</v>
      </c>
      <c r="G2413" t="s">
        <v>1713</v>
      </c>
      <c r="H2413" t="s">
        <v>356</v>
      </c>
      <c r="I2413" t="s">
        <v>9548</v>
      </c>
      <c r="J2413" t="s">
        <v>816</v>
      </c>
      <c r="K2413" t="s">
        <v>817</v>
      </c>
      <c r="M2413" t="s">
        <v>76</v>
      </c>
      <c r="O2413" t="s">
        <v>237</v>
      </c>
      <c r="P2413" t="s">
        <v>238</v>
      </c>
      <c r="Q2413" t="s">
        <v>50</v>
      </c>
      <c r="R2413" t="s">
        <v>305</v>
      </c>
      <c r="S2413" t="s">
        <v>306</v>
      </c>
      <c r="T2413" t="s">
        <v>1715</v>
      </c>
      <c r="U2413" s="1">
        <v>46077.615254629629</v>
      </c>
      <c r="V2413" t="s">
        <v>54</v>
      </c>
      <c r="W2413" t="s">
        <v>55</v>
      </c>
      <c r="X2413" t="s">
        <v>134</v>
      </c>
      <c r="Y2413" t="s">
        <v>2387</v>
      </c>
      <c r="Z2413" t="s">
        <v>58</v>
      </c>
      <c r="AA2413" t="s">
        <v>54</v>
      </c>
      <c r="AB2413" t="s">
        <v>1717</v>
      </c>
      <c r="AC2413" t="s">
        <v>242</v>
      </c>
      <c r="AD2413" t="s">
        <v>51</v>
      </c>
      <c r="AE2413" t="s">
        <v>240</v>
      </c>
      <c r="AF2413" t="s">
        <v>817</v>
      </c>
      <c r="AG2413" t="s">
        <v>58</v>
      </c>
      <c r="AK2413">
        <v>1</v>
      </c>
      <c r="AL2413" t="s">
        <v>61</v>
      </c>
      <c r="AM2413" t="s">
        <v>1717</v>
      </c>
      <c r="AN2413" t="s">
        <v>1720</v>
      </c>
    </row>
    <row r="2414" spans="1:40" x14ac:dyDescent="0.35">
      <c r="A2414" t="s">
        <v>37</v>
      </c>
      <c r="B2414" t="s">
        <v>9549</v>
      </c>
      <c r="C2414" t="s">
        <v>39</v>
      </c>
      <c r="D2414" t="s">
        <v>40</v>
      </c>
      <c r="E2414" t="s">
        <v>41</v>
      </c>
      <c r="F2414" s="1">
        <v>46072.213113425925</v>
      </c>
      <c r="G2414" t="s">
        <v>42</v>
      </c>
      <c r="H2414" t="s">
        <v>43</v>
      </c>
      <c r="I2414" t="s">
        <v>9550</v>
      </c>
      <c r="J2414" t="s">
        <v>45</v>
      </c>
      <c r="K2414" t="s">
        <v>46</v>
      </c>
      <c r="M2414" t="s">
        <v>47</v>
      </c>
      <c r="O2414" t="s">
        <v>48</v>
      </c>
      <c r="P2414" t="s">
        <v>49</v>
      </c>
      <c r="Q2414" t="s">
        <v>50</v>
      </c>
      <c r="R2414" t="s">
        <v>51</v>
      </c>
      <c r="S2414" t="s">
        <v>52</v>
      </c>
      <c r="T2414" t="s">
        <v>53</v>
      </c>
      <c r="U2414" s="1">
        <v>46072.213773148149</v>
      </c>
      <c r="V2414" t="s">
        <v>54</v>
      </c>
      <c r="W2414" t="s">
        <v>55</v>
      </c>
      <c r="X2414" t="s">
        <v>56</v>
      </c>
      <c r="Y2414" t="s">
        <v>65</v>
      </c>
      <c r="Z2414" t="s">
        <v>5594</v>
      </c>
      <c r="AA2414" t="s">
        <v>54</v>
      </c>
      <c r="AB2414" t="s">
        <v>59</v>
      </c>
      <c r="AC2414" t="s">
        <v>60</v>
      </c>
      <c r="AD2414" t="s">
        <v>51</v>
      </c>
      <c r="AE2414" t="s">
        <v>52</v>
      </c>
      <c r="AF2414" t="s">
        <v>53</v>
      </c>
      <c r="AG2414" t="s">
        <v>5594</v>
      </c>
      <c r="AK2414">
        <v>0</v>
      </c>
      <c r="AL2414" t="s">
        <v>61</v>
      </c>
      <c r="AM2414" t="s">
        <v>59</v>
      </c>
      <c r="AN2414" t="s">
        <v>62</v>
      </c>
    </row>
    <row r="2415" spans="1:40" x14ac:dyDescent="0.35">
      <c r="A2415" t="s">
        <v>37</v>
      </c>
      <c r="B2415" t="s">
        <v>9551</v>
      </c>
      <c r="C2415" t="s">
        <v>39</v>
      </c>
      <c r="D2415" t="s">
        <v>40</v>
      </c>
      <c r="E2415" t="s">
        <v>41</v>
      </c>
      <c r="F2415" s="1">
        <v>46072.190486111111</v>
      </c>
      <c r="G2415" t="s">
        <v>42</v>
      </c>
      <c r="H2415" t="s">
        <v>43</v>
      </c>
      <c r="I2415" t="s">
        <v>9552</v>
      </c>
      <c r="J2415" t="s">
        <v>45</v>
      </c>
      <c r="K2415" t="s">
        <v>46</v>
      </c>
      <c r="M2415" t="s">
        <v>47</v>
      </c>
      <c r="O2415" t="s">
        <v>48</v>
      </c>
      <c r="P2415" t="s">
        <v>49</v>
      </c>
      <c r="Q2415" t="s">
        <v>50</v>
      </c>
      <c r="R2415" t="s">
        <v>51</v>
      </c>
      <c r="S2415" t="s">
        <v>52</v>
      </c>
      <c r="T2415" t="s">
        <v>53</v>
      </c>
      <c r="U2415" s="1">
        <v>46072.19121527778</v>
      </c>
      <c r="V2415" t="s">
        <v>54</v>
      </c>
      <c r="W2415" t="s">
        <v>55</v>
      </c>
      <c r="X2415" t="s">
        <v>56</v>
      </c>
      <c r="Y2415" t="s">
        <v>57</v>
      </c>
      <c r="Z2415" t="s">
        <v>5594</v>
      </c>
      <c r="AA2415" t="s">
        <v>54</v>
      </c>
      <c r="AB2415" t="s">
        <v>59</v>
      </c>
      <c r="AC2415" t="s">
        <v>60</v>
      </c>
      <c r="AD2415" t="s">
        <v>51</v>
      </c>
      <c r="AE2415" t="s">
        <v>52</v>
      </c>
      <c r="AF2415" t="s">
        <v>53</v>
      </c>
      <c r="AG2415" t="s">
        <v>5594</v>
      </c>
      <c r="AK2415">
        <v>0</v>
      </c>
      <c r="AL2415" t="s">
        <v>61</v>
      </c>
      <c r="AM2415" t="s">
        <v>59</v>
      </c>
      <c r="AN2415" t="s">
        <v>62</v>
      </c>
    </row>
    <row r="2416" spans="1:40" x14ac:dyDescent="0.35">
      <c r="A2416" t="s">
        <v>37</v>
      </c>
      <c r="B2416" t="s">
        <v>9553</v>
      </c>
      <c r="C2416" t="s">
        <v>39</v>
      </c>
      <c r="D2416" t="s">
        <v>40</v>
      </c>
      <c r="E2416" t="s">
        <v>41</v>
      </c>
      <c r="F2416" s="1">
        <v>46072.190416666665</v>
      </c>
      <c r="G2416" t="s">
        <v>42</v>
      </c>
      <c r="H2416" t="s">
        <v>43</v>
      </c>
      <c r="I2416" t="s">
        <v>9554</v>
      </c>
      <c r="J2416" t="s">
        <v>45</v>
      </c>
      <c r="K2416" t="s">
        <v>46</v>
      </c>
      <c r="M2416" t="s">
        <v>47</v>
      </c>
      <c r="O2416" t="s">
        <v>48</v>
      </c>
      <c r="P2416" t="s">
        <v>49</v>
      </c>
      <c r="Q2416" t="s">
        <v>50</v>
      </c>
      <c r="R2416" t="s">
        <v>51</v>
      </c>
      <c r="S2416" t="s">
        <v>52</v>
      </c>
      <c r="T2416" t="s">
        <v>53</v>
      </c>
      <c r="U2416" s="1">
        <v>46072.191099537034</v>
      </c>
      <c r="V2416" t="s">
        <v>54</v>
      </c>
      <c r="W2416" t="s">
        <v>55</v>
      </c>
      <c r="X2416" t="s">
        <v>56</v>
      </c>
      <c r="Y2416" t="s">
        <v>57</v>
      </c>
      <c r="Z2416" t="s">
        <v>5594</v>
      </c>
      <c r="AA2416" t="s">
        <v>54</v>
      </c>
      <c r="AB2416" t="s">
        <v>59</v>
      </c>
      <c r="AC2416" t="s">
        <v>60</v>
      </c>
      <c r="AD2416" t="s">
        <v>51</v>
      </c>
      <c r="AE2416" t="s">
        <v>52</v>
      </c>
      <c r="AF2416" t="s">
        <v>53</v>
      </c>
      <c r="AG2416" t="s">
        <v>5594</v>
      </c>
      <c r="AK2416">
        <v>0</v>
      </c>
      <c r="AL2416" t="s">
        <v>61</v>
      </c>
      <c r="AM2416" t="s">
        <v>59</v>
      </c>
      <c r="AN2416" t="s">
        <v>62</v>
      </c>
    </row>
    <row r="2417" spans="1:40" x14ac:dyDescent="0.35">
      <c r="A2417" t="s">
        <v>37</v>
      </c>
      <c r="B2417" t="s">
        <v>9555</v>
      </c>
      <c r="C2417" t="s">
        <v>39</v>
      </c>
      <c r="D2417" t="s">
        <v>3495</v>
      </c>
      <c r="E2417" t="s">
        <v>3496</v>
      </c>
      <c r="F2417" s="1">
        <v>46072.17869212963</v>
      </c>
      <c r="G2417" t="s">
        <v>355</v>
      </c>
      <c r="H2417" t="s">
        <v>356</v>
      </c>
      <c r="I2417" t="s">
        <v>9556</v>
      </c>
      <c r="J2417" t="s">
        <v>1626</v>
      </c>
      <c r="K2417" t="s">
        <v>1627</v>
      </c>
      <c r="M2417" t="s">
        <v>47</v>
      </c>
      <c r="O2417" t="s">
        <v>77</v>
      </c>
      <c r="P2417" t="s">
        <v>78</v>
      </c>
      <c r="Q2417" t="s">
        <v>50</v>
      </c>
      <c r="R2417" t="s">
        <v>79</v>
      </c>
      <c r="S2417" t="s">
        <v>952</v>
      </c>
      <c r="T2417" t="s">
        <v>1628</v>
      </c>
      <c r="U2417" s="1">
        <v>46072.780462962961</v>
      </c>
      <c r="V2417" t="s">
        <v>54</v>
      </c>
      <c r="W2417" t="s">
        <v>55</v>
      </c>
      <c r="X2417" t="s">
        <v>134</v>
      </c>
      <c r="Y2417" t="s">
        <v>9557</v>
      </c>
      <c r="Z2417" t="s">
        <v>5594</v>
      </c>
      <c r="AA2417" t="s">
        <v>54</v>
      </c>
      <c r="AB2417" t="s">
        <v>709</v>
      </c>
      <c r="AC2417" t="s">
        <v>85</v>
      </c>
      <c r="AD2417" t="s">
        <v>79</v>
      </c>
      <c r="AE2417" t="s">
        <v>952</v>
      </c>
      <c r="AF2417" t="s">
        <v>1630</v>
      </c>
      <c r="AG2417" t="s">
        <v>5594</v>
      </c>
      <c r="AH2417" t="s">
        <v>3499</v>
      </c>
      <c r="AK2417">
        <v>1</v>
      </c>
      <c r="AL2417" t="s">
        <v>61</v>
      </c>
      <c r="AM2417" t="s">
        <v>3500</v>
      </c>
      <c r="AN2417" t="s">
        <v>3501</v>
      </c>
    </row>
    <row r="2418" spans="1:40" x14ac:dyDescent="0.35">
      <c r="A2418" t="s">
        <v>37</v>
      </c>
      <c r="B2418" t="s">
        <v>9558</v>
      </c>
      <c r="C2418" t="s">
        <v>39</v>
      </c>
      <c r="D2418" t="s">
        <v>3495</v>
      </c>
      <c r="E2418" t="s">
        <v>3496</v>
      </c>
      <c r="F2418" s="1">
        <v>46072.178564814814</v>
      </c>
      <c r="G2418" t="s">
        <v>355</v>
      </c>
      <c r="H2418" t="s">
        <v>356</v>
      </c>
      <c r="I2418" t="s">
        <v>9559</v>
      </c>
      <c r="J2418" t="s">
        <v>1626</v>
      </c>
      <c r="K2418" t="s">
        <v>1627</v>
      </c>
      <c r="M2418" t="s">
        <v>47</v>
      </c>
      <c r="O2418" t="s">
        <v>77</v>
      </c>
      <c r="P2418" t="s">
        <v>78</v>
      </c>
      <c r="Q2418" t="s">
        <v>50</v>
      </c>
      <c r="R2418" t="s">
        <v>79</v>
      </c>
      <c r="S2418" t="s">
        <v>952</v>
      </c>
      <c r="T2418" t="s">
        <v>1628</v>
      </c>
      <c r="U2418" s="1">
        <v>46072.779467592591</v>
      </c>
      <c r="V2418" t="s">
        <v>54</v>
      </c>
      <c r="W2418" t="s">
        <v>55</v>
      </c>
      <c r="X2418" t="s">
        <v>134</v>
      </c>
      <c r="Y2418" t="s">
        <v>9560</v>
      </c>
      <c r="Z2418" t="s">
        <v>5594</v>
      </c>
      <c r="AA2418" t="s">
        <v>54</v>
      </c>
      <c r="AB2418" t="s">
        <v>709</v>
      </c>
      <c r="AC2418" t="s">
        <v>85</v>
      </c>
      <c r="AD2418" t="s">
        <v>79</v>
      </c>
      <c r="AE2418" t="s">
        <v>952</v>
      </c>
      <c r="AF2418" t="s">
        <v>1630</v>
      </c>
      <c r="AG2418" t="s">
        <v>5594</v>
      </c>
      <c r="AH2418" t="s">
        <v>3499</v>
      </c>
      <c r="AK2418">
        <v>1</v>
      </c>
      <c r="AL2418" t="s">
        <v>61</v>
      </c>
      <c r="AM2418" t="s">
        <v>3500</v>
      </c>
      <c r="AN2418" t="s">
        <v>3501</v>
      </c>
    </row>
    <row r="2419" spans="1:40" x14ac:dyDescent="0.35">
      <c r="A2419" t="s">
        <v>37</v>
      </c>
      <c r="B2419" t="s">
        <v>9561</v>
      </c>
      <c r="C2419" t="s">
        <v>39</v>
      </c>
      <c r="D2419" t="s">
        <v>3495</v>
      </c>
      <c r="E2419" t="s">
        <v>3496</v>
      </c>
      <c r="F2419" s="1">
        <v>46072.178391203706</v>
      </c>
      <c r="G2419" t="s">
        <v>355</v>
      </c>
      <c r="H2419" t="s">
        <v>356</v>
      </c>
      <c r="I2419" t="s">
        <v>3503</v>
      </c>
      <c r="J2419" t="s">
        <v>1626</v>
      </c>
      <c r="K2419" t="s">
        <v>1627</v>
      </c>
      <c r="M2419" t="s">
        <v>47</v>
      </c>
      <c r="O2419" t="s">
        <v>77</v>
      </c>
      <c r="P2419" t="s">
        <v>78</v>
      </c>
      <c r="Q2419" t="s">
        <v>50</v>
      </c>
      <c r="R2419" t="s">
        <v>79</v>
      </c>
      <c r="S2419" t="s">
        <v>952</v>
      </c>
      <c r="T2419" t="s">
        <v>1628</v>
      </c>
      <c r="U2419" s="1">
        <v>46072.664409722223</v>
      </c>
      <c r="V2419" t="s">
        <v>54</v>
      </c>
      <c r="W2419" t="s">
        <v>55</v>
      </c>
      <c r="X2419" t="s">
        <v>134</v>
      </c>
      <c r="Y2419" t="s">
        <v>9562</v>
      </c>
      <c r="Z2419" t="s">
        <v>5594</v>
      </c>
      <c r="AA2419" t="s">
        <v>54</v>
      </c>
      <c r="AB2419" t="s">
        <v>709</v>
      </c>
      <c r="AC2419" t="s">
        <v>85</v>
      </c>
      <c r="AD2419" t="s">
        <v>79</v>
      </c>
      <c r="AE2419" t="s">
        <v>952</v>
      </c>
      <c r="AF2419" t="s">
        <v>1630</v>
      </c>
      <c r="AG2419" t="s">
        <v>5594</v>
      </c>
      <c r="AH2419" t="s">
        <v>3499</v>
      </c>
      <c r="AK2419">
        <v>1</v>
      </c>
      <c r="AL2419" t="s">
        <v>61</v>
      </c>
      <c r="AM2419" t="s">
        <v>3500</v>
      </c>
      <c r="AN2419" t="s">
        <v>3501</v>
      </c>
    </row>
    <row r="2420" spans="1:40" x14ac:dyDescent="0.35">
      <c r="A2420" t="s">
        <v>37</v>
      </c>
      <c r="B2420" t="s">
        <v>9563</v>
      </c>
      <c r="C2420" t="s">
        <v>39</v>
      </c>
      <c r="D2420" t="s">
        <v>3495</v>
      </c>
      <c r="E2420" t="s">
        <v>3496</v>
      </c>
      <c r="F2420" s="1">
        <v>46072.17827546296</v>
      </c>
      <c r="G2420" t="s">
        <v>355</v>
      </c>
      <c r="H2420" t="s">
        <v>356</v>
      </c>
      <c r="I2420" t="s">
        <v>3506</v>
      </c>
      <c r="J2420" t="s">
        <v>1626</v>
      </c>
      <c r="K2420" t="s">
        <v>1627</v>
      </c>
      <c r="M2420" t="s">
        <v>47</v>
      </c>
      <c r="O2420" t="s">
        <v>77</v>
      </c>
      <c r="P2420" t="s">
        <v>78</v>
      </c>
      <c r="Q2420" t="s">
        <v>50</v>
      </c>
      <c r="R2420" t="s">
        <v>79</v>
      </c>
      <c r="S2420" t="s">
        <v>952</v>
      </c>
      <c r="T2420" t="s">
        <v>1628</v>
      </c>
      <c r="U2420" s="1">
        <v>46072.663923611108</v>
      </c>
      <c r="V2420" t="s">
        <v>54</v>
      </c>
      <c r="W2420" t="s">
        <v>55</v>
      </c>
      <c r="X2420" t="s">
        <v>134</v>
      </c>
      <c r="Y2420" t="s">
        <v>9564</v>
      </c>
      <c r="Z2420" t="s">
        <v>5594</v>
      </c>
      <c r="AA2420" t="s">
        <v>54</v>
      </c>
      <c r="AB2420" t="s">
        <v>709</v>
      </c>
      <c r="AC2420" t="s">
        <v>85</v>
      </c>
      <c r="AD2420" t="s">
        <v>79</v>
      </c>
      <c r="AE2420" t="s">
        <v>952</v>
      </c>
      <c r="AF2420" t="s">
        <v>1630</v>
      </c>
      <c r="AG2420" t="s">
        <v>5594</v>
      </c>
      <c r="AH2420" t="s">
        <v>3499</v>
      </c>
      <c r="AK2420">
        <v>1</v>
      </c>
      <c r="AL2420" t="s">
        <v>61</v>
      </c>
      <c r="AM2420" t="s">
        <v>3500</v>
      </c>
      <c r="AN2420" t="s">
        <v>3501</v>
      </c>
    </row>
    <row r="2421" spans="1:40" x14ac:dyDescent="0.35">
      <c r="A2421" t="s">
        <v>37</v>
      </c>
      <c r="B2421" t="s">
        <v>9565</v>
      </c>
      <c r="C2421" t="s">
        <v>39</v>
      </c>
      <c r="D2421" t="s">
        <v>3495</v>
      </c>
      <c r="E2421" t="s">
        <v>3496</v>
      </c>
      <c r="F2421" s="1">
        <v>46072.178101851852</v>
      </c>
      <c r="G2421" t="s">
        <v>355</v>
      </c>
      <c r="H2421" t="s">
        <v>356</v>
      </c>
      <c r="I2421" t="s">
        <v>3509</v>
      </c>
      <c r="J2421" t="s">
        <v>1626</v>
      </c>
      <c r="K2421" t="s">
        <v>1627</v>
      </c>
      <c r="M2421" t="s">
        <v>47</v>
      </c>
      <c r="O2421" t="s">
        <v>77</v>
      </c>
      <c r="P2421" t="s">
        <v>78</v>
      </c>
      <c r="Q2421" t="s">
        <v>50</v>
      </c>
      <c r="R2421" t="s">
        <v>79</v>
      </c>
      <c r="S2421" t="s">
        <v>952</v>
      </c>
      <c r="T2421" t="s">
        <v>1628</v>
      </c>
      <c r="U2421" s="1">
        <v>46072.663356481484</v>
      </c>
      <c r="V2421" t="s">
        <v>54</v>
      </c>
      <c r="W2421" t="s">
        <v>55</v>
      </c>
      <c r="X2421" t="s">
        <v>134</v>
      </c>
      <c r="Y2421" t="s">
        <v>9566</v>
      </c>
      <c r="Z2421" t="s">
        <v>5594</v>
      </c>
      <c r="AA2421" t="s">
        <v>54</v>
      </c>
      <c r="AB2421" t="s">
        <v>709</v>
      </c>
      <c r="AC2421" t="s">
        <v>85</v>
      </c>
      <c r="AD2421" t="s">
        <v>79</v>
      </c>
      <c r="AE2421" t="s">
        <v>952</v>
      </c>
      <c r="AF2421" t="s">
        <v>1630</v>
      </c>
      <c r="AG2421" t="s">
        <v>5594</v>
      </c>
      <c r="AH2421" t="s">
        <v>3499</v>
      </c>
      <c r="AK2421">
        <v>1</v>
      </c>
      <c r="AL2421" t="s">
        <v>61</v>
      </c>
      <c r="AM2421" t="s">
        <v>3500</v>
      </c>
      <c r="AN2421" t="s">
        <v>3501</v>
      </c>
    </row>
    <row r="2422" spans="1:40" x14ac:dyDescent="0.35">
      <c r="A2422" t="s">
        <v>37</v>
      </c>
      <c r="B2422" t="s">
        <v>9567</v>
      </c>
      <c r="C2422" t="s">
        <v>39</v>
      </c>
      <c r="D2422" t="s">
        <v>1646</v>
      </c>
      <c r="E2422" t="s">
        <v>1647</v>
      </c>
      <c r="F2422" s="1">
        <v>46072.17019675926</v>
      </c>
      <c r="G2422" t="s">
        <v>355</v>
      </c>
      <c r="H2422" t="s">
        <v>356</v>
      </c>
      <c r="I2422" t="s">
        <v>7834</v>
      </c>
      <c r="J2422" t="s">
        <v>1649</v>
      </c>
      <c r="K2422" t="s">
        <v>1650</v>
      </c>
      <c r="M2422" t="s">
        <v>47</v>
      </c>
      <c r="O2422" t="s">
        <v>77</v>
      </c>
      <c r="P2422" t="s">
        <v>78</v>
      </c>
      <c r="Q2422" t="s">
        <v>50</v>
      </c>
      <c r="R2422" t="s">
        <v>79</v>
      </c>
      <c r="S2422" t="s">
        <v>1556</v>
      </c>
      <c r="T2422" t="s">
        <v>1557</v>
      </c>
      <c r="U2422" s="1">
        <v>46072.72314814815</v>
      </c>
      <c r="V2422" t="s">
        <v>54</v>
      </c>
      <c r="W2422" t="s">
        <v>55</v>
      </c>
      <c r="X2422" t="s">
        <v>134</v>
      </c>
      <c r="Y2422" t="s">
        <v>9568</v>
      </c>
      <c r="Z2422" t="s">
        <v>5594</v>
      </c>
      <c r="AA2422" t="s">
        <v>54</v>
      </c>
      <c r="AB2422" t="s">
        <v>709</v>
      </c>
      <c r="AC2422" t="s">
        <v>85</v>
      </c>
      <c r="AD2422" t="s">
        <v>79</v>
      </c>
      <c r="AE2422" t="s">
        <v>1556</v>
      </c>
      <c r="AF2422" t="s">
        <v>1557</v>
      </c>
      <c r="AG2422" t="s">
        <v>5594</v>
      </c>
      <c r="AH2422" t="s">
        <v>1652</v>
      </c>
      <c r="AK2422">
        <v>1</v>
      </c>
      <c r="AL2422" t="s">
        <v>61</v>
      </c>
      <c r="AM2422" t="s">
        <v>1653</v>
      </c>
      <c r="AN2422" t="s">
        <v>1654</v>
      </c>
    </row>
    <row r="2423" spans="1:40" x14ac:dyDescent="0.35">
      <c r="A2423" t="s">
        <v>37</v>
      </c>
      <c r="B2423" t="s">
        <v>9569</v>
      </c>
      <c r="C2423" t="s">
        <v>39</v>
      </c>
      <c r="D2423" t="s">
        <v>8902</v>
      </c>
      <c r="E2423" t="s">
        <v>513</v>
      </c>
      <c r="F2423" s="1">
        <v>46072.166747685187</v>
      </c>
      <c r="G2423" t="s">
        <v>170</v>
      </c>
      <c r="H2423" t="s">
        <v>92</v>
      </c>
      <c r="I2423" t="s">
        <v>9570</v>
      </c>
      <c r="J2423" t="s">
        <v>455</v>
      </c>
      <c r="K2423" t="s">
        <v>436</v>
      </c>
      <c r="M2423" t="s">
        <v>47</v>
      </c>
      <c r="O2423" t="s">
        <v>77</v>
      </c>
      <c r="P2423" t="s">
        <v>78</v>
      </c>
      <c r="Q2423" t="s">
        <v>50</v>
      </c>
      <c r="R2423" t="s">
        <v>51</v>
      </c>
      <c r="S2423" t="s">
        <v>52</v>
      </c>
      <c r="T2423" t="s">
        <v>773</v>
      </c>
      <c r="U2423" s="1">
        <v>46072.391273148147</v>
      </c>
      <c r="V2423" t="s">
        <v>54</v>
      </c>
      <c r="W2423" t="s">
        <v>55</v>
      </c>
      <c r="X2423" t="s">
        <v>134</v>
      </c>
      <c r="Y2423" t="s">
        <v>9571</v>
      </c>
      <c r="Z2423" t="s">
        <v>5594</v>
      </c>
      <c r="AA2423" t="s">
        <v>54</v>
      </c>
      <c r="AB2423" t="s">
        <v>709</v>
      </c>
      <c r="AC2423" t="s">
        <v>85</v>
      </c>
      <c r="AD2423" t="s">
        <v>52</v>
      </c>
      <c r="AE2423" t="s">
        <v>438</v>
      </c>
      <c r="AF2423" t="s">
        <v>775</v>
      </c>
      <c r="AG2423" t="s">
        <v>5594</v>
      </c>
      <c r="AH2423" t="s">
        <v>9572</v>
      </c>
      <c r="AK2423">
        <v>1</v>
      </c>
      <c r="AL2423" t="s">
        <v>61</v>
      </c>
      <c r="AM2423" t="s">
        <v>9573</v>
      </c>
      <c r="AN2423" t="s">
        <v>9574</v>
      </c>
    </row>
    <row r="2424" spans="1:40" x14ac:dyDescent="0.35">
      <c r="A2424" t="s">
        <v>37</v>
      </c>
      <c r="B2424" t="s">
        <v>9575</v>
      </c>
      <c r="C2424" t="s">
        <v>656</v>
      </c>
      <c r="D2424" t="s">
        <v>9576</v>
      </c>
      <c r="E2424" t="s">
        <v>9577</v>
      </c>
      <c r="F2424" s="1">
        <v>46072.158171296294</v>
      </c>
      <c r="G2424" t="s">
        <v>446</v>
      </c>
      <c r="H2424" t="s">
        <v>447</v>
      </c>
      <c r="I2424" t="s">
        <v>9578</v>
      </c>
      <c r="J2424" t="s">
        <v>7846</v>
      </c>
      <c r="K2424" t="s">
        <v>7847</v>
      </c>
      <c r="M2424" t="s">
        <v>76</v>
      </c>
      <c r="O2424" t="s">
        <v>77</v>
      </c>
      <c r="P2424" t="s">
        <v>78</v>
      </c>
      <c r="Q2424" t="s">
        <v>50</v>
      </c>
      <c r="R2424" t="s">
        <v>1321</v>
      </c>
      <c r="S2424" t="s">
        <v>1718</v>
      </c>
      <c r="T2424" t="s">
        <v>1323</v>
      </c>
      <c r="U2424" s="1">
        <v>46078.336111111108</v>
      </c>
      <c r="V2424" t="s">
        <v>54</v>
      </c>
      <c r="W2424" t="s">
        <v>55</v>
      </c>
      <c r="X2424" t="s">
        <v>134</v>
      </c>
      <c r="Y2424" t="s">
        <v>9579</v>
      </c>
      <c r="Z2424" t="s">
        <v>58</v>
      </c>
      <c r="AA2424" t="s">
        <v>54</v>
      </c>
      <c r="AB2424" t="s">
        <v>709</v>
      </c>
      <c r="AC2424" t="s">
        <v>85</v>
      </c>
      <c r="AD2424" t="s">
        <v>1321</v>
      </c>
      <c r="AE2424" t="s">
        <v>1718</v>
      </c>
      <c r="AF2424" t="s">
        <v>1323</v>
      </c>
      <c r="AG2424" t="s">
        <v>58</v>
      </c>
      <c r="AH2424" t="s">
        <v>9580</v>
      </c>
      <c r="AK2424">
        <v>1</v>
      </c>
      <c r="AL2424" t="s">
        <v>61</v>
      </c>
      <c r="AM2424" t="s">
        <v>9581</v>
      </c>
      <c r="AN2424" t="s">
        <v>9582</v>
      </c>
    </row>
    <row r="2425" spans="1:40" x14ac:dyDescent="0.35">
      <c r="A2425" t="s">
        <v>37</v>
      </c>
      <c r="B2425" t="s">
        <v>9583</v>
      </c>
      <c r="C2425" t="s">
        <v>39</v>
      </c>
      <c r="D2425" t="s">
        <v>40</v>
      </c>
      <c r="E2425" t="s">
        <v>41</v>
      </c>
      <c r="F2425" s="1">
        <v>46072.14875</v>
      </c>
      <c r="G2425" t="s">
        <v>42</v>
      </c>
      <c r="H2425" t="s">
        <v>43</v>
      </c>
      <c r="I2425" t="s">
        <v>9584</v>
      </c>
      <c r="J2425" t="s">
        <v>45</v>
      </c>
      <c r="K2425" t="s">
        <v>46</v>
      </c>
      <c r="M2425" t="s">
        <v>47</v>
      </c>
      <c r="O2425" t="s">
        <v>48</v>
      </c>
      <c r="P2425" t="s">
        <v>49</v>
      </c>
      <c r="Q2425" t="s">
        <v>50</v>
      </c>
      <c r="R2425" t="s">
        <v>51</v>
      </c>
      <c r="S2425" t="s">
        <v>52</v>
      </c>
      <c r="T2425" t="s">
        <v>53</v>
      </c>
      <c r="U2425" s="1">
        <v>46072.149456018517</v>
      </c>
      <c r="V2425" t="s">
        <v>54</v>
      </c>
      <c r="W2425" t="s">
        <v>55</v>
      </c>
      <c r="X2425" t="s">
        <v>56</v>
      </c>
      <c r="Y2425" t="s">
        <v>57</v>
      </c>
      <c r="Z2425" t="s">
        <v>5594</v>
      </c>
      <c r="AA2425" t="s">
        <v>54</v>
      </c>
      <c r="AB2425" t="s">
        <v>59</v>
      </c>
      <c r="AC2425" t="s">
        <v>60</v>
      </c>
      <c r="AD2425" t="s">
        <v>51</v>
      </c>
      <c r="AE2425" t="s">
        <v>52</v>
      </c>
      <c r="AF2425" t="s">
        <v>53</v>
      </c>
      <c r="AG2425" t="s">
        <v>5594</v>
      </c>
      <c r="AK2425">
        <v>0</v>
      </c>
      <c r="AL2425" t="s">
        <v>61</v>
      </c>
      <c r="AM2425" t="s">
        <v>59</v>
      </c>
      <c r="AN2425" t="s">
        <v>62</v>
      </c>
    </row>
    <row r="2426" spans="1:40" x14ac:dyDescent="0.35">
      <c r="A2426" t="s">
        <v>37</v>
      </c>
      <c r="B2426" t="s">
        <v>9585</v>
      </c>
      <c r="C2426" t="s">
        <v>656</v>
      </c>
      <c r="D2426" t="s">
        <v>1711</v>
      </c>
      <c r="E2426" t="s">
        <v>1712</v>
      </c>
      <c r="F2426" s="1">
        <v>46072.140925925924</v>
      </c>
      <c r="G2426" t="s">
        <v>1713</v>
      </c>
      <c r="H2426" t="s">
        <v>356</v>
      </c>
      <c r="I2426" t="s">
        <v>9586</v>
      </c>
      <c r="J2426" t="s">
        <v>9587</v>
      </c>
      <c r="K2426" t="s">
        <v>46</v>
      </c>
      <c r="M2426" t="s">
        <v>47</v>
      </c>
      <c r="O2426" t="s">
        <v>237</v>
      </c>
      <c r="P2426" t="s">
        <v>238</v>
      </c>
      <c r="Q2426" t="s">
        <v>50</v>
      </c>
      <c r="R2426" t="s">
        <v>305</v>
      </c>
      <c r="S2426" t="s">
        <v>306</v>
      </c>
      <c r="T2426" t="s">
        <v>1715</v>
      </c>
      <c r="U2426" s="1">
        <v>46073.451168981483</v>
      </c>
      <c r="V2426" t="s">
        <v>54</v>
      </c>
      <c r="W2426" t="s">
        <v>55</v>
      </c>
      <c r="X2426" t="s">
        <v>134</v>
      </c>
      <c r="Y2426" t="s">
        <v>9588</v>
      </c>
      <c r="Z2426" t="s">
        <v>5594</v>
      </c>
      <c r="AA2426" t="s">
        <v>54</v>
      </c>
      <c r="AB2426" t="s">
        <v>1717</v>
      </c>
      <c r="AC2426" t="s">
        <v>242</v>
      </c>
      <c r="AD2426" t="s">
        <v>214</v>
      </c>
      <c r="AE2426" t="s">
        <v>4048</v>
      </c>
      <c r="AF2426" t="s">
        <v>9589</v>
      </c>
      <c r="AG2426" t="s">
        <v>5594</v>
      </c>
      <c r="AK2426">
        <v>1</v>
      </c>
      <c r="AL2426" t="s">
        <v>61</v>
      </c>
      <c r="AM2426" t="s">
        <v>1717</v>
      </c>
      <c r="AN2426" t="s">
        <v>1720</v>
      </c>
    </row>
    <row r="2427" spans="1:40" x14ac:dyDescent="0.35">
      <c r="A2427" t="s">
        <v>37</v>
      </c>
      <c r="B2427" t="s">
        <v>9590</v>
      </c>
      <c r="C2427" t="s">
        <v>102</v>
      </c>
      <c r="D2427" t="s">
        <v>103</v>
      </c>
      <c r="E2427" t="s">
        <v>104</v>
      </c>
      <c r="F2427" s="1">
        <v>46072.105995370373</v>
      </c>
      <c r="G2427" t="s">
        <v>105</v>
      </c>
      <c r="H2427" t="s">
        <v>106</v>
      </c>
      <c r="I2427" t="s">
        <v>9591</v>
      </c>
      <c r="J2427" t="s">
        <v>108</v>
      </c>
      <c r="K2427" t="s">
        <v>571</v>
      </c>
      <c r="M2427" t="s">
        <v>47</v>
      </c>
      <c r="O2427" t="s">
        <v>77</v>
      </c>
      <c r="P2427" t="s">
        <v>78</v>
      </c>
      <c r="Q2427" t="s">
        <v>110</v>
      </c>
      <c r="R2427" t="s">
        <v>111</v>
      </c>
      <c r="S2427" t="s">
        <v>51</v>
      </c>
      <c r="T2427" t="s">
        <v>112</v>
      </c>
      <c r="U2427" s="1">
        <v>46072.136145833334</v>
      </c>
      <c r="V2427" t="s">
        <v>54</v>
      </c>
      <c r="W2427" t="s">
        <v>55</v>
      </c>
      <c r="X2427" t="s">
        <v>113</v>
      </c>
      <c r="Y2427" t="s">
        <v>1540</v>
      </c>
      <c r="Z2427" t="s">
        <v>5594</v>
      </c>
      <c r="AA2427" t="s">
        <v>54</v>
      </c>
      <c r="AB2427" t="s">
        <v>115</v>
      </c>
      <c r="AC2427" t="s">
        <v>85</v>
      </c>
      <c r="AD2427" t="s">
        <v>116</v>
      </c>
      <c r="AE2427" t="s">
        <v>1541</v>
      </c>
      <c r="AF2427" t="s">
        <v>2738</v>
      </c>
      <c r="AG2427" t="s">
        <v>5594</v>
      </c>
      <c r="AH2427">
        <v>5928</v>
      </c>
      <c r="AK2427">
        <v>1</v>
      </c>
      <c r="AL2427" t="s">
        <v>61</v>
      </c>
      <c r="AM2427" t="s">
        <v>119</v>
      </c>
      <c r="AN2427" t="s">
        <v>120</v>
      </c>
    </row>
    <row r="2428" spans="1:40" x14ac:dyDescent="0.35">
      <c r="A2428" t="s">
        <v>37</v>
      </c>
      <c r="B2428" t="s">
        <v>9592</v>
      </c>
      <c r="C2428" t="s">
        <v>39</v>
      </c>
      <c r="D2428" t="s">
        <v>325</v>
      </c>
      <c r="E2428" t="s">
        <v>325</v>
      </c>
      <c r="F2428" s="1">
        <v>46072.097303240742</v>
      </c>
      <c r="G2428" t="s">
        <v>432</v>
      </c>
      <c r="H2428" t="s">
        <v>433</v>
      </c>
      <c r="I2428" t="s">
        <v>1408</v>
      </c>
      <c r="J2428" t="s">
        <v>707</v>
      </c>
      <c r="K2428" t="s">
        <v>75</v>
      </c>
      <c r="M2428" t="s">
        <v>47</v>
      </c>
      <c r="O2428" t="s">
        <v>77</v>
      </c>
      <c r="P2428" t="s">
        <v>78</v>
      </c>
      <c r="Q2428" t="s">
        <v>541</v>
      </c>
      <c r="R2428" t="s">
        <v>79</v>
      </c>
      <c r="S2428" t="s">
        <v>1078</v>
      </c>
      <c r="T2428" t="s">
        <v>1078</v>
      </c>
      <c r="U2428" s="1">
        <v>46072.097418981481</v>
      </c>
      <c r="V2428" t="s">
        <v>54</v>
      </c>
      <c r="W2428" t="s">
        <v>55</v>
      </c>
      <c r="X2428" t="s">
        <v>82</v>
      </c>
      <c r="Y2428" t="s">
        <v>1409</v>
      </c>
      <c r="Z2428" t="s">
        <v>5594</v>
      </c>
      <c r="AA2428" t="s">
        <v>54</v>
      </c>
      <c r="AB2428" t="s">
        <v>709</v>
      </c>
      <c r="AC2428" t="s">
        <v>85</v>
      </c>
      <c r="AD2428" t="s">
        <v>79</v>
      </c>
      <c r="AE2428" t="s">
        <v>1078</v>
      </c>
      <c r="AF2428" t="s">
        <v>1078</v>
      </c>
      <c r="AG2428" t="s">
        <v>5594</v>
      </c>
      <c r="AH2428">
        <v>871</v>
      </c>
      <c r="AK2428">
        <v>0</v>
      </c>
      <c r="AL2428" t="s">
        <v>61</v>
      </c>
      <c r="AM2428" t="s">
        <v>3601</v>
      </c>
      <c r="AN2428" t="s">
        <v>3602</v>
      </c>
    </row>
    <row r="2429" spans="1:40" x14ac:dyDescent="0.35">
      <c r="A2429" t="s">
        <v>37</v>
      </c>
      <c r="B2429" t="s">
        <v>9593</v>
      </c>
      <c r="C2429" t="s">
        <v>102</v>
      </c>
      <c r="D2429" t="s">
        <v>1698</v>
      </c>
      <c r="E2429" t="s">
        <v>584</v>
      </c>
      <c r="F2429" s="1">
        <v>46072.092893518522</v>
      </c>
      <c r="G2429" t="s">
        <v>105</v>
      </c>
      <c r="H2429" t="s">
        <v>106</v>
      </c>
      <c r="I2429" t="s">
        <v>5106</v>
      </c>
      <c r="J2429" t="s">
        <v>108</v>
      </c>
      <c r="K2429" t="s">
        <v>109</v>
      </c>
      <c r="M2429" t="s">
        <v>47</v>
      </c>
      <c r="O2429" t="s">
        <v>77</v>
      </c>
      <c r="P2429" t="s">
        <v>78</v>
      </c>
      <c r="Q2429" t="s">
        <v>50</v>
      </c>
      <c r="R2429" t="s">
        <v>111</v>
      </c>
      <c r="S2429" t="s">
        <v>51</v>
      </c>
      <c r="T2429" t="s">
        <v>112</v>
      </c>
      <c r="U2429" s="1">
        <v>46072.365763888891</v>
      </c>
      <c r="V2429" t="s">
        <v>54</v>
      </c>
      <c r="W2429" t="s">
        <v>55</v>
      </c>
      <c r="X2429" t="s">
        <v>134</v>
      </c>
      <c r="Y2429" t="s">
        <v>9594</v>
      </c>
      <c r="Z2429" t="s">
        <v>5594</v>
      </c>
      <c r="AA2429" t="s">
        <v>54</v>
      </c>
      <c r="AB2429" t="s">
        <v>1701</v>
      </c>
      <c r="AC2429" t="s">
        <v>85</v>
      </c>
      <c r="AD2429" t="s">
        <v>116</v>
      </c>
      <c r="AE2429" t="s">
        <v>117</v>
      </c>
      <c r="AF2429" t="s">
        <v>335</v>
      </c>
      <c r="AG2429" t="s">
        <v>5594</v>
      </c>
      <c r="AK2429">
        <v>1</v>
      </c>
      <c r="AL2429" t="s">
        <v>61</v>
      </c>
      <c r="AM2429" t="s">
        <v>1701</v>
      </c>
      <c r="AN2429" t="s">
        <v>1702</v>
      </c>
    </row>
    <row r="2430" spans="1:40" x14ac:dyDescent="0.35">
      <c r="A2430" t="s">
        <v>37</v>
      </c>
      <c r="B2430" t="s">
        <v>9595</v>
      </c>
      <c r="C2430" t="s">
        <v>102</v>
      </c>
      <c r="D2430" t="s">
        <v>103</v>
      </c>
      <c r="E2430" t="s">
        <v>104</v>
      </c>
      <c r="F2430" s="1">
        <v>46072.082511574074</v>
      </c>
      <c r="G2430" t="s">
        <v>105</v>
      </c>
      <c r="H2430" t="s">
        <v>106</v>
      </c>
      <c r="I2430" t="s">
        <v>9596</v>
      </c>
      <c r="J2430" t="s">
        <v>108</v>
      </c>
      <c r="K2430" t="s">
        <v>571</v>
      </c>
      <c r="M2430" t="s">
        <v>47</v>
      </c>
      <c r="O2430" t="s">
        <v>77</v>
      </c>
      <c r="P2430" t="s">
        <v>78</v>
      </c>
      <c r="Q2430" t="s">
        <v>110</v>
      </c>
      <c r="R2430" t="s">
        <v>111</v>
      </c>
      <c r="S2430" t="s">
        <v>51</v>
      </c>
      <c r="T2430" t="s">
        <v>112</v>
      </c>
      <c r="U2430" s="1">
        <v>46072.097731481481</v>
      </c>
      <c r="V2430" t="s">
        <v>54</v>
      </c>
      <c r="W2430" t="s">
        <v>55</v>
      </c>
      <c r="X2430" t="s">
        <v>113</v>
      </c>
      <c r="Y2430" t="s">
        <v>9597</v>
      </c>
      <c r="Z2430" t="s">
        <v>5594</v>
      </c>
      <c r="AA2430" t="s">
        <v>54</v>
      </c>
      <c r="AB2430" t="s">
        <v>115</v>
      </c>
      <c r="AC2430" t="s">
        <v>85</v>
      </c>
      <c r="AD2430" t="s">
        <v>116</v>
      </c>
      <c r="AE2430" t="s">
        <v>1541</v>
      </c>
      <c r="AF2430" t="s">
        <v>2738</v>
      </c>
      <c r="AG2430" t="s">
        <v>5594</v>
      </c>
      <c r="AH2430">
        <v>5928</v>
      </c>
      <c r="AK2430">
        <v>1</v>
      </c>
      <c r="AL2430" t="s">
        <v>61</v>
      </c>
      <c r="AM2430" t="s">
        <v>119</v>
      </c>
      <c r="AN2430" t="s">
        <v>120</v>
      </c>
    </row>
    <row r="2431" spans="1:40" x14ac:dyDescent="0.35">
      <c r="A2431" t="s">
        <v>37</v>
      </c>
      <c r="B2431" t="s">
        <v>9598</v>
      </c>
      <c r="C2431" t="s">
        <v>102</v>
      </c>
      <c r="D2431" t="s">
        <v>568</v>
      </c>
      <c r="E2431" t="s">
        <v>569</v>
      </c>
      <c r="F2431" s="1">
        <v>46072.082233796296</v>
      </c>
      <c r="G2431" t="s">
        <v>105</v>
      </c>
      <c r="H2431" t="s">
        <v>106</v>
      </c>
      <c r="I2431" t="s">
        <v>5596</v>
      </c>
      <c r="J2431" t="s">
        <v>5597</v>
      </c>
      <c r="K2431" t="s">
        <v>2345</v>
      </c>
      <c r="M2431" t="s">
        <v>47</v>
      </c>
      <c r="O2431" t="s">
        <v>237</v>
      </c>
      <c r="P2431" t="s">
        <v>238</v>
      </c>
      <c r="Q2431" t="s">
        <v>448</v>
      </c>
      <c r="R2431" t="s">
        <v>111</v>
      </c>
      <c r="S2431" t="s">
        <v>51</v>
      </c>
      <c r="T2431" t="s">
        <v>5598</v>
      </c>
      <c r="U2431" s="1">
        <v>46072.082800925928</v>
      </c>
      <c r="V2431" t="s">
        <v>54</v>
      </c>
      <c r="W2431" t="s">
        <v>55</v>
      </c>
      <c r="X2431" t="s">
        <v>56</v>
      </c>
      <c r="Y2431" t="s">
        <v>5599</v>
      </c>
      <c r="Z2431" t="s">
        <v>5594</v>
      </c>
      <c r="AA2431" t="s">
        <v>54</v>
      </c>
      <c r="AB2431" t="s">
        <v>1212</v>
      </c>
      <c r="AC2431" t="s">
        <v>242</v>
      </c>
      <c r="AD2431" t="s">
        <v>51</v>
      </c>
      <c r="AE2431" t="s">
        <v>52</v>
      </c>
      <c r="AF2431" t="s">
        <v>240</v>
      </c>
      <c r="AG2431" t="s">
        <v>5594</v>
      </c>
      <c r="AK2431">
        <v>0</v>
      </c>
      <c r="AL2431" t="s">
        <v>61</v>
      </c>
      <c r="AM2431" t="s">
        <v>576</v>
      </c>
      <c r="AN2431" t="s">
        <v>577</v>
      </c>
    </row>
    <row r="2432" spans="1:40" x14ac:dyDescent="0.35">
      <c r="A2432" t="s">
        <v>37</v>
      </c>
      <c r="B2432" t="s">
        <v>9599</v>
      </c>
      <c r="C2432" t="s">
        <v>102</v>
      </c>
      <c r="D2432" t="s">
        <v>568</v>
      </c>
      <c r="E2432" t="s">
        <v>569</v>
      </c>
      <c r="F2432" s="1">
        <v>46072.07571759259</v>
      </c>
      <c r="G2432" t="s">
        <v>105</v>
      </c>
      <c r="H2432" t="s">
        <v>106</v>
      </c>
      <c r="I2432" t="s">
        <v>9600</v>
      </c>
      <c r="J2432" t="s">
        <v>5597</v>
      </c>
      <c r="K2432" t="s">
        <v>2345</v>
      </c>
      <c r="M2432" t="s">
        <v>47</v>
      </c>
      <c r="O2432" t="s">
        <v>237</v>
      </c>
      <c r="P2432" t="s">
        <v>238</v>
      </c>
      <c r="Q2432" t="s">
        <v>448</v>
      </c>
      <c r="R2432" t="s">
        <v>111</v>
      </c>
      <c r="S2432" t="s">
        <v>51</v>
      </c>
      <c r="T2432" t="s">
        <v>5598</v>
      </c>
      <c r="U2432" s="1">
        <v>46072.07644675926</v>
      </c>
      <c r="V2432" t="s">
        <v>54</v>
      </c>
      <c r="W2432" t="s">
        <v>55</v>
      </c>
      <c r="X2432" t="s">
        <v>56</v>
      </c>
      <c r="Y2432" t="s">
        <v>9601</v>
      </c>
      <c r="Z2432" t="s">
        <v>5594</v>
      </c>
      <c r="AA2432" t="s">
        <v>54</v>
      </c>
      <c r="AB2432" t="s">
        <v>1212</v>
      </c>
      <c r="AC2432" t="s">
        <v>242</v>
      </c>
      <c r="AD2432" t="s">
        <v>51</v>
      </c>
      <c r="AE2432" t="s">
        <v>52</v>
      </c>
      <c r="AF2432" t="s">
        <v>240</v>
      </c>
      <c r="AG2432" t="s">
        <v>5594</v>
      </c>
      <c r="AK2432">
        <v>0</v>
      </c>
      <c r="AL2432" t="s">
        <v>61</v>
      </c>
      <c r="AM2432" t="s">
        <v>576</v>
      </c>
      <c r="AN2432" t="s">
        <v>577</v>
      </c>
    </row>
    <row r="2433" spans="1:40" x14ac:dyDescent="0.35">
      <c r="A2433" t="s">
        <v>37</v>
      </c>
      <c r="B2433" t="s">
        <v>9602</v>
      </c>
      <c r="C2433" t="s">
        <v>102</v>
      </c>
      <c r="D2433" t="s">
        <v>568</v>
      </c>
      <c r="E2433" t="s">
        <v>569</v>
      </c>
      <c r="F2433" s="1">
        <v>46072.066319444442</v>
      </c>
      <c r="G2433" t="s">
        <v>105</v>
      </c>
      <c r="H2433" t="s">
        <v>106</v>
      </c>
      <c r="I2433" t="s">
        <v>5596</v>
      </c>
      <c r="J2433" t="s">
        <v>5597</v>
      </c>
      <c r="K2433" t="s">
        <v>2345</v>
      </c>
      <c r="M2433" t="s">
        <v>47</v>
      </c>
      <c r="O2433" t="s">
        <v>237</v>
      </c>
      <c r="P2433" t="s">
        <v>238</v>
      </c>
      <c r="Q2433" t="s">
        <v>448</v>
      </c>
      <c r="R2433" t="s">
        <v>111</v>
      </c>
      <c r="S2433" t="s">
        <v>51</v>
      </c>
      <c r="T2433" t="s">
        <v>5598</v>
      </c>
      <c r="U2433" s="1">
        <v>46072.071145833332</v>
      </c>
      <c r="V2433" t="s">
        <v>54</v>
      </c>
      <c r="W2433" t="s">
        <v>55</v>
      </c>
      <c r="X2433" t="s">
        <v>56</v>
      </c>
      <c r="Y2433" t="s">
        <v>5599</v>
      </c>
      <c r="Z2433" t="s">
        <v>5594</v>
      </c>
      <c r="AA2433" t="s">
        <v>54</v>
      </c>
      <c r="AB2433" t="s">
        <v>1212</v>
      </c>
      <c r="AC2433" t="s">
        <v>242</v>
      </c>
      <c r="AD2433" t="s">
        <v>51</v>
      </c>
      <c r="AE2433" t="s">
        <v>52</v>
      </c>
      <c r="AF2433" t="s">
        <v>240</v>
      </c>
      <c r="AG2433" t="s">
        <v>5594</v>
      </c>
      <c r="AK2433">
        <v>0</v>
      </c>
      <c r="AL2433" t="s">
        <v>61</v>
      </c>
      <c r="AM2433" t="s">
        <v>576</v>
      </c>
      <c r="AN2433" t="s">
        <v>577</v>
      </c>
    </row>
    <row r="2434" spans="1:40" x14ac:dyDescent="0.35">
      <c r="A2434" t="s">
        <v>37</v>
      </c>
      <c r="B2434" t="s">
        <v>9603</v>
      </c>
      <c r="C2434" t="s">
        <v>102</v>
      </c>
      <c r="D2434" t="s">
        <v>568</v>
      </c>
      <c r="E2434" t="s">
        <v>569</v>
      </c>
      <c r="F2434" s="1">
        <v>46072.064583333333</v>
      </c>
      <c r="G2434" t="s">
        <v>105</v>
      </c>
      <c r="H2434" t="s">
        <v>106</v>
      </c>
      <c r="I2434" t="s">
        <v>9604</v>
      </c>
      <c r="J2434" t="s">
        <v>5597</v>
      </c>
      <c r="K2434" t="s">
        <v>2345</v>
      </c>
      <c r="M2434" t="s">
        <v>47</v>
      </c>
      <c r="O2434" t="s">
        <v>237</v>
      </c>
      <c r="P2434" t="s">
        <v>238</v>
      </c>
      <c r="Q2434" t="s">
        <v>448</v>
      </c>
      <c r="R2434" t="s">
        <v>111</v>
      </c>
      <c r="S2434" t="s">
        <v>51</v>
      </c>
      <c r="T2434" t="s">
        <v>5598</v>
      </c>
      <c r="U2434" s="1">
        <v>46072.068483796298</v>
      </c>
      <c r="V2434" t="s">
        <v>54</v>
      </c>
      <c r="W2434" t="s">
        <v>55</v>
      </c>
      <c r="X2434" t="s">
        <v>56</v>
      </c>
      <c r="Y2434" t="s">
        <v>9601</v>
      </c>
      <c r="Z2434" t="s">
        <v>5594</v>
      </c>
      <c r="AA2434" t="s">
        <v>54</v>
      </c>
      <c r="AB2434" t="s">
        <v>1212</v>
      </c>
      <c r="AC2434" t="s">
        <v>242</v>
      </c>
      <c r="AD2434" t="s">
        <v>51</v>
      </c>
      <c r="AE2434" t="s">
        <v>52</v>
      </c>
      <c r="AF2434" t="s">
        <v>240</v>
      </c>
      <c r="AG2434" t="s">
        <v>5594</v>
      </c>
      <c r="AK2434">
        <v>0</v>
      </c>
      <c r="AL2434" t="s">
        <v>61</v>
      </c>
      <c r="AM2434" t="s">
        <v>576</v>
      </c>
      <c r="AN2434" t="s">
        <v>577</v>
      </c>
    </row>
    <row r="2435" spans="1:40" x14ac:dyDescent="0.35">
      <c r="A2435" t="s">
        <v>37</v>
      </c>
      <c r="B2435" t="s">
        <v>9605</v>
      </c>
      <c r="C2435" t="s">
        <v>39</v>
      </c>
      <c r="D2435" t="s">
        <v>40</v>
      </c>
      <c r="E2435" t="s">
        <v>41</v>
      </c>
      <c r="F2435" s="1">
        <v>46072.05709490741</v>
      </c>
      <c r="G2435" t="s">
        <v>42</v>
      </c>
      <c r="H2435" t="s">
        <v>43</v>
      </c>
      <c r="I2435" t="s">
        <v>9606</v>
      </c>
      <c r="J2435" t="s">
        <v>45</v>
      </c>
      <c r="K2435" t="s">
        <v>46</v>
      </c>
      <c r="M2435" t="s">
        <v>47</v>
      </c>
      <c r="O2435" t="s">
        <v>48</v>
      </c>
      <c r="P2435" t="s">
        <v>49</v>
      </c>
      <c r="Q2435" t="s">
        <v>50</v>
      </c>
      <c r="R2435" t="s">
        <v>51</v>
      </c>
      <c r="S2435" t="s">
        <v>52</v>
      </c>
      <c r="T2435" t="s">
        <v>53</v>
      </c>
      <c r="U2435" s="1">
        <v>46072.057858796295</v>
      </c>
      <c r="V2435" t="s">
        <v>54</v>
      </c>
      <c r="W2435" t="s">
        <v>55</v>
      </c>
      <c r="X2435" t="s">
        <v>56</v>
      </c>
      <c r="Y2435" t="s">
        <v>57</v>
      </c>
      <c r="Z2435" t="s">
        <v>5594</v>
      </c>
      <c r="AA2435" t="s">
        <v>54</v>
      </c>
      <c r="AB2435" t="s">
        <v>59</v>
      </c>
      <c r="AC2435" t="s">
        <v>60</v>
      </c>
      <c r="AD2435" t="s">
        <v>51</v>
      </c>
      <c r="AE2435" t="s">
        <v>52</v>
      </c>
      <c r="AF2435" t="s">
        <v>53</v>
      </c>
      <c r="AG2435" t="s">
        <v>5594</v>
      </c>
      <c r="AK2435">
        <v>0</v>
      </c>
      <c r="AL2435" t="s">
        <v>61</v>
      </c>
      <c r="AM2435" t="s">
        <v>59</v>
      </c>
      <c r="AN2435" t="s">
        <v>62</v>
      </c>
    </row>
    <row r="2436" spans="1:40" x14ac:dyDescent="0.35">
      <c r="A2436" t="s">
        <v>37</v>
      </c>
      <c r="B2436" t="s">
        <v>9607</v>
      </c>
      <c r="C2436" t="s">
        <v>102</v>
      </c>
      <c r="D2436" t="s">
        <v>568</v>
      </c>
      <c r="E2436" t="s">
        <v>569</v>
      </c>
      <c r="F2436" s="1">
        <v>46072.055335648147</v>
      </c>
      <c r="G2436" t="s">
        <v>105</v>
      </c>
      <c r="H2436" t="s">
        <v>106</v>
      </c>
      <c r="I2436" t="s">
        <v>9604</v>
      </c>
      <c r="J2436" t="s">
        <v>5597</v>
      </c>
      <c r="K2436" t="s">
        <v>2345</v>
      </c>
      <c r="M2436" t="s">
        <v>47</v>
      </c>
      <c r="O2436" t="s">
        <v>237</v>
      </c>
      <c r="P2436" t="s">
        <v>238</v>
      </c>
      <c r="Q2436" t="s">
        <v>448</v>
      </c>
      <c r="R2436" t="s">
        <v>111</v>
      </c>
      <c r="S2436" t="s">
        <v>51</v>
      </c>
      <c r="T2436" t="s">
        <v>5598</v>
      </c>
      <c r="U2436" s="1">
        <v>46072.055925925924</v>
      </c>
      <c r="V2436" t="s">
        <v>54</v>
      </c>
      <c r="W2436" t="s">
        <v>55</v>
      </c>
      <c r="X2436" t="s">
        <v>56</v>
      </c>
      <c r="Y2436" t="s">
        <v>9608</v>
      </c>
      <c r="Z2436" t="s">
        <v>5594</v>
      </c>
      <c r="AA2436" t="s">
        <v>54</v>
      </c>
      <c r="AB2436" t="s">
        <v>1212</v>
      </c>
      <c r="AC2436" t="s">
        <v>242</v>
      </c>
      <c r="AD2436" t="s">
        <v>51</v>
      </c>
      <c r="AE2436" t="s">
        <v>52</v>
      </c>
      <c r="AF2436" t="s">
        <v>240</v>
      </c>
      <c r="AG2436" t="s">
        <v>5594</v>
      </c>
      <c r="AK2436">
        <v>0</v>
      </c>
      <c r="AL2436" t="s">
        <v>61</v>
      </c>
      <c r="AM2436" t="s">
        <v>576</v>
      </c>
      <c r="AN2436" t="s">
        <v>577</v>
      </c>
    </row>
    <row r="2437" spans="1:40" x14ac:dyDescent="0.35">
      <c r="A2437" t="s">
        <v>37</v>
      </c>
      <c r="B2437" t="s">
        <v>9609</v>
      </c>
      <c r="C2437" t="s">
        <v>102</v>
      </c>
      <c r="D2437" t="s">
        <v>568</v>
      </c>
      <c r="E2437" t="s">
        <v>569</v>
      </c>
      <c r="F2437" s="1">
        <v>46072.052175925928</v>
      </c>
      <c r="G2437" t="s">
        <v>105</v>
      </c>
      <c r="H2437" t="s">
        <v>106</v>
      </c>
      <c r="I2437" t="s">
        <v>5596</v>
      </c>
      <c r="J2437" t="s">
        <v>5597</v>
      </c>
      <c r="K2437" t="s">
        <v>2345</v>
      </c>
      <c r="M2437" t="s">
        <v>47</v>
      </c>
      <c r="O2437" t="s">
        <v>237</v>
      </c>
      <c r="P2437" t="s">
        <v>238</v>
      </c>
      <c r="Q2437" t="s">
        <v>448</v>
      </c>
      <c r="R2437" t="s">
        <v>111</v>
      </c>
      <c r="S2437" t="s">
        <v>51</v>
      </c>
      <c r="T2437" t="s">
        <v>5598</v>
      </c>
      <c r="U2437" s="1">
        <v>46072.05259259259</v>
      </c>
      <c r="V2437" t="s">
        <v>54</v>
      </c>
      <c r="W2437" t="s">
        <v>55</v>
      </c>
      <c r="X2437" t="s">
        <v>56</v>
      </c>
      <c r="Y2437" t="s">
        <v>9610</v>
      </c>
      <c r="Z2437" t="s">
        <v>5594</v>
      </c>
      <c r="AA2437" t="s">
        <v>54</v>
      </c>
      <c r="AB2437" t="s">
        <v>1212</v>
      </c>
      <c r="AC2437" t="s">
        <v>242</v>
      </c>
      <c r="AD2437" t="s">
        <v>51</v>
      </c>
      <c r="AE2437" t="s">
        <v>52</v>
      </c>
      <c r="AF2437" t="s">
        <v>240</v>
      </c>
      <c r="AG2437" t="s">
        <v>5594</v>
      </c>
      <c r="AK2437">
        <v>0</v>
      </c>
      <c r="AL2437" t="s">
        <v>61</v>
      </c>
      <c r="AM2437" t="s">
        <v>576</v>
      </c>
      <c r="AN2437" t="s">
        <v>577</v>
      </c>
    </row>
    <row r="2438" spans="1:40" x14ac:dyDescent="0.35">
      <c r="A2438" t="s">
        <v>37</v>
      </c>
      <c r="B2438" t="s">
        <v>9611</v>
      </c>
      <c r="C2438" t="s">
        <v>39</v>
      </c>
      <c r="D2438" t="s">
        <v>40</v>
      </c>
      <c r="E2438" t="s">
        <v>41</v>
      </c>
      <c r="F2438" s="1">
        <v>46072.044768518521</v>
      </c>
      <c r="G2438" t="s">
        <v>42</v>
      </c>
      <c r="H2438" t="s">
        <v>43</v>
      </c>
      <c r="I2438" t="s">
        <v>9612</v>
      </c>
      <c r="J2438" t="s">
        <v>45</v>
      </c>
      <c r="K2438" t="s">
        <v>46</v>
      </c>
      <c r="M2438" t="s">
        <v>47</v>
      </c>
      <c r="O2438" t="s">
        <v>48</v>
      </c>
      <c r="P2438" t="s">
        <v>49</v>
      </c>
      <c r="Q2438" t="s">
        <v>50</v>
      </c>
      <c r="R2438" t="s">
        <v>51</v>
      </c>
      <c r="S2438" t="s">
        <v>52</v>
      </c>
      <c r="T2438" t="s">
        <v>53</v>
      </c>
      <c r="U2438" s="1">
        <v>46072.045706018522</v>
      </c>
      <c r="V2438" t="s">
        <v>54</v>
      </c>
      <c r="W2438" t="s">
        <v>55</v>
      </c>
      <c r="X2438" t="s">
        <v>56</v>
      </c>
      <c r="Y2438" t="s">
        <v>57</v>
      </c>
      <c r="Z2438" t="s">
        <v>5594</v>
      </c>
      <c r="AA2438" t="s">
        <v>54</v>
      </c>
      <c r="AB2438" t="s">
        <v>59</v>
      </c>
      <c r="AC2438" t="s">
        <v>60</v>
      </c>
      <c r="AD2438" t="s">
        <v>51</v>
      </c>
      <c r="AE2438" t="s">
        <v>52</v>
      </c>
      <c r="AF2438" t="s">
        <v>53</v>
      </c>
      <c r="AG2438" t="s">
        <v>5594</v>
      </c>
      <c r="AK2438">
        <v>0</v>
      </c>
      <c r="AL2438" t="s">
        <v>61</v>
      </c>
      <c r="AM2438" t="s">
        <v>59</v>
      </c>
      <c r="AN2438" t="s">
        <v>62</v>
      </c>
    </row>
    <row r="2439" spans="1:40" x14ac:dyDescent="0.35">
      <c r="A2439" t="s">
        <v>37</v>
      </c>
      <c r="B2439" t="s">
        <v>9613</v>
      </c>
      <c r="C2439" t="s">
        <v>102</v>
      </c>
      <c r="D2439" t="s">
        <v>568</v>
      </c>
      <c r="E2439" t="s">
        <v>569</v>
      </c>
      <c r="F2439" s="1">
        <v>46072.045613425929</v>
      </c>
      <c r="G2439" t="s">
        <v>105</v>
      </c>
      <c r="H2439" t="s">
        <v>106</v>
      </c>
      <c r="I2439" t="s">
        <v>9604</v>
      </c>
      <c r="J2439" t="s">
        <v>5597</v>
      </c>
      <c r="K2439" t="s">
        <v>2345</v>
      </c>
      <c r="M2439" t="s">
        <v>47</v>
      </c>
      <c r="O2439" t="s">
        <v>237</v>
      </c>
      <c r="P2439" t="s">
        <v>238</v>
      </c>
      <c r="Q2439" t="s">
        <v>448</v>
      </c>
      <c r="R2439" t="s">
        <v>111</v>
      </c>
      <c r="S2439" t="s">
        <v>51</v>
      </c>
      <c r="T2439" t="s">
        <v>5598</v>
      </c>
      <c r="U2439" s="1">
        <v>46072.04787037037</v>
      </c>
      <c r="V2439" t="s">
        <v>54</v>
      </c>
      <c r="W2439" t="s">
        <v>55</v>
      </c>
      <c r="X2439" t="s">
        <v>56</v>
      </c>
      <c r="Y2439" t="s">
        <v>9601</v>
      </c>
      <c r="Z2439" t="s">
        <v>5594</v>
      </c>
      <c r="AA2439" t="s">
        <v>54</v>
      </c>
      <c r="AB2439" t="s">
        <v>1212</v>
      </c>
      <c r="AC2439" t="s">
        <v>242</v>
      </c>
      <c r="AD2439" t="s">
        <v>51</v>
      </c>
      <c r="AE2439" t="s">
        <v>52</v>
      </c>
      <c r="AF2439" t="s">
        <v>240</v>
      </c>
      <c r="AG2439" t="s">
        <v>5594</v>
      </c>
      <c r="AK2439">
        <v>0</v>
      </c>
      <c r="AL2439" t="s">
        <v>61</v>
      </c>
      <c r="AM2439" t="s">
        <v>576</v>
      </c>
      <c r="AN2439" t="s">
        <v>577</v>
      </c>
    </row>
    <row r="2440" spans="1:40" x14ac:dyDescent="0.35">
      <c r="A2440" t="s">
        <v>37</v>
      </c>
      <c r="B2440" t="s">
        <v>9614</v>
      </c>
      <c r="C2440" t="s">
        <v>102</v>
      </c>
      <c r="D2440" t="s">
        <v>568</v>
      </c>
      <c r="E2440" t="s">
        <v>569</v>
      </c>
      <c r="F2440" s="1">
        <v>46072.031053240738</v>
      </c>
      <c r="G2440" t="s">
        <v>105</v>
      </c>
      <c r="H2440" t="s">
        <v>106</v>
      </c>
      <c r="I2440" t="s">
        <v>9604</v>
      </c>
      <c r="J2440" t="s">
        <v>5597</v>
      </c>
      <c r="K2440" t="s">
        <v>2345</v>
      </c>
      <c r="M2440" t="s">
        <v>47</v>
      </c>
      <c r="O2440" t="s">
        <v>237</v>
      </c>
      <c r="P2440" t="s">
        <v>238</v>
      </c>
      <c r="Q2440" t="s">
        <v>448</v>
      </c>
      <c r="R2440" t="s">
        <v>111</v>
      </c>
      <c r="S2440" t="s">
        <v>51</v>
      </c>
      <c r="T2440" t="s">
        <v>5598</v>
      </c>
      <c r="U2440" s="1">
        <v>46072.031643518516</v>
      </c>
      <c r="V2440" t="s">
        <v>54</v>
      </c>
      <c r="W2440" t="s">
        <v>55</v>
      </c>
      <c r="X2440" t="s">
        <v>56</v>
      </c>
      <c r="Y2440" t="s">
        <v>9601</v>
      </c>
      <c r="Z2440" t="s">
        <v>5594</v>
      </c>
      <c r="AA2440" t="s">
        <v>54</v>
      </c>
      <c r="AB2440" t="s">
        <v>1212</v>
      </c>
      <c r="AC2440" t="s">
        <v>242</v>
      </c>
      <c r="AD2440" t="s">
        <v>51</v>
      </c>
      <c r="AE2440" t="s">
        <v>52</v>
      </c>
      <c r="AF2440" t="s">
        <v>240</v>
      </c>
      <c r="AG2440" t="s">
        <v>5594</v>
      </c>
      <c r="AK2440">
        <v>0</v>
      </c>
      <c r="AL2440" t="s">
        <v>61</v>
      </c>
      <c r="AM2440" t="s">
        <v>576</v>
      </c>
      <c r="AN2440" t="s">
        <v>577</v>
      </c>
    </row>
    <row r="2441" spans="1:40" x14ac:dyDescent="0.35">
      <c r="A2441" t="s">
        <v>37</v>
      </c>
      <c r="B2441" t="s">
        <v>9615</v>
      </c>
      <c r="C2441" t="s">
        <v>102</v>
      </c>
      <c r="D2441" t="s">
        <v>103</v>
      </c>
      <c r="E2441" t="s">
        <v>104</v>
      </c>
      <c r="F2441" s="1">
        <v>46072.028113425928</v>
      </c>
      <c r="G2441" t="s">
        <v>105</v>
      </c>
      <c r="H2441" t="s">
        <v>106</v>
      </c>
      <c r="I2441" t="s">
        <v>9616</v>
      </c>
      <c r="J2441" t="s">
        <v>108</v>
      </c>
      <c r="K2441" t="s">
        <v>571</v>
      </c>
      <c r="M2441" t="s">
        <v>47</v>
      </c>
      <c r="O2441" t="s">
        <v>77</v>
      </c>
      <c r="P2441" t="s">
        <v>78</v>
      </c>
      <c r="Q2441" t="s">
        <v>110</v>
      </c>
      <c r="R2441" t="s">
        <v>111</v>
      </c>
      <c r="S2441" t="s">
        <v>51</v>
      </c>
      <c r="T2441" t="s">
        <v>112</v>
      </c>
      <c r="U2441" s="1">
        <v>46072.491377314815</v>
      </c>
      <c r="V2441" t="s">
        <v>54</v>
      </c>
      <c r="W2441" t="s">
        <v>55</v>
      </c>
      <c r="X2441" t="s">
        <v>113</v>
      </c>
      <c r="Y2441" t="s">
        <v>6431</v>
      </c>
      <c r="Z2441" t="s">
        <v>5594</v>
      </c>
      <c r="AA2441" t="s">
        <v>54</v>
      </c>
      <c r="AB2441" t="s">
        <v>115</v>
      </c>
      <c r="AC2441" t="s">
        <v>85</v>
      </c>
      <c r="AD2441" t="s">
        <v>116</v>
      </c>
      <c r="AE2441" t="s">
        <v>6270</v>
      </c>
      <c r="AF2441" t="s">
        <v>664</v>
      </c>
      <c r="AG2441" t="s">
        <v>5594</v>
      </c>
      <c r="AH2441">
        <v>5928</v>
      </c>
      <c r="AK2441">
        <v>1</v>
      </c>
      <c r="AL2441" t="s">
        <v>61</v>
      </c>
      <c r="AM2441" t="s">
        <v>119</v>
      </c>
      <c r="AN2441" t="s">
        <v>120</v>
      </c>
    </row>
    <row r="2442" spans="1:40" x14ac:dyDescent="0.35">
      <c r="A2442" t="s">
        <v>37</v>
      </c>
      <c r="B2442" t="s">
        <v>9617</v>
      </c>
      <c r="C2442" t="s">
        <v>102</v>
      </c>
      <c r="D2442" t="s">
        <v>103</v>
      </c>
      <c r="E2442" t="s">
        <v>104</v>
      </c>
      <c r="F2442" s="1">
        <v>46072.026145833333</v>
      </c>
      <c r="G2442" t="s">
        <v>105</v>
      </c>
      <c r="H2442" t="s">
        <v>106</v>
      </c>
      <c r="I2442" t="s">
        <v>7385</v>
      </c>
      <c r="J2442" t="s">
        <v>108</v>
      </c>
      <c r="K2442" t="s">
        <v>571</v>
      </c>
      <c r="M2442" t="s">
        <v>47</v>
      </c>
      <c r="O2442" t="s">
        <v>77</v>
      </c>
      <c r="P2442" t="s">
        <v>78</v>
      </c>
      <c r="Q2442" t="s">
        <v>110</v>
      </c>
      <c r="R2442" t="s">
        <v>111</v>
      </c>
      <c r="S2442" t="s">
        <v>51</v>
      </c>
      <c r="T2442" t="s">
        <v>112</v>
      </c>
      <c r="U2442" s="1">
        <v>46073.3356712963</v>
      </c>
      <c r="V2442" t="s">
        <v>54</v>
      </c>
      <c r="W2442" t="s">
        <v>55</v>
      </c>
      <c r="X2442" t="s">
        <v>113</v>
      </c>
      <c r="Y2442" t="s">
        <v>3515</v>
      </c>
      <c r="Z2442" t="s">
        <v>5594</v>
      </c>
      <c r="AA2442" t="s">
        <v>54</v>
      </c>
      <c r="AB2442" t="s">
        <v>115</v>
      </c>
      <c r="AC2442" t="s">
        <v>85</v>
      </c>
      <c r="AD2442" t="s">
        <v>116</v>
      </c>
      <c r="AE2442" t="s">
        <v>574</v>
      </c>
      <c r="AF2442" t="s">
        <v>664</v>
      </c>
      <c r="AG2442" t="s">
        <v>5594</v>
      </c>
      <c r="AH2442">
        <v>5928</v>
      </c>
      <c r="AK2442">
        <v>1</v>
      </c>
      <c r="AL2442" t="s">
        <v>61</v>
      </c>
      <c r="AM2442" t="s">
        <v>119</v>
      </c>
      <c r="AN2442" t="s">
        <v>120</v>
      </c>
    </row>
    <row r="2443" spans="1:40" x14ac:dyDescent="0.35">
      <c r="A2443" t="s">
        <v>37</v>
      </c>
      <c r="B2443" t="s">
        <v>9618</v>
      </c>
      <c r="C2443" t="s">
        <v>102</v>
      </c>
      <c r="D2443" t="s">
        <v>103</v>
      </c>
      <c r="E2443" t="s">
        <v>104</v>
      </c>
      <c r="F2443" s="1">
        <v>46072.025740740741</v>
      </c>
      <c r="G2443" t="s">
        <v>105</v>
      </c>
      <c r="H2443" t="s">
        <v>106</v>
      </c>
      <c r="I2443" t="s">
        <v>9619</v>
      </c>
      <c r="J2443" t="s">
        <v>108</v>
      </c>
      <c r="K2443" t="s">
        <v>571</v>
      </c>
      <c r="M2443" t="s">
        <v>47</v>
      </c>
      <c r="O2443" t="s">
        <v>77</v>
      </c>
      <c r="P2443" t="s">
        <v>78</v>
      </c>
      <c r="Q2443" t="s">
        <v>110</v>
      </c>
      <c r="R2443" t="s">
        <v>111</v>
      </c>
      <c r="S2443" t="s">
        <v>51</v>
      </c>
      <c r="T2443" t="s">
        <v>112</v>
      </c>
      <c r="U2443" s="1">
        <v>46073.298750000002</v>
      </c>
      <c r="V2443" t="s">
        <v>54</v>
      </c>
      <c r="W2443" t="s">
        <v>55</v>
      </c>
      <c r="X2443" t="s">
        <v>113</v>
      </c>
      <c r="Y2443" t="s">
        <v>3515</v>
      </c>
      <c r="Z2443" t="s">
        <v>5594</v>
      </c>
      <c r="AA2443" t="s">
        <v>54</v>
      </c>
      <c r="AB2443" t="s">
        <v>115</v>
      </c>
      <c r="AC2443" t="s">
        <v>85</v>
      </c>
      <c r="AD2443" t="s">
        <v>116</v>
      </c>
      <c r="AE2443" t="s">
        <v>574</v>
      </c>
      <c r="AF2443" t="s">
        <v>664</v>
      </c>
      <c r="AG2443" t="s">
        <v>5594</v>
      </c>
      <c r="AH2443">
        <v>5928</v>
      </c>
      <c r="AK2443">
        <v>1</v>
      </c>
      <c r="AL2443" t="s">
        <v>61</v>
      </c>
      <c r="AM2443" t="s">
        <v>119</v>
      </c>
      <c r="AN2443" t="s">
        <v>120</v>
      </c>
    </row>
    <row r="2444" spans="1:40" x14ac:dyDescent="0.35">
      <c r="A2444" t="s">
        <v>37</v>
      </c>
      <c r="B2444" t="s">
        <v>9620</v>
      </c>
      <c r="C2444" t="s">
        <v>102</v>
      </c>
      <c r="D2444" t="s">
        <v>103</v>
      </c>
      <c r="E2444" t="s">
        <v>104</v>
      </c>
      <c r="F2444" s="1">
        <v>46072.025312500002</v>
      </c>
      <c r="G2444" t="s">
        <v>105</v>
      </c>
      <c r="H2444" t="s">
        <v>106</v>
      </c>
      <c r="I2444" t="s">
        <v>9621</v>
      </c>
      <c r="J2444" t="s">
        <v>108</v>
      </c>
      <c r="K2444" t="s">
        <v>109</v>
      </c>
      <c r="M2444" t="s">
        <v>47</v>
      </c>
      <c r="O2444" t="s">
        <v>77</v>
      </c>
      <c r="P2444" t="s">
        <v>78</v>
      </c>
      <c r="Q2444" t="s">
        <v>110</v>
      </c>
      <c r="R2444" t="s">
        <v>111</v>
      </c>
      <c r="S2444" t="s">
        <v>51</v>
      </c>
      <c r="T2444" t="s">
        <v>1583</v>
      </c>
      <c r="U2444" s="1">
        <v>46072.849872685183</v>
      </c>
      <c r="V2444" t="s">
        <v>54</v>
      </c>
      <c r="W2444" t="s">
        <v>1584</v>
      </c>
      <c r="X2444" t="s">
        <v>113</v>
      </c>
      <c r="Y2444" t="s">
        <v>9622</v>
      </c>
      <c r="Z2444" t="s">
        <v>5594</v>
      </c>
      <c r="AA2444" t="s">
        <v>54</v>
      </c>
      <c r="AB2444" t="s">
        <v>115</v>
      </c>
      <c r="AC2444" t="s">
        <v>85</v>
      </c>
      <c r="AD2444" t="s">
        <v>116</v>
      </c>
      <c r="AE2444" t="s">
        <v>1586</v>
      </c>
      <c r="AF2444" t="s">
        <v>664</v>
      </c>
      <c r="AG2444" t="s">
        <v>5594</v>
      </c>
      <c r="AH2444">
        <v>5928</v>
      </c>
      <c r="AK2444">
        <v>1</v>
      </c>
      <c r="AL2444" t="s">
        <v>61</v>
      </c>
      <c r="AM2444" t="s">
        <v>119</v>
      </c>
      <c r="AN2444" t="s">
        <v>120</v>
      </c>
    </row>
    <row r="2445" spans="1:40" x14ac:dyDescent="0.35">
      <c r="A2445" t="s">
        <v>37</v>
      </c>
      <c r="B2445" t="s">
        <v>9623</v>
      </c>
      <c r="C2445" t="s">
        <v>102</v>
      </c>
      <c r="D2445" t="s">
        <v>103</v>
      </c>
      <c r="E2445" t="s">
        <v>104</v>
      </c>
      <c r="F2445" s="1">
        <v>46072.024942129632</v>
      </c>
      <c r="G2445" t="s">
        <v>105</v>
      </c>
      <c r="H2445" t="s">
        <v>106</v>
      </c>
      <c r="I2445" t="s">
        <v>9624</v>
      </c>
      <c r="J2445" t="s">
        <v>108</v>
      </c>
      <c r="K2445" t="s">
        <v>109</v>
      </c>
      <c r="M2445" t="s">
        <v>47</v>
      </c>
      <c r="O2445" t="s">
        <v>77</v>
      </c>
      <c r="P2445" t="s">
        <v>78</v>
      </c>
      <c r="Q2445" t="s">
        <v>110</v>
      </c>
      <c r="R2445" t="s">
        <v>111</v>
      </c>
      <c r="S2445" t="s">
        <v>51</v>
      </c>
      <c r="T2445" t="s">
        <v>1583</v>
      </c>
      <c r="U2445" s="1">
        <v>46072.850289351853</v>
      </c>
      <c r="V2445" t="s">
        <v>54</v>
      </c>
      <c r="W2445" t="s">
        <v>1584</v>
      </c>
      <c r="X2445" t="s">
        <v>113</v>
      </c>
      <c r="Y2445" t="s">
        <v>9625</v>
      </c>
      <c r="Z2445" t="s">
        <v>5594</v>
      </c>
      <c r="AA2445" t="s">
        <v>54</v>
      </c>
      <c r="AB2445" t="s">
        <v>115</v>
      </c>
      <c r="AC2445" t="s">
        <v>85</v>
      </c>
      <c r="AD2445" t="s">
        <v>116</v>
      </c>
      <c r="AE2445" t="s">
        <v>1586</v>
      </c>
      <c r="AF2445" t="s">
        <v>664</v>
      </c>
      <c r="AG2445" t="s">
        <v>5594</v>
      </c>
      <c r="AH2445">
        <v>5928</v>
      </c>
      <c r="AK2445">
        <v>1</v>
      </c>
      <c r="AL2445" t="s">
        <v>61</v>
      </c>
      <c r="AM2445" t="s">
        <v>119</v>
      </c>
      <c r="AN2445" t="s">
        <v>120</v>
      </c>
    </row>
    <row r="2446" spans="1:40" x14ac:dyDescent="0.35">
      <c r="A2446" t="s">
        <v>37</v>
      </c>
      <c r="B2446" t="s">
        <v>9626</v>
      </c>
      <c r="C2446" t="s">
        <v>102</v>
      </c>
      <c r="D2446" t="s">
        <v>103</v>
      </c>
      <c r="E2446" t="s">
        <v>104</v>
      </c>
      <c r="F2446" s="1">
        <v>46072.024560185186</v>
      </c>
      <c r="G2446" t="s">
        <v>105</v>
      </c>
      <c r="H2446" t="s">
        <v>106</v>
      </c>
      <c r="I2446" t="s">
        <v>9627</v>
      </c>
      <c r="J2446" t="s">
        <v>108</v>
      </c>
      <c r="K2446" t="s">
        <v>109</v>
      </c>
      <c r="M2446" t="s">
        <v>47</v>
      </c>
      <c r="O2446" t="s">
        <v>77</v>
      </c>
      <c r="P2446" t="s">
        <v>78</v>
      </c>
      <c r="Q2446" t="s">
        <v>110</v>
      </c>
      <c r="R2446" t="s">
        <v>111</v>
      </c>
      <c r="S2446" t="s">
        <v>51</v>
      </c>
      <c r="T2446" t="s">
        <v>1583</v>
      </c>
      <c r="U2446" s="1">
        <v>46072.850682870368</v>
      </c>
      <c r="V2446" t="s">
        <v>54</v>
      </c>
      <c r="W2446" t="s">
        <v>1584</v>
      </c>
      <c r="X2446" t="s">
        <v>113</v>
      </c>
      <c r="Y2446" t="s">
        <v>9628</v>
      </c>
      <c r="Z2446" t="s">
        <v>5594</v>
      </c>
      <c r="AA2446" t="s">
        <v>54</v>
      </c>
      <c r="AB2446" t="s">
        <v>115</v>
      </c>
      <c r="AC2446" t="s">
        <v>85</v>
      </c>
      <c r="AD2446" t="s">
        <v>116</v>
      </c>
      <c r="AE2446" t="s">
        <v>1586</v>
      </c>
      <c r="AF2446" t="s">
        <v>664</v>
      </c>
      <c r="AG2446" t="s">
        <v>5594</v>
      </c>
      <c r="AH2446">
        <v>5928</v>
      </c>
      <c r="AK2446">
        <v>1</v>
      </c>
      <c r="AL2446" t="s">
        <v>61</v>
      </c>
      <c r="AM2446" t="s">
        <v>119</v>
      </c>
      <c r="AN2446" t="s">
        <v>120</v>
      </c>
    </row>
    <row r="2447" spans="1:40" x14ac:dyDescent="0.35">
      <c r="A2447" t="s">
        <v>37</v>
      </c>
      <c r="B2447" t="s">
        <v>9629</v>
      </c>
      <c r="C2447" t="s">
        <v>102</v>
      </c>
      <c r="D2447" t="s">
        <v>103</v>
      </c>
      <c r="E2447" t="s">
        <v>104</v>
      </c>
      <c r="F2447" s="1">
        <v>46072.024085648147</v>
      </c>
      <c r="G2447" t="s">
        <v>105</v>
      </c>
      <c r="H2447" t="s">
        <v>106</v>
      </c>
      <c r="I2447" t="s">
        <v>9630</v>
      </c>
      <c r="J2447" t="s">
        <v>108</v>
      </c>
      <c r="K2447" t="s">
        <v>109</v>
      </c>
      <c r="M2447" t="s">
        <v>47</v>
      </c>
      <c r="O2447" t="s">
        <v>77</v>
      </c>
      <c r="P2447" t="s">
        <v>78</v>
      </c>
      <c r="Q2447" t="s">
        <v>110</v>
      </c>
      <c r="R2447" t="s">
        <v>111</v>
      </c>
      <c r="S2447" t="s">
        <v>51</v>
      </c>
      <c r="T2447" t="s">
        <v>1583</v>
      </c>
      <c r="U2447" s="1">
        <v>46072.849490740744</v>
      </c>
      <c r="V2447" t="s">
        <v>54</v>
      </c>
      <c r="W2447" t="s">
        <v>1584</v>
      </c>
      <c r="X2447" t="s">
        <v>113</v>
      </c>
      <c r="Y2447" t="s">
        <v>9631</v>
      </c>
      <c r="Z2447" t="s">
        <v>5594</v>
      </c>
      <c r="AA2447" t="s">
        <v>54</v>
      </c>
      <c r="AB2447" t="s">
        <v>115</v>
      </c>
      <c r="AC2447" t="s">
        <v>85</v>
      </c>
      <c r="AD2447" t="s">
        <v>116</v>
      </c>
      <c r="AE2447" t="s">
        <v>1586</v>
      </c>
      <c r="AF2447" t="s">
        <v>664</v>
      </c>
      <c r="AG2447" t="s">
        <v>5594</v>
      </c>
      <c r="AH2447">
        <v>5928</v>
      </c>
      <c r="AK2447">
        <v>1</v>
      </c>
      <c r="AL2447" t="s">
        <v>61</v>
      </c>
      <c r="AM2447" t="s">
        <v>119</v>
      </c>
      <c r="AN2447" t="s">
        <v>120</v>
      </c>
    </row>
    <row r="2448" spans="1:40" x14ac:dyDescent="0.35">
      <c r="A2448" t="s">
        <v>37</v>
      </c>
      <c r="B2448" t="s">
        <v>9632</v>
      </c>
      <c r="C2448" t="s">
        <v>102</v>
      </c>
      <c r="D2448" t="s">
        <v>103</v>
      </c>
      <c r="E2448" t="s">
        <v>104</v>
      </c>
      <c r="F2448" s="1">
        <v>46072.023657407408</v>
      </c>
      <c r="G2448" t="s">
        <v>105</v>
      </c>
      <c r="H2448" t="s">
        <v>106</v>
      </c>
      <c r="I2448" t="s">
        <v>9633</v>
      </c>
      <c r="J2448" t="s">
        <v>108</v>
      </c>
      <c r="K2448" t="s">
        <v>109</v>
      </c>
      <c r="M2448" t="s">
        <v>47</v>
      </c>
      <c r="O2448" t="s">
        <v>77</v>
      </c>
      <c r="P2448" t="s">
        <v>78</v>
      </c>
      <c r="Q2448" t="s">
        <v>110</v>
      </c>
      <c r="R2448" t="s">
        <v>111</v>
      </c>
      <c r="S2448" t="s">
        <v>51</v>
      </c>
      <c r="T2448" t="s">
        <v>1583</v>
      </c>
      <c r="U2448" s="1">
        <v>46073.590520833335</v>
      </c>
      <c r="V2448" t="s">
        <v>54</v>
      </c>
      <c r="W2448" t="s">
        <v>1584</v>
      </c>
      <c r="X2448" t="s">
        <v>113</v>
      </c>
      <c r="Y2448" t="s">
        <v>6398</v>
      </c>
      <c r="Z2448" t="s">
        <v>5594</v>
      </c>
      <c r="AA2448" t="s">
        <v>54</v>
      </c>
      <c r="AB2448" t="s">
        <v>115</v>
      </c>
      <c r="AC2448" t="s">
        <v>85</v>
      </c>
      <c r="AD2448" t="s">
        <v>116</v>
      </c>
      <c r="AE2448" t="s">
        <v>1586</v>
      </c>
      <c r="AF2448" t="s">
        <v>664</v>
      </c>
      <c r="AG2448" t="s">
        <v>5594</v>
      </c>
      <c r="AH2448">
        <v>5928</v>
      </c>
      <c r="AK2448">
        <v>1</v>
      </c>
      <c r="AL2448" t="s">
        <v>61</v>
      </c>
      <c r="AM2448" t="s">
        <v>119</v>
      </c>
      <c r="AN2448" t="s">
        <v>120</v>
      </c>
    </row>
    <row r="2449" spans="1:40" x14ac:dyDescent="0.35">
      <c r="A2449" t="s">
        <v>37</v>
      </c>
      <c r="B2449" t="s">
        <v>9634</v>
      </c>
      <c r="C2449" t="s">
        <v>102</v>
      </c>
      <c r="D2449" t="s">
        <v>103</v>
      </c>
      <c r="E2449" t="s">
        <v>104</v>
      </c>
      <c r="F2449" s="1">
        <v>46072.023263888892</v>
      </c>
      <c r="G2449" t="s">
        <v>105</v>
      </c>
      <c r="H2449" t="s">
        <v>106</v>
      </c>
      <c r="I2449" t="s">
        <v>9635</v>
      </c>
      <c r="J2449" t="s">
        <v>108</v>
      </c>
      <c r="K2449" t="s">
        <v>109</v>
      </c>
      <c r="M2449" t="s">
        <v>47</v>
      </c>
      <c r="O2449" t="s">
        <v>77</v>
      </c>
      <c r="P2449" t="s">
        <v>78</v>
      </c>
      <c r="Q2449" t="s">
        <v>110</v>
      </c>
      <c r="R2449" t="s">
        <v>111</v>
      </c>
      <c r="S2449" t="s">
        <v>51</v>
      </c>
      <c r="T2449" t="s">
        <v>1583</v>
      </c>
      <c r="U2449" s="1">
        <v>46072.504224537035</v>
      </c>
      <c r="V2449" t="s">
        <v>54</v>
      </c>
      <c r="W2449" t="s">
        <v>1584</v>
      </c>
      <c r="X2449" t="s">
        <v>113</v>
      </c>
      <c r="Y2449" t="s">
        <v>9636</v>
      </c>
      <c r="Z2449" t="s">
        <v>5594</v>
      </c>
      <c r="AA2449" t="s">
        <v>54</v>
      </c>
      <c r="AB2449" t="s">
        <v>115</v>
      </c>
      <c r="AC2449" t="s">
        <v>85</v>
      </c>
      <c r="AD2449" t="s">
        <v>116</v>
      </c>
      <c r="AE2449" t="s">
        <v>1586</v>
      </c>
      <c r="AF2449" t="s">
        <v>664</v>
      </c>
      <c r="AG2449" t="s">
        <v>5594</v>
      </c>
      <c r="AH2449">
        <v>5928</v>
      </c>
      <c r="AK2449">
        <v>1</v>
      </c>
      <c r="AL2449" t="s">
        <v>61</v>
      </c>
      <c r="AM2449" t="s">
        <v>119</v>
      </c>
      <c r="AN2449" t="s">
        <v>120</v>
      </c>
    </row>
    <row r="2450" spans="1:40" x14ac:dyDescent="0.35">
      <c r="A2450" t="s">
        <v>37</v>
      </c>
      <c r="B2450" t="s">
        <v>9637</v>
      </c>
      <c r="C2450" t="s">
        <v>102</v>
      </c>
      <c r="D2450" t="s">
        <v>103</v>
      </c>
      <c r="E2450" t="s">
        <v>104</v>
      </c>
      <c r="F2450" s="1">
        <v>46072.022719907407</v>
      </c>
      <c r="G2450" t="s">
        <v>105</v>
      </c>
      <c r="H2450" t="s">
        <v>106</v>
      </c>
      <c r="I2450" t="s">
        <v>9638</v>
      </c>
      <c r="J2450" t="s">
        <v>108</v>
      </c>
      <c r="K2450" t="s">
        <v>109</v>
      </c>
      <c r="M2450" t="s">
        <v>47</v>
      </c>
      <c r="O2450" t="s">
        <v>77</v>
      </c>
      <c r="P2450" t="s">
        <v>78</v>
      </c>
      <c r="Q2450" t="s">
        <v>110</v>
      </c>
      <c r="R2450" t="s">
        <v>111</v>
      </c>
      <c r="S2450" t="s">
        <v>51</v>
      </c>
      <c r="T2450" t="s">
        <v>1583</v>
      </c>
      <c r="U2450" s="1">
        <v>46072.504513888889</v>
      </c>
      <c r="V2450" t="s">
        <v>54</v>
      </c>
      <c r="W2450" t="s">
        <v>1584</v>
      </c>
      <c r="X2450" t="s">
        <v>113</v>
      </c>
      <c r="Y2450" t="s">
        <v>9639</v>
      </c>
      <c r="Z2450" t="s">
        <v>5594</v>
      </c>
      <c r="AA2450" t="s">
        <v>54</v>
      </c>
      <c r="AB2450" t="s">
        <v>115</v>
      </c>
      <c r="AC2450" t="s">
        <v>85</v>
      </c>
      <c r="AD2450" t="s">
        <v>116</v>
      </c>
      <c r="AE2450" t="s">
        <v>1586</v>
      </c>
      <c r="AF2450" t="s">
        <v>664</v>
      </c>
      <c r="AG2450" t="s">
        <v>5594</v>
      </c>
      <c r="AH2450">
        <v>5928</v>
      </c>
      <c r="AK2450">
        <v>1</v>
      </c>
      <c r="AL2450" t="s">
        <v>61</v>
      </c>
      <c r="AM2450" t="s">
        <v>119</v>
      </c>
      <c r="AN2450" t="s">
        <v>120</v>
      </c>
    </row>
    <row r="2451" spans="1:40" x14ac:dyDescent="0.35">
      <c r="A2451" t="s">
        <v>37</v>
      </c>
      <c r="B2451" t="s">
        <v>9640</v>
      </c>
      <c r="C2451" t="s">
        <v>102</v>
      </c>
      <c r="D2451" t="s">
        <v>103</v>
      </c>
      <c r="E2451" t="s">
        <v>104</v>
      </c>
      <c r="F2451" s="1">
        <v>46072.022175925929</v>
      </c>
      <c r="G2451" t="s">
        <v>105</v>
      </c>
      <c r="H2451" t="s">
        <v>106</v>
      </c>
      <c r="I2451" t="s">
        <v>5676</v>
      </c>
      <c r="J2451" t="s">
        <v>108</v>
      </c>
      <c r="K2451" t="s">
        <v>109</v>
      </c>
      <c r="M2451" t="s">
        <v>47</v>
      </c>
      <c r="O2451" t="s">
        <v>77</v>
      </c>
      <c r="P2451" t="s">
        <v>78</v>
      </c>
      <c r="Q2451" t="s">
        <v>110</v>
      </c>
      <c r="R2451" t="s">
        <v>111</v>
      </c>
      <c r="S2451" t="s">
        <v>51</v>
      </c>
      <c r="T2451" t="s">
        <v>112</v>
      </c>
      <c r="U2451" s="1">
        <v>46072.960104166668</v>
      </c>
      <c r="V2451" t="s">
        <v>54</v>
      </c>
      <c r="W2451" t="s">
        <v>1584</v>
      </c>
      <c r="X2451" t="s">
        <v>113</v>
      </c>
      <c r="Y2451" t="s">
        <v>9641</v>
      </c>
      <c r="Z2451" t="s">
        <v>5594</v>
      </c>
      <c r="AA2451" t="s">
        <v>54</v>
      </c>
      <c r="AB2451" t="s">
        <v>115</v>
      </c>
      <c r="AC2451" t="s">
        <v>85</v>
      </c>
      <c r="AD2451" t="s">
        <v>116</v>
      </c>
      <c r="AE2451" t="s">
        <v>117</v>
      </c>
      <c r="AF2451" t="s">
        <v>664</v>
      </c>
      <c r="AG2451" t="s">
        <v>5594</v>
      </c>
      <c r="AH2451">
        <v>5928</v>
      </c>
      <c r="AK2451">
        <v>1</v>
      </c>
      <c r="AL2451" t="s">
        <v>61</v>
      </c>
      <c r="AM2451" t="s">
        <v>119</v>
      </c>
      <c r="AN2451" t="s">
        <v>120</v>
      </c>
    </row>
    <row r="2452" spans="1:40" x14ac:dyDescent="0.35">
      <c r="A2452" t="s">
        <v>37</v>
      </c>
      <c r="B2452" t="s">
        <v>9642</v>
      </c>
      <c r="C2452" t="s">
        <v>102</v>
      </c>
      <c r="D2452" t="s">
        <v>103</v>
      </c>
      <c r="E2452" t="s">
        <v>104</v>
      </c>
      <c r="F2452" s="1">
        <v>46072.02175925926</v>
      </c>
      <c r="G2452" t="s">
        <v>105</v>
      </c>
      <c r="H2452" t="s">
        <v>106</v>
      </c>
      <c r="I2452" t="s">
        <v>9643</v>
      </c>
      <c r="J2452" t="s">
        <v>108</v>
      </c>
      <c r="K2452" t="s">
        <v>109</v>
      </c>
      <c r="M2452" t="s">
        <v>47</v>
      </c>
      <c r="O2452" t="s">
        <v>77</v>
      </c>
      <c r="P2452" t="s">
        <v>78</v>
      </c>
      <c r="Q2452" t="s">
        <v>110</v>
      </c>
      <c r="R2452" t="s">
        <v>111</v>
      </c>
      <c r="S2452" t="s">
        <v>51</v>
      </c>
      <c r="T2452" t="s">
        <v>112</v>
      </c>
      <c r="U2452" s="1">
        <v>46072.619884259257</v>
      </c>
      <c r="V2452" t="s">
        <v>54</v>
      </c>
      <c r="W2452" t="s">
        <v>1584</v>
      </c>
      <c r="X2452" t="s">
        <v>113</v>
      </c>
      <c r="Y2452" t="s">
        <v>9644</v>
      </c>
      <c r="Z2452" t="s">
        <v>5594</v>
      </c>
      <c r="AA2452" t="s">
        <v>54</v>
      </c>
      <c r="AB2452" t="s">
        <v>115</v>
      </c>
      <c r="AC2452" t="s">
        <v>85</v>
      </c>
      <c r="AD2452" t="s">
        <v>116</v>
      </c>
      <c r="AE2452" t="s">
        <v>117</v>
      </c>
      <c r="AF2452" t="s">
        <v>664</v>
      </c>
      <c r="AG2452" t="s">
        <v>5594</v>
      </c>
      <c r="AH2452">
        <v>5928</v>
      </c>
      <c r="AK2452">
        <v>1</v>
      </c>
      <c r="AL2452" t="s">
        <v>61</v>
      </c>
      <c r="AM2452" t="s">
        <v>119</v>
      </c>
      <c r="AN2452" t="s">
        <v>120</v>
      </c>
    </row>
    <row r="2453" spans="1:40" x14ac:dyDescent="0.35">
      <c r="A2453" t="s">
        <v>37</v>
      </c>
      <c r="B2453" t="s">
        <v>9645</v>
      </c>
      <c r="C2453" t="s">
        <v>102</v>
      </c>
      <c r="D2453" t="s">
        <v>103</v>
      </c>
      <c r="E2453" t="s">
        <v>104</v>
      </c>
      <c r="F2453" s="1">
        <v>46072.020902777775</v>
      </c>
      <c r="G2453" t="s">
        <v>105</v>
      </c>
      <c r="H2453" t="s">
        <v>106</v>
      </c>
      <c r="I2453" t="s">
        <v>9646</v>
      </c>
      <c r="J2453" t="s">
        <v>108</v>
      </c>
      <c r="K2453" t="s">
        <v>571</v>
      </c>
      <c r="M2453" t="s">
        <v>47</v>
      </c>
      <c r="O2453" t="s">
        <v>77</v>
      </c>
      <c r="P2453" t="s">
        <v>78</v>
      </c>
      <c r="Q2453" t="s">
        <v>110</v>
      </c>
      <c r="R2453" t="s">
        <v>111</v>
      </c>
      <c r="S2453" t="s">
        <v>51</v>
      </c>
      <c r="T2453" t="s">
        <v>112</v>
      </c>
      <c r="U2453" s="1">
        <v>46072.081342592595</v>
      </c>
      <c r="V2453" t="s">
        <v>54</v>
      </c>
      <c r="W2453" t="s">
        <v>55</v>
      </c>
      <c r="X2453" t="s">
        <v>113</v>
      </c>
      <c r="Y2453" t="s">
        <v>9647</v>
      </c>
      <c r="Z2453" t="s">
        <v>5594</v>
      </c>
      <c r="AA2453" t="s">
        <v>54</v>
      </c>
      <c r="AB2453" t="s">
        <v>115</v>
      </c>
      <c r="AC2453" t="s">
        <v>85</v>
      </c>
      <c r="AD2453" t="s">
        <v>116</v>
      </c>
      <c r="AE2453" t="s">
        <v>1541</v>
      </c>
      <c r="AF2453" t="s">
        <v>2738</v>
      </c>
      <c r="AG2453" t="s">
        <v>5594</v>
      </c>
      <c r="AH2453">
        <v>5928</v>
      </c>
      <c r="AK2453">
        <v>1</v>
      </c>
      <c r="AL2453" t="s">
        <v>61</v>
      </c>
      <c r="AM2453" t="s">
        <v>119</v>
      </c>
      <c r="AN2453" t="s">
        <v>120</v>
      </c>
    </row>
    <row r="2454" spans="1:40" x14ac:dyDescent="0.35">
      <c r="A2454" t="s">
        <v>37</v>
      </c>
      <c r="B2454" t="s">
        <v>9648</v>
      </c>
      <c r="C2454" t="s">
        <v>39</v>
      </c>
      <c r="D2454" t="s">
        <v>127</v>
      </c>
      <c r="E2454" t="s">
        <v>5422</v>
      </c>
      <c r="F2454" s="1">
        <v>46072.020486111112</v>
      </c>
      <c r="G2454" t="s">
        <v>855</v>
      </c>
      <c r="H2454" t="s">
        <v>447</v>
      </c>
      <c r="I2454" t="s">
        <v>1408</v>
      </c>
      <c r="J2454" t="s">
        <v>707</v>
      </c>
      <c r="K2454" t="s">
        <v>75</v>
      </c>
      <c r="M2454" t="s">
        <v>47</v>
      </c>
      <c r="O2454" t="s">
        <v>77</v>
      </c>
      <c r="P2454" t="s">
        <v>78</v>
      </c>
      <c r="Q2454" t="s">
        <v>50</v>
      </c>
      <c r="R2454" t="s">
        <v>79</v>
      </c>
      <c r="S2454" t="s">
        <v>1078</v>
      </c>
      <c r="T2454" t="s">
        <v>1078</v>
      </c>
      <c r="U2454" s="1">
        <v>46072.020613425928</v>
      </c>
      <c r="V2454" t="s">
        <v>54</v>
      </c>
      <c r="W2454" t="s">
        <v>55</v>
      </c>
      <c r="X2454" t="s">
        <v>82</v>
      </c>
      <c r="Y2454" t="s">
        <v>1409</v>
      </c>
      <c r="Z2454" t="s">
        <v>5594</v>
      </c>
      <c r="AA2454" t="s">
        <v>54</v>
      </c>
      <c r="AB2454" t="s">
        <v>709</v>
      </c>
      <c r="AC2454" t="s">
        <v>85</v>
      </c>
      <c r="AD2454" t="s">
        <v>79</v>
      </c>
      <c r="AE2454" t="s">
        <v>1078</v>
      </c>
      <c r="AF2454" t="s">
        <v>1078</v>
      </c>
      <c r="AG2454" t="s">
        <v>5594</v>
      </c>
      <c r="AH2454">
        <v>14012</v>
      </c>
      <c r="AK2454">
        <v>0</v>
      </c>
      <c r="AL2454" t="s">
        <v>61</v>
      </c>
      <c r="AM2454" t="s">
        <v>9649</v>
      </c>
      <c r="AN2454" t="s">
        <v>9650</v>
      </c>
    </row>
    <row r="2455" spans="1:40" x14ac:dyDescent="0.35">
      <c r="A2455" t="s">
        <v>37</v>
      </c>
      <c r="B2455" t="s">
        <v>9651</v>
      </c>
      <c r="C2455" t="s">
        <v>39</v>
      </c>
      <c r="D2455" t="s">
        <v>2780</v>
      </c>
      <c r="E2455" t="s">
        <v>401</v>
      </c>
      <c r="F2455" s="1">
        <v>46072.020740740743</v>
      </c>
      <c r="G2455" t="s">
        <v>304</v>
      </c>
      <c r="H2455" t="s">
        <v>106</v>
      </c>
      <c r="I2455" t="s">
        <v>1408</v>
      </c>
      <c r="J2455" t="s">
        <v>707</v>
      </c>
      <c r="K2455" t="s">
        <v>75</v>
      </c>
      <c r="M2455" t="s">
        <v>47</v>
      </c>
      <c r="O2455" t="s">
        <v>77</v>
      </c>
      <c r="P2455" t="s">
        <v>78</v>
      </c>
      <c r="Q2455" t="s">
        <v>3642</v>
      </c>
      <c r="R2455" t="s">
        <v>79</v>
      </c>
      <c r="S2455" t="s">
        <v>1078</v>
      </c>
      <c r="T2455" t="s">
        <v>1078</v>
      </c>
      <c r="U2455" s="1">
        <v>46072.020833333336</v>
      </c>
      <c r="V2455" t="s">
        <v>54</v>
      </c>
      <c r="W2455" t="s">
        <v>55</v>
      </c>
      <c r="X2455" t="s">
        <v>82</v>
      </c>
      <c r="Y2455" t="s">
        <v>1409</v>
      </c>
      <c r="Z2455" t="s">
        <v>5594</v>
      </c>
      <c r="AA2455" t="s">
        <v>54</v>
      </c>
      <c r="AB2455" t="s">
        <v>709</v>
      </c>
      <c r="AC2455" t="s">
        <v>85</v>
      </c>
      <c r="AD2455" t="s">
        <v>79</v>
      </c>
      <c r="AE2455" t="s">
        <v>1078</v>
      </c>
      <c r="AF2455" t="s">
        <v>1078</v>
      </c>
      <c r="AG2455" t="s">
        <v>5594</v>
      </c>
      <c r="AH2455">
        <v>3891</v>
      </c>
      <c r="AK2455">
        <v>0</v>
      </c>
      <c r="AL2455" t="s">
        <v>61</v>
      </c>
      <c r="AM2455" t="s">
        <v>9652</v>
      </c>
      <c r="AN2455" t="s">
        <v>9653</v>
      </c>
    </row>
    <row r="2456" spans="1:40" x14ac:dyDescent="0.35">
      <c r="A2456" t="s">
        <v>37</v>
      </c>
      <c r="B2456" t="s">
        <v>9654</v>
      </c>
      <c r="C2456" t="s">
        <v>102</v>
      </c>
      <c r="D2456" t="s">
        <v>103</v>
      </c>
      <c r="E2456" t="s">
        <v>104</v>
      </c>
      <c r="F2456" s="1">
        <v>46072.02003472222</v>
      </c>
      <c r="G2456" t="s">
        <v>105</v>
      </c>
      <c r="H2456" t="s">
        <v>106</v>
      </c>
      <c r="I2456" t="s">
        <v>9655</v>
      </c>
      <c r="J2456" t="s">
        <v>108</v>
      </c>
      <c r="K2456" t="s">
        <v>571</v>
      </c>
      <c r="M2456" t="s">
        <v>47</v>
      </c>
      <c r="O2456" t="s">
        <v>77</v>
      </c>
      <c r="P2456" t="s">
        <v>78</v>
      </c>
      <c r="Q2456" t="s">
        <v>110</v>
      </c>
      <c r="R2456" t="s">
        <v>111</v>
      </c>
      <c r="S2456" t="s">
        <v>51</v>
      </c>
      <c r="T2456" t="s">
        <v>112</v>
      </c>
      <c r="U2456" s="1">
        <v>46072.081585648149</v>
      </c>
      <c r="V2456" t="s">
        <v>54</v>
      </c>
      <c r="W2456" t="s">
        <v>55</v>
      </c>
      <c r="X2456" t="s">
        <v>113</v>
      </c>
      <c r="Y2456" t="s">
        <v>9656</v>
      </c>
      <c r="Z2456" t="s">
        <v>5594</v>
      </c>
      <c r="AA2456" t="s">
        <v>54</v>
      </c>
      <c r="AB2456" t="s">
        <v>115</v>
      </c>
      <c r="AC2456" t="s">
        <v>85</v>
      </c>
      <c r="AD2456" t="s">
        <v>116</v>
      </c>
      <c r="AE2456" t="s">
        <v>1541</v>
      </c>
      <c r="AF2456" t="s">
        <v>2738</v>
      </c>
      <c r="AG2456" t="s">
        <v>5594</v>
      </c>
      <c r="AH2456">
        <v>5928</v>
      </c>
      <c r="AK2456">
        <v>1</v>
      </c>
      <c r="AL2456" t="s">
        <v>61</v>
      </c>
      <c r="AM2456" t="s">
        <v>119</v>
      </c>
      <c r="AN2456" t="s">
        <v>120</v>
      </c>
    </row>
    <row r="2457" spans="1:40" x14ac:dyDescent="0.35">
      <c r="A2457" t="s">
        <v>37</v>
      </c>
      <c r="B2457" t="s">
        <v>9657</v>
      </c>
      <c r="C2457" t="s">
        <v>102</v>
      </c>
      <c r="D2457" t="s">
        <v>1698</v>
      </c>
      <c r="E2457" t="s">
        <v>584</v>
      </c>
      <c r="F2457" s="1">
        <v>46071.999768518515</v>
      </c>
      <c r="G2457" t="s">
        <v>105</v>
      </c>
      <c r="H2457" t="s">
        <v>106</v>
      </c>
      <c r="I2457" t="s">
        <v>9658</v>
      </c>
      <c r="J2457" t="s">
        <v>108</v>
      </c>
      <c r="K2457" t="s">
        <v>571</v>
      </c>
      <c r="M2457" t="s">
        <v>47</v>
      </c>
      <c r="O2457" t="s">
        <v>77</v>
      </c>
      <c r="P2457" t="s">
        <v>78</v>
      </c>
      <c r="Q2457" t="s">
        <v>50</v>
      </c>
      <c r="R2457" t="s">
        <v>111</v>
      </c>
      <c r="S2457" t="s">
        <v>51</v>
      </c>
      <c r="T2457" t="s">
        <v>112</v>
      </c>
      <c r="U2457" s="1">
        <v>46072.24962962963</v>
      </c>
      <c r="V2457" t="s">
        <v>54</v>
      </c>
      <c r="W2457" t="s">
        <v>55</v>
      </c>
      <c r="X2457" t="s">
        <v>134</v>
      </c>
      <c r="Y2457" t="s">
        <v>1680</v>
      </c>
      <c r="Z2457" t="s">
        <v>5594</v>
      </c>
      <c r="AA2457" t="s">
        <v>54</v>
      </c>
      <c r="AB2457" t="s">
        <v>1701</v>
      </c>
      <c r="AC2457" t="s">
        <v>85</v>
      </c>
      <c r="AD2457" t="s">
        <v>116</v>
      </c>
      <c r="AE2457" t="s">
        <v>574</v>
      </c>
      <c r="AF2457" t="s">
        <v>144</v>
      </c>
      <c r="AG2457" t="s">
        <v>5594</v>
      </c>
      <c r="AK2457">
        <v>1</v>
      </c>
      <c r="AL2457" t="s">
        <v>61</v>
      </c>
      <c r="AM2457" t="s">
        <v>1701</v>
      </c>
      <c r="AN2457" t="s">
        <v>1702</v>
      </c>
    </row>
    <row r="2458" spans="1:40" x14ac:dyDescent="0.35">
      <c r="A2458" t="s">
        <v>37</v>
      </c>
      <c r="B2458" t="s">
        <v>9659</v>
      </c>
      <c r="C2458" t="s">
        <v>102</v>
      </c>
      <c r="D2458" t="s">
        <v>1698</v>
      </c>
      <c r="E2458" t="s">
        <v>584</v>
      </c>
      <c r="F2458" s="1">
        <v>46071.994849537034</v>
      </c>
      <c r="G2458" t="s">
        <v>105</v>
      </c>
      <c r="H2458" t="s">
        <v>106</v>
      </c>
      <c r="I2458" t="s">
        <v>4575</v>
      </c>
      <c r="J2458" t="s">
        <v>108</v>
      </c>
      <c r="K2458" t="s">
        <v>571</v>
      </c>
      <c r="M2458" t="s">
        <v>150</v>
      </c>
      <c r="O2458" t="s">
        <v>77</v>
      </c>
      <c r="P2458" t="s">
        <v>78</v>
      </c>
      <c r="Q2458" t="s">
        <v>50</v>
      </c>
      <c r="R2458" t="s">
        <v>111</v>
      </c>
      <c r="S2458" t="s">
        <v>51</v>
      </c>
      <c r="T2458" t="s">
        <v>112</v>
      </c>
      <c r="U2458" s="1">
        <v>46076.478171296294</v>
      </c>
      <c r="V2458" t="s">
        <v>54</v>
      </c>
      <c r="W2458" t="s">
        <v>55</v>
      </c>
      <c r="X2458" t="s">
        <v>134</v>
      </c>
      <c r="Y2458" t="s">
        <v>9660</v>
      </c>
      <c r="Z2458" t="s">
        <v>58</v>
      </c>
      <c r="AA2458" t="s">
        <v>54</v>
      </c>
      <c r="AB2458" t="s">
        <v>1701</v>
      </c>
      <c r="AC2458" t="s">
        <v>85</v>
      </c>
      <c r="AD2458" t="s">
        <v>116</v>
      </c>
      <c r="AE2458" t="s">
        <v>574</v>
      </c>
      <c r="AF2458" t="s">
        <v>2466</v>
      </c>
      <c r="AG2458" t="s">
        <v>58</v>
      </c>
      <c r="AK2458">
        <v>1</v>
      </c>
      <c r="AL2458" t="s">
        <v>61</v>
      </c>
      <c r="AM2458" t="s">
        <v>1701</v>
      </c>
      <c r="AN2458" t="s">
        <v>1702</v>
      </c>
    </row>
    <row r="2459" spans="1:40" x14ac:dyDescent="0.35">
      <c r="A2459" t="s">
        <v>37</v>
      </c>
      <c r="B2459" t="s">
        <v>9661</v>
      </c>
      <c r="C2459" t="s">
        <v>102</v>
      </c>
      <c r="D2459" t="s">
        <v>1698</v>
      </c>
      <c r="E2459" t="s">
        <v>584</v>
      </c>
      <c r="F2459" s="1">
        <v>46071.990659722222</v>
      </c>
      <c r="G2459" t="s">
        <v>105</v>
      </c>
      <c r="H2459" t="s">
        <v>106</v>
      </c>
      <c r="I2459" t="s">
        <v>4575</v>
      </c>
      <c r="J2459" t="s">
        <v>108</v>
      </c>
      <c r="K2459" t="s">
        <v>571</v>
      </c>
      <c r="M2459" t="s">
        <v>47</v>
      </c>
      <c r="O2459" t="s">
        <v>77</v>
      </c>
      <c r="P2459" t="s">
        <v>78</v>
      </c>
      <c r="Q2459" t="s">
        <v>50</v>
      </c>
      <c r="R2459" t="s">
        <v>111</v>
      </c>
      <c r="S2459" t="s">
        <v>51</v>
      </c>
      <c r="T2459" t="s">
        <v>112</v>
      </c>
      <c r="U2459" s="1">
        <v>46072.319016203706</v>
      </c>
      <c r="V2459" t="s">
        <v>54</v>
      </c>
      <c r="W2459" t="s">
        <v>55</v>
      </c>
      <c r="X2459" t="s">
        <v>134</v>
      </c>
      <c r="Y2459" t="s">
        <v>9662</v>
      </c>
      <c r="Z2459" t="s">
        <v>5594</v>
      </c>
      <c r="AA2459" t="s">
        <v>54</v>
      </c>
      <c r="AB2459" t="s">
        <v>1701</v>
      </c>
      <c r="AC2459" t="s">
        <v>85</v>
      </c>
      <c r="AD2459" t="s">
        <v>116</v>
      </c>
      <c r="AE2459" t="s">
        <v>574</v>
      </c>
      <c r="AF2459" t="s">
        <v>161</v>
      </c>
      <c r="AG2459" t="s">
        <v>5594</v>
      </c>
      <c r="AK2459">
        <v>1</v>
      </c>
      <c r="AL2459" t="s">
        <v>61</v>
      </c>
      <c r="AM2459" t="s">
        <v>1701</v>
      </c>
      <c r="AN2459" t="s">
        <v>1702</v>
      </c>
    </row>
    <row r="2460" spans="1:40" x14ac:dyDescent="0.35">
      <c r="A2460" t="s">
        <v>37</v>
      </c>
      <c r="B2460" t="s">
        <v>9663</v>
      </c>
      <c r="C2460" t="s">
        <v>102</v>
      </c>
      <c r="D2460" t="s">
        <v>1698</v>
      </c>
      <c r="E2460" t="s">
        <v>584</v>
      </c>
      <c r="F2460" s="1">
        <v>46071.989942129629</v>
      </c>
      <c r="G2460" t="s">
        <v>105</v>
      </c>
      <c r="H2460" t="s">
        <v>106</v>
      </c>
      <c r="I2460" t="s">
        <v>9664</v>
      </c>
      <c r="J2460" t="s">
        <v>108</v>
      </c>
      <c r="K2460" t="s">
        <v>109</v>
      </c>
      <c r="M2460" t="s">
        <v>47</v>
      </c>
      <c r="O2460" t="s">
        <v>77</v>
      </c>
      <c r="P2460" t="s">
        <v>78</v>
      </c>
      <c r="Q2460" t="s">
        <v>50</v>
      </c>
      <c r="R2460" t="s">
        <v>111</v>
      </c>
      <c r="S2460" t="s">
        <v>51</v>
      </c>
      <c r="T2460" t="s">
        <v>112</v>
      </c>
      <c r="U2460" s="1">
        <v>46072.039976851855</v>
      </c>
      <c r="V2460" t="s">
        <v>54</v>
      </c>
      <c r="W2460" t="s">
        <v>55</v>
      </c>
      <c r="X2460" t="s">
        <v>134</v>
      </c>
      <c r="Y2460" t="s">
        <v>9665</v>
      </c>
      <c r="Z2460" t="s">
        <v>5594</v>
      </c>
      <c r="AA2460" t="s">
        <v>54</v>
      </c>
      <c r="AB2460" t="s">
        <v>1701</v>
      </c>
      <c r="AC2460" t="s">
        <v>85</v>
      </c>
      <c r="AD2460" t="s">
        <v>116</v>
      </c>
      <c r="AE2460" t="s">
        <v>117</v>
      </c>
      <c r="AF2460" t="s">
        <v>118</v>
      </c>
      <c r="AG2460" t="s">
        <v>5594</v>
      </c>
      <c r="AK2460">
        <v>1</v>
      </c>
      <c r="AL2460" t="s">
        <v>61</v>
      </c>
      <c r="AM2460" t="s">
        <v>1701</v>
      </c>
      <c r="AN2460" t="s">
        <v>1702</v>
      </c>
    </row>
    <row r="2461" spans="1:40" x14ac:dyDescent="0.35">
      <c r="A2461" t="s">
        <v>37</v>
      </c>
      <c r="B2461" t="s">
        <v>9666</v>
      </c>
      <c r="C2461" t="s">
        <v>102</v>
      </c>
      <c r="D2461" t="s">
        <v>1698</v>
      </c>
      <c r="E2461" t="s">
        <v>584</v>
      </c>
      <c r="F2461" s="1">
        <v>46071.983611111114</v>
      </c>
      <c r="G2461" t="s">
        <v>105</v>
      </c>
      <c r="H2461" t="s">
        <v>106</v>
      </c>
      <c r="I2461" t="s">
        <v>4575</v>
      </c>
      <c r="J2461" t="s">
        <v>108</v>
      </c>
      <c r="K2461" t="s">
        <v>571</v>
      </c>
      <c r="M2461" t="s">
        <v>47</v>
      </c>
      <c r="O2461" t="s">
        <v>77</v>
      </c>
      <c r="P2461" t="s">
        <v>78</v>
      </c>
      <c r="Q2461" t="s">
        <v>50</v>
      </c>
      <c r="R2461" t="s">
        <v>111</v>
      </c>
      <c r="S2461" t="s">
        <v>51</v>
      </c>
      <c r="T2461" t="s">
        <v>112</v>
      </c>
      <c r="U2461" s="1">
        <v>46072.319490740738</v>
      </c>
      <c r="V2461" t="s">
        <v>54</v>
      </c>
      <c r="W2461" t="s">
        <v>55</v>
      </c>
      <c r="X2461" t="s">
        <v>134</v>
      </c>
      <c r="Y2461" t="s">
        <v>9667</v>
      </c>
      <c r="Z2461" t="s">
        <v>5594</v>
      </c>
      <c r="AA2461" t="s">
        <v>54</v>
      </c>
      <c r="AB2461" t="s">
        <v>1701</v>
      </c>
      <c r="AC2461" t="s">
        <v>85</v>
      </c>
      <c r="AD2461" t="s">
        <v>116</v>
      </c>
      <c r="AE2461" t="s">
        <v>574</v>
      </c>
      <c r="AF2461" t="s">
        <v>3475</v>
      </c>
      <c r="AG2461" t="s">
        <v>5594</v>
      </c>
      <c r="AK2461">
        <v>1</v>
      </c>
      <c r="AL2461" t="s">
        <v>61</v>
      </c>
      <c r="AM2461" t="s">
        <v>1701</v>
      </c>
      <c r="AN2461" t="s">
        <v>1702</v>
      </c>
    </row>
    <row r="2462" spans="1:40" x14ac:dyDescent="0.35">
      <c r="A2462" t="s">
        <v>37</v>
      </c>
      <c r="B2462" t="s">
        <v>9668</v>
      </c>
      <c r="C2462" t="s">
        <v>102</v>
      </c>
      <c r="D2462" t="s">
        <v>1698</v>
      </c>
      <c r="E2462" t="s">
        <v>584</v>
      </c>
      <c r="F2462" s="1">
        <v>46071.953657407408</v>
      </c>
      <c r="G2462" t="s">
        <v>105</v>
      </c>
      <c r="H2462" t="s">
        <v>106</v>
      </c>
      <c r="I2462" t="s">
        <v>763</v>
      </c>
      <c r="J2462" t="s">
        <v>108</v>
      </c>
      <c r="K2462" t="s">
        <v>109</v>
      </c>
      <c r="M2462" t="s">
        <v>47</v>
      </c>
      <c r="O2462" t="s">
        <v>77</v>
      </c>
      <c r="P2462" t="s">
        <v>78</v>
      </c>
      <c r="Q2462" t="s">
        <v>50</v>
      </c>
      <c r="R2462" t="s">
        <v>111</v>
      </c>
      <c r="S2462" t="s">
        <v>51</v>
      </c>
      <c r="T2462" t="s">
        <v>112</v>
      </c>
      <c r="U2462" s="1">
        <v>46072.018842592595</v>
      </c>
      <c r="V2462" t="s">
        <v>54</v>
      </c>
      <c r="W2462" t="s">
        <v>55</v>
      </c>
      <c r="X2462" t="s">
        <v>134</v>
      </c>
      <c r="Y2462" t="s">
        <v>9669</v>
      </c>
      <c r="Z2462" t="s">
        <v>5594</v>
      </c>
      <c r="AA2462" t="s">
        <v>54</v>
      </c>
      <c r="AB2462" t="s">
        <v>1701</v>
      </c>
      <c r="AC2462" t="s">
        <v>85</v>
      </c>
      <c r="AD2462" t="s">
        <v>116</v>
      </c>
      <c r="AE2462" t="s">
        <v>117</v>
      </c>
      <c r="AF2462" t="s">
        <v>1706</v>
      </c>
      <c r="AG2462" t="s">
        <v>5594</v>
      </c>
      <c r="AK2462">
        <v>1</v>
      </c>
      <c r="AL2462" t="s">
        <v>61</v>
      </c>
      <c r="AM2462" t="s">
        <v>1701</v>
      </c>
      <c r="AN2462" t="s">
        <v>1702</v>
      </c>
    </row>
    <row r="2463" spans="1:40" x14ac:dyDescent="0.35">
      <c r="A2463" t="s">
        <v>37</v>
      </c>
      <c r="B2463" t="s">
        <v>9670</v>
      </c>
      <c r="C2463" t="s">
        <v>656</v>
      </c>
      <c r="D2463" t="s">
        <v>1711</v>
      </c>
      <c r="E2463" t="s">
        <v>1712</v>
      </c>
      <c r="F2463" s="1">
        <v>46071.950844907406</v>
      </c>
      <c r="G2463" t="s">
        <v>1713</v>
      </c>
      <c r="H2463" t="s">
        <v>356</v>
      </c>
      <c r="I2463" t="s">
        <v>9671</v>
      </c>
      <c r="J2463" t="s">
        <v>358</v>
      </c>
      <c r="K2463" t="s">
        <v>359</v>
      </c>
      <c r="M2463" t="s">
        <v>47</v>
      </c>
      <c r="O2463" t="s">
        <v>237</v>
      </c>
      <c r="P2463" t="s">
        <v>238</v>
      </c>
      <c r="Q2463" t="s">
        <v>50</v>
      </c>
      <c r="R2463" t="s">
        <v>51</v>
      </c>
      <c r="S2463" t="s">
        <v>52</v>
      </c>
      <c r="T2463" t="s">
        <v>53</v>
      </c>
      <c r="U2463" s="1">
        <v>46073.497430555559</v>
      </c>
      <c r="V2463" t="s">
        <v>54</v>
      </c>
      <c r="W2463" t="s">
        <v>55</v>
      </c>
      <c r="X2463" t="s">
        <v>134</v>
      </c>
      <c r="Y2463" t="s">
        <v>9672</v>
      </c>
      <c r="Z2463" t="s">
        <v>5594</v>
      </c>
      <c r="AA2463" t="s">
        <v>54</v>
      </c>
      <c r="AB2463" t="s">
        <v>1717</v>
      </c>
      <c r="AC2463" t="s">
        <v>242</v>
      </c>
      <c r="AD2463" t="s">
        <v>52</v>
      </c>
      <c r="AE2463" t="s">
        <v>362</v>
      </c>
      <c r="AF2463" t="s">
        <v>363</v>
      </c>
      <c r="AG2463" t="s">
        <v>5594</v>
      </c>
      <c r="AK2463">
        <v>1</v>
      </c>
      <c r="AL2463" t="s">
        <v>61</v>
      </c>
      <c r="AM2463" t="s">
        <v>1717</v>
      </c>
      <c r="AN2463" t="s">
        <v>1720</v>
      </c>
    </row>
    <row r="2464" spans="1:40" x14ac:dyDescent="0.35">
      <c r="A2464" t="s">
        <v>37</v>
      </c>
      <c r="B2464" t="s">
        <v>9673</v>
      </c>
      <c r="C2464" t="s">
        <v>102</v>
      </c>
      <c r="D2464" t="s">
        <v>181</v>
      </c>
      <c r="E2464" t="s">
        <v>182</v>
      </c>
      <c r="F2464" s="1">
        <v>46071.950289351851</v>
      </c>
      <c r="G2464" t="s">
        <v>105</v>
      </c>
      <c r="H2464" t="s">
        <v>106</v>
      </c>
      <c r="I2464" t="s">
        <v>1848</v>
      </c>
      <c r="J2464" t="s">
        <v>108</v>
      </c>
      <c r="K2464" t="s">
        <v>341</v>
      </c>
      <c r="M2464" t="s">
        <v>47</v>
      </c>
      <c r="O2464" t="s">
        <v>77</v>
      </c>
      <c r="P2464" t="s">
        <v>78</v>
      </c>
      <c r="Q2464" t="s">
        <v>50</v>
      </c>
      <c r="R2464" t="s">
        <v>111</v>
      </c>
      <c r="S2464" t="s">
        <v>51</v>
      </c>
      <c r="T2464" t="s">
        <v>112</v>
      </c>
      <c r="U2464" s="1">
        <v>46072.400775462964</v>
      </c>
      <c r="V2464" t="s">
        <v>54</v>
      </c>
      <c r="X2464" t="s">
        <v>113</v>
      </c>
      <c r="Y2464" t="s">
        <v>9674</v>
      </c>
      <c r="Z2464" t="s">
        <v>5594</v>
      </c>
      <c r="AA2464" t="s">
        <v>54</v>
      </c>
      <c r="AB2464" t="s">
        <v>115</v>
      </c>
      <c r="AC2464" t="s">
        <v>85</v>
      </c>
      <c r="AD2464" t="s">
        <v>116</v>
      </c>
      <c r="AE2464" t="s">
        <v>117</v>
      </c>
      <c r="AF2464" t="s">
        <v>1740</v>
      </c>
      <c r="AG2464" t="s">
        <v>5594</v>
      </c>
      <c r="AH2464" t="s">
        <v>185</v>
      </c>
      <c r="AK2464">
        <v>1</v>
      </c>
      <c r="AL2464" t="s">
        <v>61</v>
      </c>
      <c r="AM2464" t="s">
        <v>186</v>
      </c>
      <c r="AN2464" t="s">
        <v>187</v>
      </c>
    </row>
    <row r="2465" spans="1:40" x14ac:dyDescent="0.35">
      <c r="A2465" t="s">
        <v>37</v>
      </c>
      <c r="B2465" t="s">
        <v>9675</v>
      </c>
      <c r="C2465" t="s">
        <v>102</v>
      </c>
      <c r="D2465" t="s">
        <v>1698</v>
      </c>
      <c r="E2465" t="s">
        <v>584</v>
      </c>
      <c r="F2465" s="1">
        <v>46071.946643518517</v>
      </c>
      <c r="G2465" t="s">
        <v>105</v>
      </c>
      <c r="H2465" t="s">
        <v>106</v>
      </c>
      <c r="I2465" t="s">
        <v>3488</v>
      </c>
      <c r="J2465" t="s">
        <v>108</v>
      </c>
      <c r="K2465" t="s">
        <v>109</v>
      </c>
      <c r="M2465" t="s">
        <v>47</v>
      </c>
      <c r="O2465" t="s">
        <v>77</v>
      </c>
      <c r="P2465" t="s">
        <v>78</v>
      </c>
      <c r="Q2465" t="s">
        <v>50</v>
      </c>
      <c r="R2465" t="s">
        <v>111</v>
      </c>
      <c r="S2465" t="s">
        <v>51</v>
      </c>
      <c r="T2465" t="s">
        <v>112</v>
      </c>
      <c r="U2465" s="1">
        <v>46072.852743055555</v>
      </c>
      <c r="V2465" t="s">
        <v>54</v>
      </c>
      <c r="W2465" t="s">
        <v>1584</v>
      </c>
      <c r="X2465" t="s">
        <v>134</v>
      </c>
      <c r="Y2465" t="s">
        <v>9676</v>
      </c>
      <c r="Z2465" t="s">
        <v>5594</v>
      </c>
      <c r="AA2465" t="s">
        <v>54</v>
      </c>
      <c r="AB2465" t="s">
        <v>1701</v>
      </c>
      <c r="AC2465" t="s">
        <v>85</v>
      </c>
      <c r="AD2465" t="s">
        <v>116</v>
      </c>
      <c r="AE2465" t="s">
        <v>117</v>
      </c>
      <c r="AF2465" t="s">
        <v>2466</v>
      </c>
      <c r="AG2465" t="s">
        <v>5594</v>
      </c>
      <c r="AK2465">
        <v>1</v>
      </c>
      <c r="AL2465" t="s">
        <v>61</v>
      </c>
      <c r="AM2465" t="s">
        <v>1701</v>
      </c>
      <c r="AN2465" t="s">
        <v>1702</v>
      </c>
    </row>
    <row r="2466" spans="1:40" x14ac:dyDescent="0.35">
      <c r="A2466" t="s">
        <v>37</v>
      </c>
      <c r="B2466" t="s">
        <v>9677</v>
      </c>
      <c r="C2466" t="s">
        <v>102</v>
      </c>
      <c r="D2466" t="s">
        <v>1698</v>
      </c>
      <c r="E2466" t="s">
        <v>584</v>
      </c>
      <c r="F2466" s="1">
        <v>46071.937557870369</v>
      </c>
      <c r="G2466" t="s">
        <v>105</v>
      </c>
      <c r="H2466" t="s">
        <v>106</v>
      </c>
      <c r="I2466" t="s">
        <v>3488</v>
      </c>
      <c r="J2466" t="s">
        <v>108</v>
      </c>
      <c r="K2466" t="s">
        <v>109</v>
      </c>
      <c r="M2466" t="s">
        <v>47</v>
      </c>
      <c r="O2466" t="s">
        <v>77</v>
      </c>
      <c r="P2466" t="s">
        <v>78</v>
      </c>
      <c r="Q2466" t="s">
        <v>50</v>
      </c>
      <c r="R2466" t="s">
        <v>111</v>
      </c>
      <c r="S2466" t="s">
        <v>51</v>
      </c>
      <c r="T2466" t="s">
        <v>112</v>
      </c>
      <c r="U2466" s="1">
        <v>46072.851631944446</v>
      </c>
      <c r="V2466" t="s">
        <v>54</v>
      </c>
      <c r="W2466" t="s">
        <v>1584</v>
      </c>
      <c r="X2466" t="s">
        <v>134</v>
      </c>
      <c r="Y2466" t="s">
        <v>9678</v>
      </c>
      <c r="Z2466" t="s">
        <v>5594</v>
      </c>
      <c r="AA2466" t="s">
        <v>54</v>
      </c>
      <c r="AB2466" t="s">
        <v>1701</v>
      </c>
      <c r="AC2466" t="s">
        <v>85</v>
      </c>
      <c r="AD2466" t="s">
        <v>116</v>
      </c>
      <c r="AE2466" t="s">
        <v>334</v>
      </c>
      <c r="AF2466" t="s">
        <v>2466</v>
      </c>
      <c r="AG2466" t="s">
        <v>5594</v>
      </c>
      <c r="AK2466">
        <v>1</v>
      </c>
      <c r="AL2466" t="s">
        <v>61</v>
      </c>
      <c r="AM2466" t="s">
        <v>1701</v>
      </c>
      <c r="AN2466" t="s">
        <v>1702</v>
      </c>
    </row>
    <row r="2467" spans="1:40" x14ac:dyDescent="0.35">
      <c r="A2467" t="s">
        <v>37</v>
      </c>
      <c r="B2467" t="s">
        <v>9679</v>
      </c>
      <c r="C2467" t="s">
        <v>39</v>
      </c>
      <c r="D2467" t="s">
        <v>9680</v>
      </c>
      <c r="E2467" t="s">
        <v>9681</v>
      </c>
      <c r="F2467" s="1">
        <v>46071.937199074076</v>
      </c>
      <c r="G2467" t="s">
        <v>826</v>
      </c>
      <c r="H2467" t="s">
        <v>356</v>
      </c>
      <c r="I2467" t="s">
        <v>205</v>
      </c>
      <c r="J2467" t="s">
        <v>741</v>
      </c>
      <c r="K2467" t="s">
        <v>207</v>
      </c>
      <c r="M2467" t="s">
        <v>47</v>
      </c>
      <c r="O2467" t="s">
        <v>77</v>
      </c>
      <c r="P2467" t="s">
        <v>78</v>
      </c>
      <c r="Q2467" t="s">
        <v>50</v>
      </c>
      <c r="R2467" t="s">
        <v>208</v>
      </c>
      <c r="S2467" t="s">
        <v>209</v>
      </c>
      <c r="T2467" t="s">
        <v>210</v>
      </c>
      <c r="U2467" s="1">
        <v>46072.050775462965</v>
      </c>
      <c r="V2467" t="s">
        <v>54</v>
      </c>
      <c r="W2467" t="s">
        <v>55</v>
      </c>
      <c r="X2467" t="s">
        <v>211</v>
      </c>
      <c r="Y2467" t="s">
        <v>9682</v>
      </c>
      <c r="Z2467" t="s">
        <v>5594</v>
      </c>
      <c r="AA2467" t="s">
        <v>54</v>
      </c>
      <c r="AB2467" t="s">
        <v>213</v>
      </c>
      <c r="AC2467" t="s">
        <v>85</v>
      </c>
      <c r="AD2467" t="s">
        <v>214</v>
      </c>
      <c r="AE2467" t="s">
        <v>215</v>
      </c>
      <c r="AF2467" t="s">
        <v>216</v>
      </c>
      <c r="AG2467" t="s">
        <v>5594</v>
      </c>
      <c r="AH2467">
        <v>13920</v>
      </c>
      <c r="AK2467">
        <v>1</v>
      </c>
      <c r="AL2467" t="s">
        <v>61</v>
      </c>
      <c r="AM2467" t="s">
        <v>9683</v>
      </c>
      <c r="AN2467" t="s">
        <v>9684</v>
      </c>
    </row>
    <row r="2468" spans="1:40" x14ac:dyDescent="0.35">
      <c r="A2468" t="s">
        <v>37</v>
      </c>
      <c r="B2468" t="s">
        <v>9685</v>
      </c>
      <c r="C2468" t="s">
        <v>39</v>
      </c>
      <c r="D2468" t="s">
        <v>325</v>
      </c>
      <c r="E2468" t="s">
        <v>9686</v>
      </c>
      <c r="F2468" s="1">
        <v>46071.93650462963</v>
      </c>
      <c r="G2468" t="s">
        <v>304</v>
      </c>
      <c r="H2468" t="s">
        <v>106</v>
      </c>
      <c r="I2468" t="s">
        <v>205</v>
      </c>
      <c r="J2468" t="s">
        <v>741</v>
      </c>
      <c r="K2468" t="s">
        <v>207</v>
      </c>
      <c r="M2468" t="s">
        <v>47</v>
      </c>
      <c r="O2468" t="s">
        <v>77</v>
      </c>
      <c r="P2468" t="s">
        <v>78</v>
      </c>
      <c r="R2468" t="s">
        <v>208</v>
      </c>
      <c r="S2468" t="s">
        <v>209</v>
      </c>
      <c r="T2468" t="s">
        <v>210</v>
      </c>
      <c r="U2468" s="1">
        <v>46072.063055555554</v>
      </c>
      <c r="V2468" t="s">
        <v>54</v>
      </c>
      <c r="W2468" t="s">
        <v>55</v>
      </c>
      <c r="X2468" t="s">
        <v>211</v>
      </c>
      <c r="Y2468" t="s">
        <v>9687</v>
      </c>
      <c r="Z2468" t="s">
        <v>5594</v>
      </c>
      <c r="AA2468" t="s">
        <v>54</v>
      </c>
      <c r="AB2468" t="s">
        <v>213</v>
      </c>
      <c r="AC2468" t="s">
        <v>85</v>
      </c>
      <c r="AD2468" t="s">
        <v>214</v>
      </c>
      <c r="AE2468" t="s">
        <v>215</v>
      </c>
      <c r="AF2468" t="s">
        <v>216</v>
      </c>
      <c r="AG2468" t="s">
        <v>5594</v>
      </c>
      <c r="AH2468">
        <v>15000</v>
      </c>
      <c r="AK2468">
        <v>1</v>
      </c>
      <c r="AL2468" t="s">
        <v>61</v>
      </c>
      <c r="AM2468" t="s">
        <v>9688</v>
      </c>
      <c r="AN2468" t="s">
        <v>9689</v>
      </c>
    </row>
    <row r="2469" spans="1:40" x14ac:dyDescent="0.35">
      <c r="A2469" t="s">
        <v>37</v>
      </c>
      <c r="B2469" t="s">
        <v>9690</v>
      </c>
      <c r="C2469" t="s">
        <v>39</v>
      </c>
      <c r="D2469" t="s">
        <v>739</v>
      </c>
      <c r="E2469" t="s">
        <v>9691</v>
      </c>
      <c r="F2469" s="1">
        <v>46071.935439814813</v>
      </c>
      <c r="G2469" t="s">
        <v>487</v>
      </c>
      <c r="H2469" t="s">
        <v>447</v>
      </c>
      <c r="I2469" t="s">
        <v>205</v>
      </c>
      <c r="J2469" t="s">
        <v>206</v>
      </c>
      <c r="K2469" t="s">
        <v>207</v>
      </c>
      <c r="M2469" t="s">
        <v>131</v>
      </c>
      <c r="O2469" t="s">
        <v>77</v>
      </c>
      <c r="P2469" t="s">
        <v>78</v>
      </c>
      <c r="Q2469" t="s">
        <v>50</v>
      </c>
      <c r="R2469" t="s">
        <v>305</v>
      </c>
      <c r="S2469" t="s">
        <v>306</v>
      </c>
      <c r="T2469" t="s">
        <v>307</v>
      </c>
      <c r="U2469" s="1">
        <v>46077.651782407411</v>
      </c>
      <c r="V2469" t="s">
        <v>54</v>
      </c>
      <c r="W2469" t="s">
        <v>55</v>
      </c>
      <c r="X2469" t="s">
        <v>211</v>
      </c>
      <c r="Y2469" t="s">
        <v>9692</v>
      </c>
      <c r="Z2469" t="s">
        <v>58</v>
      </c>
      <c r="AA2469" t="s">
        <v>54</v>
      </c>
      <c r="AB2469" t="s">
        <v>213</v>
      </c>
      <c r="AC2469" t="s">
        <v>85</v>
      </c>
      <c r="AD2469" t="s">
        <v>214</v>
      </c>
      <c r="AE2469" t="s">
        <v>215</v>
      </c>
      <c r="AF2469" t="s">
        <v>2083</v>
      </c>
      <c r="AG2469" t="s">
        <v>58</v>
      </c>
      <c r="AH2469">
        <v>13195</v>
      </c>
      <c r="AK2469">
        <v>5</v>
      </c>
      <c r="AL2469" t="s">
        <v>61</v>
      </c>
      <c r="AM2469" t="s">
        <v>9693</v>
      </c>
      <c r="AN2469" t="s">
        <v>9694</v>
      </c>
    </row>
    <row r="2470" spans="1:40" x14ac:dyDescent="0.35">
      <c r="A2470" t="s">
        <v>37</v>
      </c>
      <c r="B2470" t="s">
        <v>9695</v>
      </c>
      <c r="C2470" t="s">
        <v>102</v>
      </c>
      <c r="D2470" t="s">
        <v>181</v>
      </c>
      <c r="E2470" t="s">
        <v>182</v>
      </c>
      <c r="F2470" s="1">
        <v>46071.935486111113</v>
      </c>
      <c r="G2470" t="s">
        <v>105</v>
      </c>
      <c r="H2470" t="s">
        <v>106</v>
      </c>
      <c r="I2470" t="s">
        <v>3414</v>
      </c>
      <c r="J2470" t="s">
        <v>108</v>
      </c>
      <c r="K2470" t="s">
        <v>341</v>
      </c>
      <c r="M2470" t="s">
        <v>47</v>
      </c>
      <c r="O2470" t="s">
        <v>77</v>
      </c>
      <c r="P2470" t="s">
        <v>78</v>
      </c>
      <c r="Q2470" t="s">
        <v>50</v>
      </c>
      <c r="R2470" t="s">
        <v>111</v>
      </c>
      <c r="S2470" t="s">
        <v>51</v>
      </c>
      <c r="T2470" t="s">
        <v>112</v>
      </c>
      <c r="U2470" s="1">
        <v>46072.490416666667</v>
      </c>
      <c r="V2470" t="s">
        <v>54</v>
      </c>
      <c r="X2470" t="s">
        <v>134</v>
      </c>
      <c r="Y2470" t="s">
        <v>9696</v>
      </c>
      <c r="Z2470" t="s">
        <v>5594</v>
      </c>
      <c r="AA2470" t="s">
        <v>54</v>
      </c>
      <c r="AB2470" t="s">
        <v>115</v>
      </c>
      <c r="AC2470" t="s">
        <v>85</v>
      </c>
      <c r="AD2470" t="s">
        <v>116</v>
      </c>
      <c r="AE2470" t="s">
        <v>117</v>
      </c>
      <c r="AF2470" t="s">
        <v>343</v>
      </c>
      <c r="AG2470" t="s">
        <v>5594</v>
      </c>
      <c r="AH2470" t="s">
        <v>185</v>
      </c>
      <c r="AK2470">
        <v>1</v>
      </c>
      <c r="AL2470" t="s">
        <v>61</v>
      </c>
      <c r="AM2470" t="s">
        <v>186</v>
      </c>
      <c r="AN2470" t="s">
        <v>187</v>
      </c>
    </row>
    <row r="2471" spans="1:40" x14ac:dyDescent="0.35">
      <c r="A2471" t="s">
        <v>37</v>
      </c>
      <c r="B2471" t="s">
        <v>9697</v>
      </c>
      <c r="C2471" t="s">
        <v>39</v>
      </c>
      <c r="D2471" t="s">
        <v>2268</v>
      </c>
      <c r="E2471" t="s">
        <v>9698</v>
      </c>
      <c r="F2471" s="1">
        <v>46071.913668981484</v>
      </c>
      <c r="G2471" t="s">
        <v>432</v>
      </c>
      <c r="H2471" t="s">
        <v>433</v>
      </c>
      <c r="I2471" t="s">
        <v>9699</v>
      </c>
      <c r="J2471" t="s">
        <v>455</v>
      </c>
      <c r="K2471" t="s">
        <v>436</v>
      </c>
      <c r="M2471" t="s">
        <v>47</v>
      </c>
      <c r="O2471" t="s">
        <v>77</v>
      </c>
      <c r="P2471" t="s">
        <v>78</v>
      </c>
      <c r="Q2471" t="s">
        <v>50</v>
      </c>
      <c r="R2471" t="s">
        <v>51</v>
      </c>
      <c r="S2471" t="s">
        <v>52</v>
      </c>
      <c r="T2471" t="s">
        <v>240</v>
      </c>
      <c r="U2471" s="1">
        <v>46073.637129629627</v>
      </c>
      <c r="V2471" t="s">
        <v>54</v>
      </c>
      <c r="W2471" t="s">
        <v>55</v>
      </c>
      <c r="X2471" t="s">
        <v>134</v>
      </c>
      <c r="Y2471" t="s">
        <v>9700</v>
      </c>
      <c r="Z2471" t="s">
        <v>5594</v>
      </c>
      <c r="AA2471" t="s">
        <v>54</v>
      </c>
      <c r="AB2471" t="s">
        <v>954</v>
      </c>
      <c r="AC2471" t="s">
        <v>85</v>
      </c>
      <c r="AD2471" t="s">
        <v>52</v>
      </c>
      <c r="AE2471" t="s">
        <v>438</v>
      </c>
      <c r="AF2471" t="s">
        <v>775</v>
      </c>
      <c r="AG2471" t="s">
        <v>5594</v>
      </c>
      <c r="AH2471" t="s">
        <v>9701</v>
      </c>
      <c r="AK2471">
        <v>1</v>
      </c>
      <c r="AL2471" t="s">
        <v>61</v>
      </c>
      <c r="AM2471" t="s">
        <v>9702</v>
      </c>
      <c r="AN2471" t="s">
        <v>9703</v>
      </c>
    </row>
    <row r="2472" spans="1:40" x14ac:dyDescent="0.35">
      <c r="A2472" t="s">
        <v>37</v>
      </c>
      <c r="B2472" t="s">
        <v>9704</v>
      </c>
      <c r="C2472" t="s">
        <v>102</v>
      </c>
      <c r="D2472" t="s">
        <v>1698</v>
      </c>
      <c r="E2472" t="s">
        <v>584</v>
      </c>
      <c r="F2472" s="1">
        <v>46071.904768518521</v>
      </c>
      <c r="G2472" t="s">
        <v>105</v>
      </c>
      <c r="H2472" t="s">
        <v>106</v>
      </c>
      <c r="I2472" t="s">
        <v>5642</v>
      </c>
      <c r="J2472" t="s">
        <v>108</v>
      </c>
      <c r="K2472" t="s">
        <v>341</v>
      </c>
      <c r="M2472" t="s">
        <v>47</v>
      </c>
      <c r="O2472" t="s">
        <v>77</v>
      </c>
      <c r="P2472" t="s">
        <v>78</v>
      </c>
      <c r="Q2472" t="s">
        <v>50</v>
      </c>
      <c r="R2472" t="s">
        <v>111</v>
      </c>
      <c r="S2472" t="s">
        <v>51</v>
      </c>
      <c r="T2472" t="s">
        <v>112</v>
      </c>
      <c r="U2472" s="1">
        <v>46072.715127314812</v>
      </c>
      <c r="V2472" t="s">
        <v>54</v>
      </c>
      <c r="X2472" t="s">
        <v>134</v>
      </c>
      <c r="Y2472" t="s">
        <v>9705</v>
      </c>
      <c r="Z2472" t="s">
        <v>5594</v>
      </c>
      <c r="AA2472" t="s">
        <v>54</v>
      </c>
      <c r="AB2472" t="s">
        <v>1701</v>
      </c>
      <c r="AC2472" t="s">
        <v>85</v>
      </c>
      <c r="AD2472" t="s">
        <v>116</v>
      </c>
      <c r="AE2472" t="s">
        <v>117</v>
      </c>
      <c r="AF2472" t="s">
        <v>1740</v>
      </c>
      <c r="AG2472" t="s">
        <v>5594</v>
      </c>
      <c r="AK2472">
        <v>1</v>
      </c>
      <c r="AL2472" t="s">
        <v>61</v>
      </c>
      <c r="AM2472" t="s">
        <v>1701</v>
      </c>
      <c r="AN2472" t="s">
        <v>1702</v>
      </c>
    </row>
    <row r="2473" spans="1:40" x14ac:dyDescent="0.35">
      <c r="A2473" t="s">
        <v>37</v>
      </c>
      <c r="B2473" t="s">
        <v>9706</v>
      </c>
      <c r="C2473" t="s">
        <v>102</v>
      </c>
      <c r="D2473" t="s">
        <v>146</v>
      </c>
      <c r="E2473" t="s">
        <v>147</v>
      </c>
      <c r="F2473" s="1">
        <v>46071.900393518517</v>
      </c>
      <c r="G2473" t="s">
        <v>71</v>
      </c>
      <c r="H2473" t="s">
        <v>72</v>
      </c>
      <c r="I2473" t="s">
        <v>2009</v>
      </c>
      <c r="J2473" t="s">
        <v>149</v>
      </c>
      <c r="K2473" t="s">
        <v>130</v>
      </c>
      <c r="M2473" t="s">
        <v>47</v>
      </c>
      <c r="O2473" t="s">
        <v>77</v>
      </c>
      <c r="P2473" t="s">
        <v>78</v>
      </c>
      <c r="Q2473" t="s">
        <v>50</v>
      </c>
      <c r="R2473" t="s">
        <v>132</v>
      </c>
      <c r="S2473" t="s">
        <v>133</v>
      </c>
      <c r="T2473" t="s">
        <v>133</v>
      </c>
      <c r="U2473" s="1">
        <v>46072.473171296297</v>
      </c>
      <c r="V2473" t="s">
        <v>54</v>
      </c>
      <c r="W2473" t="s">
        <v>55</v>
      </c>
      <c r="X2473" t="s">
        <v>82</v>
      </c>
      <c r="Y2473" t="s">
        <v>9707</v>
      </c>
      <c r="Z2473" t="s">
        <v>5594</v>
      </c>
      <c r="AA2473" t="s">
        <v>54</v>
      </c>
      <c r="AB2473" t="s">
        <v>152</v>
      </c>
      <c r="AC2473" t="s">
        <v>85</v>
      </c>
      <c r="AD2473" t="s">
        <v>132</v>
      </c>
      <c r="AE2473" t="s">
        <v>133</v>
      </c>
      <c r="AF2473" t="s">
        <v>133</v>
      </c>
      <c r="AG2473" t="s">
        <v>5594</v>
      </c>
      <c r="AH2473" t="s">
        <v>153</v>
      </c>
      <c r="AK2473">
        <v>1</v>
      </c>
      <c r="AL2473" t="s">
        <v>61</v>
      </c>
      <c r="AM2473" t="s">
        <v>152</v>
      </c>
      <c r="AN2473" t="s">
        <v>154</v>
      </c>
    </row>
    <row r="2474" spans="1:40" x14ac:dyDescent="0.35">
      <c r="A2474" t="s">
        <v>37</v>
      </c>
      <c r="B2474" t="s">
        <v>9708</v>
      </c>
      <c r="C2474" t="s">
        <v>39</v>
      </c>
      <c r="D2474" t="s">
        <v>4183</v>
      </c>
      <c r="E2474" t="s">
        <v>4184</v>
      </c>
      <c r="F2474" s="1">
        <v>46071.896122685182</v>
      </c>
      <c r="G2474" t="s">
        <v>487</v>
      </c>
      <c r="H2474" t="s">
        <v>447</v>
      </c>
      <c r="I2474" t="s">
        <v>9709</v>
      </c>
      <c r="J2474" t="s">
        <v>1015</v>
      </c>
      <c r="K2474" t="s">
        <v>75</v>
      </c>
      <c r="M2474" t="s">
        <v>76</v>
      </c>
      <c r="O2474" t="s">
        <v>77</v>
      </c>
      <c r="P2474" t="s">
        <v>78</v>
      </c>
      <c r="Q2474" t="s">
        <v>4186</v>
      </c>
      <c r="R2474" t="s">
        <v>79</v>
      </c>
      <c r="S2474" t="s">
        <v>1556</v>
      </c>
      <c r="T2474" t="s">
        <v>1557</v>
      </c>
      <c r="U2474" s="1">
        <v>46078.386990740742</v>
      </c>
      <c r="V2474" t="s">
        <v>54</v>
      </c>
      <c r="W2474" t="s">
        <v>55</v>
      </c>
      <c r="X2474" t="s">
        <v>134</v>
      </c>
      <c r="Y2474" t="s">
        <v>9710</v>
      </c>
      <c r="Z2474" t="s">
        <v>58</v>
      </c>
      <c r="AA2474" t="s">
        <v>54</v>
      </c>
      <c r="AB2474" t="s">
        <v>954</v>
      </c>
      <c r="AC2474" t="s">
        <v>85</v>
      </c>
      <c r="AD2474" t="s">
        <v>79</v>
      </c>
      <c r="AE2474" t="s">
        <v>1556</v>
      </c>
      <c r="AF2474" t="s">
        <v>1557</v>
      </c>
      <c r="AG2474" t="s">
        <v>58</v>
      </c>
      <c r="AH2474">
        <v>3945</v>
      </c>
      <c r="AK2474">
        <v>0</v>
      </c>
      <c r="AL2474" t="s">
        <v>61</v>
      </c>
      <c r="AM2474" t="s">
        <v>4188</v>
      </c>
      <c r="AN2474" t="s">
        <v>4189</v>
      </c>
    </row>
    <row r="2475" spans="1:40" x14ac:dyDescent="0.35">
      <c r="A2475" t="s">
        <v>37</v>
      </c>
      <c r="B2475" t="s">
        <v>9711</v>
      </c>
      <c r="C2475" t="s">
        <v>102</v>
      </c>
      <c r="D2475" t="s">
        <v>1698</v>
      </c>
      <c r="E2475" t="s">
        <v>584</v>
      </c>
      <c r="F2475" s="1">
        <v>46071.894317129627</v>
      </c>
      <c r="G2475" t="s">
        <v>105</v>
      </c>
      <c r="H2475" t="s">
        <v>106</v>
      </c>
      <c r="I2475" t="s">
        <v>1848</v>
      </c>
      <c r="J2475" t="s">
        <v>108</v>
      </c>
      <c r="K2475" t="s">
        <v>109</v>
      </c>
      <c r="M2475" t="s">
        <v>47</v>
      </c>
      <c r="O2475" t="s">
        <v>77</v>
      </c>
      <c r="P2475" t="s">
        <v>78</v>
      </c>
      <c r="Q2475" t="s">
        <v>50</v>
      </c>
      <c r="R2475" t="s">
        <v>111</v>
      </c>
      <c r="S2475" t="s">
        <v>51</v>
      </c>
      <c r="T2475" t="s">
        <v>112</v>
      </c>
      <c r="U2475" s="1">
        <v>46072.36142361111</v>
      </c>
      <c r="V2475" t="s">
        <v>54</v>
      </c>
      <c r="W2475" t="s">
        <v>55</v>
      </c>
      <c r="X2475" t="s">
        <v>134</v>
      </c>
      <c r="Y2475" t="s">
        <v>9712</v>
      </c>
      <c r="Z2475" t="s">
        <v>5594</v>
      </c>
      <c r="AA2475" t="s">
        <v>54</v>
      </c>
      <c r="AB2475" t="s">
        <v>1701</v>
      </c>
      <c r="AC2475" t="s">
        <v>85</v>
      </c>
      <c r="AD2475" t="s">
        <v>116</v>
      </c>
      <c r="AE2475" t="s">
        <v>117</v>
      </c>
      <c r="AF2475" t="s">
        <v>1706</v>
      </c>
      <c r="AG2475" t="s">
        <v>5594</v>
      </c>
      <c r="AK2475">
        <v>1</v>
      </c>
      <c r="AL2475" t="s">
        <v>61</v>
      </c>
      <c r="AM2475" t="s">
        <v>1701</v>
      </c>
      <c r="AN2475" t="s">
        <v>1702</v>
      </c>
    </row>
    <row r="2476" spans="1:40" x14ac:dyDescent="0.35">
      <c r="A2476" t="s">
        <v>37</v>
      </c>
      <c r="B2476" t="s">
        <v>9713</v>
      </c>
      <c r="C2476" t="s">
        <v>39</v>
      </c>
      <c r="D2476" t="s">
        <v>40</v>
      </c>
      <c r="E2476" t="s">
        <v>41</v>
      </c>
      <c r="F2476" s="1">
        <v>46071.893437500003</v>
      </c>
      <c r="G2476" t="s">
        <v>42</v>
      </c>
      <c r="H2476" t="s">
        <v>43</v>
      </c>
      <c r="I2476" t="s">
        <v>9714</v>
      </c>
      <c r="J2476" t="s">
        <v>45</v>
      </c>
      <c r="K2476" t="s">
        <v>46</v>
      </c>
      <c r="M2476" t="s">
        <v>47</v>
      </c>
      <c r="O2476" t="s">
        <v>48</v>
      </c>
      <c r="P2476" t="s">
        <v>49</v>
      </c>
      <c r="Q2476" t="s">
        <v>50</v>
      </c>
      <c r="R2476" t="s">
        <v>214</v>
      </c>
      <c r="S2476" t="s">
        <v>589</v>
      </c>
      <c r="T2476" t="s">
        <v>3593</v>
      </c>
      <c r="U2476" s="1">
        <v>46072.413888888892</v>
      </c>
      <c r="V2476" t="s">
        <v>54</v>
      </c>
      <c r="W2476" t="s">
        <v>55</v>
      </c>
      <c r="X2476" t="s">
        <v>56</v>
      </c>
      <c r="Y2476" t="s">
        <v>9715</v>
      </c>
      <c r="Z2476" t="s">
        <v>5594</v>
      </c>
      <c r="AA2476" t="s">
        <v>54</v>
      </c>
      <c r="AB2476" t="s">
        <v>59</v>
      </c>
      <c r="AC2476" t="s">
        <v>60</v>
      </c>
      <c r="AD2476" t="s">
        <v>51</v>
      </c>
      <c r="AE2476" t="s">
        <v>52</v>
      </c>
      <c r="AF2476" t="s">
        <v>53</v>
      </c>
      <c r="AG2476" t="s">
        <v>5594</v>
      </c>
      <c r="AK2476">
        <v>0</v>
      </c>
      <c r="AL2476" t="s">
        <v>61</v>
      </c>
      <c r="AM2476" t="s">
        <v>59</v>
      </c>
      <c r="AN2476" t="s">
        <v>62</v>
      </c>
    </row>
    <row r="2477" spans="1:40" x14ac:dyDescent="0.35">
      <c r="A2477" t="s">
        <v>37</v>
      </c>
      <c r="B2477" t="s">
        <v>9716</v>
      </c>
      <c r="C2477" t="s">
        <v>102</v>
      </c>
      <c r="D2477" t="s">
        <v>1668</v>
      </c>
      <c r="E2477" t="s">
        <v>1669</v>
      </c>
      <c r="F2477" s="1">
        <v>46071.886307870373</v>
      </c>
      <c r="G2477" t="s">
        <v>286</v>
      </c>
      <c r="H2477" t="s">
        <v>287</v>
      </c>
      <c r="I2477" t="s">
        <v>9717</v>
      </c>
      <c r="J2477" t="s">
        <v>1671</v>
      </c>
      <c r="K2477" t="s">
        <v>130</v>
      </c>
      <c r="M2477" t="s">
        <v>47</v>
      </c>
      <c r="O2477" t="s">
        <v>77</v>
      </c>
      <c r="P2477" t="s">
        <v>78</v>
      </c>
      <c r="Q2477" t="s">
        <v>50</v>
      </c>
      <c r="R2477" t="s">
        <v>51</v>
      </c>
      <c r="S2477" t="s">
        <v>195</v>
      </c>
      <c r="T2477" t="s">
        <v>680</v>
      </c>
      <c r="U2477" s="1">
        <v>46072.473749999997</v>
      </c>
      <c r="V2477" t="s">
        <v>54</v>
      </c>
      <c r="W2477" t="s">
        <v>55</v>
      </c>
      <c r="X2477" t="s">
        <v>134</v>
      </c>
      <c r="Y2477" t="s">
        <v>9718</v>
      </c>
      <c r="Z2477" t="s">
        <v>5594</v>
      </c>
      <c r="AA2477" t="s">
        <v>54</v>
      </c>
      <c r="AB2477" t="s">
        <v>1673</v>
      </c>
      <c r="AC2477" t="s">
        <v>85</v>
      </c>
      <c r="AD2477" t="s">
        <v>51</v>
      </c>
      <c r="AE2477" t="s">
        <v>195</v>
      </c>
      <c r="AF2477" t="s">
        <v>680</v>
      </c>
      <c r="AG2477" t="s">
        <v>5594</v>
      </c>
      <c r="AH2477" t="s">
        <v>1674</v>
      </c>
      <c r="AK2477">
        <v>1</v>
      </c>
      <c r="AL2477" t="s">
        <v>61</v>
      </c>
      <c r="AM2477" t="s">
        <v>1673</v>
      </c>
      <c r="AN2477" t="s">
        <v>1675</v>
      </c>
    </row>
    <row r="2478" spans="1:40" x14ac:dyDescent="0.35">
      <c r="A2478" t="s">
        <v>37</v>
      </c>
      <c r="B2478" t="s">
        <v>9719</v>
      </c>
      <c r="C2478" t="s">
        <v>102</v>
      </c>
      <c r="D2478" t="s">
        <v>1698</v>
      </c>
      <c r="E2478" t="s">
        <v>584</v>
      </c>
      <c r="F2478" s="1">
        <v>46071.863645833335</v>
      </c>
      <c r="G2478" t="s">
        <v>105</v>
      </c>
      <c r="H2478" t="s">
        <v>106</v>
      </c>
      <c r="I2478" t="s">
        <v>1908</v>
      </c>
      <c r="J2478" t="s">
        <v>108</v>
      </c>
      <c r="K2478" t="s">
        <v>341</v>
      </c>
      <c r="M2478" t="s">
        <v>47</v>
      </c>
      <c r="O2478" t="s">
        <v>77</v>
      </c>
      <c r="P2478" t="s">
        <v>78</v>
      </c>
      <c r="Q2478" t="s">
        <v>50</v>
      </c>
      <c r="R2478" t="s">
        <v>111</v>
      </c>
      <c r="S2478" t="s">
        <v>51</v>
      </c>
      <c r="T2478" t="s">
        <v>112</v>
      </c>
      <c r="U2478" s="1">
        <v>46072.400451388887</v>
      </c>
      <c r="V2478" t="s">
        <v>54</v>
      </c>
      <c r="X2478" t="s">
        <v>134</v>
      </c>
      <c r="Y2478" t="s">
        <v>9720</v>
      </c>
      <c r="Z2478" t="s">
        <v>5594</v>
      </c>
      <c r="AA2478" t="s">
        <v>54</v>
      </c>
      <c r="AB2478" t="s">
        <v>1701</v>
      </c>
      <c r="AC2478" t="s">
        <v>85</v>
      </c>
      <c r="AD2478" t="s">
        <v>116</v>
      </c>
      <c r="AE2478" t="s">
        <v>117</v>
      </c>
      <c r="AF2478" t="s">
        <v>1740</v>
      </c>
      <c r="AG2478" t="s">
        <v>5594</v>
      </c>
      <c r="AK2478">
        <v>1</v>
      </c>
      <c r="AL2478" t="s">
        <v>61</v>
      </c>
      <c r="AM2478" t="s">
        <v>1701</v>
      </c>
      <c r="AN2478" t="s">
        <v>1702</v>
      </c>
    </row>
    <row r="2479" spans="1:40" x14ac:dyDescent="0.35">
      <c r="A2479" t="s">
        <v>37</v>
      </c>
      <c r="B2479" t="s">
        <v>9721</v>
      </c>
      <c r="C2479" t="s">
        <v>102</v>
      </c>
      <c r="D2479" t="s">
        <v>1698</v>
      </c>
      <c r="E2479" t="s">
        <v>584</v>
      </c>
      <c r="F2479" s="1">
        <v>46071.860127314816</v>
      </c>
      <c r="G2479" t="s">
        <v>105</v>
      </c>
      <c r="H2479" t="s">
        <v>106</v>
      </c>
      <c r="I2479" t="s">
        <v>3414</v>
      </c>
      <c r="J2479" t="s">
        <v>108</v>
      </c>
      <c r="K2479" t="s">
        <v>109</v>
      </c>
      <c r="M2479" t="s">
        <v>47</v>
      </c>
      <c r="O2479" t="s">
        <v>77</v>
      </c>
      <c r="P2479" t="s">
        <v>78</v>
      </c>
      <c r="Q2479" t="s">
        <v>50</v>
      </c>
      <c r="R2479" t="s">
        <v>111</v>
      </c>
      <c r="S2479" t="s">
        <v>51</v>
      </c>
      <c r="T2479" t="s">
        <v>112</v>
      </c>
      <c r="U2479" s="1">
        <v>46072.504861111112</v>
      </c>
      <c r="V2479" t="s">
        <v>54</v>
      </c>
      <c r="W2479" t="s">
        <v>1584</v>
      </c>
      <c r="X2479" t="s">
        <v>134</v>
      </c>
      <c r="Y2479" t="s">
        <v>9722</v>
      </c>
      <c r="Z2479" t="s">
        <v>5594</v>
      </c>
      <c r="AA2479" t="s">
        <v>54</v>
      </c>
      <c r="AB2479" t="s">
        <v>1701</v>
      </c>
      <c r="AC2479" t="s">
        <v>85</v>
      </c>
      <c r="AD2479" t="s">
        <v>116</v>
      </c>
      <c r="AE2479" t="s">
        <v>117</v>
      </c>
      <c r="AF2479" t="s">
        <v>1706</v>
      </c>
      <c r="AG2479" t="s">
        <v>5594</v>
      </c>
      <c r="AK2479">
        <v>1</v>
      </c>
      <c r="AL2479" t="s">
        <v>61</v>
      </c>
      <c r="AM2479" t="s">
        <v>1701</v>
      </c>
      <c r="AN2479" t="s">
        <v>1702</v>
      </c>
    </row>
    <row r="2480" spans="1:40" x14ac:dyDescent="0.35">
      <c r="A2480" t="s">
        <v>37</v>
      </c>
      <c r="B2480" t="s">
        <v>9723</v>
      </c>
      <c r="C2480" t="s">
        <v>102</v>
      </c>
      <c r="D2480" t="s">
        <v>146</v>
      </c>
      <c r="E2480" t="s">
        <v>147</v>
      </c>
      <c r="F2480" s="1">
        <v>46071.823206018518</v>
      </c>
      <c r="G2480" t="s">
        <v>71</v>
      </c>
      <c r="H2480" t="s">
        <v>72</v>
      </c>
      <c r="I2480" t="s">
        <v>6240</v>
      </c>
      <c r="J2480" t="s">
        <v>149</v>
      </c>
      <c r="K2480" t="s">
        <v>130</v>
      </c>
      <c r="M2480" t="s">
        <v>47</v>
      </c>
      <c r="O2480" t="s">
        <v>77</v>
      </c>
      <c r="P2480" t="s">
        <v>78</v>
      </c>
      <c r="Q2480" t="s">
        <v>50</v>
      </c>
      <c r="R2480" t="s">
        <v>132</v>
      </c>
      <c r="S2480" t="s">
        <v>133</v>
      </c>
      <c r="T2480" t="s">
        <v>133</v>
      </c>
      <c r="U2480" s="1">
        <v>46072.408888888887</v>
      </c>
      <c r="V2480" t="s">
        <v>54</v>
      </c>
      <c r="W2480" t="s">
        <v>55</v>
      </c>
      <c r="X2480" t="s">
        <v>82</v>
      </c>
      <c r="Y2480" t="s">
        <v>9724</v>
      </c>
      <c r="Z2480" t="s">
        <v>5594</v>
      </c>
      <c r="AA2480" t="s">
        <v>54</v>
      </c>
      <c r="AB2480" t="s">
        <v>152</v>
      </c>
      <c r="AC2480" t="s">
        <v>85</v>
      </c>
      <c r="AD2480" t="s">
        <v>132</v>
      </c>
      <c r="AE2480" t="s">
        <v>133</v>
      </c>
      <c r="AF2480" t="s">
        <v>133</v>
      </c>
      <c r="AG2480" t="s">
        <v>5594</v>
      </c>
      <c r="AH2480" t="s">
        <v>153</v>
      </c>
      <c r="AK2480">
        <v>1</v>
      </c>
      <c r="AL2480" t="s">
        <v>61</v>
      </c>
      <c r="AM2480" t="s">
        <v>152</v>
      </c>
      <c r="AN2480" t="s">
        <v>154</v>
      </c>
    </row>
    <row r="2481" spans="1:40" x14ac:dyDescent="0.35">
      <c r="A2481" t="s">
        <v>37</v>
      </c>
      <c r="B2481" t="s">
        <v>9725</v>
      </c>
      <c r="C2481" t="s">
        <v>656</v>
      </c>
      <c r="D2481" t="s">
        <v>9726</v>
      </c>
      <c r="E2481" t="s">
        <v>9727</v>
      </c>
      <c r="F2481" s="1">
        <v>46071.784166666665</v>
      </c>
      <c r="G2481" t="s">
        <v>355</v>
      </c>
      <c r="H2481" t="s">
        <v>356</v>
      </c>
      <c r="I2481" t="s">
        <v>9728</v>
      </c>
      <c r="J2481" t="s">
        <v>2357</v>
      </c>
      <c r="K2481" t="s">
        <v>2358</v>
      </c>
      <c r="M2481" t="s">
        <v>47</v>
      </c>
      <c r="O2481" t="s">
        <v>77</v>
      </c>
      <c r="P2481" t="s">
        <v>78</v>
      </c>
      <c r="Q2481" t="s">
        <v>50</v>
      </c>
      <c r="R2481" t="s">
        <v>662</v>
      </c>
      <c r="S2481" t="s">
        <v>9729</v>
      </c>
      <c r="T2481" t="s">
        <v>9730</v>
      </c>
      <c r="U2481" s="1">
        <v>46073.444780092592</v>
      </c>
      <c r="V2481" t="s">
        <v>54</v>
      </c>
      <c r="W2481" t="s">
        <v>55</v>
      </c>
      <c r="X2481" t="s">
        <v>134</v>
      </c>
      <c r="Y2481" t="s">
        <v>9731</v>
      </c>
      <c r="Z2481" t="s">
        <v>5594</v>
      </c>
      <c r="AA2481" t="s">
        <v>54</v>
      </c>
      <c r="AB2481" t="s">
        <v>954</v>
      </c>
      <c r="AC2481" t="s">
        <v>85</v>
      </c>
      <c r="AD2481" t="s">
        <v>8343</v>
      </c>
      <c r="AE2481" t="s">
        <v>8344</v>
      </c>
      <c r="AF2481" t="s">
        <v>9732</v>
      </c>
      <c r="AG2481" t="s">
        <v>5594</v>
      </c>
      <c r="AH2481" t="s">
        <v>9733</v>
      </c>
      <c r="AK2481">
        <v>1</v>
      </c>
      <c r="AL2481" t="s">
        <v>61</v>
      </c>
      <c r="AM2481" t="s">
        <v>9734</v>
      </c>
      <c r="AN2481" t="s">
        <v>9735</v>
      </c>
    </row>
    <row r="2482" spans="1:40" x14ac:dyDescent="0.35">
      <c r="A2482" t="s">
        <v>37</v>
      </c>
      <c r="B2482" t="s">
        <v>9736</v>
      </c>
      <c r="C2482" t="s">
        <v>39</v>
      </c>
      <c r="D2482" t="s">
        <v>127</v>
      </c>
      <c r="E2482" t="s">
        <v>9737</v>
      </c>
      <c r="F2482" s="1">
        <v>46071.783321759256</v>
      </c>
      <c r="G2482" t="s">
        <v>355</v>
      </c>
      <c r="H2482" t="s">
        <v>356</v>
      </c>
      <c r="I2482" t="s">
        <v>9738</v>
      </c>
      <c r="J2482" t="s">
        <v>455</v>
      </c>
      <c r="K2482" t="s">
        <v>436</v>
      </c>
      <c r="M2482" t="s">
        <v>47</v>
      </c>
      <c r="O2482" t="s">
        <v>237</v>
      </c>
      <c r="P2482" t="s">
        <v>238</v>
      </c>
      <c r="Q2482" t="s">
        <v>50</v>
      </c>
      <c r="R2482" t="s">
        <v>51</v>
      </c>
      <c r="S2482" t="s">
        <v>52</v>
      </c>
      <c r="T2482" t="s">
        <v>240</v>
      </c>
      <c r="U2482" s="1">
        <v>46072.506574074076</v>
      </c>
      <c r="V2482" t="s">
        <v>54</v>
      </c>
      <c r="W2482" t="s">
        <v>55</v>
      </c>
      <c r="X2482" t="s">
        <v>211</v>
      </c>
      <c r="Y2482" t="s">
        <v>9739</v>
      </c>
      <c r="Z2482" t="s">
        <v>5594</v>
      </c>
      <c r="AA2482" t="s">
        <v>54</v>
      </c>
      <c r="AB2482" t="s">
        <v>213</v>
      </c>
      <c r="AC2482" t="s">
        <v>242</v>
      </c>
      <c r="AD2482" t="s">
        <v>52</v>
      </c>
      <c r="AE2482" t="s">
        <v>438</v>
      </c>
      <c r="AF2482" t="s">
        <v>775</v>
      </c>
      <c r="AG2482" t="s">
        <v>5594</v>
      </c>
      <c r="AH2482" t="s">
        <v>9740</v>
      </c>
      <c r="AK2482">
        <v>1</v>
      </c>
      <c r="AL2482" t="s">
        <v>61</v>
      </c>
      <c r="AM2482" t="s">
        <v>9741</v>
      </c>
      <c r="AN2482" t="s">
        <v>9742</v>
      </c>
    </row>
    <row r="2483" spans="1:40" x14ac:dyDescent="0.35">
      <c r="A2483" t="s">
        <v>37</v>
      </c>
      <c r="B2483" t="s">
        <v>9743</v>
      </c>
      <c r="C2483" t="s">
        <v>39</v>
      </c>
      <c r="D2483" t="s">
        <v>747</v>
      </c>
      <c r="E2483" t="s">
        <v>9744</v>
      </c>
      <c r="F2483" s="1">
        <v>46071.779305555552</v>
      </c>
      <c r="I2483" t="s">
        <v>8248</v>
      </c>
      <c r="J2483" t="s">
        <v>1058</v>
      </c>
      <c r="K2483" t="s">
        <v>436</v>
      </c>
      <c r="M2483" t="s">
        <v>47</v>
      </c>
      <c r="O2483" t="s">
        <v>77</v>
      </c>
      <c r="P2483" t="s">
        <v>78</v>
      </c>
      <c r="Q2483" t="s">
        <v>50</v>
      </c>
      <c r="R2483" t="s">
        <v>51</v>
      </c>
      <c r="S2483" t="s">
        <v>52</v>
      </c>
      <c r="T2483" t="s">
        <v>240</v>
      </c>
      <c r="U2483" s="1">
        <v>46072.385972222219</v>
      </c>
      <c r="V2483" t="s">
        <v>54</v>
      </c>
      <c r="W2483" t="s">
        <v>55</v>
      </c>
      <c r="X2483" t="s">
        <v>134</v>
      </c>
      <c r="Y2483" t="s">
        <v>9745</v>
      </c>
      <c r="Z2483" t="s">
        <v>5594</v>
      </c>
      <c r="AA2483" t="s">
        <v>54</v>
      </c>
      <c r="AB2483" t="s">
        <v>954</v>
      </c>
      <c r="AC2483" t="s">
        <v>85</v>
      </c>
      <c r="AD2483" t="s">
        <v>52</v>
      </c>
      <c r="AE2483" t="s">
        <v>438</v>
      </c>
      <c r="AF2483" t="s">
        <v>775</v>
      </c>
      <c r="AG2483" t="s">
        <v>5594</v>
      </c>
      <c r="AH2483" t="s">
        <v>9746</v>
      </c>
      <c r="AK2483">
        <v>1</v>
      </c>
      <c r="AL2483" t="s">
        <v>61</v>
      </c>
      <c r="AM2483" t="s">
        <v>9747</v>
      </c>
      <c r="AN2483" t="s">
        <v>9748</v>
      </c>
    </row>
    <row r="2484" spans="1:40" x14ac:dyDescent="0.35">
      <c r="A2484" t="s">
        <v>37</v>
      </c>
      <c r="B2484" t="s">
        <v>9749</v>
      </c>
      <c r="C2484" t="s">
        <v>39</v>
      </c>
      <c r="D2484" t="s">
        <v>1429</v>
      </c>
      <c r="E2484" t="s">
        <v>9750</v>
      </c>
      <c r="F2484" s="1">
        <v>46071.777719907404</v>
      </c>
      <c r="G2484" t="s">
        <v>327</v>
      </c>
      <c r="H2484" t="s">
        <v>72</v>
      </c>
      <c r="I2484" t="s">
        <v>9751</v>
      </c>
      <c r="J2484" t="s">
        <v>8166</v>
      </c>
      <c r="K2484" t="s">
        <v>3681</v>
      </c>
      <c r="M2484" t="s">
        <v>47</v>
      </c>
      <c r="O2484" t="s">
        <v>77</v>
      </c>
      <c r="P2484" t="s">
        <v>78</v>
      </c>
      <c r="Q2484" t="s">
        <v>50</v>
      </c>
      <c r="R2484" t="s">
        <v>51</v>
      </c>
      <c r="S2484" t="s">
        <v>52</v>
      </c>
      <c r="T2484" t="s">
        <v>240</v>
      </c>
      <c r="U2484" s="1">
        <v>46073.514120370368</v>
      </c>
      <c r="V2484" t="s">
        <v>54</v>
      </c>
      <c r="W2484" t="s">
        <v>55</v>
      </c>
      <c r="X2484" t="s">
        <v>134</v>
      </c>
      <c r="Y2484" t="s">
        <v>9752</v>
      </c>
      <c r="Z2484" t="s">
        <v>5594</v>
      </c>
      <c r="AA2484" t="s">
        <v>54</v>
      </c>
      <c r="AB2484" t="s">
        <v>954</v>
      </c>
      <c r="AC2484" t="s">
        <v>85</v>
      </c>
      <c r="AD2484" t="s">
        <v>52</v>
      </c>
      <c r="AE2484" t="s">
        <v>243</v>
      </c>
      <c r="AF2484" t="s">
        <v>1470</v>
      </c>
      <c r="AG2484" t="s">
        <v>5594</v>
      </c>
      <c r="AH2484">
        <v>15647</v>
      </c>
      <c r="AK2484">
        <v>1</v>
      </c>
      <c r="AL2484" t="s">
        <v>61</v>
      </c>
      <c r="AM2484" t="s">
        <v>9753</v>
      </c>
      <c r="AN2484" t="s">
        <v>9754</v>
      </c>
    </row>
    <row r="2485" spans="1:40" x14ac:dyDescent="0.35">
      <c r="A2485" t="s">
        <v>37</v>
      </c>
      <c r="B2485" t="s">
        <v>9755</v>
      </c>
      <c r="C2485" t="s">
        <v>39</v>
      </c>
      <c r="D2485" t="s">
        <v>799</v>
      </c>
      <c r="E2485" t="s">
        <v>303</v>
      </c>
      <c r="F2485" s="1">
        <v>46071.775462962964</v>
      </c>
      <c r="G2485" t="s">
        <v>370</v>
      </c>
      <c r="H2485" t="s">
        <v>371</v>
      </c>
      <c r="I2485" t="s">
        <v>9756</v>
      </c>
      <c r="J2485" t="s">
        <v>455</v>
      </c>
      <c r="K2485" t="s">
        <v>436</v>
      </c>
      <c r="M2485" t="s">
        <v>76</v>
      </c>
      <c r="O2485" t="s">
        <v>77</v>
      </c>
      <c r="P2485" t="s">
        <v>78</v>
      </c>
      <c r="Q2485" t="s">
        <v>50</v>
      </c>
      <c r="R2485" t="s">
        <v>51</v>
      </c>
      <c r="S2485" t="s">
        <v>52</v>
      </c>
      <c r="T2485" t="s">
        <v>4080</v>
      </c>
      <c r="U2485" s="1">
        <v>46076.499699074076</v>
      </c>
      <c r="V2485" t="s">
        <v>54</v>
      </c>
      <c r="W2485" t="s">
        <v>55</v>
      </c>
      <c r="X2485" t="s">
        <v>134</v>
      </c>
      <c r="Y2485" t="s">
        <v>9757</v>
      </c>
      <c r="Z2485" t="s">
        <v>58</v>
      </c>
      <c r="AA2485" t="s">
        <v>54</v>
      </c>
      <c r="AB2485" t="s">
        <v>954</v>
      </c>
      <c r="AC2485" t="s">
        <v>85</v>
      </c>
      <c r="AD2485" t="s">
        <v>52</v>
      </c>
      <c r="AE2485" t="s">
        <v>438</v>
      </c>
      <c r="AF2485" t="s">
        <v>439</v>
      </c>
      <c r="AG2485" t="s">
        <v>58</v>
      </c>
      <c r="AH2485">
        <v>15782</v>
      </c>
      <c r="AK2485">
        <v>1</v>
      </c>
      <c r="AL2485" t="s">
        <v>61</v>
      </c>
      <c r="AM2485" t="s">
        <v>9758</v>
      </c>
      <c r="AN2485" t="s">
        <v>9759</v>
      </c>
    </row>
    <row r="2486" spans="1:40" x14ac:dyDescent="0.35">
      <c r="A2486" t="s">
        <v>37</v>
      </c>
      <c r="B2486" t="s">
        <v>9760</v>
      </c>
      <c r="C2486" t="s">
        <v>102</v>
      </c>
      <c r="D2486" t="s">
        <v>1698</v>
      </c>
      <c r="E2486" t="s">
        <v>584</v>
      </c>
      <c r="F2486" s="1">
        <v>46071.738518518519</v>
      </c>
      <c r="G2486" t="s">
        <v>105</v>
      </c>
      <c r="H2486" t="s">
        <v>106</v>
      </c>
      <c r="I2486" t="s">
        <v>5843</v>
      </c>
      <c r="J2486" t="s">
        <v>108</v>
      </c>
      <c r="K2486" t="s">
        <v>341</v>
      </c>
      <c r="M2486" t="s">
        <v>47</v>
      </c>
      <c r="O2486" t="s">
        <v>77</v>
      </c>
      <c r="P2486" t="s">
        <v>78</v>
      </c>
      <c r="Q2486" t="s">
        <v>50</v>
      </c>
      <c r="R2486" t="s">
        <v>111</v>
      </c>
      <c r="S2486" t="s">
        <v>51</v>
      </c>
      <c r="T2486" t="s">
        <v>112</v>
      </c>
      <c r="U2486" s="1">
        <v>46072.506192129629</v>
      </c>
      <c r="V2486" t="s">
        <v>54</v>
      </c>
      <c r="X2486" t="s">
        <v>56</v>
      </c>
      <c r="Y2486" t="s">
        <v>9761</v>
      </c>
      <c r="Z2486" t="s">
        <v>5594</v>
      </c>
      <c r="AA2486" t="s">
        <v>54</v>
      </c>
      <c r="AB2486" t="s">
        <v>115</v>
      </c>
      <c r="AC2486" t="s">
        <v>85</v>
      </c>
      <c r="AD2486" t="s">
        <v>116</v>
      </c>
      <c r="AE2486" t="s">
        <v>117</v>
      </c>
      <c r="AF2486" t="s">
        <v>343</v>
      </c>
      <c r="AG2486" t="s">
        <v>5594</v>
      </c>
      <c r="AK2486">
        <v>1</v>
      </c>
      <c r="AL2486" t="s">
        <v>61</v>
      </c>
      <c r="AM2486" t="s">
        <v>1701</v>
      </c>
      <c r="AN2486" t="s">
        <v>1702</v>
      </c>
    </row>
    <row r="2487" spans="1:40" x14ac:dyDescent="0.35">
      <c r="A2487" t="s">
        <v>37</v>
      </c>
      <c r="B2487" t="s">
        <v>9762</v>
      </c>
      <c r="C2487" t="s">
        <v>39</v>
      </c>
      <c r="D2487" t="s">
        <v>583</v>
      </c>
      <c r="E2487" t="s">
        <v>584</v>
      </c>
      <c r="F2487" s="1">
        <v>46071.723599537036</v>
      </c>
      <c r="G2487" t="s">
        <v>585</v>
      </c>
      <c r="H2487" t="s">
        <v>356</v>
      </c>
      <c r="I2487" t="s">
        <v>9763</v>
      </c>
      <c r="J2487" t="s">
        <v>950</v>
      </c>
      <c r="K2487" t="s">
        <v>951</v>
      </c>
      <c r="M2487" t="s">
        <v>47</v>
      </c>
      <c r="O2487" t="s">
        <v>77</v>
      </c>
      <c r="P2487" t="s">
        <v>78</v>
      </c>
      <c r="Q2487" t="s">
        <v>50</v>
      </c>
      <c r="R2487" t="s">
        <v>79</v>
      </c>
      <c r="S2487" t="s">
        <v>1556</v>
      </c>
      <c r="T2487" t="s">
        <v>1557</v>
      </c>
      <c r="U2487" s="1">
        <v>46072.470810185187</v>
      </c>
      <c r="V2487" t="s">
        <v>54</v>
      </c>
      <c r="W2487" t="s">
        <v>55</v>
      </c>
      <c r="X2487" t="s">
        <v>134</v>
      </c>
      <c r="Y2487" t="s">
        <v>9764</v>
      </c>
      <c r="Z2487" t="s">
        <v>5594</v>
      </c>
      <c r="AA2487" t="s">
        <v>54</v>
      </c>
      <c r="AB2487" t="s">
        <v>954</v>
      </c>
      <c r="AC2487" t="s">
        <v>85</v>
      </c>
      <c r="AD2487" t="s">
        <v>79</v>
      </c>
      <c r="AE2487" t="s">
        <v>1560</v>
      </c>
      <c r="AF2487" t="s">
        <v>1561</v>
      </c>
      <c r="AG2487" t="s">
        <v>5594</v>
      </c>
      <c r="AK2487">
        <v>1</v>
      </c>
      <c r="AL2487" t="s">
        <v>61</v>
      </c>
      <c r="AM2487" t="s">
        <v>593</v>
      </c>
      <c r="AN2487" t="s">
        <v>594</v>
      </c>
    </row>
    <row r="2488" spans="1:40" x14ac:dyDescent="0.35">
      <c r="A2488" t="s">
        <v>37</v>
      </c>
      <c r="B2488" t="s">
        <v>9765</v>
      </c>
      <c r="C2488" t="s">
        <v>39</v>
      </c>
      <c r="D2488" t="s">
        <v>8634</v>
      </c>
      <c r="E2488" t="s">
        <v>5422</v>
      </c>
      <c r="F2488" s="1">
        <v>46071.719722222224</v>
      </c>
      <c r="G2488" t="s">
        <v>4078</v>
      </c>
      <c r="H2488" t="s">
        <v>356</v>
      </c>
      <c r="I2488" t="s">
        <v>1140</v>
      </c>
      <c r="J2488" t="s">
        <v>1015</v>
      </c>
      <c r="K2488" t="s">
        <v>75</v>
      </c>
      <c r="M2488" t="s">
        <v>47</v>
      </c>
      <c r="O2488" t="s">
        <v>77</v>
      </c>
      <c r="P2488" t="s">
        <v>78</v>
      </c>
      <c r="Q2488" t="s">
        <v>50</v>
      </c>
      <c r="R2488" t="s">
        <v>79</v>
      </c>
      <c r="S2488" t="s">
        <v>967</v>
      </c>
      <c r="T2488" t="s">
        <v>1072</v>
      </c>
      <c r="U2488" s="1">
        <v>46073.867812500001</v>
      </c>
      <c r="V2488" t="s">
        <v>54</v>
      </c>
      <c r="W2488" t="s">
        <v>55</v>
      </c>
      <c r="X2488" t="s">
        <v>134</v>
      </c>
      <c r="Y2488" t="s">
        <v>9766</v>
      </c>
      <c r="Z2488" t="s">
        <v>5594</v>
      </c>
      <c r="AA2488" t="s">
        <v>54</v>
      </c>
      <c r="AB2488" t="s">
        <v>954</v>
      </c>
      <c r="AC2488" t="s">
        <v>85</v>
      </c>
      <c r="AD2488" t="s">
        <v>79</v>
      </c>
      <c r="AE2488" t="s">
        <v>967</v>
      </c>
      <c r="AF2488" t="s">
        <v>1072</v>
      </c>
      <c r="AG2488" t="s">
        <v>5594</v>
      </c>
      <c r="AH2488">
        <v>15537</v>
      </c>
      <c r="AK2488">
        <v>2</v>
      </c>
      <c r="AL2488" t="s">
        <v>61</v>
      </c>
      <c r="AM2488" t="s">
        <v>9767</v>
      </c>
      <c r="AN2488" t="s">
        <v>9768</v>
      </c>
    </row>
    <row r="2489" spans="1:40" x14ac:dyDescent="0.35">
      <c r="A2489" t="s">
        <v>37</v>
      </c>
      <c r="B2489" t="s">
        <v>9769</v>
      </c>
      <c r="C2489" t="s">
        <v>102</v>
      </c>
      <c r="D2489" t="s">
        <v>9770</v>
      </c>
      <c r="E2489" t="s">
        <v>469</v>
      </c>
      <c r="F2489" s="1">
        <v>46071.706099537034</v>
      </c>
      <c r="G2489" t="s">
        <v>250</v>
      </c>
      <c r="H2489" t="s">
        <v>106</v>
      </c>
      <c r="I2489" t="s">
        <v>9771</v>
      </c>
      <c r="J2489" t="s">
        <v>5470</v>
      </c>
      <c r="K2489" t="s">
        <v>2345</v>
      </c>
      <c r="M2489" t="s">
        <v>2139</v>
      </c>
      <c r="O2489" t="s">
        <v>237</v>
      </c>
      <c r="P2489" t="s">
        <v>238</v>
      </c>
      <c r="Q2489" t="s">
        <v>9772</v>
      </c>
      <c r="R2489" t="s">
        <v>305</v>
      </c>
      <c r="S2489" t="s">
        <v>306</v>
      </c>
      <c r="T2489" t="s">
        <v>307</v>
      </c>
      <c r="U2489" s="1">
        <v>46076.572013888886</v>
      </c>
      <c r="V2489" t="s">
        <v>54</v>
      </c>
      <c r="W2489" t="s">
        <v>1584</v>
      </c>
      <c r="X2489" t="s">
        <v>211</v>
      </c>
      <c r="Y2489" t="s">
        <v>9773</v>
      </c>
      <c r="Z2489" t="s">
        <v>58</v>
      </c>
      <c r="AA2489" t="s">
        <v>54</v>
      </c>
      <c r="AB2489" t="s">
        <v>213</v>
      </c>
      <c r="AC2489" t="s">
        <v>242</v>
      </c>
      <c r="AD2489" t="s">
        <v>305</v>
      </c>
      <c r="AE2489" t="s">
        <v>306</v>
      </c>
      <c r="AF2489" t="s">
        <v>307</v>
      </c>
      <c r="AG2489" t="s">
        <v>58</v>
      </c>
      <c r="AH2489">
        <v>3624</v>
      </c>
      <c r="AK2489">
        <v>1</v>
      </c>
      <c r="AL2489" t="s">
        <v>61</v>
      </c>
      <c r="AM2489" t="s">
        <v>9774</v>
      </c>
      <c r="AN2489" t="s">
        <v>9775</v>
      </c>
    </row>
    <row r="2490" spans="1:40" x14ac:dyDescent="0.35">
      <c r="A2490" t="s">
        <v>37</v>
      </c>
      <c r="B2490" t="s">
        <v>9776</v>
      </c>
      <c r="C2490" t="s">
        <v>102</v>
      </c>
      <c r="D2490" t="s">
        <v>1698</v>
      </c>
      <c r="E2490" t="s">
        <v>584</v>
      </c>
      <c r="F2490" s="1">
        <v>46071.704548611109</v>
      </c>
      <c r="G2490" t="s">
        <v>105</v>
      </c>
      <c r="H2490" t="s">
        <v>106</v>
      </c>
      <c r="I2490" t="s">
        <v>9777</v>
      </c>
      <c r="J2490" t="s">
        <v>108</v>
      </c>
      <c r="K2490" t="s">
        <v>109</v>
      </c>
      <c r="M2490" t="s">
        <v>150</v>
      </c>
      <c r="O2490" t="s">
        <v>77</v>
      </c>
      <c r="P2490" t="s">
        <v>78</v>
      </c>
      <c r="Q2490" t="s">
        <v>50</v>
      </c>
      <c r="R2490" t="s">
        <v>111</v>
      </c>
      <c r="S2490" t="s">
        <v>51</v>
      </c>
      <c r="T2490" t="s">
        <v>112</v>
      </c>
      <c r="U2490" s="1">
        <v>46078.869814814818</v>
      </c>
      <c r="V2490" t="s">
        <v>54</v>
      </c>
      <c r="W2490" t="s">
        <v>1584</v>
      </c>
      <c r="X2490" t="s">
        <v>134</v>
      </c>
      <c r="Y2490" t="s">
        <v>9778</v>
      </c>
      <c r="Z2490" t="s">
        <v>58</v>
      </c>
      <c r="AA2490" t="s">
        <v>54</v>
      </c>
      <c r="AB2490" t="s">
        <v>1701</v>
      </c>
      <c r="AC2490" t="s">
        <v>85</v>
      </c>
      <c r="AD2490" t="s">
        <v>116</v>
      </c>
      <c r="AE2490" t="s">
        <v>117</v>
      </c>
      <c r="AF2490" t="s">
        <v>161</v>
      </c>
      <c r="AG2490" t="s">
        <v>58</v>
      </c>
      <c r="AK2490">
        <v>1</v>
      </c>
      <c r="AL2490" t="s">
        <v>61</v>
      </c>
      <c r="AM2490" t="s">
        <v>1701</v>
      </c>
      <c r="AN2490" t="s">
        <v>1702</v>
      </c>
    </row>
    <row r="2491" spans="1:40" x14ac:dyDescent="0.35">
      <c r="A2491" t="s">
        <v>37</v>
      </c>
      <c r="B2491" t="s">
        <v>9779</v>
      </c>
      <c r="C2491" t="s">
        <v>102</v>
      </c>
      <c r="D2491" t="s">
        <v>3106</v>
      </c>
      <c r="E2491" t="s">
        <v>3107</v>
      </c>
      <c r="F2491" s="1">
        <v>46071.695150462961</v>
      </c>
      <c r="G2491" t="s">
        <v>105</v>
      </c>
      <c r="H2491" t="s">
        <v>106</v>
      </c>
      <c r="I2491" t="s">
        <v>9780</v>
      </c>
      <c r="J2491" t="s">
        <v>108</v>
      </c>
      <c r="K2491" t="s">
        <v>109</v>
      </c>
      <c r="M2491" t="s">
        <v>150</v>
      </c>
      <c r="O2491" t="s">
        <v>77</v>
      </c>
      <c r="P2491" t="s">
        <v>78</v>
      </c>
      <c r="Q2491" t="s">
        <v>50</v>
      </c>
      <c r="R2491" t="s">
        <v>111</v>
      </c>
      <c r="S2491" t="s">
        <v>51</v>
      </c>
      <c r="T2491" t="s">
        <v>1583</v>
      </c>
      <c r="U2491" s="1">
        <v>46077.934664351851</v>
      </c>
      <c r="V2491" t="s">
        <v>54</v>
      </c>
      <c r="W2491" t="s">
        <v>1584</v>
      </c>
      <c r="X2491" t="s">
        <v>113</v>
      </c>
      <c r="Y2491" t="s">
        <v>9781</v>
      </c>
      <c r="Z2491" t="s">
        <v>58</v>
      </c>
      <c r="AA2491" t="s">
        <v>54</v>
      </c>
      <c r="AB2491" t="s">
        <v>115</v>
      </c>
      <c r="AC2491" t="s">
        <v>85</v>
      </c>
      <c r="AD2491" t="s">
        <v>116</v>
      </c>
      <c r="AE2491" t="s">
        <v>1586</v>
      </c>
      <c r="AF2491" t="s">
        <v>196</v>
      </c>
      <c r="AG2491" t="s">
        <v>58</v>
      </c>
      <c r="AH2491" t="s">
        <v>3111</v>
      </c>
      <c r="AK2491">
        <v>1</v>
      </c>
      <c r="AL2491" t="s">
        <v>61</v>
      </c>
      <c r="AM2491" t="s">
        <v>3112</v>
      </c>
      <c r="AN2491" t="s">
        <v>3113</v>
      </c>
    </row>
    <row r="2492" spans="1:40" x14ac:dyDescent="0.35">
      <c r="A2492" t="s">
        <v>37</v>
      </c>
      <c r="B2492" t="s">
        <v>9782</v>
      </c>
      <c r="C2492" t="s">
        <v>39</v>
      </c>
      <c r="D2492" t="s">
        <v>8634</v>
      </c>
      <c r="E2492" t="s">
        <v>5422</v>
      </c>
      <c r="F2492" s="1">
        <v>46071.696145833332</v>
      </c>
      <c r="G2492" t="s">
        <v>4078</v>
      </c>
      <c r="H2492" t="s">
        <v>356</v>
      </c>
      <c r="I2492" t="s">
        <v>9783</v>
      </c>
      <c r="J2492" t="s">
        <v>1015</v>
      </c>
      <c r="K2492" t="s">
        <v>75</v>
      </c>
      <c r="M2492" t="s">
        <v>76</v>
      </c>
      <c r="O2492" t="s">
        <v>77</v>
      </c>
      <c r="P2492" t="s">
        <v>78</v>
      </c>
      <c r="Q2492" t="s">
        <v>50</v>
      </c>
      <c r="R2492" t="s">
        <v>79</v>
      </c>
      <c r="S2492" t="s">
        <v>1556</v>
      </c>
      <c r="T2492" t="s">
        <v>1557</v>
      </c>
      <c r="U2492" s="1">
        <v>46076.420567129629</v>
      </c>
      <c r="V2492" t="s">
        <v>54</v>
      </c>
      <c r="W2492" t="s">
        <v>55</v>
      </c>
      <c r="X2492" t="s">
        <v>134</v>
      </c>
      <c r="Y2492" t="s">
        <v>9784</v>
      </c>
      <c r="Z2492" t="s">
        <v>58</v>
      </c>
      <c r="AA2492" t="s">
        <v>54</v>
      </c>
      <c r="AB2492" t="s">
        <v>954</v>
      </c>
      <c r="AC2492" t="s">
        <v>85</v>
      </c>
      <c r="AD2492" t="s">
        <v>79</v>
      </c>
      <c r="AE2492" t="s">
        <v>1556</v>
      </c>
      <c r="AF2492" t="s">
        <v>1557</v>
      </c>
      <c r="AG2492" t="s">
        <v>58</v>
      </c>
      <c r="AH2492">
        <v>15537</v>
      </c>
      <c r="AK2492">
        <v>0</v>
      </c>
      <c r="AL2492" t="s">
        <v>61</v>
      </c>
      <c r="AM2492" t="s">
        <v>9767</v>
      </c>
      <c r="AN2492" t="s">
        <v>9768</v>
      </c>
    </row>
    <row r="2493" spans="1:40" x14ac:dyDescent="0.35">
      <c r="A2493" t="s">
        <v>37</v>
      </c>
      <c r="B2493" t="s">
        <v>9785</v>
      </c>
      <c r="C2493" t="s">
        <v>102</v>
      </c>
      <c r="D2493" t="s">
        <v>3106</v>
      </c>
      <c r="E2493" t="s">
        <v>3107</v>
      </c>
      <c r="F2493" s="1">
        <v>46071.694791666669</v>
      </c>
      <c r="G2493" t="s">
        <v>105</v>
      </c>
      <c r="H2493" t="s">
        <v>106</v>
      </c>
      <c r="I2493" t="s">
        <v>9780</v>
      </c>
      <c r="J2493" t="s">
        <v>108</v>
      </c>
      <c r="K2493" t="s">
        <v>109</v>
      </c>
      <c r="M2493" t="s">
        <v>150</v>
      </c>
      <c r="O2493" t="s">
        <v>77</v>
      </c>
      <c r="P2493" t="s">
        <v>78</v>
      </c>
      <c r="Q2493" t="s">
        <v>50</v>
      </c>
      <c r="R2493" t="s">
        <v>111</v>
      </c>
      <c r="S2493" t="s">
        <v>51</v>
      </c>
      <c r="T2493" t="s">
        <v>1583</v>
      </c>
      <c r="U2493" s="1">
        <v>46077.935057870367</v>
      </c>
      <c r="V2493" t="s">
        <v>54</v>
      </c>
      <c r="W2493" t="s">
        <v>1584</v>
      </c>
      <c r="X2493" t="s">
        <v>113</v>
      </c>
      <c r="Y2493" t="s">
        <v>9781</v>
      </c>
      <c r="Z2493" t="s">
        <v>58</v>
      </c>
      <c r="AA2493" t="s">
        <v>54</v>
      </c>
      <c r="AB2493" t="s">
        <v>115</v>
      </c>
      <c r="AC2493" t="s">
        <v>85</v>
      </c>
      <c r="AD2493" t="s">
        <v>116</v>
      </c>
      <c r="AE2493" t="s">
        <v>1586</v>
      </c>
      <c r="AF2493" t="s">
        <v>196</v>
      </c>
      <c r="AG2493" t="s">
        <v>58</v>
      </c>
      <c r="AH2493" t="s">
        <v>3111</v>
      </c>
      <c r="AK2493">
        <v>1</v>
      </c>
      <c r="AL2493" t="s">
        <v>61</v>
      </c>
      <c r="AM2493" t="s">
        <v>3112</v>
      </c>
      <c r="AN2493" t="s">
        <v>3113</v>
      </c>
    </row>
    <row r="2494" spans="1:40" x14ac:dyDescent="0.35">
      <c r="A2494" t="s">
        <v>37</v>
      </c>
      <c r="B2494" t="s">
        <v>9786</v>
      </c>
      <c r="C2494" t="s">
        <v>39</v>
      </c>
      <c r="D2494" t="s">
        <v>7445</v>
      </c>
      <c r="E2494" t="s">
        <v>1316</v>
      </c>
      <c r="F2494" s="1">
        <v>46071.680555555555</v>
      </c>
      <c r="G2494" t="s">
        <v>286</v>
      </c>
      <c r="H2494" t="s">
        <v>287</v>
      </c>
      <c r="I2494" t="s">
        <v>9787</v>
      </c>
      <c r="J2494" t="s">
        <v>7447</v>
      </c>
      <c r="K2494" t="s">
        <v>7448</v>
      </c>
      <c r="M2494" t="s">
        <v>131</v>
      </c>
      <c r="O2494" t="s">
        <v>77</v>
      </c>
      <c r="P2494" t="s">
        <v>78</v>
      </c>
      <c r="Q2494" t="s">
        <v>50</v>
      </c>
      <c r="R2494" t="s">
        <v>51</v>
      </c>
      <c r="S2494" t="s">
        <v>52</v>
      </c>
      <c r="T2494" t="s">
        <v>240</v>
      </c>
      <c r="U2494" s="1">
        <v>46078.382268518515</v>
      </c>
      <c r="V2494" t="s">
        <v>54</v>
      </c>
      <c r="W2494" t="s">
        <v>55</v>
      </c>
      <c r="X2494" t="s">
        <v>134</v>
      </c>
      <c r="Y2494" t="s">
        <v>9788</v>
      </c>
      <c r="Z2494" t="s">
        <v>58</v>
      </c>
      <c r="AA2494" t="s">
        <v>54</v>
      </c>
      <c r="AB2494" t="s">
        <v>7450</v>
      </c>
      <c r="AC2494" t="s">
        <v>85</v>
      </c>
      <c r="AD2494" t="s">
        <v>52</v>
      </c>
      <c r="AE2494" t="s">
        <v>243</v>
      </c>
      <c r="AF2494" t="s">
        <v>409</v>
      </c>
      <c r="AG2494" t="s">
        <v>58</v>
      </c>
      <c r="AK2494">
        <v>0</v>
      </c>
      <c r="AL2494" t="s">
        <v>61</v>
      </c>
      <c r="AM2494" t="s">
        <v>7451</v>
      </c>
      <c r="AN2494" t="s">
        <v>7452</v>
      </c>
    </row>
    <row r="2495" spans="1:40" x14ac:dyDescent="0.35">
      <c r="A2495" t="s">
        <v>37</v>
      </c>
      <c r="B2495" t="s">
        <v>9789</v>
      </c>
      <c r="C2495" t="s">
        <v>39</v>
      </c>
      <c r="D2495" t="s">
        <v>583</v>
      </c>
      <c r="E2495" t="s">
        <v>584</v>
      </c>
      <c r="F2495" s="1">
        <v>46071.678900462961</v>
      </c>
      <c r="G2495" t="s">
        <v>585</v>
      </c>
      <c r="H2495" t="s">
        <v>356</v>
      </c>
      <c r="I2495" t="s">
        <v>9790</v>
      </c>
      <c r="J2495" t="s">
        <v>1015</v>
      </c>
      <c r="K2495" t="s">
        <v>75</v>
      </c>
      <c r="M2495" t="s">
        <v>76</v>
      </c>
      <c r="O2495" t="s">
        <v>77</v>
      </c>
      <c r="P2495" t="s">
        <v>78</v>
      </c>
      <c r="Q2495" t="s">
        <v>50</v>
      </c>
      <c r="R2495" t="s">
        <v>79</v>
      </c>
      <c r="S2495" t="s">
        <v>1556</v>
      </c>
      <c r="T2495" t="s">
        <v>1557</v>
      </c>
      <c r="U2495" s="1">
        <v>46078.3903125</v>
      </c>
      <c r="V2495" t="s">
        <v>54</v>
      </c>
      <c r="W2495" t="s">
        <v>55</v>
      </c>
      <c r="X2495" t="s">
        <v>134</v>
      </c>
      <c r="Y2495" t="s">
        <v>8069</v>
      </c>
      <c r="Z2495" t="s">
        <v>58</v>
      </c>
      <c r="AA2495" t="s">
        <v>54</v>
      </c>
      <c r="AB2495" t="s">
        <v>954</v>
      </c>
      <c r="AC2495" t="s">
        <v>85</v>
      </c>
      <c r="AD2495" t="s">
        <v>79</v>
      </c>
      <c r="AE2495" t="s">
        <v>1556</v>
      </c>
      <c r="AF2495" t="s">
        <v>1557</v>
      </c>
      <c r="AG2495" t="s">
        <v>58</v>
      </c>
      <c r="AK2495">
        <v>2</v>
      </c>
      <c r="AL2495" t="s">
        <v>61</v>
      </c>
      <c r="AM2495" t="s">
        <v>593</v>
      </c>
      <c r="AN2495" t="s">
        <v>594</v>
      </c>
    </row>
    <row r="2496" spans="1:40" x14ac:dyDescent="0.35">
      <c r="A2496" t="s">
        <v>37</v>
      </c>
      <c r="B2496" t="s">
        <v>9791</v>
      </c>
      <c r="C2496" t="s">
        <v>102</v>
      </c>
      <c r="D2496" t="s">
        <v>191</v>
      </c>
      <c r="E2496" t="s">
        <v>192</v>
      </c>
      <c r="F2496" s="1">
        <v>46071.67460648148</v>
      </c>
      <c r="G2496" t="s">
        <v>71</v>
      </c>
      <c r="H2496" t="s">
        <v>72</v>
      </c>
      <c r="I2496" t="s">
        <v>2158</v>
      </c>
      <c r="J2496" t="s">
        <v>194</v>
      </c>
      <c r="K2496" t="s">
        <v>130</v>
      </c>
      <c r="M2496" t="s">
        <v>47</v>
      </c>
      <c r="O2496" t="s">
        <v>77</v>
      </c>
      <c r="P2496" t="s">
        <v>78</v>
      </c>
      <c r="Q2496" t="s">
        <v>50</v>
      </c>
      <c r="R2496" t="s">
        <v>51</v>
      </c>
      <c r="S2496" t="s">
        <v>52</v>
      </c>
      <c r="T2496" t="s">
        <v>195</v>
      </c>
      <c r="U2496" s="1">
        <v>46072.475428240738</v>
      </c>
      <c r="V2496" t="s">
        <v>54</v>
      </c>
      <c r="W2496" t="s">
        <v>55</v>
      </c>
      <c r="X2496" t="s">
        <v>196</v>
      </c>
      <c r="Y2496" t="s">
        <v>9792</v>
      </c>
      <c r="Z2496" t="s">
        <v>5594</v>
      </c>
      <c r="AA2496" t="s">
        <v>54</v>
      </c>
      <c r="AB2496" t="s">
        <v>198</v>
      </c>
      <c r="AC2496" t="s">
        <v>85</v>
      </c>
      <c r="AD2496" t="s">
        <v>51</v>
      </c>
      <c r="AE2496" t="s">
        <v>52</v>
      </c>
      <c r="AF2496" t="s">
        <v>195</v>
      </c>
      <c r="AG2496" t="s">
        <v>5594</v>
      </c>
      <c r="AH2496" t="s">
        <v>199</v>
      </c>
      <c r="AK2496">
        <v>1</v>
      </c>
      <c r="AL2496" t="s">
        <v>61</v>
      </c>
      <c r="AM2496" t="s">
        <v>198</v>
      </c>
      <c r="AN2496" t="s">
        <v>200</v>
      </c>
    </row>
    <row r="2497" spans="1:40" x14ac:dyDescent="0.35">
      <c r="A2497" t="s">
        <v>37</v>
      </c>
      <c r="B2497" t="s">
        <v>9793</v>
      </c>
      <c r="C2497" t="s">
        <v>39</v>
      </c>
      <c r="D2497" t="s">
        <v>3481</v>
      </c>
      <c r="E2497" t="s">
        <v>9794</v>
      </c>
      <c r="F2497" s="1">
        <v>46071.673888888887</v>
      </c>
      <c r="G2497" t="s">
        <v>250</v>
      </c>
      <c r="H2497" t="s">
        <v>106</v>
      </c>
      <c r="I2497" t="s">
        <v>205</v>
      </c>
      <c r="J2497" t="s">
        <v>1518</v>
      </c>
      <c r="K2497" t="s">
        <v>75</v>
      </c>
      <c r="M2497" t="s">
        <v>47</v>
      </c>
      <c r="O2497" t="s">
        <v>48</v>
      </c>
      <c r="P2497" t="s">
        <v>49</v>
      </c>
      <c r="Q2497" t="s">
        <v>9795</v>
      </c>
      <c r="R2497" t="s">
        <v>305</v>
      </c>
      <c r="S2497" t="s">
        <v>306</v>
      </c>
      <c r="T2497" t="s">
        <v>307</v>
      </c>
      <c r="U2497" s="1">
        <v>46072.429131944446</v>
      </c>
      <c r="V2497" t="s">
        <v>1338</v>
      </c>
      <c r="W2497" t="s">
        <v>55</v>
      </c>
      <c r="X2497" t="s">
        <v>211</v>
      </c>
      <c r="Y2497" t="s">
        <v>9796</v>
      </c>
      <c r="Z2497" t="s">
        <v>5594</v>
      </c>
      <c r="AA2497" t="s">
        <v>1338</v>
      </c>
      <c r="AB2497" t="s">
        <v>213</v>
      </c>
      <c r="AC2497" t="s">
        <v>60</v>
      </c>
      <c r="AD2497" t="s">
        <v>208</v>
      </c>
      <c r="AE2497" t="s">
        <v>209</v>
      </c>
      <c r="AF2497" t="s">
        <v>205</v>
      </c>
      <c r="AG2497" t="s">
        <v>5594</v>
      </c>
      <c r="AH2497">
        <v>9936</v>
      </c>
      <c r="AK2497">
        <v>4</v>
      </c>
      <c r="AL2497" t="s">
        <v>410</v>
      </c>
      <c r="AM2497" t="s">
        <v>9797</v>
      </c>
      <c r="AN2497" t="s">
        <v>9798</v>
      </c>
    </row>
    <row r="2498" spans="1:40" x14ac:dyDescent="0.35">
      <c r="A2498" t="s">
        <v>37</v>
      </c>
      <c r="B2498" t="s">
        <v>9799</v>
      </c>
      <c r="C2498" t="s">
        <v>39</v>
      </c>
      <c r="D2498" t="s">
        <v>7445</v>
      </c>
      <c r="E2498" t="s">
        <v>1316</v>
      </c>
      <c r="F2498" s="1">
        <v>46071.672465277778</v>
      </c>
      <c r="G2498" t="s">
        <v>286</v>
      </c>
      <c r="H2498" t="s">
        <v>287</v>
      </c>
      <c r="I2498" t="s">
        <v>9800</v>
      </c>
      <c r="J2498" t="s">
        <v>7447</v>
      </c>
      <c r="K2498" t="s">
        <v>7448</v>
      </c>
      <c r="M2498" t="s">
        <v>131</v>
      </c>
      <c r="O2498" t="s">
        <v>77</v>
      </c>
      <c r="P2498" t="s">
        <v>78</v>
      </c>
      <c r="Q2498" t="s">
        <v>50</v>
      </c>
      <c r="R2498" t="s">
        <v>51</v>
      </c>
      <c r="S2498" t="s">
        <v>52</v>
      </c>
      <c r="T2498" t="s">
        <v>240</v>
      </c>
      <c r="U2498" s="1">
        <v>46078.382002314815</v>
      </c>
      <c r="V2498" t="s">
        <v>54</v>
      </c>
      <c r="W2498" t="s">
        <v>55</v>
      </c>
      <c r="X2498" t="s">
        <v>134</v>
      </c>
      <c r="Y2498" t="s">
        <v>8700</v>
      </c>
      <c r="Z2498" t="s">
        <v>58</v>
      </c>
      <c r="AA2498" t="s">
        <v>54</v>
      </c>
      <c r="AB2498" t="s">
        <v>7450</v>
      </c>
      <c r="AC2498" t="s">
        <v>85</v>
      </c>
      <c r="AD2498" t="s">
        <v>52</v>
      </c>
      <c r="AE2498" t="s">
        <v>243</v>
      </c>
      <c r="AF2498" t="s">
        <v>409</v>
      </c>
      <c r="AG2498" t="s">
        <v>58</v>
      </c>
      <c r="AK2498">
        <v>0</v>
      </c>
      <c r="AL2498" t="s">
        <v>61</v>
      </c>
      <c r="AM2498" t="s">
        <v>7451</v>
      </c>
      <c r="AN2498" t="s">
        <v>7452</v>
      </c>
    </row>
    <row r="2499" spans="1:40" x14ac:dyDescent="0.35">
      <c r="A2499" t="s">
        <v>37</v>
      </c>
      <c r="B2499" t="s">
        <v>9801</v>
      </c>
      <c r="C2499" t="s">
        <v>102</v>
      </c>
      <c r="D2499" t="s">
        <v>3106</v>
      </c>
      <c r="E2499" t="s">
        <v>3107</v>
      </c>
      <c r="F2499" s="1">
        <v>46071.669583333336</v>
      </c>
      <c r="G2499" t="s">
        <v>105</v>
      </c>
      <c r="H2499" t="s">
        <v>106</v>
      </c>
      <c r="I2499" t="s">
        <v>9802</v>
      </c>
      <c r="J2499" t="s">
        <v>108</v>
      </c>
      <c r="K2499" t="s">
        <v>109</v>
      </c>
      <c r="M2499" t="s">
        <v>150</v>
      </c>
      <c r="O2499" t="s">
        <v>77</v>
      </c>
      <c r="P2499" t="s">
        <v>78</v>
      </c>
      <c r="Q2499" t="s">
        <v>50</v>
      </c>
      <c r="R2499" t="s">
        <v>111</v>
      </c>
      <c r="S2499" t="s">
        <v>51</v>
      </c>
      <c r="T2499" t="s">
        <v>1583</v>
      </c>
      <c r="U2499" s="1">
        <v>46077.90483796296</v>
      </c>
      <c r="V2499" t="s">
        <v>54</v>
      </c>
      <c r="W2499" t="s">
        <v>1584</v>
      </c>
      <c r="X2499" t="s">
        <v>113</v>
      </c>
      <c r="Y2499" t="s">
        <v>9803</v>
      </c>
      <c r="Z2499" t="s">
        <v>58</v>
      </c>
      <c r="AA2499" t="s">
        <v>54</v>
      </c>
      <c r="AB2499" t="s">
        <v>115</v>
      </c>
      <c r="AC2499" t="s">
        <v>85</v>
      </c>
      <c r="AD2499" t="s">
        <v>116</v>
      </c>
      <c r="AE2499" t="s">
        <v>1586</v>
      </c>
      <c r="AF2499" t="s">
        <v>196</v>
      </c>
      <c r="AG2499" t="s">
        <v>58</v>
      </c>
      <c r="AH2499" t="s">
        <v>3111</v>
      </c>
      <c r="AK2499">
        <v>1</v>
      </c>
      <c r="AL2499" t="s">
        <v>61</v>
      </c>
      <c r="AM2499" t="s">
        <v>3112</v>
      </c>
      <c r="AN2499" t="s">
        <v>3113</v>
      </c>
    </row>
    <row r="2500" spans="1:40" x14ac:dyDescent="0.35">
      <c r="A2500" t="s">
        <v>37</v>
      </c>
      <c r="B2500" t="s">
        <v>9804</v>
      </c>
      <c r="C2500" t="s">
        <v>39</v>
      </c>
      <c r="D2500" t="s">
        <v>7445</v>
      </c>
      <c r="E2500" t="s">
        <v>1316</v>
      </c>
      <c r="F2500" s="1">
        <v>46071.666770833333</v>
      </c>
      <c r="G2500" t="s">
        <v>286</v>
      </c>
      <c r="H2500" t="s">
        <v>287</v>
      </c>
      <c r="I2500" t="s">
        <v>9805</v>
      </c>
      <c r="J2500" t="s">
        <v>7447</v>
      </c>
      <c r="K2500" t="s">
        <v>7448</v>
      </c>
      <c r="M2500" t="s">
        <v>131</v>
      </c>
      <c r="O2500" t="s">
        <v>77</v>
      </c>
      <c r="P2500" t="s">
        <v>78</v>
      </c>
      <c r="Q2500" t="s">
        <v>50</v>
      </c>
      <c r="R2500" t="s">
        <v>51</v>
      </c>
      <c r="S2500" t="s">
        <v>52</v>
      </c>
      <c r="T2500" t="s">
        <v>240</v>
      </c>
      <c r="U2500" s="1">
        <v>46078.381840277776</v>
      </c>
      <c r="V2500" t="s">
        <v>54</v>
      </c>
      <c r="W2500" t="s">
        <v>55</v>
      </c>
      <c r="X2500" t="s">
        <v>134</v>
      </c>
      <c r="Y2500" t="s">
        <v>8700</v>
      </c>
      <c r="Z2500" t="s">
        <v>58</v>
      </c>
      <c r="AA2500" t="s">
        <v>54</v>
      </c>
      <c r="AB2500" t="s">
        <v>7450</v>
      </c>
      <c r="AC2500" t="s">
        <v>85</v>
      </c>
      <c r="AD2500" t="s">
        <v>52</v>
      </c>
      <c r="AE2500" t="s">
        <v>243</v>
      </c>
      <c r="AF2500" t="s">
        <v>409</v>
      </c>
      <c r="AG2500" t="s">
        <v>58</v>
      </c>
      <c r="AK2500">
        <v>0</v>
      </c>
      <c r="AL2500" t="s">
        <v>61</v>
      </c>
      <c r="AM2500" t="s">
        <v>7451</v>
      </c>
      <c r="AN2500" t="s">
        <v>7452</v>
      </c>
    </row>
    <row r="2501" spans="1:40" x14ac:dyDescent="0.35">
      <c r="A2501" t="s">
        <v>37</v>
      </c>
      <c r="B2501" t="s">
        <v>9806</v>
      </c>
      <c r="C2501" t="s">
        <v>39</v>
      </c>
      <c r="D2501" t="s">
        <v>9807</v>
      </c>
      <c r="E2501" t="s">
        <v>9808</v>
      </c>
      <c r="F2501" s="1">
        <v>46071.659502314818</v>
      </c>
      <c r="G2501" t="s">
        <v>105</v>
      </c>
      <c r="H2501" t="s">
        <v>106</v>
      </c>
      <c r="I2501" t="s">
        <v>205</v>
      </c>
      <c r="J2501" t="s">
        <v>394</v>
      </c>
      <c r="K2501" t="s">
        <v>75</v>
      </c>
      <c r="M2501" t="s">
        <v>76</v>
      </c>
      <c r="O2501" t="s">
        <v>77</v>
      </c>
      <c r="P2501" t="s">
        <v>78</v>
      </c>
      <c r="Q2501" t="s">
        <v>50</v>
      </c>
      <c r="R2501" t="s">
        <v>305</v>
      </c>
      <c r="S2501" t="s">
        <v>306</v>
      </c>
      <c r="T2501" t="s">
        <v>307</v>
      </c>
      <c r="U2501" s="1">
        <v>46077.351018518515</v>
      </c>
      <c r="V2501" t="s">
        <v>54</v>
      </c>
      <c r="W2501" t="s">
        <v>55</v>
      </c>
      <c r="X2501" t="s">
        <v>211</v>
      </c>
      <c r="Y2501" t="s">
        <v>9809</v>
      </c>
      <c r="Z2501" t="s">
        <v>58</v>
      </c>
      <c r="AA2501" t="s">
        <v>54</v>
      </c>
      <c r="AB2501" t="s">
        <v>213</v>
      </c>
      <c r="AC2501" t="s">
        <v>85</v>
      </c>
      <c r="AD2501" t="s">
        <v>79</v>
      </c>
      <c r="AE2501" t="s">
        <v>967</v>
      </c>
      <c r="AF2501" t="s">
        <v>1072</v>
      </c>
      <c r="AG2501" t="s">
        <v>58</v>
      </c>
      <c r="AH2501" t="s">
        <v>9810</v>
      </c>
      <c r="AK2501">
        <v>4</v>
      </c>
      <c r="AL2501" t="s">
        <v>61</v>
      </c>
      <c r="AM2501" t="s">
        <v>9811</v>
      </c>
      <c r="AN2501" t="s">
        <v>9812</v>
      </c>
    </row>
    <row r="2502" spans="1:40" x14ac:dyDescent="0.35">
      <c r="A2502" t="s">
        <v>37</v>
      </c>
      <c r="B2502" t="s">
        <v>9813</v>
      </c>
      <c r="C2502" t="s">
        <v>102</v>
      </c>
      <c r="D2502" t="s">
        <v>1698</v>
      </c>
      <c r="E2502" t="s">
        <v>584</v>
      </c>
      <c r="F2502" s="1">
        <v>46071.650625000002</v>
      </c>
      <c r="G2502" t="s">
        <v>105</v>
      </c>
      <c r="H2502" t="s">
        <v>106</v>
      </c>
      <c r="I2502" t="s">
        <v>1729</v>
      </c>
      <c r="J2502" t="s">
        <v>108</v>
      </c>
      <c r="K2502" t="s">
        <v>341</v>
      </c>
      <c r="M2502" t="s">
        <v>47</v>
      </c>
      <c r="O2502" t="s">
        <v>77</v>
      </c>
      <c r="P2502" t="s">
        <v>78</v>
      </c>
      <c r="Q2502" t="s">
        <v>50</v>
      </c>
      <c r="R2502" t="s">
        <v>111</v>
      </c>
      <c r="S2502" t="s">
        <v>51</v>
      </c>
      <c r="T2502" t="s">
        <v>112</v>
      </c>
      <c r="U2502" s="1">
        <v>46072.204444444447</v>
      </c>
      <c r="V2502" t="s">
        <v>54</v>
      </c>
      <c r="X2502" t="s">
        <v>134</v>
      </c>
      <c r="Y2502" t="s">
        <v>9814</v>
      </c>
      <c r="Z2502" t="s">
        <v>5594</v>
      </c>
      <c r="AA2502" t="s">
        <v>54</v>
      </c>
      <c r="AB2502" t="s">
        <v>1701</v>
      </c>
      <c r="AC2502" t="s">
        <v>85</v>
      </c>
      <c r="AD2502" t="s">
        <v>116</v>
      </c>
      <c r="AE2502" t="s">
        <v>117</v>
      </c>
      <c r="AF2502" t="s">
        <v>1740</v>
      </c>
      <c r="AG2502" t="s">
        <v>5594</v>
      </c>
      <c r="AK2502">
        <v>1</v>
      </c>
      <c r="AL2502" t="s">
        <v>61</v>
      </c>
      <c r="AM2502" t="s">
        <v>1701</v>
      </c>
      <c r="AN2502" t="s">
        <v>1702</v>
      </c>
    </row>
    <row r="2503" spans="1:40" x14ac:dyDescent="0.35">
      <c r="A2503" t="s">
        <v>37</v>
      </c>
      <c r="B2503" t="s">
        <v>9815</v>
      </c>
      <c r="C2503" t="s">
        <v>39</v>
      </c>
      <c r="D2503" t="s">
        <v>7445</v>
      </c>
      <c r="E2503" t="s">
        <v>1316</v>
      </c>
      <c r="F2503" s="1">
        <v>46071.647361111114</v>
      </c>
      <c r="G2503" t="s">
        <v>286</v>
      </c>
      <c r="H2503" t="s">
        <v>287</v>
      </c>
      <c r="I2503" t="s">
        <v>9816</v>
      </c>
      <c r="J2503" t="s">
        <v>7447</v>
      </c>
      <c r="K2503" t="s">
        <v>7448</v>
      </c>
      <c r="M2503" t="s">
        <v>131</v>
      </c>
      <c r="O2503" t="s">
        <v>77</v>
      </c>
      <c r="P2503" t="s">
        <v>78</v>
      </c>
      <c r="Q2503" t="s">
        <v>50</v>
      </c>
      <c r="R2503" t="s">
        <v>51</v>
      </c>
      <c r="S2503" t="s">
        <v>52</v>
      </c>
      <c r="T2503" t="s">
        <v>240</v>
      </c>
      <c r="U2503" s="1">
        <v>46078.381689814814</v>
      </c>
      <c r="V2503" t="s">
        <v>54</v>
      </c>
      <c r="W2503" t="s">
        <v>55</v>
      </c>
      <c r="X2503" t="s">
        <v>134</v>
      </c>
      <c r="Y2503" t="s">
        <v>9817</v>
      </c>
      <c r="Z2503" t="s">
        <v>58</v>
      </c>
      <c r="AA2503" t="s">
        <v>54</v>
      </c>
      <c r="AB2503" t="s">
        <v>7450</v>
      </c>
      <c r="AC2503" t="s">
        <v>85</v>
      </c>
      <c r="AD2503" t="s">
        <v>51</v>
      </c>
      <c r="AE2503" t="s">
        <v>819</v>
      </c>
      <c r="AF2503" t="s">
        <v>819</v>
      </c>
      <c r="AG2503" t="s">
        <v>58</v>
      </c>
      <c r="AK2503">
        <v>0</v>
      </c>
      <c r="AL2503" t="s">
        <v>61</v>
      </c>
      <c r="AM2503" t="s">
        <v>7451</v>
      </c>
      <c r="AN2503" t="s">
        <v>7452</v>
      </c>
    </row>
    <row r="2504" spans="1:40" x14ac:dyDescent="0.35">
      <c r="A2504" t="s">
        <v>37</v>
      </c>
      <c r="B2504" t="s">
        <v>9818</v>
      </c>
      <c r="C2504" t="s">
        <v>39</v>
      </c>
      <c r="D2504" t="s">
        <v>5457</v>
      </c>
      <c r="E2504" t="s">
        <v>9819</v>
      </c>
      <c r="F2504" s="1">
        <v>46071.64539351852</v>
      </c>
      <c r="I2504" t="s">
        <v>205</v>
      </c>
      <c r="J2504" t="s">
        <v>1692</v>
      </c>
      <c r="K2504" t="s">
        <v>207</v>
      </c>
      <c r="M2504" t="s">
        <v>131</v>
      </c>
      <c r="O2504" t="s">
        <v>77</v>
      </c>
      <c r="P2504" t="s">
        <v>78</v>
      </c>
      <c r="Q2504" t="s">
        <v>50</v>
      </c>
      <c r="R2504" t="s">
        <v>305</v>
      </c>
      <c r="S2504" t="s">
        <v>306</v>
      </c>
      <c r="T2504" t="s">
        <v>307</v>
      </c>
      <c r="U2504" s="1">
        <v>46077.991168981483</v>
      </c>
      <c r="V2504" t="s">
        <v>54</v>
      </c>
      <c r="W2504" t="s">
        <v>55</v>
      </c>
      <c r="X2504" t="s">
        <v>211</v>
      </c>
      <c r="Y2504" t="s">
        <v>8919</v>
      </c>
      <c r="Z2504" t="s">
        <v>58</v>
      </c>
      <c r="AA2504" t="s">
        <v>54</v>
      </c>
      <c r="AB2504" t="s">
        <v>213</v>
      </c>
      <c r="AC2504" t="s">
        <v>85</v>
      </c>
      <c r="AD2504" t="s">
        <v>214</v>
      </c>
      <c r="AE2504" t="s">
        <v>215</v>
      </c>
      <c r="AF2504" t="s">
        <v>161</v>
      </c>
      <c r="AG2504" t="s">
        <v>58</v>
      </c>
      <c r="AH2504" t="s">
        <v>9820</v>
      </c>
      <c r="AK2504">
        <v>3</v>
      </c>
      <c r="AL2504" t="s">
        <v>61</v>
      </c>
      <c r="AM2504" t="s">
        <v>9821</v>
      </c>
      <c r="AN2504" t="s">
        <v>9822</v>
      </c>
    </row>
    <row r="2505" spans="1:40" x14ac:dyDescent="0.35">
      <c r="A2505" t="s">
        <v>37</v>
      </c>
      <c r="B2505" t="s">
        <v>9823</v>
      </c>
      <c r="C2505" t="s">
        <v>39</v>
      </c>
      <c r="D2505" t="s">
        <v>9824</v>
      </c>
      <c r="E2505" t="s">
        <v>9825</v>
      </c>
      <c r="F2505" s="1">
        <v>46071.646215277775</v>
      </c>
      <c r="G2505" t="s">
        <v>327</v>
      </c>
      <c r="H2505" t="s">
        <v>72</v>
      </c>
      <c r="I2505" t="s">
        <v>3679</v>
      </c>
      <c r="J2505" t="s">
        <v>8166</v>
      </c>
      <c r="K2505" t="s">
        <v>3681</v>
      </c>
      <c r="M2505" t="s">
        <v>47</v>
      </c>
      <c r="O2505" t="s">
        <v>77</v>
      </c>
      <c r="P2505" t="s">
        <v>78</v>
      </c>
      <c r="Q2505" t="s">
        <v>50</v>
      </c>
      <c r="R2505" t="s">
        <v>51</v>
      </c>
      <c r="S2505" t="s">
        <v>52</v>
      </c>
      <c r="T2505" t="s">
        <v>240</v>
      </c>
      <c r="U2505" s="1">
        <v>46073.513182870367</v>
      </c>
      <c r="V2505" t="s">
        <v>54</v>
      </c>
      <c r="W2505" t="s">
        <v>55</v>
      </c>
      <c r="X2505" t="s">
        <v>134</v>
      </c>
      <c r="Y2505" t="s">
        <v>9826</v>
      </c>
      <c r="Z2505" t="s">
        <v>5594</v>
      </c>
      <c r="AA2505" t="s">
        <v>54</v>
      </c>
      <c r="AB2505" t="s">
        <v>612</v>
      </c>
      <c r="AC2505" t="s">
        <v>85</v>
      </c>
      <c r="AD2505" t="s">
        <v>52</v>
      </c>
      <c r="AE2505" t="s">
        <v>243</v>
      </c>
      <c r="AF2505" t="s">
        <v>1470</v>
      </c>
      <c r="AG2505" t="s">
        <v>5594</v>
      </c>
      <c r="AH2505">
        <v>14113</v>
      </c>
      <c r="AK2505">
        <v>1</v>
      </c>
      <c r="AL2505" t="s">
        <v>61</v>
      </c>
      <c r="AM2505" t="s">
        <v>9827</v>
      </c>
      <c r="AN2505" t="s">
        <v>9828</v>
      </c>
    </row>
    <row r="2506" spans="1:40" x14ac:dyDescent="0.35">
      <c r="A2506" t="s">
        <v>37</v>
      </c>
      <c r="B2506" t="s">
        <v>9829</v>
      </c>
      <c r="C2506" t="s">
        <v>39</v>
      </c>
      <c r="D2506" t="s">
        <v>7283</v>
      </c>
      <c r="E2506" t="s">
        <v>7284</v>
      </c>
      <c r="F2506" s="1">
        <v>46071.644768518519</v>
      </c>
      <c r="G2506" t="s">
        <v>355</v>
      </c>
      <c r="H2506" t="s">
        <v>356</v>
      </c>
      <c r="I2506" t="s">
        <v>9191</v>
      </c>
      <c r="J2506" t="s">
        <v>4338</v>
      </c>
      <c r="K2506" t="s">
        <v>405</v>
      </c>
      <c r="M2506" t="s">
        <v>47</v>
      </c>
      <c r="O2506" t="s">
        <v>77</v>
      </c>
      <c r="P2506" t="s">
        <v>78</v>
      </c>
      <c r="Q2506" t="s">
        <v>7288</v>
      </c>
      <c r="R2506" t="s">
        <v>51</v>
      </c>
      <c r="S2506" t="s">
        <v>52</v>
      </c>
      <c r="T2506" t="s">
        <v>240</v>
      </c>
      <c r="U2506" s="1">
        <v>46073.401354166665</v>
      </c>
      <c r="V2506" t="s">
        <v>54</v>
      </c>
      <c r="W2506" t="s">
        <v>55</v>
      </c>
      <c r="X2506" t="s">
        <v>134</v>
      </c>
      <c r="Y2506" t="s">
        <v>8036</v>
      </c>
      <c r="Z2506" t="s">
        <v>5594</v>
      </c>
      <c r="AA2506" t="s">
        <v>54</v>
      </c>
      <c r="AB2506" t="s">
        <v>612</v>
      </c>
      <c r="AC2506" t="s">
        <v>85</v>
      </c>
      <c r="AD2506" t="s">
        <v>52</v>
      </c>
      <c r="AE2506" t="s">
        <v>243</v>
      </c>
      <c r="AF2506" t="s">
        <v>2533</v>
      </c>
      <c r="AG2506" t="s">
        <v>5594</v>
      </c>
      <c r="AH2506" t="s">
        <v>7294</v>
      </c>
      <c r="AK2506">
        <v>2</v>
      </c>
      <c r="AL2506" t="s">
        <v>61</v>
      </c>
      <c r="AM2506" t="s">
        <v>7295</v>
      </c>
      <c r="AN2506" t="s">
        <v>7296</v>
      </c>
    </row>
    <row r="2507" spans="1:40" x14ac:dyDescent="0.35">
      <c r="A2507" t="s">
        <v>37</v>
      </c>
      <c r="B2507" t="s">
        <v>9830</v>
      </c>
      <c r="C2507" t="s">
        <v>102</v>
      </c>
      <c r="D2507" t="s">
        <v>1698</v>
      </c>
      <c r="E2507" t="s">
        <v>584</v>
      </c>
      <c r="F2507" s="1">
        <v>46071.643969907411</v>
      </c>
      <c r="G2507" t="s">
        <v>105</v>
      </c>
      <c r="H2507" t="s">
        <v>106</v>
      </c>
      <c r="I2507" t="s">
        <v>107</v>
      </c>
      <c r="J2507" t="s">
        <v>108</v>
      </c>
      <c r="K2507" t="s">
        <v>341</v>
      </c>
      <c r="M2507" t="s">
        <v>47</v>
      </c>
      <c r="O2507" t="s">
        <v>77</v>
      </c>
      <c r="P2507" t="s">
        <v>78</v>
      </c>
      <c r="Q2507" t="s">
        <v>50</v>
      </c>
      <c r="R2507" t="s">
        <v>111</v>
      </c>
      <c r="S2507" t="s">
        <v>51</v>
      </c>
      <c r="T2507" t="s">
        <v>112</v>
      </c>
      <c r="U2507" s="1">
        <v>46072.846701388888</v>
      </c>
      <c r="V2507" t="s">
        <v>54</v>
      </c>
      <c r="X2507" t="s">
        <v>56</v>
      </c>
      <c r="Y2507" t="s">
        <v>9831</v>
      </c>
      <c r="Z2507" t="s">
        <v>5594</v>
      </c>
      <c r="AA2507" t="s">
        <v>54</v>
      </c>
      <c r="AB2507" t="s">
        <v>115</v>
      </c>
      <c r="AC2507" t="s">
        <v>85</v>
      </c>
      <c r="AD2507" t="s">
        <v>116</v>
      </c>
      <c r="AE2507" t="s">
        <v>117</v>
      </c>
      <c r="AF2507" t="s">
        <v>343</v>
      </c>
      <c r="AG2507" t="s">
        <v>5594</v>
      </c>
      <c r="AK2507">
        <v>1</v>
      </c>
      <c r="AL2507" t="s">
        <v>61</v>
      </c>
      <c r="AM2507" t="s">
        <v>1701</v>
      </c>
      <c r="AN2507" t="s">
        <v>1702</v>
      </c>
    </row>
    <row r="2508" spans="1:40" x14ac:dyDescent="0.35">
      <c r="A2508" t="s">
        <v>37</v>
      </c>
      <c r="B2508" t="s">
        <v>9832</v>
      </c>
      <c r="C2508" t="s">
        <v>39</v>
      </c>
      <c r="D2508" t="s">
        <v>9833</v>
      </c>
      <c r="E2508" t="s">
        <v>9834</v>
      </c>
      <c r="F2508" s="1">
        <v>46071.641851851855</v>
      </c>
      <c r="I2508" t="s">
        <v>205</v>
      </c>
      <c r="J2508" t="s">
        <v>1692</v>
      </c>
      <c r="K2508" t="s">
        <v>207</v>
      </c>
      <c r="M2508" t="s">
        <v>47</v>
      </c>
      <c r="O2508" t="s">
        <v>77</v>
      </c>
      <c r="P2508" t="s">
        <v>78</v>
      </c>
      <c r="Q2508" t="s">
        <v>50</v>
      </c>
      <c r="R2508" t="s">
        <v>305</v>
      </c>
      <c r="S2508" t="s">
        <v>306</v>
      </c>
      <c r="T2508" t="s">
        <v>307</v>
      </c>
      <c r="U2508" s="1">
        <v>46074.723321759258</v>
      </c>
      <c r="V2508" t="s">
        <v>54</v>
      </c>
      <c r="W2508" t="s">
        <v>55</v>
      </c>
      <c r="X2508" t="s">
        <v>211</v>
      </c>
      <c r="Y2508" t="s">
        <v>8919</v>
      </c>
      <c r="Z2508" t="s">
        <v>5594</v>
      </c>
      <c r="AA2508" t="s">
        <v>54</v>
      </c>
      <c r="AB2508" t="s">
        <v>213</v>
      </c>
      <c r="AC2508" t="s">
        <v>85</v>
      </c>
      <c r="AD2508" t="s">
        <v>214</v>
      </c>
      <c r="AE2508" t="s">
        <v>215</v>
      </c>
      <c r="AF2508" t="s">
        <v>161</v>
      </c>
      <c r="AG2508" t="s">
        <v>5594</v>
      </c>
      <c r="AH2508" t="s">
        <v>9835</v>
      </c>
      <c r="AK2508">
        <v>3</v>
      </c>
      <c r="AL2508" t="s">
        <v>61</v>
      </c>
      <c r="AM2508" t="s">
        <v>9836</v>
      </c>
      <c r="AN2508" t="s">
        <v>9837</v>
      </c>
    </row>
    <row r="2509" spans="1:40" x14ac:dyDescent="0.35">
      <c r="A2509" t="s">
        <v>37</v>
      </c>
      <c r="B2509" t="s">
        <v>9838</v>
      </c>
      <c r="C2509" t="s">
        <v>39</v>
      </c>
      <c r="D2509" t="s">
        <v>7445</v>
      </c>
      <c r="E2509" t="s">
        <v>1316</v>
      </c>
      <c r="F2509" s="1">
        <v>46071.640405092592</v>
      </c>
      <c r="G2509" t="s">
        <v>286</v>
      </c>
      <c r="H2509" t="s">
        <v>287</v>
      </c>
      <c r="I2509" t="s">
        <v>9839</v>
      </c>
      <c r="J2509" t="s">
        <v>7447</v>
      </c>
      <c r="K2509" t="s">
        <v>7448</v>
      </c>
      <c r="M2509" t="s">
        <v>131</v>
      </c>
      <c r="O2509" t="s">
        <v>77</v>
      </c>
      <c r="P2509" t="s">
        <v>78</v>
      </c>
      <c r="Q2509" t="s">
        <v>50</v>
      </c>
      <c r="R2509" t="s">
        <v>51</v>
      </c>
      <c r="S2509" t="s">
        <v>52</v>
      </c>
      <c r="T2509" t="s">
        <v>240</v>
      </c>
      <c r="U2509" s="1">
        <v>46078.381527777776</v>
      </c>
      <c r="V2509" t="s">
        <v>54</v>
      </c>
      <c r="W2509" t="s">
        <v>55</v>
      </c>
      <c r="X2509" t="s">
        <v>134</v>
      </c>
      <c r="Y2509" t="s">
        <v>9840</v>
      </c>
      <c r="Z2509" t="s">
        <v>58</v>
      </c>
      <c r="AA2509" t="s">
        <v>54</v>
      </c>
      <c r="AB2509" t="s">
        <v>7450</v>
      </c>
      <c r="AC2509" t="s">
        <v>85</v>
      </c>
      <c r="AD2509" t="s">
        <v>51</v>
      </c>
      <c r="AE2509" t="s">
        <v>834</v>
      </c>
      <c r="AF2509" t="s">
        <v>834</v>
      </c>
      <c r="AG2509" t="s">
        <v>58</v>
      </c>
      <c r="AK2509">
        <v>0</v>
      </c>
      <c r="AL2509" t="s">
        <v>61</v>
      </c>
      <c r="AM2509" t="s">
        <v>7451</v>
      </c>
      <c r="AN2509" t="s">
        <v>7452</v>
      </c>
    </row>
    <row r="2510" spans="1:40" x14ac:dyDescent="0.35">
      <c r="A2510" t="s">
        <v>37</v>
      </c>
      <c r="B2510" t="s">
        <v>9841</v>
      </c>
      <c r="C2510" t="s">
        <v>39</v>
      </c>
      <c r="D2510" t="s">
        <v>325</v>
      </c>
      <c r="E2510" t="s">
        <v>326</v>
      </c>
      <c r="F2510" s="1">
        <v>46071.633587962962</v>
      </c>
      <c r="G2510" t="s">
        <v>327</v>
      </c>
      <c r="H2510" t="s">
        <v>72</v>
      </c>
      <c r="I2510" t="s">
        <v>2561</v>
      </c>
      <c r="J2510" t="s">
        <v>2256</v>
      </c>
      <c r="K2510" t="s">
        <v>2257</v>
      </c>
      <c r="M2510" t="s">
        <v>47</v>
      </c>
      <c r="O2510" t="s">
        <v>237</v>
      </c>
      <c r="P2510" t="s">
        <v>238</v>
      </c>
      <c r="Q2510" t="s">
        <v>328</v>
      </c>
      <c r="R2510" t="s">
        <v>51</v>
      </c>
      <c r="S2510" t="s">
        <v>52</v>
      </c>
      <c r="T2510" t="s">
        <v>773</v>
      </c>
      <c r="U2510" s="1">
        <v>46072.53979166667</v>
      </c>
      <c r="V2510" t="s">
        <v>54</v>
      </c>
      <c r="W2510" t="s">
        <v>55</v>
      </c>
      <c r="X2510" t="s">
        <v>134</v>
      </c>
      <c r="Y2510" t="s">
        <v>9842</v>
      </c>
      <c r="Z2510" t="s">
        <v>5594</v>
      </c>
      <c r="AA2510" t="s">
        <v>54</v>
      </c>
      <c r="AB2510" t="s">
        <v>612</v>
      </c>
      <c r="AC2510" t="s">
        <v>242</v>
      </c>
      <c r="AD2510" t="s">
        <v>52</v>
      </c>
      <c r="AE2510" t="s">
        <v>438</v>
      </c>
      <c r="AF2510" t="s">
        <v>2204</v>
      </c>
      <c r="AG2510" t="s">
        <v>5594</v>
      </c>
      <c r="AH2510">
        <v>6501</v>
      </c>
      <c r="AK2510">
        <v>1</v>
      </c>
      <c r="AL2510" t="s">
        <v>61</v>
      </c>
      <c r="AM2510" t="s">
        <v>329</v>
      </c>
      <c r="AN2510" t="s">
        <v>330</v>
      </c>
    </row>
    <row r="2511" spans="1:40" x14ac:dyDescent="0.35">
      <c r="A2511" t="s">
        <v>37</v>
      </c>
      <c r="B2511" t="s">
        <v>9843</v>
      </c>
      <c r="C2511" t="s">
        <v>39</v>
      </c>
      <c r="D2511" t="s">
        <v>8323</v>
      </c>
      <c r="E2511" t="s">
        <v>8324</v>
      </c>
      <c r="F2511" s="1">
        <v>46071.631967592592</v>
      </c>
      <c r="G2511" t="s">
        <v>370</v>
      </c>
      <c r="H2511" t="s">
        <v>371</v>
      </c>
      <c r="I2511" t="s">
        <v>9844</v>
      </c>
      <c r="J2511" t="s">
        <v>4338</v>
      </c>
      <c r="K2511" t="s">
        <v>405</v>
      </c>
      <c r="M2511" t="s">
        <v>76</v>
      </c>
      <c r="O2511" t="s">
        <v>77</v>
      </c>
      <c r="P2511" t="s">
        <v>78</v>
      </c>
      <c r="Q2511" t="s">
        <v>50</v>
      </c>
      <c r="R2511" t="s">
        <v>51</v>
      </c>
      <c r="S2511" t="s">
        <v>52</v>
      </c>
      <c r="T2511" t="s">
        <v>240</v>
      </c>
      <c r="U2511" s="1">
        <v>46076.430219907408</v>
      </c>
      <c r="V2511" t="s">
        <v>54</v>
      </c>
      <c r="W2511" t="s">
        <v>55</v>
      </c>
      <c r="X2511" t="s">
        <v>134</v>
      </c>
      <c r="Y2511" t="s">
        <v>8406</v>
      </c>
      <c r="Z2511" t="s">
        <v>58</v>
      </c>
      <c r="AA2511" t="s">
        <v>54</v>
      </c>
      <c r="AB2511" t="s">
        <v>612</v>
      </c>
      <c r="AC2511" t="s">
        <v>85</v>
      </c>
      <c r="AD2511" t="s">
        <v>52</v>
      </c>
      <c r="AE2511" t="s">
        <v>243</v>
      </c>
      <c r="AF2511" t="s">
        <v>2533</v>
      </c>
      <c r="AG2511" t="s">
        <v>58</v>
      </c>
      <c r="AH2511">
        <v>15566</v>
      </c>
      <c r="AK2511">
        <v>1</v>
      </c>
      <c r="AL2511" t="s">
        <v>61</v>
      </c>
      <c r="AM2511" t="s">
        <v>8327</v>
      </c>
      <c r="AN2511" t="s">
        <v>8328</v>
      </c>
    </row>
    <row r="2512" spans="1:40" x14ac:dyDescent="0.35">
      <c r="A2512" t="s">
        <v>37</v>
      </c>
      <c r="B2512" t="s">
        <v>9845</v>
      </c>
      <c r="C2512" t="s">
        <v>102</v>
      </c>
      <c r="D2512" t="s">
        <v>4455</v>
      </c>
      <c r="E2512" t="s">
        <v>8842</v>
      </c>
      <c r="F2512" s="1">
        <v>46071.622534722221</v>
      </c>
      <c r="G2512" t="s">
        <v>71</v>
      </c>
      <c r="H2512" t="s">
        <v>72</v>
      </c>
      <c r="I2512" t="s">
        <v>9846</v>
      </c>
      <c r="J2512" t="s">
        <v>2421</v>
      </c>
      <c r="K2512" t="s">
        <v>2422</v>
      </c>
      <c r="M2512" t="s">
        <v>47</v>
      </c>
      <c r="O2512" t="s">
        <v>77</v>
      </c>
      <c r="P2512" t="s">
        <v>78</v>
      </c>
      <c r="Q2512" t="s">
        <v>50</v>
      </c>
      <c r="R2512" t="s">
        <v>51</v>
      </c>
      <c r="S2512" t="s">
        <v>52</v>
      </c>
      <c r="T2512" t="s">
        <v>2683</v>
      </c>
      <c r="U2512" s="1">
        <v>46073.580601851849</v>
      </c>
      <c r="V2512" t="s">
        <v>54</v>
      </c>
      <c r="W2512" t="s">
        <v>55</v>
      </c>
      <c r="X2512" t="s">
        <v>134</v>
      </c>
      <c r="Y2512" t="s">
        <v>9847</v>
      </c>
      <c r="Z2512" t="s">
        <v>5594</v>
      </c>
      <c r="AA2512" t="s">
        <v>54</v>
      </c>
      <c r="AB2512" t="s">
        <v>954</v>
      </c>
      <c r="AC2512" t="s">
        <v>85</v>
      </c>
      <c r="AD2512" t="s">
        <v>52</v>
      </c>
      <c r="AE2512" t="s">
        <v>243</v>
      </c>
      <c r="AF2512" t="s">
        <v>2533</v>
      </c>
      <c r="AG2512" t="s">
        <v>5594</v>
      </c>
      <c r="AH2512">
        <v>11813</v>
      </c>
      <c r="AK2512">
        <v>1</v>
      </c>
      <c r="AL2512" t="s">
        <v>61</v>
      </c>
      <c r="AM2512" t="s">
        <v>9848</v>
      </c>
      <c r="AN2512" t="s">
        <v>9849</v>
      </c>
    </row>
    <row r="2513" spans="1:40" x14ac:dyDescent="0.35">
      <c r="A2513" t="s">
        <v>37</v>
      </c>
      <c r="B2513" t="s">
        <v>9850</v>
      </c>
      <c r="C2513" t="s">
        <v>39</v>
      </c>
      <c r="D2513" t="s">
        <v>9851</v>
      </c>
      <c r="E2513" t="s">
        <v>3077</v>
      </c>
      <c r="F2513" s="1">
        <v>46071.62054398148</v>
      </c>
      <c r="G2513" t="s">
        <v>286</v>
      </c>
      <c r="H2513" t="s">
        <v>287</v>
      </c>
      <c r="I2513" t="s">
        <v>9852</v>
      </c>
      <c r="J2513" t="s">
        <v>435</v>
      </c>
      <c r="K2513" t="s">
        <v>436</v>
      </c>
      <c r="M2513" t="s">
        <v>47</v>
      </c>
      <c r="O2513" t="s">
        <v>237</v>
      </c>
      <c r="P2513" t="s">
        <v>238</v>
      </c>
      <c r="Q2513" t="s">
        <v>50</v>
      </c>
      <c r="R2513" t="s">
        <v>51</v>
      </c>
      <c r="S2513" t="s">
        <v>52</v>
      </c>
      <c r="T2513" t="s">
        <v>240</v>
      </c>
      <c r="U2513" s="1">
        <v>46073.663888888892</v>
      </c>
      <c r="V2513" t="s">
        <v>54</v>
      </c>
      <c r="W2513" t="s">
        <v>55</v>
      </c>
      <c r="X2513" t="s">
        <v>211</v>
      </c>
      <c r="Y2513" t="s">
        <v>9853</v>
      </c>
      <c r="Z2513" t="s">
        <v>5594</v>
      </c>
      <c r="AA2513" t="s">
        <v>54</v>
      </c>
      <c r="AB2513" t="s">
        <v>213</v>
      </c>
      <c r="AC2513" t="s">
        <v>242</v>
      </c>
      <c r="AD2513" t="s">
        <v>52</v>
      </c>
      <c r="AE2513" t="s">
        <v>438</v>
      </c>
      <c r="AF2513" t="s">
        <v>439</v>
      </c>
      <c r="AG2513" t="s">
        <v>5594</v>
      </c>
      <c r="AH2513">
        <v>15933</v>
      </c>
      <c r="AK2513">
        <v>3</v>
      </c>
      <c r="AL2513" t="s">
        <v>61</v>
      </c>
      <c r="AM2513" t="s">
        <v>9854</v>
      </c>
      <c r="AN2513" t="s">
        <v>9855</v>
      </c>
    </row>
    <row r="2514" spans="1:40" x14ac:dyDescent="0.35">
      <c r="A2514" t="s">
        <v>37</v>
      </c>
      <c r="B2514" t="s">
        <v>9856</v>
      </c>
      <c r="C2514" t="s">
        <v>102</v>
      </c>
      <c r="D2514" t="s">
        <v>635</v>
      </c>
      <c r="E2514" t="s">
        <v>7102</v>
      </c>
      <c r="F2514" s="1">
        <v>46071.619166666664</v>
      </c>
      <c r="G2514" t="s">
        <v>71</v>
      </c>
      <c r="H2514" t="s">
        <v>72</v>
      </c>
      <c r="I2514" t="s">
        <v>9846</v>
      </c>
      <c r="J2514" t="s">
        <v>2421</v>
      </c>
      <c r="K2514" t="s">
        <v>2422</v>
      </c>
      <c r="M2514" t="s">
        <v>47</v>
      </c>
      <c r="O2514" t="s">
        <v>77</v>
      </c>
      <c r="P2514" t="s">
        <v>78</v>
      </c>
      <c r="Q2514" t="s">
        <v>2423</v>
      </c>
      <c r="R2514" t="s">
        <v>51</v>
      </c>
      <c r="S2514" t="s">
        <v>8791</v>
      </c>
      <c r="T2514" t="s">
        <v>8791</v>
      </c>
      <c r="U2514" s="1">
        <v>46073.579884259256</v>
      </c>
      <c r="V2514" t="s">
        <v>54</v>
      </c>
      <c r="W2514" t="s">
        <v>55</v>
      </c>
      <c r="X2514" t="s">
        <v>134</v>
      </c>
      <c r="Y2514" t="s">
        <v>9857</v>
      </c>
      <c r="Z2514" t="s">
        <v>5594</v>
      </c>
      <c r="AA2514" t="s">
        <v>54</v>
      </c>
      <c r="AB2514" t="s">
        <v>954</v>
      </c>
      <c r="AC2514" t="s">
        <v>85</v>
      </c>
      <c r="AD2514" t="s">
        <v>52</v>
      </c>
      <c r="AE2514" t="s">
        <v>559</v>
      </c>
      <c r="AF2514" t="s">
        <v>9858</v>
      </c>
      <c r="AG2514" t="s">
        <v>5594</v>
      </c>
      <c r="AH2514">
        <v>2932</v>
      </c>
      <c r="AK2514">
        <v>1</v>
      </c>
      <c r="AL2514" t="s">
        <v>61</v>
      </c>
      <c r="AM2514" t="s">
        <v>7104</v>
      </c>
      <c r="AN2514" t="s">
        <v>7105</v>
      </c>
    </row>
    <row r="2515" spans="1:40" x14ac:dyDescent="0.35">
      <c r="A2515" t="s">
        <v>37</v>
      </c>
      <c r="B2515" t="s">
        <v>9859</v>
      </c>
      <c r="C2515" t="s">
        <v>102</v>
      </c>
      <c r="D2515" t="s">
        <v>3106</v>
      </c>
      <c r="E2515" t="s">
        <v>3107</v>
      </c>
      <c r="F2515" s="1">
        <v>46071.600555555553</v>
      </c>
      <c r="G2515" t="s">
        <v>105</v>
      </c>
      <c r="H2515" t="s">
        <v>106</v>
      </c>
      <c r="I2515" t="s">
        <v>9860</v>
      </c>
      <c r="J2515" t="s">
        <v>2531</v>
      </c>
      <c r="K2515" t="s">
        <v>2532</v>
      </c>
      <c r="M2515" t="s">
        <v>47</v>
      </c>
      <c r="O2515" t="s">
        <v>237</v>
      </c>
      <c r="P2515" t="s">
        <v>238</v>
      </c>
      <c r="Q2515" t="s">
        <v>50</v>
      </c>
      <c r="R2515" t="s">
        <v>51</v>
      </c>
      <c r="S2515" t="s">
        <v>52</v>
      </c>
      <c r="T2515" t="s">
        <v>240</v>
      </c>
      <c r="U2515" s="1">
        <v>46072.600590277776</v>
      </c>
      <c r="V2515" t="s">
        <v>54</v>
      </c>
      <c r="W2515" t="s">
        <v>55</v>
      </c>
      <c r="X2515" t="s">
        <v>211</v>
      </c>
      <c r="Y2515" t="e">
        <f>- Time card has been updated.  - kindly maintain to ensure the correct date Time when submitting add punch request.</f>
        <v>#NAME?</v>
      </c>
      <c r="Z2515" t="s">
        <v>5594</v>
      </c>
      <c r="AA2515" t="s">
        <v>54</v>
      </c>
      <c r="AB2515" t="s">
        <v>213</v>
      </c>
      <c r="AC2515" t="s">
        <v>242</v>
      </c>
      <c r="AD2515" t="s">
        <v>52</v>
      </c>
      <c r="AE2515" t="s">
        <v>243</v>
      </c>
      <c r="AF2515" t="s">
        <v>1470</v>
      </c>
      <c r="AG2515" t="s">
        <v>5594</v>
      </c>
      <c r="AH2515" t="s">
        <v>3111</v>
      </c>
      <c r="AK2515">
        <v>2</v>
      </c>
      <c r="AL2515" t="s">
        <v>61</v>
      </c>
      <c r="AM2515" t="s">
        <v>3112</v>
      </c>
      <c r="AN2515" t="s">
        <v>3113</v>
      </c>
    </row>
    <row r="2516" spans="1:40" x14ac:dyDescent="0.35">
      <c r="A2516" t="s">
        <v>37</v>
      </c>
      <c r="B2516" t="s">
        <v>9861</v>
      </c>
      <c r="C2516" t="s">
        <v>39</v>
      </c>
      <c r="D2516" t="s">
        <v>9862</v>
      </c>
      <c r="E2516" t="s">
        <v>303</v>
      </c>
      <c r="F2516" s="1">
        <v>46071.597407407404</v>
      </c>
      <c r="G2516" t="s">
        <v>2031</v>
      </c>
      <c r="H2516" t="s">
        <v>106</v>
      </c>
      <c r="I2516" t="s">
        <v>1446</v>
      </c>
      <c r="J2516" t="s">
        <v>1186</v>
      </c>
      <c r="K2516" t="s">
        <v>1187</v>
      </c>
      <c r="M2516" t="s">
        <v>47</v>
      </c>
      <c r="O2516" t="s">
        <v>77</v>
      </c>
      <c r="P2516" t="s">
        <v>78</v>
      </c>
      <c r="Q2516" t="s">
        <v>50</v>
      </c>
      <c r="R2516" t="s">
        <v>305</v>
      </c>
      <c r="S2516" t="s">
        <v>306</v>
      </c>
      <c r="T2516" t="s">
        <v>307</v>
      </c>
      <c r="U2516" s="1">
        <v>46073.455497685187</v>
      </c>
      <c r="V2516" t="s">
        <v>54</v>
      </c>
      <c r="W2516" t="s">
        <v>55</v>
      </c>
      <c r="X2516" t="s">
        <v>211</v>
      </c>
      <c r="Y2516" t="s">
        <v>3435</v>
      </c>
      <c r="Z2516" t="s">
        <v>5594</v>
      </c>
      <c r="AA2516" t="s">
        <v>54</v>
      </c>
      <c r="AB2516" t="s">
        <v>213</v>
      </c>
      <c r="AC2516" t="s">
        <v>85</v>
      </c>
      <c r="AD2516" t="s">
        <v>1189</v>
      </c>
      <c r="AE2516" t="s">
        <v>3436</v>
      </c>
      <c r="AF2516" t="s">
        <v>3437</v>
      </c>
      <c r="AG2516" t="s">
        <v>5594</v>
      </c>
      <c r="AH2516" t="s">
        <v>9863</v>
      </c>
      <c r="AK2516">
        <v>6</v>
      </c>
      <c r="AL2516" t="s">
        <v>61</v>
      </c>
      <c r="AM2516" t="s">
        <v>9864</v>
      </c>
      <c r="AN2516" t="s">
        <v>9865</v>
      </c>
    </row>
    <row r="2517" spans="1:40" x14ac:dyDescent="0.35">
      <c r="A2517" t="s">
        <v>37</v>
      </c>
      <c r="B2517" t="s">
        <v>9866</v>
      </c>
      <c r="C2517" t="s">
        <v>102</v>
      </c>
      <c r="D2517" t="s">
        <v>4690</v>
      </c>
      <c r="E2517" t="s">
        <v>1316</v>
      </c>
      <c r="F2517" s="1">
        <v>46071.593333333331</v>
      </c>
      <c r="G2517" t="s">
        <v>4691</v>
      </c>
      <c r="H2517" t="s">
        <v>287</v>
      </c>
      <c r="I2517" t="s">
        <v>9867</v>
      </c>
      <c r="J2517" t="s">
        <v>4693</v>
      </c>
      <c r="K2517" t="s">
        <v>4694</v>
      </c>
      <c r="M2517" t="s">
        <v>131</v>
      </c>
      <c r="O2517" t="s">
        <v>77</v>
      </c>
      <c r="P2517" t="s">
        <v>78</v>
      </c>
      <c r="Q2517" t="s">
        <v>50</v>
      </c>
      <c r="R2517" t="s">
        <v>51</v>
      </c>
      <c r="S2517" t="s">
        <v>52</v>
      </c>
      <c r="T2517" t="s">
        <v>2140</v>
      </c>
      <c r="U2517" s="1">
        <v>46076.424479166664</v>
      </c>
      <c r="V2517" t="s">
        <v>54</v>
      </c>
      <c r="W2517" t="s">
        <v>55</v>
      </c>
      <c r="X2517" t="s">
        <v>134</v>
      </c>
      <c r="Y2517" t="s">
        <v>9868</v>
      </c>
      <c r="Z2517" t="s">
        <v>58</v>
      </c>
      <c r="AA2517" t="s">
        <v>54</v>
      </c>
      <c r="AB2517" t="s">
        <v>4696</v>
      </c>
      <c r="AC2517" t="s">
        <v>85</v>
      </c>
      <c r="AD2517" t="s">
        <v>52</v>
      </c>
      <c r="AE2517" t="s">
        <v>243</v>
      </c>
      <c r="AF2517" t="s">
        <v>409</v>
      </c>
      <c r="AG2517" t="s">
        <v>58</v>
      </c>
      <c r="AK2517">
        <v>0</v>
      </c>
      <c r="AL2517" t="s">
        <v>61</v>
      </c>
      <c r="AM2517" t="s">
        <v>4697</v>
      </c>
      <c r="AN2517" t="s">
        <v>4698</v>
      </c>
    </row>
    <row r="2518" spans="1:40" x14ac:dyDescent="0.35">
      <c r="A2518" t="s">
        <v>37</v>
      </c>
      <c r="B2518" t="s">
        <v>9869</v>
      </c>
      <c r="C2518" t="s">
        <v>39</v>
      </c>
      <c r="D2518" t="s">
        <v>4690</v>
      </c>
      <c r="E2518" t="s">
        <v>1316</v>
      </c>
      <c r="F2518" s="1">
        <v>46071.592615740738</v>
      </c>
      <c r="G2518" t="s">
        <v>4691</v>
      </c>
      <c r="H2518" t="s">
        <v>287</v>
      </c>
      <c r="I2518" t="s">
        <v>9870</v>
      </c>
      <c r="J2518" t="s">
        <v>4693</v>
      </c>
      <c r="K2518" t="s">
        <v>4694</v>
      </c>
      <c r="M2518" t="s">
        <v>131</v>
      </c>
      <c r="O2518" t="s">
        <v>77</v>
      </c>
      <c r="P2518" t="s">
        <v>78</v>
      </c>
      <c r="Q2518" t="s">
        <v>50</v>
      </c>
      <c r="R2518" t="s">
        <v>51</v>
      </c>
      <c r="S2518" t="s">
        <v>52</v>
      </c>
      <c r="T2518" t="s">
        <v>997</v>
      </c>
      <c r="U2518" s="1">
        <v>46076.423229166663</v>
      </c>
      <c r="V2518" t="s">
        <v>54</v>
      </c>
      <c r="W2518" t="s">
        <v>55</v>
      </c>
      <c r="X2518" t="s">
        <v>134</v>
      </c>
      <c r="Y2518" t="s">
        <v>9871</v>
      </c>
      <c r="Z2518" t="s">
        <v>58</v>
      </c>
      <c r="AA2518" t="s">
        <v>54</v>
      </c>
      <c r="AB2518" t="s">
        <v>4696</v>
      </c>
      <c r="AC2518" t="s">
        <v>85</v>
      </c>
      <c r="AD2518" t="s">
        <v>51</v>
      </c>
      <c r="AE2518" t="s">
        <v>52</v>
      </c>
      <c r="AF2518" t="s">
        <v>997</v>
      </c>
      <c r="AG2518" t="s">
        <v>58</v>
      </c>
      <c r="AK2518">
        <v>0</v>
      </c>
      <c r="AL2518" t="s">
        <v>61</v>
      </c>
      <c r="AM2518" t="s">
        <v>4697</v>
      </c>
      <c r="AN2518" t="s">
        <v>4698</v>
      </c>
    </row>
    <row r="2519" spans="1:40" x14ac:dyDescent="0.35">
      <c r="A2519" t="s">
        <v>37</v>
      </c>
      <c r="B2519" t="s">
        <v>9872</v>
      </c>
      <c r="C2519" t="s">
        <v>102</v>
      </c>
      <c r="D2519" t="s">
        <v>4690</v>
      </c>
      <c r="E2519" t="s">
        <v>1316</v>
      </c>
      <c r="F2519" s="1">
        <v>46071.591828703706</v>
      </c>
      <c r="G2519" t="s">
        <v>4691</v>
      </c>
      <c r="H2519" t="s">
        <v>287</v>
      </c>
      <c r="I2519" t="s">
        <v>9873</v>
      </c>
      <c r="J2519" t="s">
        <v>4693</v>
      </c>
      <c r="K2519" t="s">
        <v>4694</v>
      </c>
      <c r="M2519" t="s">
        <v>131</v>
      </c>
      <c r="O2519" t="s">
        <v>77</v>
      </c>
      <c r="P2519" t="s">
        <v>78</v>
      </c>
      <c r="Q2519" t="s">
        <v>50</v>
      </c>
      <c r="R2519" t="s">
        <v>51</v>
      </c>
      <c r="S2519" t="s">
        <v>52</v>
      </c>
      <c r="T2519" t="s">
        <v>195</v>
      </c>
      <c r="U2519" s="1">
        <v>46076.423692129632</v>
      </c>
      <c r="V2519" t="s">
        <v>54</v>
      </c>
      <c r="W2519" t="s">
        <v>55</v>
      </c>
      <c r="X2519" t="s">
        <v>134</v>
      </c>
      <c r="Y2519" t="s">
        <v>9874</v>
      </c>
      <c r="Z2519" t="s">
        <v>58</v>
      </c>
      <c r="AA2519" t="s">
        <v>54</v>
      </c>
      <c r="AB2519" t="s">
        <v>4696</v>
      </c>
      <c r="AC2519" t="s">
        <v>85</v>
      </c>
      <c r="AD2519" t="s">
        <v>51</v>
      </c>
      <c r="AE2519" t="s">
        <v>52</v>
      </c>
      <c r="AF2519" t="s">
        <v>240</v>
      </c>
      <c r="AG2519" t="s">
        <v>58</v>
      </c>
      <c r="AK2519">
        <v>0</v>
      </c>
      <c r="AL2519" t="s">
        <v>61</v>
      </c>
      <c r="AM2519" t="s">
        <v>4697</v>
      </c>
      <c r="AN2519" t="s">
        <v>4698</v>
      </c>
    </row>
    <row r="2520" spans="1:40" x14ac:dyDescent="0.35">
      <c r="A2520" t="s">
        <v>37</v>
      </c>
      <c r="B2520" t="s">
        <v>9875</v>
      </c>
      <c r="C2520" t="s">
        <v>39</v>
      </c>
      <c r="D2520" t="s">
        <v>4690</v>
      </c>
      <c r="E2520" t="s">
        <v>1316</v>
      </c>
      <c r="F2520" s="1">
        <v>46071.590914351851</v>
      </c>
      <c r="G2520" t="s">
        <v>4691</v>
      </c>
      <c r="H2520" t="s">
        <v>287</v>
      </c>
      <c r="I2520" t="s">
        <v>9876</v>
      </c>
      <c r="J2520" t="s">
        <v>4693</v>
      </c>
      <c r="K2520" t="s">
        <v>4694</v>
      </c>
      <c r="M2520" t="s">
        <v>131</v>
      </c>
      <c r="O2520" t="s">
        <v>77</v>
      </c>
      <c r="P2520" t="s">
        <v>78</v>
      </c>
      <c r="Q2520" t="s">
        <v>50</v>
      </c>
      <c r="R2520" t="s">
        <v>51</v>
      </c>
      <c r="S2520" t="s">
        <v>52</v>
      </c>
      <c r="T2520" t="s">
        <v>997</v>
      </c>
      <c r="U2520" s="1">
        <v>46076.422951388886</v>
      </c>
      <c r="V2520" t="s">
        <v>54</v>
      </c>
      <c r="W2520" t="s">
        <v>55</v>
      </c>
      <c r="X2520" t="s">
        <v>134</v>
      </c>
      <c r="Y2520" t="s">
        <v>9871</v>
      </c>
      <c r="Z2520" t="s">
        <v>58</v>
      </c>
      <c r="AA2520" t="s">
        <v>54</v>
      </c>
      <c r="AB2520" t="s">
        <v>4696</v>
      </c>
      <c r="AC2520" t="s">
        <v>85</v>
      </c>
      <c r="AD2520" t="s">
        <v>52</v>
      </c>
      <c r="AE2520" t="s">
        <v>999</v>
      </c>
      <c r="AF2520" t="s">
        <v>2272</v>
      </c>
      <c r="AG2520" t="s">
        <v>58</v>
      </c>
      <c r="AK2520">
        <v>0</v>
      </c>
      <c r="AL2520" t="s">
        <v>61</v>
      </c>
      <c r="AM2520" t="s">
        <v>4697</v>
      </c>
      <c r="AN2520" t="s">
        <v>4698</v>
      </c>
    </row>
    <row r="2521" spans="1:40" x14ac:dyDescent="0.35">
      <c r="A2521" t="s">
        <v>37</v>
      </c>
      <c r="B2521" t="s">
        <v>9877</v>
      </c>
      <c r="C2521" t="s">
        <v>39</v>
      </c>
      <c r="D2521" t="s">
        <v>4690</v>
      </c>
      <c r="E2521" t="s">
        <v>1316</v>
      </c>
      <c r="F2521" s="1">
        <v>46071.590081018519</v>
      </c>
      <c r="G2521" t="s">
        <v>4691</v>
      </c>
      <c r="H2521" t="s">
        <v>287</v>
      </c>
      <c r="I2521" t="s">
        <v>9878</v>
      </c>
      <c r="J2521" t="s">
        <v>4693</v>
      </c>
      <c r="K2521" t="s">
        <v>4694</v>
      </c>
      <c r="M2521" t="s">
        <v>131</v>
      </c>
      <c r="O2521" t="s">
        <v>77</v>
      </c>
      <c r="P2521" t="s">
        <v>78</v>
      </c>
      <c r="Q2521" t="s">
        <v>50</v>
      </c>
      <c r="R2521" t="s">
        <v>51</v>
      </c>
      <c r="S2521" t="s">
        <v>52</v>
      </c>
      <c r="T2521" t="s">
        <v>997</v>
      </c>
      <c r="U2521" s="1">
        <v>46076.422696759262</v>
      </c>
      <c r="V2521" t="s">
        <v>54</v>
      </c>
      <c r="W2521" t="s">
        <v>55</v>
      </c>
      <c r="X2521" t="s">
        <v>134</v>
      </c>
      <c r="Y2521" t="s">
        <v>9871</v>
      </c>
      <c r="Z2521" t="s">
        <v>58</v>
      </c>
      <c r="AA2521" t="s">
        <v>54</v>
      </c>
      <c r="AB2521" t="s">
        <v>4696</v>
      </c>
      <c r="AC2521" t="s">
        <v>85</v>
      </c>
      <c r="AD2521" t="s">
        <v>52</v>
      </c>
      <c r="AE2521" t="s">
        <v>999</v>
      </c>
      <c r="AF2521" t="s">
        <v>2272</v>
      </c>
      <c r="AG2521" t="s">
        <v>58</v>
      </c>
      <c r="AK2521">
        <v>0</v>
      </c>
      <c r="AL2521" t="s">
        <v>61</v>
      </c>
      <c r="AM2521" t="s">
        <v>4697</v>
      </c>
      <c r="AN2521" t="s">
        <v>4698</v>
      </c>
    </row>
    <row r="2522" spans="1:40" x14ac:dyDescent="0.35">
      <c r="A2522" t="s">
        <v>37</v>
      </c>
      <c r="B2522" t="s">
        <v>9879</v>
      </c>
      <c r="C2522" t="s">
        <v>39</v>
      </c>
      <c r="D2522" t="s">
        <v>481</v>
      </c>
      <c r="E2522" t="s">
        <v>4373</v>
      </c>
      <c r="F2522" s="1">
        <v>46071.589004629626</v>
      </c>
      <c r="G2522" t="s">
        <v>4421</v>
      </c>
      <c r="H2522" t="s">
        <v>92</v>
      </c>
      <c r="I2522" t="s">
        <v>9880</v>
      </c>
      <c r="J2522" t="s">
        <v>7078</v>
      </c>
      <c r="K2522" t="s">
        <v>75</v>
      </c>
      <c r="M2522" t="s">
        <v>47</v>
      </c>
      <c r="O2522" t="s">
        <v>48</v>
      </c>
      <c r="P2522" t="s">
        <v>49</v>
      </c>
      <c r="Q2522" t="s">
        <v>50</v>
      </c>
      <c r="R2522" t="s">
        <v>305</v>
      </c>
      <c r="S2522" t="s">
        <v>306</v>
      </c>
      <c r="T2522" t="s">
        <v>307</v>
      </c>
      <c r="U2522" s="1">
        <v>46072.645358796297</v>
      </c>
      <c r="V2522" t="s">
        <v>54</v>
      </c>
      <c r="W2522" t="s">
        <v>55</v>
      </c>
      <c r="X2522" t="s">
        <v>211</v>
      </c>
      <c r="Y2522" t="s">
        <v>9881</v>
      </c>
      <c r="Z2522" t="s">
        <v>5594</v>
      </c>
      <c r="AA2522" t="s">
        <v>54</v>
      </c>
      <c r="AB2522" t="s">
        <v>213</v>
      </c>
      <c r="AC2522" t="s">
        <v>60</v>
      </c>
      <c r="AD2522" t="s">
        <v>79</v>
      </c>
      <c r="AE2522" t="s">
        <v>952</v>
      </c>
      <c r="AF2522" t="s">
        <v>953</v>
      </c>
      <c r="AG2522" t="s">
        <v>5594</v>
      </c>
      <c r="AH2522">
        <v>15915</v>
      </c>
      <c r="AK2522">
        <v>3</v>
      </c>
      <c r="AL2522" t="s">
        <v>61</v>
      </c>
      <c r="AM2522" t="s">
        <v>4438</v>
      </c>
      <c r="AN2522" t="s">
        <v>4439</v>
      </c>
    </row>
    <row r="2523" spans="1:40" x14ac:dyDescent="0.35">
      <c r="A2523" t="s">
        <v>37</v>
      </c>
      <c r="B2523" t="s">
        <v>9882</v>
      </c>
      <c r="C2523" t="s">
        <v>39</v>
      </c>
      <c r="D2523" t="s">
        <v>9883</v>
      </c>
      <c r="E2523" t="s">
        <v>9884</v>
      </c>
      <c r="F2523" s="1">
        <v>46071.586261574077</v>
      </c>
      <c r="G2523" t="s">
        <v>515</v>
      </c>
      <c r="H2523" t="s">
        <v>92</v>
      </c>
      <c r="I2523" t="s">
        <v>403</v>
      </c>
      <c r="J2523" t="s">
        <v>404</v>
      </c>
      <c r="K2523" t="s">
        <v>405</v>
      </c>
      <c r="M2523" t="s">
        <v>47</v>
      </c>
      <c r="O2523" t="s">
        <v>77</v>
      </c>
      <c r="P2523" t="s">
        <v>78</v>
      </c>
      <c r="Q2523" t="s">
        <v>4087</v>
      </c>
      <c r="R2523" t="s">
        <v>51</v>
      </c>
      <c r="S2523" t="s">
        <v>52</v>
      </c>
      <c r="T2523" t="s">
        <v>240</v>
      </c>
      <c r="U2523" s="1">
        <v>46073.415567129632</v>
      </c>
      <c r="V2523" t="s">
        <v>54</v>
      </c>
      <c r="W2523" t="s">
        <v>55</v>
      </c>
      <c r="X2523" t="s">
        <v>134</v>
      </c>
      <c r="Y2523" t="s">
        <v>9885</v>
      </c>
      <c r="Z2523" t="s">
        <v>5594</v>
      </c>
      <c r="AA2523" t="s">
        <v>54</v>
      </c>
      <c r="AB2523" t="s">
        <v>408</v>
      </c>
      <c r="AC2523" t="s">
        <v>85</v>
      </c>
      <c r="AD2523" t="s">
        <v>52</v>
      </c>
      <c r="AE2523" t="s">
        <v>243</v>
      </c>
      <c r="AF2523" t="s">
        <v>409</v>
      </c>
      <c r="AG2523" t="s">
        <v>5594</v>
      </c>
      <c r="AH2523">
        <v>4981</v>
      </c>
      <c r="AK2523">
        <v>1</v>
      </c>
      <c r="AL2523" t="s">
        <v>61</v>
      </c>
      <c r="AM2523" t="s">
        <v>9886</v>
      </c>
      <c r="AN2523" t="s">
        <v>9887</v>
      </c>
    </row>
    <row r="2524" spans="1:40" x14ac:dyDescent="0.35">
      <c r="A2524" t="s">
        <v>37</v>
      </c>
      <c r="B2524" t="s">
        <v>9888</v>
      </c>
      <c r="C2524" t="s">
        <v>39</v>
      </c>
      <c r="D2524" t="s">
        <v>89</v>
      </c>
      <c r="E2524" t="s">
        <v>8000</v>
      </c>
      <c r="F2524" s="1">
        <v>46071.585219907407</v>
      </c>
      <c r="G2524" t="s">
        <v>170</v>
      </c>
      <c r="H2524" t="s">
        <v>92</v>
      </c>
      <c r="I2524" t="s">
        <v>205</v>
      </c>
      <c r="J2524" t="s">
        <v>1692</v>
      </c>
      <c r="K2524" t="s">
        <v>207</v>
      </c>
      <c r="M2524" t="s">
        <v>47</v>
      </c>
      <c r="O2524" t="s">
        <v>77</v>
      </c>
      <c r="P2524" t="s">
        <v>78</v>
      </c>
      <c r="Q2524" t="s">
        <v>50</v>
      </c>
      <c r="R2524" t="s">
        <v>305</v>
      </c>
      <c r="S2524" t="s">
        <v>306</v>
      </c>
      <c r="T2524" t="s">
        <v>307</v>
      </c>
      <c r="U2524" s="1">
        <v>46074.722384259258</v>
      </c>
      <c r="V2524" t="s">
        <v>54</v>
      </c>
      <c r="W2524" t="s">
        <v>55</v>
      </c>
      <c r="X2524" t="s">
        <v>211</v>
      </c>
      <c r="Y2524" t="s">
        <v>8919</v>
      </c>
      <c r="Z2524" t="s">
        <v>5594</v>
      </c>
      <c r="AA2524" t="s">
        <v>54</v>
      </c>
      <c r="AB2524" t="s">
        <v>213</v>
      </c>
      <c r="AC2524" t="s">
        <v>85</v>
      </c>
      <c r="AD2524" t="s">
        <v>214</v>
      </c>
      <c r="AE2524" t="s">
        <v>215</v>
      </c>
      <c r="AF2524" t="s">
        <v>161</v>
      </c>
      <c r="AG2524" t="s">
        <v>5594</v>
      </c>
      <c r="AH2524">
        <v>15977</v>
      </c>
      <c r="AK2524">
        <v>4</v>
      </c>
      <c r="AL2524" t="s">
        <v>61</v>
      </c>
      <c r="AM2524" t="s">
        <v>8002</v>
      </c>
      <c r="AN2524" t="s">
        <v>8003</v>
      </c>
    </row>
    <row r="2525" spans="1:40" x14ac:dyDescent="0.35">
      <c r="A2525" t="s">
        <v>37</v>
      </c>
      <c r="B2525" t="s">
        <v>9889</v>
      </c>
      <c r="C2525" t="s">
        <v>39</v>
      </c>
      <c r="D2525" t="s">
        <v>127</v>
      </c>
      <c r="E2525" t="s">
        <v>9500</v>
      </c>
      <c r="F2525" s="1">
        <v>46071.582187499997</v>
      </c>
      <c r="G2525" t="s">
        <v>597</v>
      </c>
      <c r="H2525" t="s">
        <v>287</v>
      </c>
      <c r="I2525" t="s">
        <v>205</v>
      </c>
      <c r="J2525" t="s">
        <v>1692</v>
      </c>
      <c r="K2525" t="s">
        <v>207</v>
      </c>
      <c r="M2525" t="s">
        <v>47</v>
      </c>
      <c r="O2525" t="s">
        <v>77</v>
      </c>
      <c r="P2525" t="s">
        <v>78</v>
      </c>
      <c r="R2525" t="s">
        <v>305</v>
      </c>
      <c r="S2525" t="s">
        <v>306</v>
      </c>
      <c r="T2525" t="s">
        <v>307</v>
      </c>
      <c r="U2525" s="1">
        <v>46074.721319444441</v>
      </c>
      <c r="V2525" t="s">
        <v>54</v>
      </c>
      <c r="W2525" t="s">
        <v>55</v>
      </c>
      <c r="X2525" t="s">
        <v>211</v>
      </c>
      <c r="Y2525" t="s">
        <v>8919</v>
      </c>
      <c r="Z2525" t="s">
        <v>5594</v>
      </c>
      <c r="AA2525" t="s">
        <v>54</v>
      </c>
      <c r="AB2525" t="s">
        <v>213</v>
      </c>
      <c r="AC2525" t="s">
        <v>85</v>
      </c>
      <c r="AD2525" t="s">
        <v>214</v>
      </c>
      <c r="AE2525" t="s">
        <v>215</v>
      </c>
      <c r="AF2525" t="s">
        <v>161</v>
      </c>
      <c r="AG2525" t="s">
        <v>5594</v>
      </c>
      <c r="AH2525" t="s">
        <v>9502</v>
      </c>
      <c r="AK2525">
        <v>3</v>
      </c>
      <c r="AL2525" t="s">
        <v>61</v>
      </c>
      <c r="AM2525" t="s">
        <v>9503</v>
      </c>
      <c r="AN2525" t="s">
        <v>9504</v>
      </c>
    </row>
    <row r="2526" spans="1:40" x14ac:dyDescent="0.35">
      <c r="A2526" t="s">
        <v>37</v>
      </c>
      <c r="B2526" t="s">
        <v>9890</v>
      </c>
      <c r="C2526" t="s">
        <v>39</v>
      </c>
      <c r="D2526" t="s">
        <v>4700</v>
      </c>
      <c r="E2526" t="s">
        <v>800</v>
      </c>
      <c r="F2526" s="1">
        <v>46071.580405092594</v>
      </c>
      <c r="G2526" t="s">
        <v>402</v>
      </c>
      <c r="H2526" t="s">
        <v>72</v>
      </c>
      <c r="I2526" t="s">
        <v>205</v>
      </c>
      <c r="J2526" t="s">
        <v>1692</v>
      </c>
      <c r="K2526" t="s">
        <v>207</v>
      </c>
      <c r="M2526" t="s">
        <v>47</v>
      </c>
      <c r="O2526" t="s">
        <v>77</v>
      </c>
      <c r="P2526" t="s">
        <v>78</v>
      </c>
      <c r="Q2526" t="s">
        <v>50</v>
      </c>
      <c r="R2526" t="s">
        <v>305</v>
      </c>
      <c r="S2526" t="s">
        <v>306</v>
      </c>
      <c r="T2526" t="s">
        <v>307</v>
      </c>
      <c r="U2526" s="1">
        <v>46074.718391203707</v>
      </c>
      <c r="V2526" t="s">
        <v>54</v>
      </c>
      <c r="W2526" t="s">
        <v>55</v>
      </c>
      <c r="X2526" t="s">
        <v>211</v>
      </c>
      <c r="Y2526" t="s">
        <v>8919</v>
      </c>
      <c r="Z2526" t="s">
        <v>5594</v>
      </c>
      <c r="AA2526" t="s">
        <v>54</v>
      </c>
      <c r="AB2526" t="s">
        <v>213</v>
      </c>
      <c r="AC2526" t="s">
        <v>85</v>
      </c>
      <c r="AD2526" t="s">
        <v>214</v>
      </c>
      <c r="AE2526" t="s">
        <v>215</v>
      </c>
      <c r="AF2526" t="s">
        <v>161</v>
      </c>
      <c r="AG2526" t="s">
        <v>5594</v>
      </c>
      <c r="AH2526">
        <v>15951</v>
      </c>
      <c r="AK2526">
        <v>3</v>
      </c>
      <c r="AL2526" t="s">
        <v>61</v>
      </c>
      <c r="AM2526" t="s">
        <v>8291</v>
      </c>
      <c r="AN2526" t="s">
        <v>8292</v>
      </c>
    </row>
    <row r="2527" spans="1:40" x14ac:dyDescent="0.35">
      <c r="A2527" t="s">
        <v>37</v>
      </c>
      <c r="B2527" t="s">
        <v>9891</v>
      </c>
      <c r="C2527" t="s">
        <v>39</v>
      </c>
      <c r="D2527" t="s">
        <v>225</v>
      </c>
      <c r="E2527" t="s">
        <v>9892</v>
      </c>
      <c r="F2527" s="1">
        <v>46071.578981481478</v>
      </c>
      <c r="G2527" t="s">
        <v>515</v>
      </c>
      <c r="H2527" t="s">
        <v>92</v>
      </c>
      <c r="I2527" t="s">
        <v>205</v>
      </c>
      <c r="J2527" t="s">
        <v>1692</v>
      </c>
      <c r="K2527" t="s">
        <v>207</v>
      </c>
      <c r="M2527" t="s">
        <v>131</v>
      </c>
      <c r="O2527" t="s">
        <v>77</v>
      </c>
      <c r="P2527" t="s">
        <v>78</v>
      </c>
      <c r="Q2527" t="s">
        <v>50</v>
      </c>
      <c r="R2527" t="s">
        <v>305</v>
      </c>
      <c r="S2527" t="s">
        <v>306</v>
      </c>
      <c r="T2527" t="s">
        <v>307</v>
      </c>
      <c r="U2527" s="1">
        <v>46076.587638888886</v>
      </c>
      <c r="V2527" t="s">
        <v>54</v>
      </c>
      <c r="W2527" t="s">
        <v>55</v>
      </c>
      <c r="X2527" t="s">
        <v>211</v>
      </c>
      <c r="Y2527" t="s">
        <v>9893</v>
      </c>
      <c r="Z2527" t="s">
        <v>58</v>
      </c>
      <c r="AA2527" t="s">
        <v>54</v>
      </c>
      <c r="AB2527" t="s">
        <v>213</v>
      </c>
      <c r="AC2527" t="s">
        <v>85</v>
      </c>
      <c r="AD2527" t="s">
        <v>214</v>
      </c>
      <c r="AE2527" t="s">
        <v>215</v>
      </c>
      <c r="AF2527" t="s">
        <v>2083</v>
      </c>
      <c r="AG2527" t="s">
        <v>58</v>
      </c>
      <c r="AH2527">
        <v>15957</v>
      </c>
      <c r="AK2527">
        <v>3</v>
      </c>
      <c r="AL2527" t="s">
        <v>61</v>
      </c>
      <c r="AM2527" t="s">
        <v>9894</v>
      </c>
      <c r="AN2527" t="s">
        <v>9895</v>
      </c>
    </row>
    <row r="2528" spans="1:40" x14ac:dyDescent="0.35">
      <c r="A2528" t="s">
        <v>37</v>
      </c>
      <c r="B2528" t="s">
        <v>9896</v>
      </c>
      <c r="C2528" t="s">
        <v>39</v>
      </c>
      <c r="D2528" t="s">
        <v>9897</v>
      </c>
      <c r="E2528" t="s">
        <v>9898</v>
      </c>
      <c r="F2528" s="1">
        <v>46071.577939814815</v>
      </c>
      <c r="G2528" t="s">
        <v>4234</v>
      </c>
      <c r="H2528" t="s">
        <v>233</v>
      </c>
      <c r="I2528" t="s">
        <v>205</v>
      </c>
      <c r="J2528" t="s">
        <v>1692</v>
      </c>
      <c r="K2528" t="s">
        <v>207</v>
      </c>
      <c r="M2528" t="s">
        <v>131</v>
      </c>
      <c r="O2528" t="s">
        <v>77</v>
      </c>
      <c r="P2528" t="s">
        <v>78</v>
      </c>
      <c r="Q2528" t="s">
        <v>1370</v>
      </c>
      <c r="R2528" t="s">
        <v>305</v>
      </c>
      <c r="S2528" t="s">
        <v>306</v>
      </c>
      <c r="T2528" t="s">
        <v>307</v>
      </c>
      <c r="U2528" s="1">
        <v>46077.269166666665</v>
      </c>
      <c r="V2528" t="s">
        <v>54</v>
      </c>
      <c r="W2528" t="s">
        <v>55</v>
      </c>
      <c r="X2528" t="s">
        <v>211</v>
      </c>
      <c r="Y2528" t="s">
        <v>8919</v>
      </c>
      <c r="Z2528" t="s">
        <v>58</v>
      </c>
      <c r="AA2528" t="s">
        <v>54</v>
      </c>
      <c r="AB2528" t="s">
        <v>213</v>
      </c>
      <c r="AC2528" t="s">
        <v>85</v>
      </c>
      <c r="AD2528" t="s">
        <v>214</v>
      </c>
      <c r="AE2528" t="s">
        <v>215</v>
      </c>
      <c r="AF2528" t="s">
        <v>161</v>
      </c>
      <c r="AG2528" t="s">
        <v>58</v>
      </c>
      <c r="AH2528">
        <v>2678</v>
      </c>
      <c r="AK2528">
        <v>3</v>
      </c>
      <c r="AL2528" t="s">
        <v>61</v>
      </c>
      <c r="AM2528" t="s">
        <v>9899</v>
      </c>
      <c r="AN2528" t="s">
        <v>9900</v>
      </c>
    </row>
    <row r="2529" spans="1:40" x14ac:dyDescent="0.35">
      <c r="A2529" t="s">
        <v>37</v>
      </c>
      <c r="B2529" t="s">
        <v>9901</v>
      </c>
      <c r="C2529" t="s">
        <v>39</v>
      </c>
      <c r="D2529" t="s">
        <v>9902</v>
      </c>
      <c r="E2529" t="s">
        <v>7165</v>
      </c>
      <c r="F2529" s="1">
        <v>46071.577939814815</v>
      </c>
      <c r="G2529" t="s">
        <v>793</v>
      </c>
      <c r="H2529" t="s">
        <v>356</v>
      </c>
      <c r="I2529" t="s">
        <v>7382</v>
      </c>
      <c r="J2529" t="s">
        <v>4212</v>
      </c>
      <c r="K2529" t="s">
        <v>4213</v>
      </c>
      <c r="M2529" t="s">
        <v>47</v>
      </c>
      <c r="O2529" t="s">
        <v>77</v>
      </c>
      <c r="P2529" t="s">
        <v>78</v>
      </c>
      <c r="Q2529" t="s">
        <v>50</v>
      </c>
      <c r="R2529" t="s">
        <v>51</v>
      </c>
      <c r="S2529" t="s">
        <v>52</v>
      </c>
      <c r="T2529" t="s">
        <v>773</v>
      </c>
      <c r="U2529" s="1">
        <v>46072.310069444444</v>
      </c>
      <c r="V2529" t="s">
        <v>54</v>
      </c>
      <c r="W2529" t="s">
        <v>55</v>
      </c>
      <c r="X2529" t="s">
        <v>211</v>
      </c>
      <c r="Y2529" t="s">
        <v>9903</v>
      </c>
      <c r="Z2529" t="s">
        <v>5594</v>
      </c>
      <c r="AA2529" t="s">
        <v>54</v>
      </c>
      <c r="AB2529" t="s">
        <v>213</v>
      </c>
      <c r="AC2529" t="s">
        <v>85</v>
      </c>
      <c r="AD2529" t="s">
        <v>52</v>
      </c>
      <c r="AE2529" t="s">
        <v>438</v>
      </c>
      <c r="AF2529" t="s">
        <v>2111</v>
      </c>
      <c r="AG2529" t="s">
        <v>5594</v>
      </c>
      <c r="AH2529">
        <v>15140</v>
      </c>
      <c r="AK2529">
        <v>2</v>
      </c>
      <c r="AL2529" t="s">
        <v>61</v>
      </c>
      <c r="AM2529" t="s">
        <v>9904</v>
      </c>
      <c r="AN2529" t="s">
        <v>9905</v>
      </c>
    </row>
    <row r="2530" spans="1:40" x14ac:dyDescent="0.35">
      <c r="A2530" t="s">
        <v>37</v>
      </c>
      <c r="B2530" t="s">
        <v>9906</v>
      </c>
      <c r="C2530" t="s">
        <v>39</v>
      </c>
      <c r="D2530" t="s">
        <v>4579</v>
      </c>
      <c r="E2530" t="s">
        <v>4580</v>
      </c>
      <c r="F2530" s="1">
        <v>46071.571643518517</v>
      </c>
      <c r="G2530" t="s">
        <v>508</v>
      </c>
      <c r="H2530" t="s">
        <v>72</v>
      </c>
      <c r="I2530" t="s">
        <v>9907</v>
      </c>
      <c r="J2530" t="s">
        <v>9282</v>
      </c>
      <c r="K2530" t="s">
        <v>9283</v>
      </c>
      <c r="M2530" t="s">
        <v>131</v>
      </c>
      <c r="O2530" t="s">
        <v>77</v>
      </c>
      <c r="P2530" t="s">
        <v>78</v>
      </c>
      <c r="Q2530" t="s">
        <v>50</v>
      </c>
      <c r="R2530" t="s">
        <v>79</v>
      </c>
      <c r="S2530" t="s">
        <v>558</v>
      </c>
      <c r="T2530" t="s">
        <v>1108</v>
      </c>
      <c r="U2530" s="1">
        <v>46078.679444444446</v>
      </c>
      <c r="V2530" t="s">
        <v>54</v>
      </c>
      <c r="W2530" t="s">
        <v>55</v>
      </c>
      <c r="X2530" t="s">
        <v>82</v>
      </c>
      <c r="Y2530" t="s">
        <v>9908</v>
      </c>
      <c r="Z2530" t="s">
        <v>58</v>
      </c>
      <c r="AA2530" t="s">
        <v>54</v>
      </c>
      <c r="AB2530" t="s">
        <v>84</v>
      </c>
      <c r="AC2530" t="s">
        <v>85</v>
      </c>
      <c r="AD2530" t="s">
        <v>79</v>
      </c>
      <c r="AE2530" t="s">
        <v>975</v>
      </c>
      <c r="AF2530" t="s">
        <v>2280</v>
      </c>
      <c r="AG2530" t="s">
        <v>58</v>
      </c>
      <c r="AH2530">
        <v>15907</v>
      </c>
      <c r="AK2530">
        <v>3</v>
      </c>
      <c r="AL2530" t="s">
        <v>61</v>
      </c>
      <c r="AM2530" t="s">
        <v>4583</v>
      </c>
      <c r="AN2530" t="s">
        <v>4584</v>
      </c>
    </row>
    <row r="2531" spans="1:40" x14ac:dyDescent="0.35">
      <c r="A2531" t="s">
        <v>37</v>
      </c>
      <c r="B2531" t="s">
        <v>9909</v>
      </c>
      <c r="C2531" t="s">
        <v>39</v>
      </c>
      <c r="D2531" t="s">
        <v>325</v>
      </c>
      <c r="E2531" t="s">
        <v>9910</v>
      </c>
      <c r="F2531" s="1">
        <v>46071.567962962959</v>
      </c>
      <c r="G2531" t="s">
        <v>355</v>
      </c>
      <c r="H2531" t="s">
        <v>356</v>
      </c>
      <c r="I2531" t="s">
        <v>9911</v>
      </c>
      <c r="J2531" t="s">
        <v>1823</v>
      </c>
      <c r="K2531" t="s">
        <v>1824</v>
      </c>
      <c r="M2531" t="s">
        <v>47</v>
      </c>
      <c r="O2531" t="s">
        <v>77</v>
      </c>
      <c r="P2531" t="s">
        <v>78</v>
      </c>
      <c r="Q2531" t="s">
        <v>50</v>
      </c>
      <c r="R2531" t="s">
        <v>51</v>
      </c>
      <c r="S2531" t="s">
        <v>52</v>
      </c>
      <c r="T2531" t="s">
        <v>240</v>
      </c>
      <c r="U2531" s="1">
        <v>46072.370046296295</v>
      </c>
      <c r="V2531" t="s">
        <v>54</v>
      </c>
      <c r="W2531" t="s">
        <v>55</v>
      </c>
      <c r="X2531" t="s">
        <v>134</v>
      </c>
      <c r="Y2531" t="s">
        <v>9912</v>
      </c>
      <c r="Z2531" t="s">
        <v>5594</v>
      </c>
      <c r="AA2531" t="s">
        <v>54</v>
      </c>
      <c r="AB2531" t="s">
        <v>1826</v>
      </c>
      <c r="AC2531" t="s">
        <v>85</v>
      </c>
      <c r="AD2531" t="s">
        <v>52</v>
      </c>
      <c r="AE2531" t="s">
        <v>243</v>
      </c>
      <c r="AF2531" t="s">
        <v>1470</v>
      </c>
      <c r="AG2531" t="s">
        <v>5594</v>
      </c>
      <c r="AH2531" t="s">
        <v>9913</v>
      </c>
      <c r="AK2531">
        <v>0</v>
      </c>
      <c r="AL2531" t="s">
        <v>61</v>
      </c>
      <c r="AM2531" t="s">
        <v>9914</v>
      </c>
      <c r="AN2531" t="s">
        <v>9915</v>
      </c>
    </row>
    <row r="2532" spans="1:40" x14ac:dyDescent="0.35">
      <c r="A2532" t="s">
        <v>37</v>
      </c>
      <c r="B2532" t="s">
        <v>9916</v>
      </c>
      <c r="C2532" t="s">
        <v>39</v>
      </c>
      <c r="D2532" t="s">
        <v>1751</v>
      </c>
      <c r="E2532" t="s">
        <v>1316</v>
      </c>
      <c r="F2532" s="1">
        <v>46071.565706018519</v>
      </c>
      <c r="G2532" t="s">
        <v>1752</v>
      </c>
      <c r="H2532" t="s">
        <v>447</v>
      </c>
      <c r="I2532" t="s">
        <v>9917</v>
      </c>
      <c r="J2532" t="s">
        <v>1754</v>
      </c>
      <c r="K2532" t="s">
        <v>1755</v>
      </c>
      <c r="M2532" t="s">
        <v>47</v>
      </c>
      <c r="O2532" t="s">
        <v>77</v>
      </c>
      <c r="P2532" t="s">
        <v>78</v>
      </c>
      <c r="Q2532" t="s">
        <v>50</v>
      </c>
      <c r="R2532" t="s">
        <v>51</v>
      </c>
      <c r="S2532" t="s">
        <v>52</v>
      </c>
      <c r="T2532" t="s">
        <v>773</v>
      </c>
      <c r="U2532" s="1">
        <v>46074.948900462965</v>
      </c>
      <c r="V2532" t="s">
        <v>54</v>
      </c>
      <c r="W2532" t="s">
        <v>55</v>
      </c>
      <c r="X2532" t="s">
        <v>134</v>
      </c>
      <c r="Y2532" t="s">
        <v>9918</v>
      </c>
      <c r="Z2532" t="s">
        <v>5594</v>
      </c>
      <c r="AA2532" t="s">
        <v>54</v>
      </c>
      <c r="AB2532" t="s">
        <v>1757</v>
      </c>
      <c r="AC2532" t="s">
        <v>85</v>
      </c>
      <c r="AD2532" t="s">
        <v>52</v>
      </c>
      <c r="AE2532" t="s">
        <v>243</v>
      </c>
      <c r="AF2532" t="s">
        <v>244</v>
      </c>
      <c r="AG2532" t="s">
        <v>5594</v>
      </c>
      <c r="AK2532">
        <v>1</v>
      </c>
      <c r="AL2532" t="s">
        <v>61</v>
      </c>
      <c r="AM2532" t="s">
        <v>1757</v>
      </c>
      <c r="AN2532" t="s">
        <v>1758</v>
      </c>
    </row>
    <row r="2533" spans="1:40" x14ac:dyDescent="0.35">
      <c r="A2533" t="s">
        <v>37</v>
      </c>
      <c r="B2533" t="s">
        <v>9919</v>
      </c>
      <c r="C2533" t="s">
        <v>39</v>
      </c>
      <c r="D2533" t="s">
        <v>325</v>
      </c>
      <c r="E2533" t="s">
        <v>9920</v>
      </c>
      <c r="F2533" s="1">
        <v>46071.562789351854</v>
      </c>
      <c r="G2533" t="s">
        <v>515</v>
      </c>
      <c r="H2533" t="s">
        <v>92</v>
      </c>
      <c r="I2533" t="s">
        <v>9921</v>
      </c>
      <c r="J2533" t="s">
        <v>1833</v>
      </c>
      <c r="K2533" t="s">
        <v>1834</v>
      </c>
      <c r="M2533" t="s">
        <v>76</v>
      </c>
      <c r="O2533" t="s">
        <v>77</v>
      </c>
      <c r="P2533" t="s">
        <v>78</v>
      </c>
      <c r="Q2533" t="s">
        <v>50</v>
      </c>
      <c r="R2533" t="s">
        <v>51</v>
      </c>
      <c r="S2533" t="s">
        <v>52</v>
      </c>
      <c r="T2533" t="s">
        <v>240</v>
      </c>
      <c r="U2533" s="1">
        <v>46078.941145833334</v>
      </c>
      <c r="V2533" t="s">
        <v>54</v>
      </c>
      <c r="W2533" t="s">
        <v>55</v>
      </c>
      <c r="X2533" t="s">
        <v>134</v>
      </c>
      <c r="Y2533" t="s">
        <v>3180</v>
      </c>
      <c r="Z2533" t="s">
        <v>58</v>
      </c>
      <c r="AA2533" t="s">
        <v>54</v>
      </c>
      <c r="AB2533" t="s">
        <v>1836</v>
      </c>
      <c r="AC2533" t="s">
        <v>85</v>
      </c>
      <c r="AD2533" t="s">
        <v>52</v>
      </c>
      <c r="AE2533" t="s">
        <v>2140</v>
      </c>
      <c r="AF2533" t="s">
        <v>2710</v>
      </c>
      <c r="AG2533" t="s">
        <v>58</v>
      </c>
      <c r="AH2533">
        <v>15338</v>
      </c>
      <c r="AK2533">
        <v>0</v>
      </c>
      <c r="AL2533" t="s">
        <v>61</v>
      </c>
      <c r="AM2533" t="s">
        <v>9922</v>
      </c>
      <c r="AN2533" t="s">
        <v>9923</v>
      </c>
    </row>
    <row r="2534" spans="1:40" x14ac:dyDescent="0.35">
      <c r="A2534" t="s">
        <v>37</v>
      </c>
      <c r="B2534" t="s">
        <v>9924</v>
      </c>
      <c r="C2534" t="s">
        <v>656</v>
      </c>
      <c r="D2534" t="s">
        <v>3184</v>
      </c>
      <c r="E2534" t="s">
        <v>3185</v>
      </c>
      <c r="F2534" s="1">
        <v>46071.562789351854</v>
      </c>
      <c r="G2534" t="s">
        <v>355</v>
      </c>
      <c r="H2534" t="s">
        <v>356</v>
      </c>
      <c r="I2534" t="s">
        <v>9925</v>
      </c>
      <c r="J2534" t="s">
        <v>2987</v>
      </c>
      <c r="K2534" t="s">
        <v>2988</v>
      </c>
      <c r="M2534" t="s">
        <v>47</v>
      </c>
      <c r="O2534" t="s">
        <v>77</v>
      </c>
      <c r="P2534" t="s">
        <v>78</v>
      </c>
      <c r="Q2534" t="s">
        <v>1174</v>
      </c>
      <c r="R2534" t="s">
        <v>2989</v>
      </c>
      <c r="S2534" t="s">
        <v>2990</v>
      </c>
      <c r="T2534" t="s">
        <v>3187</v>
      </c>
      <c r="U2534" s="1">
        <v>46072.375856481478</v>
      </c>
      <c r="V2534" t="s">
        <v>54</v>
      </c>
      <c r="W2534" t="s">
        <v>55</v>
      </c>
      <c r="X2534" t="s">
        <v>134</v>
      </c>
      <c r="Y2534" t="s">
        <v>3188</v>
      </c>
      <c r="Z2534" t="s">
        <v>5594</v>
      </c>
      <c r="AA2534" t="s">
        <v>54</v>
      </c>
      <c r="AB2534" t="s">
        <v>1836</v>
      </c>
      <c r="AC2534" t="s">
        <v>85</v>
      </c>
      <c r="AD2534" t="s">
        <v>2989</v>
      </c>
      <c r="AE2534" t="s">
        <v>2990</v>
      </c>
      <c r="AF2534" t="s">
        <v>3187</v>
      </c>
      <c r="AG2534" t="s">
        <v>5594</v>
      </c>
      <c r="AH2534" t="s">
        <v>3189</v>
      </c>
      <c r="AK2534">
        <v>0</v>
      </c>
      <c r="AL2534" t="s">
        <v>61</v>
      </c>
      <c r="AM2534" t="s">
        <v>1836</v>
      </c>
      <c r="AN2534" t="s">
        <v>3190</v>
      </c>
    </row>
    <row r="2535" spans="1:40" x14ac:dyDescent="0.35">
      <c r="A2535" t="s">
        <v>37</v>
      </c>
      <c r="B2535" t="s">
        <v>9926</v>
      </c>
      <c r="C2535" t="s">
        <v>39</v>
      </c>
      <c r="D2535" t="s">
        <v>3912</v>
      </c>
      <c r="E2535" t="s">
        <v>9927</v>
      </c>
      <c r="F2535" s="1">
        <v>46071.562789351854</v>
      </c>
      <c r="G2535" t="s">
        <v>913</v>
      </c>
      <c r="H2535" t="s">
        <v>72</v>
      </c>
      <c r="I2535" t="s">
        <v>9928</v>
      </c>
      <c r="J2535" t="s">
        <v>1833</v>
      </c>
      <c r="K2535" t="s">
        <v>1834</v>
      </c>
      <c r="M2535" t="s">
        <v>76</v>
      </c>
      <c r="O2535" t="s">
        <v>77</v>
      </c>
      <c r="P2535" t="s">
        <v>78</v>
      </c>
      <c r="Q2535" t="s">
        <v>161</v>
      </c>
      <c r="R2535" t="s">
        <v>51</v>
      </c>
      <c r="S2535" t="s">
        <v>52</v>
      </c>
      <c r="T2535" t="s">
        <v>240</v>
      </c>
      <c r="U2535" s="1">
        <v>46078.942083333335</v>
      </c>
      <c r="V2535" t="s">
        <v>54</v>
      </c>
      <c r="W2535" t="s">
        <v>55</v>
      </c>
      <c r="X2535" t="s">
        <v>134</v>
      </c>
      <c r="Y2535" t="s">
        <v>5160</v>
      </c>
      <c r="Z2535" t="s">
        <v>58</v>
      </c>
      <c r="AA2535" t="s">
        <v>54</v>
      </c>
      <c r="AB2535" t="s">
        <v>1836</v>
      </c>
      <c r="AC2535" t="s">
        <v>85</v>
      </c>
      <c r="AD2535" t="s">
        <v>52</v>
      </c>
      <c r="AE2535" t="s">
        <v>243</v>
      </c>
      <c r="AF2535" t="s">
        <v>244</v>
      </c>
      <c r="AG2535" t="s">
        <v>58</v>
      </c>
      <c r="AH2535">
        <v>9500</v>
      </c>
      <c r="AK2535">
        <v>0</v>
      </c>
      <c r="AL2535" t="s">
        <v>61</v>
      </c>
      <c r="AM2535" t="s">
        <v>9929</v>
      </c>
      <c r="AN2535" t="s">
        <v>9930</v>
      </c>
    </row>
    <row r="2536" spans="1:40" x14ac:dyDescent="0.35">
      <c r="A2536" t="s">
        <v>37</v>
      </c>
      <c r="B2536" t="s">
        <v>9931</v>
      </c>
      <c r="C2536" t="s">
        <v>39</v>
      </c>
      <c r="D2536" t="s">
        <v>7486</v>
      </c>
      <c r="E2536" t="s">
        <v>9932</v>
      </c>
      <c r="F2536" s="1">
        <v>46071.563252314816</v>
      </c>
      <c r="G2536" t="s">
        <v>771</v>
      </c>
      <c r="H2536" t="s">
        <v>92</v>
      </c>
      <c r="I2536" t="s">
        <v>2152</v>
      </c>
      <c r="J2536" t="s">
        <v>1015</v>
      </c>
      <c r="K2536" t="s">
        <v>75</v>
      </c>
      <c r="M2536" t="s">
        <v>76</v>
      </c>
      <c r="O2536" t="s">
        <v>77</v>
      </c>
      <c r="P2536" t="s">
        <v>78</v>
      </c>
      <c r="Q2536" t="s">
        <v>50</v>
      </c>
      <c r="R2536" t="s">
        <v>79</v>
      </c>
      <c r="S2536" t="s">
        <v>967</v>
      </c>
      <c r="T2536" t="s">
        <v>1072</v>
      </c>
      <c r="U2536" s="1">
        <v>46077.547164351854</v>
      </c>
      <c r="V2536" t="s">
        <v>54</v>
      </c>
      <c r="W2536" t="s">
        <v>55</v>
      </c>
      <c r="X2536" t="s">
        <v>82</v>
      </c>
      <c r="Y2536" t="s">
        <v>9933</v>
      </c>
      <c r="Z2536" t="s">
        <v>58</v>
      </c>
      <c r="AA2536" t="s">
        <v>54</v>
      </c>
      <c r="AB2536" t="s">
        <v>84</v>
      </c>
      <c r="AC2536" t="s">
        <v>85</v>
      </c>
      <c r="AD2536" t="s">
        <v>79</v>
      </c>
      <c r="AE2536" t="s">
        <v>967</v>
      </c>
      <c r="AF2536" t="s">
        <v>1072</v>
      </c>
      <c r="AG2536" t="s">
        <v>58</v>
      </c>
      <c r="AH2536" t="s">
        <v>9934</v>
      </c>
      <c r="AK2536">
        <v>1</v>
      </c>
      <c r="AL2536" t="s">
        <v>61</v>
      </c>
      <c r="AM2536" t="s">
        <v>9935</v>
      </c>
      <c r="AN2536" t="s">
        <v>9936</v>
      </c>
    </row>
    <row r="2537" spans="1:40" x14ac:dyDescent="0.35">
      <c r="A2537" t="s">
        <v>37</v>
      </c>
      <c r="B2537" t="s">
        <v>9937</v>
      </c>
      <c r="C2537" t="s">
        <v>102</v>
      </c>
      <c r="D2537" t="s">
        <v>981</v>
      </c>
      <c r="E2537" t="s">
        <v>9938</v>
      </c>
      <c r="F2537" s="1">
        <v>46071.560555555552</v>
      </c>
      <c r="G2537" t="s">
        <v>170</v>
      </c>
      <c r="H2537" t="s">
        <v>92</v>
      </c>
      <c r="I2537" t="s">
        <v>9471</v>
      </c>
      <c r="J2537" t="s">
        <v>9472</v>
      </c>
      <c r="K2537" t="s">
        <v>588</v>
      </c>
      <c r="M2537" t="s">
        <v>76</v>
      </c>
      <c r="O2537" t="s">
        <v>237</v>
      </c>
      <c r="P2537" t="s">
        <v>238</v>
      </c>
      <c r="Q2537" t="s">
        <v>50</v>
      </c>
      <c r="R2537" t="s">
        <v>1993</v>
      </c>
      <c r="S2537" t="s">
        <v>9473</v>
      </c>
      <c r="T2537" t="s">
        <v>9474</v>
      </c>
      <c r="U2537" s="1">
        <v>46078.495393518519</v>
      </c>
      <c r="V2537" t="s">
        <v>54</v>
      </c>
      <c r="W2537" t="s">
        <v>55</v>
      </c>
      <c r="X2537" t="s">
        <v>134</v>
      </c>
      <c r="Y2537" t="s">
        <v>9939</v>
      </c>
      <c r="Z2537" t="s">
        <v>58</v>
      </c>
      <c r="AA2537" t="s">
        <v>54</v>
      </c>
      <c r="AB2537" t="s">
        <v>7862</v>
      </c>
      <c r="AC2537" t="s">
        <v>242</v>
      </c>
      <c r="AD2537" t="s">
        <v>1993</v>
      </c>
      <c r="AE2537" t="s">
        <v>9476</v>
      </c>
      <c r="AF2537" t="s">
        <v>9477</v>
      </c>
      <c r="AG2537" t="s">
        <v>58</v>
      </c>
      <c r="AH2537">
        <v>15970</v>
      </c>
      <c r="AK2537">
        <v>0</v>
      </c>
      <c r="AL2537" t="s">
        <v>61</v>
      </c>
      <c r="AM2537" t="s">
        <v>9940</v>
      </c>
      <c r="AN2537" t="s">
        <v>9941</v>
      </c>
    </row>
    <row r="2538" spans="1:40" x14ac:dyDescent="0.35">
      <c r="A2538" t="s">
        <v>37</v>
      </c>
      <c r="B2538" t="s">
        <v>9942</v>
      </c>
      <c r="C2538" t="s">
        <v>39</v>
      </c>
      <c r="D2538" t="s">
        <v>9943</v>
      </c>
      <c r="E2538" t="s">
        <v>907</v>
      </c>
      <c r="F2538" s="1">
        <v>46071.558229166665</v>
      </c>
      <c r="G2538" t="s">
        <v>597</v>
      </c>
      <c r="H2538" t="s">
        <v>287</v>
      </c>
      <c r="I2538" t="s">
        <v>1446</v>
      </c>
      <c r="J2538" t="s">
        <v>4212</v>
      </c>
      <c r="K2538" t="s">
        <v>4213</v>
      </c>
      <c r="M2538" t="s">
        <v>47</v>
      </c>
      <c r="O2538" t="s">
        <v>77</v>
      </c>
      <c r="P2538" t="s">
        <v>78</v>
      </c>
      <c r="Q2538" t="s">
        <v>50</v>
      </c>
      <c r="R2538" t="s">
        <v>51</v>
      </c>
      <c r="S2538" t="s">
        <v>52</v>
      </c>
      <c r="T2538" t="s">
        <v>773</v>
      </c>
      <c r="U2538" s="1">
        <v>46072.3128125</v>
      </c>
      <c r="V2538" t="s">
        <v>54</v>
      </c>
      <c r="W2538" t="s">
        <v>55</v>
      </c>
      <c r="X2538" t="s">
        <v>211</v>
      </c>
      <c r="Y2538" t="s">
        <v>9944</v>
      </c>
      <c r="Z2538" t="s">
        <v>5594</v>
      </c>
      <c r="AA2538" t="s">
        <v>54</v>
      </c>
      <c r="AB2538" t="s">
        <v>213</v>
      </c>
      <c r="AC2538" t="s">
        <v>85</v>
      </c>
      <c r="AD2538" t="s">
        <v>52</v>
      </c>
      <c r="AE2538" t="s">
        <v>438</v>
      </c>
      <c r="AF2538" t="s">
        <v>2111</v>
      </c>
      <c r="AG2538" t="s">
        <v>5594</v>
      </c>
      <c r="AH2538">
        <v>15891</v>
      </c>
      <c r="AK2538">
        <v>3</v>
      </c>
      <c r="AL2538" t="s">
        <v>61</v>
      </c>
      <c r="AM2538" t="s">
        <v>9945</v>
      </c>
      <c r="AN2538" t="s">
        <v>9946</v>
      </c>
    </row>
    <row r="2539" spans="1:40" x14ac:dyDescent="0.35">
      <c r="A2539" t="s">
        <v>37</v>
      </c>
      <c r="B2539" t="s">
        <v>9947</v>
      </c>
      <c r="C2539" t="s">
        <v>39</v>
      </c>
      <c r="D2539" t="s">
        <v>2517</v>
      </c>
      <c r="E2539" t="s">
        <v>2518</v>
      </c>
      <c r="F2539" s="1">
        <v>46071.557893518519</v>
      </c>
      <c r="G2539" t="s">
        <v>355</v>
      </c>
      <c r="H2539" t="s">
        <v>356</v>
      </c>
      <c r="I2539" t="s">
        <v>2519</v>
      </c>
      <c r="J2539" t="s">
        <v>1865</v>
      </c>
      <c r="K2539" t="s">
        <v>1824</v>
      </c>
      <c r="M2539" t="s">
        <v>47</v>
      </c>
      <c r="O2539" t="s">
        <v>77</v>
      </c>
      <c r="P2539" t="s">
        <v>78</v>
      </c>
      <c r="Q2539" t="s">
        <v>50</v>
      </c>
      <c r="R2539" t="s">
        <v>51</v>
      </c>
      <c r="S2539" t="s">
        <v>52</v>
      </c>
      <c r="T2539" t="s">
        <v>240</v>
      </c>
      <c r="U2539" s="1">
        <v>46072.369872685187</v>
      </c>
      <c r="V2539" t="s">
        <v>54</v>
      </c>
      <c r="W2539" t="s">
        <v>55</v>
      </c>
      <c r="X2539" t="s">
        <v>56</v>
      </c>
      <c r="Y2539" t="s">
        <v>9948</v>
      </c>
      <c r="Z2539" t="s">
        <v>5594</v>
      </c>
      <c r="AA2539" t="s">
        <v>54</v>
      </c>
      <c r="AB2539" t="s">
        <v>2521</v>
      </c>
      <c r="AC2539" t="s">
        <v>85</v>
      </c>
      <c r="AD2539" t="s">
        <v>52</v>
      </c>
      <c r="AE2539" t="s">
        <v>243</v>
      </c>
      <c r="AF2539" t="s">
        <v>244</v>
      </c>
      <c r="AG2539" t="s">
        <v>5594</v>
      </c>
      <c r="AH2539" t="s">
        <v>2522</v>
      </c>
      <c r="AK2539">
        <v>1</v>
      </c>
      <c r="AL2539" t="s">
        <v>61</v>
      </c>
      <c r="AM2539" t="s">
        <v>2521</v>
      </c>
      <c r="AN2539" t="s">
        <v>2523</v>
      </c>
    </row>
    <row r="2540" spans="1:40" x14ac:dyDescent="0.35">
      <c r="A2540" t="s">
        <v>37</v>
      </c>
      <c r="B2540" t="s">
        <v>9949</v>
      </c>
      <c r="C2540" t="s">
        <v>39</v>
      </c>
      <c r="D2540" t="s">
        <v>220</v>
      </c>
      <c r="E2540" t="s">
        <v>3071</v>
      </c>
      <c r="F2540" s="1">
        <v>46071.555613425924</v>
      </c>
      <c r="G2540" t="s">
        <v>71</v>
      </c>
      <c r="H2540" t="s">
        <v>72</v>
      </c>
      <c r="I2540" t="s">
        <v>205</v>
      </c>
      <c r="J2540" t="s">
        <v>206</v>
      </c>
      <c r="K2540" t="s">
        <v>207</v>
      </c>
      <c r="M2540" t="s">
        <v>47</v>
      </c>
      <c r="O2540" t="s">
        <v>77</v>
      </c>
      <c r="P2540" t="s">
        <v>78</v>
      </c>
      <c r="Q2540" t="s">
        <v>2485</v>
      </c>
      <c r="R2540" t="s">
        <v>208</v>
      </c>
      <c r="S2540" t="s">
        <v>209</v>
      </c>
      <c r="T2540" t="s">
        <v>210</v>
      </c>
      <c r="U2540" s="1">
        <v>46072.818472222221</v>
      </c>
      <c r="V2540" t="s">
        <v>54</v>
      </c>
      <c r="W2540" t="s">
        <v>55</v>
      </c>
      <c r="X2540" t="s">
        <v>211</v>
      </c>
      <c r="Y2540" t="s">
        <v>9950</v>
      </c>
      <c r="Z2540" t="s">
        <v>5594</v>
      </c>
      <c r="AA2540" t="s">
        <v>54</v>
      </c>
      <c r="AB2540" t="s">
        <v>213</v>
      </c>
      <c r="AC2540" t="s">
        <v>85</v>
      </c>
      <c r="AD2540" t="s">
        <v>214</v>
      </c>
      <c r="AE2540" t="s">
        <v>215</v>
      </c>
      <c r="AF2540" t="s">
        <v>216</v>
      </c>
      <c r="AG2540" t="s">
        <v>5594</v>
      </c>
      <c r="AH2540">
        <v>10215</v>
      </c>
      <c r="AK2540">
        <v>1</v>
      </c>
      <c r="AL2540" t="s">
        <v>61</v>
      </c>
      <c r="AM2540" t="s">
        <v>9951</v>
      </c>
      <c r="AN2540" t="s">
        <v>9952</v>
      </c>
    </row>
    <row r="2541" spans="1:40" x14ac:dyDescent="0.35">
      <c r="A2541" t="s">
        <v>37</v>
      </c>
      <c r="B2541" t="s">
        <v>9953</v>
      </c>
      <c r="C2541" t="s">
        <v>39</v>
      </c>
      <c r="D2541" t="s">
        <v>9954</v>
      </c>
      <c r="E2541" t="s">
        <v>9955</v>
      </c>
      <c r="F2541" s="1">
        <v>46071.555011574077</v>
      </c>
      <c r="G2541" t="s">
        <v>355</v>
      </c>
      <c r="H2541" t="s">
        <v>356</v>
      </c>
      <c r="I2541" t="s">
        <v>205</v>
      </c>
      <c r="J2541" t="s">
        <v>1692</v>
      </c>
      <c r="K2541" t="s">
        <v>207</v>
      </c>
      <c r="M2541" t="s">
        <v>47</v>
      </c>
      <c r="O2541" t="s">
        <v>77</v>
      </c>
      <c r="P2541" t="s">
        <v>78</v>
      </c>
      <c r="Q2541" t="s">
        <v>50</v>
      </c>
      <c r="R2541" t="s">
        <v>305</v>
      </c>
      <c r="S2541" t="s">
        <v>306</v>
      </c>
      <c r="T2541" t="s">
        <v>307</v>
      </c>
      <c r="U2541" s="1">
        <v>46074.711921296293</v>
      </c>
      <c r="V2541" t="s">
        <v>54</v>
      </c>
      <c r="W2541" t="s">
        <v>55</v>
      </c>
      <c r="X2541" t="s">
        <v>211</v>
      </c>
      <c r="Y2541" t="s">
        <v>8919</v>
      </c>
      <c r="Z2541" t="s">
        <v>5594</v>
      </c>
      <c r="AA2541" t="s">
        <v>54</v>
      </c>
      <c r="AB2541" t="s">
        <v>213</v>
      </c>
      <c r="AC2541" t="s">
        <v>85</v>
      </c>
      <c r="AD2541" t="s">
        <v>214</v>
      </c>
      <c r="AE2541" t="s">
        <v>215</v>
      </c>
      <c r="AF2541" t="s">
        <v>161</v>
      </c>
      <c r="AG2541" t="s">
        <v>5594</v>
      </c>
      <c r="AH2541" t="s">
        <v>9956</v>
      </c>
      <c r="AK2541">
        <v>4</v>
      </c>
      <c r="AL2541" t="s">
        <v>61</v>
      </c>
      <c r="AM2541" t="s">
        <v>9957</v>
      </c>
      <c r="AN2541" t="s">
        <v>9958</v>
      </c>
    </row>
    <row r="2542" spans="1:40" x14ac:dyDescent="0.35">
      <c r="A2542" t="s">
        <v>37</v>
      </c>
      <c r="B2542" t="s">
        <v>9959</v>
      </c>
      <c r="C2542" t="s">
        <v>39</v>
      </c>
      <c r="D2542" t="s">
        <v>1216</v>
      </c>
      <c r="E2542" t="s">
        <v>9960</v>
      </c>
      <c r="F2542" s="1">
        <v>46071.554618055554</v>
      </c>
      <c r="G2542" t="s">
        <v>515</v>
      </c>
      <c r="H2542" t="s">
        <v>92</v>
      </c>
      <c r="I2542" t="s">
        <v>1222</v>
      </c>
      <c r="J2542" t="s">
        <v>435</v>
      </c>
      <c r="K2542" t="s">
        <v>436</v>
      </c>
      <c r="M2542" t="s">
        <v>47</v>
      </c>
      <c r="O2542" t="s">
        <v>77</v>
      </c>
      <c r="P2542" t="s">
        <v>78</v>
      </c>
      <c r="Q2542" t="s">
        <v>50</v>
      </c>
      <c r="R2542" t="s">
        <v>51</v>
      </c>
      <c r="S2542" t="s">
        <v>52</v>
      </c>
      <c r="T2542" t="s">
        <v>240</v>
      </c>
      <c r="U2542" s="1">
        <v>46072.48741898148</v>
      </c>
      <c r="V2542" t="s">
        <v>54</v>
      </c>
      <c r="W2542" t="s">
        <v>55</v>
      </c>
      <c r="X2542" t="s">
        <v>211</v>
      </c>
      <c r="Y2542" t="s">
        <v>9961</v>
      </c>
      <c r="Z2542" t="s">
        <v>5594</v>
      </c>
      <c r="AA2542" t="s">
        <v>54</v>
      </c>
      <c r="AB2542" t="s">
        <v>213</v>
      </c>
      <c r="AC2542" t="s">
        <v>85</v>
      </c>
      <c r="AD2542" t="s">
        <v>52</v>
      </c>
      <c r="AE2542" t="s">
        <v>438</v>
      </c>
      <c r="AF2542" t="s">
        <v>775</v>
      </c>
      <c r="AG2542" t="s">
        <v>5594</v>
      </c>
      <c r="AH2542">
        <v>13979</v>
      </c>
      <c r="AK2542">
        <v>2</v>
      </c>
      <c r="AL2542" t="s">
        <v>61</v>
      </c>
      <c r="AM2542" t="s">
        <v>9962</v>
      </c>
      <c r="AN2542" t="s">
        <v>9963</v>
      </c>
    </row>
    <row r="2543" spans="1:40" x14ac:dyDescent="0.35">
      <c r="A2543" t="s">
        <v>37</v>
      </c>
      <c r="B2543" t="s">
        <v>9964</v>
      </c>
      <c r="C2543" t="s">
        <v>39</v>
      </c>
      <c r="D2543" t="s">
        <v>9965</v>
      </c>
      <c r="E2543" t="s">
        <v>9966</v>
      </c>
      <c r="F2543" s="1">
        <v>46071.554340277777</v>
      </c>
      <c r="G2543" t="s">
        <v>105</v>
      </c>
      <c r="H2543" t="s">
        <v>106</v>
      </c>
      <c r="I2543" t="s">
        <v>1185</v>
      </c>
      <c r="J2543" t="s">
        <v>2333</v>
      </c>
      <c r="K2543" t="s">
        <v>1187</v>
      </c>
      <c r="M2543" t="s">
        <v>47</v>
      </c>
      <c r="O2543" t="s">
        <v>77</v>
      </c>
      <c r="P2543" t="s">
        <v>78</v>
      </c>
      <c r="Q2543" t="s">
        <v>50</v>
      </c>
      <c r="R2543" t="s">
        <v>305</v>
      </c>
      <c r="S2543" t="s">
        <v>306</v>
      </c>
      <c r="T2543" t="s">
        <v>307</v>
      </c>
      <c r="U2543" s="1">
        <v>46074.832766203705</v>
      </c>
      <c r="V2543" t="s">
        <v>54</v>
      </c>
      <c r="W2543" t="s">
        <v>55</v>
      </c>
      <c r="X2543" t="s">
        <v>211</v>
      </c>
      <c r="Y2543" t="s">
        <v>9967</v>
      </c>
      <c r="Z2543" t="s">
        <v>5594</v>
      </c>
      <c r="AA2543" t="s">
        <v>54</v>
      </c>
      <c r="AB2543" t="s">
        <v>213</v>
      </c>
      <c r="AC2543" t="s">
        <v>85</v>
      </c>
      <c r="AD2543" t="s">
        <v>1189</v>
      </c>
      <c r="AE2543" t="s">
        <v>1190</v>
      </c>
      <c r="AF2543" t="s">
        <v>1191</v>
      </c>
      <c r="AG2543" t="s">
        <v>5594</v>
      </c>
      <c r="AH2543">
        <v>15980</v>
      </c>
      <c r="AK2543">
        <v>3</v>
      </c>
      <c r="AL2543" t="s">
        <v>61</v>
      </c>
      <c r="AM2543" t="s">
        <v>9968</v>
      </c>
      <c r="AN2543" t="s">
        <v>9969</v>
      </c>
    </row>
    <row r="2544" spans="1:40" x14ac:dyDescent="0.35">
      <c r="A2544" t="s">
        <v>37</v>
      </c>
      <c r="B2544" t="s">
        <v>9970</v>
      </c>
      <c r="C2544" t="s">
        <v>39</v>
      </c>
      <c r="D2544" t="s">
        <v>7613</v>
      </c>
      <c r="E2544" t="s">
        <v>7614</v>
      </c>
      <c r="F2544" s="1">
        <v>46071.554340277777</v>
      </c>
      <c r="G2544" t="s">
        <v>355</v>
      </c>
      <c r="H2544" t="s">
        <v>356</v>
      </c>
      <c r="I2544" t="s">
        <v>205</v>
      </c>
      <c r="J2544" t="s">
        <v>1692</v>
      </c>
      <c r="K2544" t="s">
        <v>207</v>
      </c>
      <c r="M2544" t="s">
        <v>47</v>
      </c>
      <c r="O2544" t="s">
        <v>77</v>
      </c>
      <c r="P2544" t="s">
        <v>78</v>
      </c>
      <c r="Q2544" t="s">
        <v>50</v>
      </c>
      <c r="R2544" t="s">
        <v>305</v>
      </c>
      <c r="S2544" t="s">
        <v>306</v>
      </c>
      <c r="T2544" t="s">
        <v>307</v>
      </c>
      <c r="U2544" s="1">
        <v>46074.709027777775</v>
      </c>
      <c r="V2544" t="s">
        <v>54</v>
      </c>
      <c r="W2544" t="s">
        <v>55</v>
      </c>
      <c r="X2544" t="s">
        <v>211</v>
      </c>
      <c r="Y2544" t="s">
        <v>8919</v>
      </c>
      <c r="Z2544" t="s">
        <v>5594</v>
      </c>
      <c r="AA2544" t="s">
        <v>54</v>
      </c>
      <c r="AB2544" t="s">
        <v>213</v>
      </c>
      <c r="AC2544" t="s">
        <v>85</v>
      </c>
      <c r="AD2544" t="s">
        <v>214</v>
      </c>
      <c r="AE2544" t="s">
        <v>215</v>
      </c>
      <c r="AF2544" t="s">
        <v>161</v>
      </c>
      <c r="AG2544" t="s">
        <v>5594</v>
      </c>
      <c r="AH2544" t="s">
        <v>7616</v>
      </c>
      <c r="AK2544">
        <v>4</v>
      </c>
      <c r="AL2544" t="s">
        <v>61</v>
      </c>
      <c r="AM2544" t="s">
        <v>7617</v>
      </c>
      <c r="AN2544" t="s">
        <v>7618</v>
      </c>
    </row>
    <row r="2545" spans="1:40" x14ac:dyDescent="0.35">
      <c r="A2545" t="s">
        <v>37</v>
      </c>
      <c r="B2545" t="s">
        <v>9971</v>
      </c>
      <c r="C2545" t="s">
        <v>39</v>
      </c>
      <c r="D2545" t="s">
        <v>513</v>
      </c>
      <c r="E2545" t="s">
        <v>897</v>
      </c>
      <c r="F2545" s="1">
        <v>46071.55364583333</v>
      </c>
      <c r="G2545" t="s">
        <v>355</v>
      </c>
      <c r="H2545" t="s">
        <v>356</v>
      </c>
      <c r="I2545" t="s">
        <v>205</v>
      </c>
      <c r="J2545" t="s">
        <v>206</v>
      </c>
      <c r="K2545" t="s">
        <v>207</v>
      </c>
      <c r="M2545" t="s">
        <v>47</v>
      </c>
      <c r="O2545" t="s">
        <v>77</v>
      </c>
      <c r="P2545" t="s">
        <v>78</v>
      </c>
      <c r="Q2545" t="s">
        <v>50</v>
      </c>
      <c r="R2545" t="s">
        <v>305</v>
      </c>
      <c r="S2545" t="s">
        <v>306</v>
      </c>
      <c r="T2545" t="s">
        <v>307</v>
      </c>
      <c r="U2545" s="1">
        <v>46074.834745370368</v>
      </c>
      <c r="V2545" t="s">
        <v>54</v>
      </c>
      <c r="W2545" t="s">
        <v>55</v>
      </c>
      <c r="X2545" t="s">
        <v>211</v>
      </c>
      <c r="Y2545" t="s">
        <v>9972</v>
      </c>
      <c r="Z2545" t="s">
        <v>5594</v>
      </c>
      <c r="AA2545" t="s">
        <v>54</v>
      </c>
      <c r="AB2545" t="s">
        <v>213</v>
      </c>
      <c r="AC2545" t="s">
        <v>85</v>
      </c>
      <c r="AD2545" t="s">
        <v>214</v>
      </c>
      <c r="AE2545" t="s">
        <v>215</v>
      </c>
      <c r="AF2545" t="s">
        <v>216</v>
      </c>
      <c r="AG2545" t="s">
        <v>5594</v>
      </c>
      <c r="AH2545" t="s">
        <v>901</v>
      </c>
      <c r="AK2545">
        <v>3</v>
      </c>
      <c r="AL2545" t="s">
        <v>61</v>
      </c>
      <c r="AM2545" t="s">
        <v>902</v>
      </c>
      <c r="AN2545" t="s">
        <v>903</v>
      </c>
    </row>
    <row r="2546" spans="1:40" x14ac:dyDescent="0.35">
      <c r="A2546" t="s">
        <v>37</v>
      </c>
      <c r="B2546" t="s">
        <v>9973</v>
      </c>
      <c r="C2546" t="s">
        <v>39</v>
      </c>
      <c r="D2546" t="s">
        <v>325</v>
      </c>
      <c r="E2546" t="s">
        <v>9974</v>
      </c>
      <c r="F2546" s="1">
        <v>46071.553217592591</v>
      </c>
      <c r="G2546" t="s">
        <v>355</v>
      </c>
      <c r="H2546" t="s">
        <v>356</v>
      </c>
      <c r="I2546" t="s">
        <v>205</v>
      </c>
      <c r="J2546" t="s">
        <v>206</v>
      </c>
      <c r="K2546" t="s">
        <v>207</v>
      </c>
      <c r="M2546" t="s">
        <v>47</v>
      </c>
      <c r="O2546" t="s">
        <v>77</v>
      </c>
      <c r="P2546" t="s">
        <v>78</v>
      </c>
      <c r="Q2546" t="s">
        <v>50</v>
      </c>
      <c r="R2546" t="s">
        <v>305</v>
      </c>
      <c r="S2546" t="s">
        <v>306</v>
      </c>
      <c r="T2546" t="s">
        <v>307</v>
      </c>
      <c r="U2546" s="1">
        <v>46074.8359375</v>
      </c>
      <c r="V2546" t="s">
        <v>54</v>
      </c>
      <c r="W2546" t="s">
        <v>55</v>
      </c>
      <c r="X2546" t="s">
        <v>211</v>
      </c>
      <c r="Y2546" t="s">
        <v>9972</v>
      </c>
      <c r="Z2546" t="s">
        <v>5594</v>
      </c>
      <c r="AA2546" t="s">
        <v>54</v>
      </c>
      <c r="AB2546" t="s">
        <v>213</v>
      </c>
      <c r="AC2546" t="s">
        <v>85</v>
      </c>
      <c r="AD2546" t="s">
        <v>214</v>
      </c>
      <c r="AE2546" t="s">
        <v>215</v>
      </c>
      <c r="AF2546" t="s">
        <v>216</v>
      </c>
      <c r="AG2546" t="s">
        <v>5594</v>
      </c>
      <c r="AH2546" t="s">
        <v>9975</v>
      </c>
      <c r="AK2546">
        <v>3</v>
      </c>
      <c r="AL2546" t="s">
        <v>61</v>
      </c>
      <c r="AM2546" t="s">
        <v>9976</v>
      </c>
      <c r="AN2546" t="s">
        <v>9977</v>
      </c>
    </row>
    <row r="2547" spans="1:40" x14ac:dyDescent="0.35">
      <c r="A2547" t="s">
        <v>37</v>
      </c>
      <c r="B2547" t="s">
        <v>9978</v>
      </c>
      <c r="C2547" t="s">
        <v>39</v>
      </c>
      <c r="D2547" t="s">
        <v>7490</v>
      </c>
      <c r="E2547" t="s">
        <v>7491</v>
      </c>
      <c r="F2547" s="1">
        <v>46071.552395833336</v>
      </c>
      <c r="G2547" t="s">
        <v>355</v>
      </c>
      <c r="H2547" t="s">
        <v>356</v>
      </c>
      <c r="I2547" t="s">
        <v>205</v>
      </c>
      <c r="J2547" t="s">
        <v>741</v>
      </c>
      <c r="K2547" t="s">
        <v>207</v>
      </c>
      <c r="M2547" t="s">
        <v>47</v>
      </c>
      <c r="O2547" t="s">
        <v>77</v>
      </c>
      <c r="P2547" t="s">
        <v>78</v>
      </c>
      <c r="Q2547" t="s">
        <v>50</v>
      </c>
      <c r="R2547" t="s">
        <v>305</v>
      </c>
      <c r="S2547" t="s">
        <v>306</v>
      </c>
      <c r="T2547" t="s">
        <v>307</v>
      </c>
      <c r="U2547" s="1">
        <v>46072.160833333335</v>
      </c>
      <c r="V2547" t="s">
        <v>54</v>
      </c>
      <c r="W2547" t="s">
        <v>55</v>
      </c>
      <c r="X2547" t="s">
        <v>211</v>
      </c>
      <c r="Y2547" t="s">
        <v>9979</v>
      </c>
      <c r="Z2547" t="s">
        <v>5594</v>
      </c>
      <c r="AA2547" t="s">
        <v>54</v>
      </c>
      <c r="AB2547" t="s">
        <v>213</v>
      </c>
      <c r="AC2547" t="s">
        <v>85</v>
      </c>
      <c r="AD2547" t="s">
        <v>214</v>
      </c>
      <c r="AE2547" t="s">
        <v>215</v>
      </c>
      <c r="AF2547" t="s">
        <v>216</v>
      </c>
      <c r="AG2547" t="s">
        <v>5594</v>
      </c>
      <c r="AH2547" t="s">
        <v>7493</v>
      </c>
      <c r="AK2547">
        <v>3</v>
      </c>
      <c r="AL2547" t="s">
        <v>61</v>
      </c>
      <c r="AM2547" t="s">
        <v>7494</v>
      </c>
      <c r="AN2547" t="s">
        <v>7495</v>
      </c>
    </row>
    <row r="2548" spans="1:40" x14ac:dyDescent="0.35">
      <c r="A2548" t="s">
        <v>37</v>
      </c>
      <c r="B2548" t="s">
        <v>9980</v>
      </c>
      <c r="C2548" t="s">
        <v>39</v>
      </c>
      <c r="D2548" t="s">
        <v>9981</v>
      </c>
      <c r="E2548" t="s">
        <v>9982</v>
      </c>
      <c r="F2548" s="1">
        <v>46071.550312500003</v>
      </c>
      <c r="G2548" t="s">
        <v>355</v>
      </c>
      <c r="H2548" t="s">
        <v>356</v>
      </c>
      <c r="I2548" t="s">
        <v>205</v>
      </c>
      <c r="J2548" t="s">
        <v>1692</v>
      </c>
      <c r="K2548" t="s">
        <v>207</v>
      </c>
      <c r="M2548" t="s">
        <v>47</v>
      </c>
      <c r="O2548" t="s">
        <v>77</v>
      </c>
      <c r="P2548" t="s">
        <v>78</v>
      </c>
      <c r="Q2548" t="s">
        <v>50</v>
      </c>
      <c r="R2548" t="s">
        <v>305</v>
      </c>
      <c r="S2548" t="s">
        <v>306</v>
      </c>
      <c r="T2548" t="s">
        <v>307</v>
      </c>
      <c r="U2548" s="1">
        <v>46073.553530092591</v>
      </c>
      <c r="V2548" t="s">
        <v>54</v>
      </c>
      <c r="W2548" t="s">
        <v>55</v>
      </c>
      <c r="X2548" t="s">
        <v>211</v>
      </c>
      <c r="Y2548" t="s">
        <v>9983</v>
      </c>
      <c r="Z2548" t="s">
        <v>5594</v>
      </c>
      <c r="AA2548" t="s">
        <v>54</v>
      </c>
      <c r="AB2548" t="s">
        <v>213</v>
      </c>
      <c r="AC2548" t="s">
        <v>85</v>
      </c>
      <c r="AD2548" t="s">
        <v>214</v>
      </c>
      <c r="AE2548" t="s">
        <v>215</v>
      </c>
      <c r="AF2548" t="s">
        <v>2083</v>
      </c>
      <c r="AG2548" t="s">
        <v>5594</v>
      </c>
      <c r="AH2548" t="s">
        <v>9984</v>
      </c>
      <c r="AK2548">
        <v>3</v>
      </c>
      <c r="AL2548" t="s">
        <v>61</v>
      </c>
      <c r="AM2548" t="s">
        <v>9985</v>
      </c>
      <c r="AN2548" t="s">
        <v>9986</v>
      </c>
    </row>
    <row r="2549" spans="1:40" x14ac:dyDescent="0.35">
      <c r="A2549" t="s">
        <v>37</v>
      </c>
      <c r="B2549" t="s">
        <v>9987</v>
      </c>
      <c r="C2549" t="s">
        <v>39</v>
      </c>
      <c r="D2549" t="s">
        <v>225</v>
      </c>
      <c r="E2549" t="s">
        <v>469</v>
      </c>
      <c r="F2549" s="1">
        <v>46071.549074074072</v>
      </c>
      <c r="G2549" t="s">
        <v>232</v>
      </c>
      <c r="H2549" t="s">
        <v>233</v>
      </c>
      <c r="I2549" t="s">
        <v>1185</v>
      </c>
      <c r="J2549" t="s">
        <v>2406</v>
      </c>
      <c r="K2549" t="s">
        <v>1187</v>
      </c>
      <c r="M2549" t="s">
        <v>131</v>
      </c>
      <c r="O2549" t="s">
        <v>77</v>
      </c>
      <c r="P2549" t="s">
        <v>78</v>
      </c>
      <c r="Q2549" t="s">
        <v>1088</v>
      </c>
      <c r="R2549" t="s">
        <v>305</v>
      </c>
      <c r="S2549" t="s">
        <v>306</v>
      </c>
      <c r="T2549" t="s">
        <v>307</v>
      </c>
      <c r="U2549" s="1">
        <v>46077.54314814815</v>
      </c>
      <c r="V2549" t="s">
        <v>54</v>
      </c>
      <c r="W2549" t="s">
        <v>55</v>
      </c>
      <c r="X2549" t="s">
        <v>211</v>
      </c>
      <c r="Y2549" t="s">
        <v>9988</v>
      </c>
      <c r="Z2549" t="s">
        <v>58</v>
      </c>
      <c r="AA2549" t="s">
        <v>54</v>
      </c>
      <c r="AB2549" t="s">
        <v>213</v>
      </c>
      <c r="AC2549" t="s">
        <v>85</v>
      </c>
      <c r="AD2549" t="s">
        <v>1189</v>
      </c>
      <c r="AE2549" t="s">
        <v>1190</v>
      </c>
      <c r="AF2549" t="s">
        <v>1191</v>
      </c>
      <c r="AG2549" t="s">
        <v>58</v>
      </c>
      <c r="AH2549">
        <v>11573</v>
      </c>
      <c r="AK2549">
        <v>5</v>
      </c>
      <c r="AL2549" t="s">
        <v>61</v>
      </c>
      <c r="AM2549" t="s">
        <v>8522</v>
      </c>
      <c r="AN2549" t="s">
        <v>8523</v>
      </c>
    </row>
    <row r="2550" spans="1:40" x14ac:dyDescent="0.35">
      <c r="A2550" t="s">
        <v>37</v>
      </c>
      <c r="B2550" t="s">
        <v>9989</v>
      </c>
      <c r="C2550" t="s">
        <v>39</v>
      </c>
      <c r="D2550" t="s">
        <v>248</v>
      </c>
      <c r="E2550" t="s">
        <v>3482</v>
      </c>
      <c r="F2550" s="1">
        <v>46071.546261574076</v>
      </c>
      <c r="G2550" t="s">
        <v>508</v>
      </c>
      <c r="H2550" t="s">
        <v>72</v>
      </c>
      <c r="I2550" t="s">
        <v>1185</v>
      </c>
      <c r="J2550" t="s">
        <v>1186</v>
      </c>
      <c r="K2550" t="s">
        <v>1187</v>
      </c>
      <c r="M2550" t="s">
        <v>47</v>
      </c>
      <c r="O2550" t="s">
        <v>77</v>
      </c>
      <c r="P2550" t="s">
        <v>78</v>
      </c>
      <c r="Q2550" t="s">
        <v>50</v>
      </c>
      <c r="R2550" t="s">
        <v>305</v>
      </c>
      <c r="S2550" t="s">
        <v>306</v>
      </c>
      <c r="T2550" t="s">
        <v>307</v>
      </c>
      <c r="U2550" s="1">
        <v>46072.416886574072</v>
      </c>
      <c r="V2550" t="s">
        <v>54</v>
      </c>
      <c r="W2550" t="s">
        <v>55</v>
      </c>
      <c r="X2550" t="s">
        <v>211</v>
      </c>
      <c r="Y2550" t="s">
        <v>1188</v>
      </c>
      <c r="Z2550" t="s">
        <v>5594</v>
      </c>
      <c r="AA2550" t="s">
        <v>54</v>
      </c>
      <c r="AB2550" t="s">
        <v>213</v>
      </c>
      <c r="AC2550" t="s">
        <v>85</v>
      </c>
      <c r="AD2550" t="s">
        <v>1189</v>
      </c>
      <c r="AE2550" t="s">
        <v>1190</v>
      </c>
      <c r="AF2550" t="s">
        <v>1191</v>
      </c>
      <c r="AG2550" t="s">
        <v>5594</v>
      </c>
      <c r="AH2550">
        <v>15966</v>
      </c>
      <c r="AK2550">
        <v>5</v>
      </c>
      <c r="AL2550" t="s">
        <v>61</v>
      </c>
      <c r="AM2550" t="s">
        <v>8619</v>
      </c>
      <c r="AN2550" t="s">
        <v>8620</v>
      </c>
    </row>
    <row r="2551" spans="1:40" x14ac:dyDescent="0.35">
      <c r="A2551" t="s">
        <v>37</v>
      </c>
      <c r="B2551" t="s">
        <v>9990</v>
      </c>
      <c r="C2551" t="s">
        <v>656</v>
      </c>
      <c r="D2551" t="s">
        <v>9991</v>
      </c>
      <c r="E2551" t="s">
        <v>9992</v>
      </c>
      <c r="F2551" s="1">
        <v>46071.549583333333</v>
      </c>
      <c r="G2551" t="s">
        <v>355</v>
      </c>
      <c r="H2551" t="s">
        <v>356</v>
      </c>
      <c r="I2551" t="s">
        <v>9993</v>
      </c>
      <c r="J2551" t="s">
        <v>2357</v>
      </c>
      <c r="K2551" t="s">
        <v>2358</v>
      </c>
      <c r="M2551" t="s">
        <v>76</v>
      </c>
      <c r="O2551" t="s">
        <v>77</v>
      </c>
      <c r="P2551" t="s">
        <v>78</v>
      </c>
      <c r="Q2551" t="s">
        <v>50</v>
      </c>
      <c r="R2551" t="s">
        <v>2989</v>
      </c>
      <c r="S2551" t="s">
        <v>9994</v>
      </c>
      <c r="T2551" t="s">
        <v>4820</v>
      </c>
      <c r="U2551" s="1">
        <v>46077.379293981481</v>
      </c>
      <c r="V2551" t="s">
        <v>54</v>
      </c>
      <c r="W2551" t="s">
        <v>55</v>
      </c>
      <c r="X2551" t="s">
        <v>134</v>
      </c>
      <c r="Y2551" t="s">
        <v>9995</v>
      </c>
      <c r="Z2551" t="s">
        <v>58</v>
      </c>
      <c r="AA2551" t="s">
        <v>54</v>
      </c>
      <c r="AB2551" t="s">
        <v>408</v>
      </c>
      <c r="AC2551" t="s">
        <v>85</v>
      </c>
      <c r="AD2551" t="s">
        <v>8343</v>
      </c>
      <c r="AE2551" t="s">
        <v>8344</v>
      </c>
      <c r="AF2551" t="s">
        <v>9732</v>
      </c>
      <c r="AG2551" t="s">
        <v>58</v>
      </c>
      <c r="AH2551" t="s">
        <v>9996</v>
      </c>
      <c r="AK2551">
        <v>1</v>
      </c>
      <c r="AL2551" t="s">
        <v>61</v>
      </c>
      <c r="AM2551" t="s">
        <v>9997</v>
      </c>
      <c r="AN2551" t="s">
        <v>9998</v>
      </c>
    </row>
    <row r="2552" spans="1:40" x14ac:dyDescent="0.35">
      <c r="A2552" t="s">
        <v>37</v>
      </c>
      <c r="B2552" t="s">
        <v>9999</v>
      </c>
      <c r="C2552" t="s">
        <v>39</v>
      </c>
      <c r="D2552" t="s">
        <v>2765</v>
      </c>
      <c r="E2552" t="s">
        <v>2766</v>
      </c>
      <c r="F2552" s="1">
        <v>46071.533263888887</v>
      </c>
      <c r="G2552" t="s">
        <v>540</v>
      </c>
      <c r="H2552" t="s">
        <v>447</v>
      </c>
      <c r="I2552" t="s">
        <v>1185</v>
      </c>
      <c r="J2552" t="s">
        <v>2333</v>
      </c>
      <c r="K2552" t="s">
        <v>1187</v>
      </c>
      <c r="M2552" t="s">
        <v>47</v>
      </c>
      <c r="O2552" t="s">
        <v>77</v>
      </c>
      <c r="P2552" t="s">
        <v>78</v>
      </c>
      <c r="Q2552" t="s">
        <v>1102</v>
      </c>
      <c r="R2552" t="s">
        <v>305</v>
      </c>
      <c r="S2552" t="s">
        <v>306</v>
      </c>
      <c r="T2552" t="s">
        <v>307</v>
      </c>
      <c r="U2552" s="1">
        <v>46074.828738425924</v>
      </c>
      <c r="V2552" t="s">
        <v>54</v>
      </c>
      <c r="W2552" t="s">
        <v>55</v>
      </c>
      <c r="X2552" t="s">
        <v>211</v>
      </c>
      <c r="Y2552" t="s">
        <v>10000</v>
      </c>
      <c r="Z2552" t="s">
        <v>5594</v>
      </c>
      <c r="AA2552" t="s">
        <v>54</v>
      </c>
      <c r="AB2552" t="s">
        <v>213</v>
      </c>
      <c r="AC2552" t="s">
        <v>85</v>
      </c>
      <c r="AD2552" t="s">
        <v>1189</v>
      </c>
      <c r="AE2552" t="s">
        <v>1190</v>
      </c>
      <c r="AF2552" t="s">
        <v>1191</v>
      </c>
      <c r="AG2552" t="s">
        <v>5594</v>
      </c>
      <c r="AH2552">
        <v>6886</v>
      </c>
      <c r="AK2552">
        <v>3</v>
      </c>
      <c r="AL2552" t="s">
        <v>61</v>
      </c>
      <c r="AM2552" t="s">
        <v>2768</v>
      </c>
      <c r="AN2552" t="s">
        <v>2769</v>
      </c>
    </row>
    <row r="2553" spans="1:40" x14ac:dyDescent="0.35">
      <c r="A2553" t="s">
        <v>37</v>
      </c>
      <c r="B2553" t="s">
        <v>10001</v>
      </c>
      <c r="C2553" t="s">
        <v>39</v>
      </c>
      <c r="D2553" t="s">
        <v>6174</v>
      </c>
      <c r="E2553" t="s">
        <v>303</v>
      </c>
      <c r="F2553" s="1">
        <v>46071.524722222224</v>
      </c>
      <c r="G2553" t="s">
        <v>71</v>
      </c>
      <c r="H2553" t="s">
        <v>72</v>
      </c>
      <c r="I2553" t="s">
        <v>10002</v>
      </c>
      <c r="J2553" t="s">
        <v>8127</v>
      </c>
      <c r="K2553" t="s">
        <v>1627</v>
      </c>
      <c r="M2553" t="s">
        <v>131</v>
      </c>
      <c r="O2553" t="s">
        <v>77</v>
      </c>
      <c r="P2553" t="s">
        <v>78</v>
      </c>
      <c r="Q2553" t="s">
        <v>50</v>
      </c>
      <c r="R2553" t="s">
        <v>2670</v>
      </c>
      <c r="S2553" t="s">
        <v>967</v>
      </c>
      <c r="T2553" t="s">
        <v>2671</v>
      </c>
      <c r="U2553" s="1">
        <v>46078.489699074074</v>
      </c>
      <c r="V2553" t="s">
        <v>54</v>
      </c>
      <c r="W2553" t="s">
        <v>55</v>
      </c>
      <c r="X2553" t="s">
        <v>82</v>
      </c>
      <c r="Y2553" t="s">
        <v>8129</v>
      </c>
      <c r="Z2553" t="s">
        <v>58</v>
      </c>
      <c r="AA2553" t="s">
        <v>54</v>
      </c>
      <c r="AB2553" t="s">
        <v>645</v>
      </c>
      <c r="AC2553" t="s">
        <v>85</v>
      </c>
      <c r="AD2553" t="s">
        <v>2670</v>
      </c>
      <c r="AE2553" t="s">
        <v>8130</v>
      </c>
      <c r="AF2553" t="s">
        <v>8131</v>
      </c>
      <c r="AG2553" t="s">
        <v>58</v>
      </c>
      <c r="AH2553">
        <v>13856</v>
      </c>
      <c r="AK2553">
        <v>3</v>
      </c>
      <c r="AL2553" t="s">
        <v>61</v>
      </c>
      <c r="AM2553" t="s">
        <v>10003</v>
      </c>
      <c r="AN2553" t="s">
        <v>10004</v>
      </c>
    </row>
    <row r="2554" spans="1:40" x14ac:dyDescent="0.35">
      <c r="A2554" t="s">
        <v>37</v>
      </c>
      <c r="B2554" t="s">
        <v>10005</v>
      </c>
      <c r="C2554" t="s">
        <v>656</v>
      </c>
      <c r="D2554" t="s">
        <v>3339</v>
      </c>
      <c r="E2554" t="s">
        <v>3340</v>
      </c>
      <c r="F2554" s="1">
        <v>46071.515162037038</v>
      </c>
      <c r="G2554" t="s">
        <v>355</v>
      </c>
      <c r="H2554" t="s">
        <v>356</v>
      </c>
      <c r="I2554" t="s">
        <v>10006</v>
      </c>
      <c r="J2554" t="s">
        <v>2987</v>
      </c>
      <c r="K2554" t="s">
        <v>2988</v>
      </c>
      <c r="M2554" t="s">
        <v>47</v>
      </c>
      <c r="O2554" t="s">
        <v>77</v>
      </c>
      <c r="P2554" t="s">
        <v>78</v>
      </c>
      <c r="Q2554" t="s">
        <v>1174</v>
      </c>
      <c r="R2554" t="s">
        <v>2989</v>
      </c>
      <c r="S2554" t="s">
        <v>2990</v>
      </c>
      <c r="T2554" t="s">
        <v>3187</v>
      </c>
      <c r="U2554" s="1">
        <v>46072.375601851854</v>
      </c>
      <c r="V2554" t="s">
        <v>54</v>
      </c>
      <c r="W2554" t="s">
        <v>55</v>
      </c>
      <c r="X2554" t="s">
        <v>134</v>
      </c>
      <c r="Y2554" t="s">
        <v>3188</v>
      </c>
      <c r="Z2554" t="s">
        <v>5594</v>
      </c>
      <c r="AA2554" t="s">
        <v>54</v>
      </c>
      <c r="AB2554" t="s">
        <v>3342</v>
      </c>
      <c r="AC2554" t="s">
        <v>85</v>
      </c>
      <c r="AD2554" t="s">
        <v>2989</v>
      </c>
      <c r="AE2554" t="s">
        <v>2990</v>
      </c>
      <c r="AF2554" t="s">
        <v>3187</v>
      </c>
      <c r="AG2554" t="s">
        <v>5594</v>
      </c>
      <c r="AH2554" t="s">
        <v>3343</v>
      </c>
      <c r="AK2554">
        <v>0</v>
      </c>
      <c r="AL2554" t="s">
        <v>61</v>
      </c>
      <c r="AM2554" t="s">
        <v>3342</v>
      </c>
      <c r="AN2554" t="s">
        <v>3344</v>
      </c>
    </row>
    <row r="2555" spans="1:40" x14ac:dyDescent="0.35">
      <c r="A2555" t="s">
        <v>37</v>
      </c>
      <c r="B2555" t="s">
        <v>10007</v>
      </c>
      <c r="C2555" t="s">
        <v>102</v>
      </c>
      <c r="D2555" t="s">
        <v>3907</v>
      </c>
      <c r="E2555" t="s">
        <v>1421</v>
      </c>
      <c r="F2555" s="1">
        <v>46071.513923611114</v>
      </c>
      <c r="G2555" t="s">
        <v>393</v>
      </c>
      <c r="H2555" t="s">
        <v>92</v>
      </c>
      <c r="I2555" t="s">
        <v>10008</v>
      </c>
      <c r="J2555" t="s">
        <v>404</v>
      </c>
      <c r="K2555" t="s">
        <v>405</v>
      </c>
      <c r="M2555" t="s">
        <v>76</v>
      </c>
      <c r="O2555" t="s">
        <v>237</v>
      </c>
      <c r="P2555" t="s">
        <v>238</v>
      </c>
      <c r="Q2555" t="s">
        <v>818</v>
      </c>
      <c r="R2555" t="s">
        <v>51</v>
      </c>
      <c r="S2555" t="s">
        <v>52</v>
      </c>
      <c r="T2555" t="s">
        <v>240</v>
      </c>
      <c r="U2555" s="1">
        <v>46077.444525462961</v>
      </c>
      <c r="V2555" t="s">
        <v>54</v>
      </c>
      <c r="W2555" t="s">
        <v>55</v>
      </c>
      <c r="X2555" t="s">
        <v>211</v>
      </c>
      <c r="Y2555" t="s">
        <v>10009</v>
      </c>
      <c r="Z2555" t="s">
        <v>58</v>
      </c>
      <c r="AA2555" t="s">
        <v>54</v>
      </c>
      <c r="AB2555" t="s">
        <v>213</v>
      </c>
      <c r="AC2555" t="s">
        <v>242</v>
      </c>
      <c r="AD2555" t="s">
        <v>52</v>
      </c>
      <c r="AE2555" t="s">
        <v>243</v>
      </c>
      <c r="AF2555" t="s">
        <v>244</v>
      </c>
      <c r="AG2555" t="s">
        <v>58</v>
      </c>
      <c r="AH2555">
        <v>12110</v>
      </c>
      <c r="AK2555">
        <v>1</v>
      </c>
      <c r="AL2555" t="s">
        <v>410</v>
      </c>
      <c r="AM2555" t="s">
        <v>10010</v>
      </c>
      <c r="AN2555" t="s">
        <v>10011</v>
      </c>
    </row>
    <row r="2556" spans="1:40" x14ac:dyDescent="0.35">
      <c r="A2556" t="s">
        <v>37</v>
      </c>
      <c r="B2556" t="s">
        <v>10012</v>
      </c>
      <c r="C2556" t="s">
        <v>39</v>
      </c>
      <c r="D2556" t="s">
        <v>7445</v>
      </c>
      <c r="E2556" t="s">
        <v>1316</v>
      </c>
      <c r="F2556" s="1">
        <v>46071.513229166667</v>
      </c>
      <c r="G2556" t="s">
        <v>286</v>
      </c>
      <c r="H2556" t="s">
        <v>287</v>
      </c>
      <c r="I2556" t="s">
        <v>10013</v>
      </c>
      <c r="J2556" t="s">
        <v>7447</v>
      </c>
      <c r="K2556" t="s">
        <v>7448</v>
      </c>
      <c r="M2556" t="s">
        <v>131</v>
      </c>
      <c r="O2556" t="s">
        <v>77</v>
      </c>
      <c r="P2556" t="s">
        <v>78</v>
      </c>
      <c r="Q2556" t="s">
        <v>50</v>
      </c>
      <c r="R2556" t="s">
        <v>51</v>
      </c>
      <c r="S2556" t="s">
        <v>52</v>
      </c>
      <c r="T2556" t="s">
        <v>240</v>
      </c>
      <c r="U2556" s="1">
        <v>46078.381365740737</v>
      </c>
      <c r="V2556" t="s">
        <v>54</v>
      </c>
      <c r="W2556" t="s">
        <v>55</v>
      </c>
      <c r="X2556" t="s">
        <v>134</v>
      </c>
      <c r="Y2556" t="s">
        <v>10014</v>
      </c>
      <c r="Z2556" t="s">
        <v>58</v>
      </c>
      <c r="AA2556" t="s">
        <v>54</v>
      </c>
      <c r="AB2556" t="s">
        <v>7450</v>
      </c>
      <c r="AC2556" t="s">
        <v>85</v>
      </c>
      <c r="AD2556" t="s">
        <v>51</v>
      </c>
      <c r="AE2556" t="s">
        <v>834</v>
      </c>
      <c r="AF2556" t="s">
        <v>834</v>
      </c>
      <c r="AG2556" t="s">
        <v>58</v>
      </c>
      <c r="AK2556">
        <v>0</v>
      </c>
      <c r="AL2556" t="s">
        <v>61</v>
      </c>
      <c r="AM2556" t="s">
        <v>7451</v>
      </c>
      <c r="AN2556" t="s">
        <v>7452</v>
      </c>
    </row>
    <row r="2557" spans="1:40" x14ac:dyDescent="0.35">
      <c r="A2557" t="s">
        <v>37</v>
      </c>
      <c r="B2557" t="s">
        <v>10015</v>
      </c>
      <c r="C2557" t="s">
        <v>39</v>
      </c>
      <c r="D2557" t="s">
        <v>1481</v>
      </c>
      <c r="E2557" t="s">
        <v>1316</v>
      </c>
      <c r="F2557" s="1">
        <v>46071.512974537036</v>
      </c>
      <c r="G2557" t="s">
        <v>286</v>
      </c>
      <c r="H2557" t="s">
        <v>287</v>
      </c>
      <c r="I2557" t="s">
        <v>10016</v>
      </c>
      <c r="J2557" t="s">
        <v>1483</v>
      </c>
      <c r="K2557" t="s">
        <v>1484</v>
      </c>
      <c r="M2557" t="s">
        <v>47</v>
      </c>
      <c r="O2557" t="s">
        <v>77</v>
      </c>
      <c r="P2557" t="s">
        <v>78</v>
      </c>
      <c r="Q2557" t="s">
        <v>50</v>
      </c>
      <c r="R2557" t="s">
        <v>51</v>
      </c>
      <c r="S2557" t="s">
        <v>52</v>
      </c>
      <c r="T2557" t="s">
        <v>240</v>
      </c>
      <c r="U2557" s="1">
        <v>46072.278009259258</v>
      </c>
      <c r="V2557" t="s">
        <v>54</v>
      </c>
      <c r="W2557" t="s">
        <v>55</v>
      </c>
      <c r="X2557" t="s">
        <v>134</v>
      </c>
      <c r="Y2557" t="s">
        <v>1485</v>
      </c>
      <c r="Z2557" t="s">
        <v>5594</v>
      </c>
      <c r="AA2557" t="s">
        <v>54</v>
      </c>
      <c r="AB2557" t="s">
        <v>1486</v>
      </c>
      <c r="AC2557" t="s">
        <v>85</v>
      </c>
      <c r="AD2557" t="s">
        <v>52</v>
      </c>
      <c r="AE2557" t="s">
        <v>243</v>
      </c>
      <c r="AF2557" t="s">
        <v>409</v>
      </c>
      <c r="AG2557" t="s">
        <v>5594</v>
      </c>
      <c r="AK2557">
        <v>1</v>
      </c>
      <c r="AL2557" t="s">
        <v>61</v>
      </c>
      <c r="AM2557" t="s">
        <v>1487</v>
      </c>
      <c r="AN2557" t="s">
        <v>1488</v>
      </c>
    </row>
    <row r="2558" spans="1:40" x14ac:dyDescent="0.35">
      <c r="A2558" t="s">
        <v>37</v>
      </c>
      <c r="B2558" t="s">
        <v>10017</v>
      </c>
      <c r="C2558" t="s">
        <v>39</v>
      </c>
      <c r="D2558" t="s">
        <v>853</v>
      </c>
      <c r="E2558" t="s">
        <v>2542</v>
      </c>
      <c r="F2558" s="1">
        <v>46071.508645833332</v>
      </c>
      <c r="G2558" t="s">
        <v>402</v>
      </c>
      <c r="H2558" t="s">
        <v>72</v>
      </c>
      <c r="I2558" t="s">
        <v>10018</v>
      </c>
      <c r="J2558" t="s">
        <v>10019</v>
      </c>
      <c r="K2558" t="s">
        <v>75</v>
      </c>
      <c r="M2558" t="s">
        <v>76</v>
      </c>
      <c r="O2558" t="s">
        <v>77</v>
      </c>
      <c r="P2558" t="s">
        <v>78</v>
      </c>
      <c r="Q2558" t="s">
        <v>50</v>
      </c>
      <c r="R2558" t="s">
        <v>305</v>
      </c>
      <c r="S2558" t="s">
        <v>306</v>
      </c>
      <c r="T2558" t="s">
        <v>307</v>
      </c>
      <c r="U2558" s="1">
        <v>46078.355150462965</v>
      </c>
      <c r="V2558" t="s">
        <v>54</v>
      </c>
      <c r="W2558" t="s">
        <v>55</v>
      </c>
      <c r="X2558" t="s">
        <v>211</v>
      </c>
      <c r="Y2558" t="s">
        <v>10020</v>
      </c>
      <c r="Z2558" t="s">
        <v>58</v>
      </c>
      <c r="AA2558" t="s">
        <v>54</v>
      </c>
      <c r="AB2558" t="s">
        <v>213</v>
      </c>
      <c r="AC2558" t="s">
        <v>85</v>
      </c>
      <c r="AD2558" t="s">
        <v>79</v>
      </c>
      <c r="AE2558" t="s">
        <v>642</v>
      </c>
      <c r="AF2558" t="s">
        <v>643</v>
      </c>
      <c r="AG2558" t="s">
        <v>58</v>
      </c>
      <c r="AH2558">
        <v>15955</v>
      </c>
      <c r="AK2558">
        <v>7</v>
      </c>
      <c r="AL2558" t="s">
        <v>61</v>
      </c>
      <c r="AM2558" t="s">
        <v>2545</v>
      </c>
      <c r="AN2558" t="s">
        <v>2546</v>
      </c>
    </row>
    <row r="2559" spans="1:40" x14ac:dyDescent="0.35">
      <c r="A2559" t="s">
        <v>37</v>
      </c>
      <c r="B2559" t="s">
        <v>10021</v>
      </c>
      <c r="C2559" t="s">
        <v>656</v>
      </c>
      <c r="D2559" t="s">
        <v>7283</v>
      </c>
      <c r="E2559" t="s">
        <v>7284</v>
      </c>
      <c r="F2559" s="1">
        <v>46071.506956018522</v>
      </c>
      <c r="G2559" t="s">
        <v>355</v>
      </c>
      <c r="H2559" t="s">
        <v>356</v>
      </c>
      <c r="I2559" t="s">
        <v>10022</v>
      </c>
      <c r="J2559" t="s">
        <v>2987</v>
      </c>
      <c r="K2559" t="s">
        <v>2988</v>
      </c>
      <c r="M2559" t="s">
        <v>47</v>
      </c>
      <c r="O2559" t="s">
        <v>77</v>
      </c>
      <c r="P2559" t="s">
        <v>78</v>
      </c>
      <c r="Q2559" t="s">
        <v>7288</v>
      </c>
      <c r="R2559" t="s">
        <v>2989</v>
      </c>
      <c r="S2559" t="s">
        <v>2990</v>
      </c>
      <c r="T2559" t="s">
        <v>3187</v>
      </c>
      <c r="U2559" s="1">
        <v>46072.374849537038</v>
      </c>
      <c r="V2559" t="s">
        <v>54</v>
      </c>
      <c r="W2559" t="s">
        <v>55</v>
      </c>
      <c r="X2559" t="s">
        <v>134</v>
      </c>
      <c r="Y2559" t="s">
        <v>7162</v>
      </c>
      <c r="Z2559" t="s">
        <v>5594</v>
      </c>
      <c r="AA2559" t="s">
        <v>54</v>
      </c>
      <c r="AB2559" t="s">
        <v>408</v>
      </c>
      <c r="AC2559" t="s">
        <v>85</v>
      </c>
      <c r="AD2559" t="s">
        <v>2989</v>
      </c>
      <c r="AE2559" t="s">
        <v>2990</v>
      </c>
      <c r="AF2559" t="s">
        <v>3187</v>
      </c>
      <c r="AG2559" t="s">
        <v>5594</v>
      </c>
      <c r="AH2559" t="s">
        <v>7294</v>
      </c>
      <c r="AK2559">
        <v>1</v>
      </c>
      <c r="AL2559" t="s">
        <v>61</v>
      </c>
      <c r="AM2559" t="s">
        <v>7295</v>
      </c>
      <c r="AN2559" t="s">
        <v>7296</v>
      </c>
    </row>
    <row r="2560" spans="1:40" x14ac:dyDescent="0.35">
      <c r="A2560" t="s">
        <v>37</v>
      </c>
      <c r="B2560" t="s">
        <v>10023</v>
      </c>
      <c r="C2560" t="s">
        <v>39</v>
      </c>
      <c r="D2560" t="s">
        <v>303</v>
      </c>
      <c r="E2560" t="s">
        <v>10024</v>
      </c>
      <c r="F2560" s="1">
        <v>46071.504583333335</v>
      </c>
      <c r="G2560" t="s">
        <v>540</v>
      </c>
      <c r="H2560" t="s">
        <v>447</v>
      </c>
      <c r="I2560" t="s">
        <v>10025</v>
      </c>
      <c r="J2560" t="s">
        <v>2894</v>
      </c>
      <c r="K2560" t="s">
        <v>951</v>
      </c>
      <c r="M2560" t="s">
        <v>131</v>
      </c>
      <c r="O2560" t="s">
        <v>77</v>
      </c>
      <c r="P2560" t="s">
        <v>78</v>
      </c>
      <c r="Q2560" t="s">
        <v>541</v>
      </c>
      <c r="R2560" t="s">
        <v>79</v>
      </c>
      <c r="S2560" t="s">
        <v>10026</v>
      </c>
      <c r="T2560" t="s">
        <v>10027</v>
      </c>
      <c r="U2560" s="1">
        <v>46076.397407407407</v>
      </c>
      <c r="V2560" t="s">
        <v>54</v>
      </c>
      <c r="W2560" t="s">
        <v>55</v>
      </c>
      <c r="X2560" t="s">
        <v>134</v>
      </c>
      <c r="Y2560" t="s">
        <v>10028</v>
      </c>
      <c r="Z2560" t="s">
        <v>58</v>
      </c>
      <c r="AA2560" t="s">
        <v>54</v>
      </c>
      <c r="AB2560" t="s">
        <v>408</v>
      </c>
      <c r="AC2560" t="s">
        <v>85</v>
      </c>
      <c r="AD2560" t="s">
        <v>79</v>
      </c>
      <c r="AE2560" t="s">
        <v>10026</v>
      </c>
      <c r="AF2560" t="s">
        <v>10027</v>
      </c>
      <c r="AG2560" t="s">
        <v>58</v>
      </c>
      <c r="AH2560">
        <v>11326</v>
      </c>
      <c r="AK2560">
        <v>3</v>
      </c>
      <c r="AL2560" t="s">
        <v>61</v>
      </c>
      <c r="AM2560" t="s">
        <v>542</v>
      </c>
      <c r="AN2560" t="s">
        <v>543</v>
      </c>
    </row>
    <row r="2561" spans="1:40" x14ac:dyDescent="0.35">
      <c r="A2561" t="s">
        <v>37</v>
      </c>
      <c r="B2561" t="s">
        <v>10029</v>
      </c>
      <c r="C2561" t="s">
        <v>39</v>
      </c>
      <c r="D2561" t="s">
        <v>640</v>
      </c>
      <c r="E2561" t="s">
        <v>10030</v>
      </c>
      <c r="F2561" s="1">
        <v>46071.501481481479</v>
      </c>
      <c r="G2561" t="s">
        <v>540</v>
      </c>
      <c r="H2561" t="s">
        <v>447</v>
      </c>
      <c r="I2561" t="s">
        <v>10031</v>
      </c>
      <c r="J2561" t="s">
        <v>404</v>
      </c>
      <c r="K2561" t="s">
        <v>405</v>
      </c>
      <c r="M2561" t="s">
        <v>76</v>
      </c>
      <c r="O2561" t="s">
        <v>77</v>
      </c>
      <c r="P2561" t="s">
        <v>78</v>
      </c>
      <c r="Q2561" t="s">
        <v>50</v>
      </c>
      <c r="R2561" t="s">
        <v>51</v>
      </c>
      <c r="S2561" t="s">
        <v>52</v>
      </c>
      <c r="T2561" t="s">
        <v>240</v>
      </c>
      <c r="U2561" s="1">
        <v>46076.457337962966</v>
      </c>
      <c r="V2561" t="s">
        <v>54</v>
      </c>
      <c r="W2561" t="s">
        <v>55</v>
      </c>
      <c r="X2561" t="s">
        <v>134</v>
      </c>
      <c r="Y2561" t="s">
        <v>10032</v>
      </c>
      <c r="Z2561" t="s">
        <v>58</v>
      </c>
      <c r="AA2561" t="s">
        <v>54</v>
      </c>
      <c r="AB2561" t="s">
        <v>612</v>
      </c>
      <c r="AC2561" t="s">
        <v>85</v>
      </c>
      <c r="AD2561" t="s">
        <v>52</v>
      </c>
      <c r="AE2561" t="s">
        <v>438</v>
      </c>
      <c r="AF2561" t="s">
        <v>439</v>
      </c>
      <c r="AG2561" t="s">
        <v>58</v>
      </c>
      <c r="AH2561">
        <v>14656</v>
      </c>
      <c r="AK2561">
        <v>1</v>
      </c>
      <c r="AL2561" t="s">
        <v>61</v>
      </c>
      <c r="AM2561" t="s">
        <v>10033</v>
      </c>
      <c r="AN2561" t="s">
        <v>10034</v>
      </c>
    </row>
    <row r="2562" spans="1:40" x14ac:dyDescent="0.35">
      <c r="A2562" t="s">
        <v>37</v>
      </c>
      <c r="B2562" t="s">
        <v>10035</v>
      </c>
      <c r="C2562" t="s">
        <v>39</v>
      </c>
      <c r="D2562" t="s">
        <v>506</v>
      </c>
      <c r="E2562" t="s">
        <v>4537</v>
      </c>
      <c r="F2562" s="1">
        <v>46071.498564814814</v>
      </c>
      <c r="G2562" t="s">
        <v>377</v>
      </c>
      <c r="H2562" t="s">
        <v>287</v>
      </c>
      <c r="I2562" t="s">
        <v>1446</v>
      </c>
      <c r="J2562" t="s">
        <v>1186</v>
      </c>
      <c r="K2562" t="s">
        <v>1187</v>
      </c>
      <c r="M2562" t="s">
        <v>47</v>
      </c>
      <c r="O2562" t="s">
        <v>77</v>
      </c>
      <c r="P2562" t="s">
        <v>78</v>
      </c>
      <c r="Q2562" t="s">
        <v>50</v>
      </c>
      <c r="R2562" t="s">
        <v>305</v>
      </c>
      <c r="S2562" t="s">
        <v>306</v>
      </c>
      <c r="T2562" t="s">
        <v>307</v>
      </c>
      <c r="U2562" s="1">
        <v>46072.52484953704</v>
      </c>
      <c r="V2562" t="s">
        <v>54</v>
      </c>
      <c r="W2562" t="s">
        <v>55</v>
      </c>
      <c r="X2562" t="s">
        <v>211</v>
      </c>
      <c r="Y2562" t="s">
        <v>3435</v>
      </c>
      <c r="Z2562" t="s">
        <v>5594</v>
      </c>
      <c r="AA2562" t="s">
        <v>54</v>
      </c>
      <c r="AB2562" t="s">
        <v>213</v>
      </c>
      <c r="AC2562" t="s">
        <v>85</v>
      </c>
      <c r="AD2562" t="s">
        <v>1189</v>
      </c>
      <c r="AE2562" t="s">
        <v>3436</v>
      </c>
      <c r="AF2562" t="s">
        <v>3437</v>
      </c>
      <c r="AG2562" t="s">
        <v>5594</v>
      </c>
      <c r="AH2562" t="s">
        <v>10036</v>
      </c>
      <c r="AK2562">
        <v>9</v>
      </c>
      <c r="AL2562" t="s">
        <v>61</v>
      </c>
      <c r="AM2562" t="s">
        <v>10037</v>
      </c>
      <c r="AN2562" t="s">
        <v>10038</v>
      </c>
    </row>
    <row r="2563" spans="1:40" x14ac:dyDescent="0.35">
      <c r="A2563" t="s">
        <v>37</v>
      </c>
      <c r="B2563" t="s">
        <v>10039</v>
      </c>
      <c r="C2563" t="s">
        <v>39</v>
      </c>
      <c r="D2563" t="s">
        <v>469</v>
      </c>
      <c r="E2563" t="s">
        <v>10040</v>
      </c>
      <c r="F2563" s="1">
        <v>46071.49832175926</v>
      </c>
      <c r="G2563" t="s">
        <v>286</v>
      </c>
      <c r="H2563" t="s">
        <v>287</v>
      </c>
      <c r="I2563" t="s">
        <v>205</v>
      </c>
      <c r="J2563" t="s">
        <v>2406</v>
      </c>
      <c r="K2563" t="s">
        <v>1187</v>
      </c>
      <c r="M2563" t="s">
        <v>131</v>
      </c>
      <c r="O2563" t="s">
        <v>77</v>
      </c>
      <c r="P2563" t="s">
        <v>78</v>
      </c>
      <c r="Q2563" t="s">
        <v>50</v>
      </c>
      <c r="R2563" t="s">
        <v>305</v>
      </c>
      <c r="S2563" t="s">
        <v>306</v>
      </c>
      <c r="T2563" t="s">
        <v>307</v>
      </c>
      <c r="U2563" s="1">
        <v>46078.587280092594</v>
      </c>
      <c r="V2563" t="s">
        <v>54</v>
      </c>
      <c r="W2563" t="s">
        <v>55</v>
      </c>
      <c r="X2563" t="s">
        <v>211</v>
      </c>
      <c r="Y2563" t="s">
        <v>10041</v>
      </c>
      <c r="Z2563" t="s">
        <v>58</v>
      </c>
      <c r="AA2563" t="s">
        <v>54</v>
      </c>
      <c r="AB2563" t="s">
        <v>213</v>
      </c>
      <c r="AC2563" t="s">
        <v>85</v>
      </c>
      <c r="AD2563" t="s">
        <v>1189</v>
      </c>
      <c r="AE2563" t="s">
        <v>1190</v>
      </c>
      <c r="AF2563" t="s">
        <v>3058</v>
      </c>
      <c r="AG2563" t="s">
        <v>58</v>
      </c>
      <c r="AH2563" t="s">
        <v>10042</v>
      </c>
      <c r="AK2563">
        <v>8</v>
      </c>
      <c r="AL2563" t="s">
        <v>61</v>
      </c>
      <c r="AM2563" t="s">
        <v>4696</v>
      </c>
      <c r="AN2563" t="s">
        <v>10043</v>
      </c>
    </row>
    <row r="2564" spans="1:40" x14ac:dyDescent="0.35">
      <c r="A2564" t="s">
        <v>37</v>
      </c>
      <c r="B2564" t="s">
        <v>10044</v>
      </c>
      <c r="C2564" t="s">
        <v>39</v>
      </c>
      <c r="D2564" t="s">
        <v>2292</v>
      </c>
      <c r="E2564" t="s">
        <v>3482</v>
      </c>
      <c r="F2564" s="1">
        <v>46071.498599537037</v>
      </c>
      <c r="G2564" t="s">
        <v>393</v>
      </c>
      <c r="H2564" t="s">
        <v>92</v>
      </c>
      <c r="I2564" t="s">
        <v>10045</v>
      </c>
      <c r="J2564" t="s">
        <v>4338</v>
      </c>
      <c r="K2564" t="s">
        <v>405</v>
      </c>
      <c r="M2564" t="s">
        <v>76</v>
      </c>
      <c r="O2564" t="s">
        <v>77</v>
      </c>
      <c r="P2564" t="s">
        <v>78</v>
      </c>
      <c r="Q2564" t="s">
        <v>50</v>
      </c>
      <c r="R2564" t="s">
        <v>51</v>
      </c>
      <c r="S2564" t="s">
        <v>52</v>
      </c>
      <c r="T2564" t="s">
        <v>240</v>
      </c>
      <c r="U2564" s="1">
        <v>46076.429479166669</v>
      </c>
      <c r="V2564" t="s">
        <v>54</v>
      </c>
      <c r="W2564" t="s">
        <v>55</v>
      </c>
      <c r="X2564" t="s">
        <v>134</v>
      </c>
      <c r="Y2564" t="s">
        <v>10046</v>
      </c>
      <c r="Z2564" t="s">
        <v>58</v>
      </c>
      <c r="AA2564" t="s">
        <v>54</v>
      </c>
      <c r="AB2564" t="s">
        <v>612</v>
      </c>
      <c r="AC2564" t="s">
        <v>85</v>
      </c>
      <c r="AD2564" t="s">
        <v>52</v>
      </c>
      <c r="AE2564" t="s">
        <v>243</v>
      </c>
      <c r="AF2564" t="s">
        <v>244</v>
      </c>
      <c r="AG2564" t="s">
        <v>58</v>
      </c>
      <c r="AH2564">
        <v>13013</v>
      </c>
      <c r="AK2564">
        <v>1</v>
      </c>
      <c r="AL2564" t="s">
        <v>61</v>
      </c>
      <c r="AM2564" t="s">
        <v>10047</v>
      </c>
      <c r="AN2564" t="s">
        <v>10048</v>
      </c>
    </row>
    <row r="2565" spans="1:40" x14ac:dyDescent="0.35">
      <c r="A2565" t="s">
        <v>37</v>
      </c>
      <c r="B2565" t="s">
        <v>10049</v>
      </c>
      <c r="C2565" t="s">
        <v>39</v>
      </c>
      <c r="D2565" t="s">
        <v>3274</v>
      </c>
      <c r="E2565" t="s">
        <v>469</v>
      </c>
      <c r="F2565" s="1">
        <v>46071.497673611113</v>
      </c>
      <c r="G2565" t="s">
        <v>273</v>
      </c>
      <c r="H2565" t="s">
        <v>233</v>
      </c>
      <c r="I2565" t="s">
        <v>10050</v>
      </c>
      <c r="J2565" t="s">
        <v>1833</v>
      </c>
      <c r="K2565" t="s">
        <v>1834</v>
      </c>
      <c r="M2565" t="s">
        <v>76</v>
      </c>
      <c r="O2565" t="s">
        <v>77</v>
      </c>
      <c r="P2565" t="s">
        <v>78</v>
      </c>
      <c r="Q2565" t="s">
        <v>50</v>
      </c>
      <c r="R2565" t="s">
        <v>51</v>
      </c>
      <c r="S2565" t="s">
        <v>52</v>
      </c>
      <c r="T2565" t="s">
        <v>240</v>
      </c>
      <c r="U2565" s="1">
        <v>46078.967361111114</v>
      </c>
      <c r="V2565" t="s">
        <v>54</v>
      </c>
      <c r="W2565" t="s">
        <v>55</v>
      </c>
      <c r="X2565" t="s">
        <v>134</v>
      </c>
      <c r="Y2565" t="s">
        <v>1835</v>
      </c>
      <c r="Z2565" t="s">
        <v>58</v>
      </c>
      <c r="AA2565" t="s">
        <v>54</v>
      </c>
      <c r="AB2565" t="s">
        <v>1836</v>
      </c>
      <c r="AC2565" t="s">
        <v>85</v>
      </c>
      <c r="AD2565" t="s">
        <v>52</v>
      </c>
      <c r="AE2565" t="s">
        <v>243</v>
      </c>
      <c r="AF2565" t="s">
        <v>1470</v>
      </c>
      <c r="AG2565" t="s">
        <v>58</v>
      </c>
      <c r="AH2565">
        <v>12296</v>
      </c>
      <c r="AK2565">
        <v>0</v>
      </c>
      <c r="AL2565" t="s">
        <v>61</v>
      </c>
      <c r="AM2565" t="s">
        <v>3276</v>
      </c>
      <c r="AN2565" t="s">
        <v>3277</v>
      </c>
    </row>
    <row r="2566" spans="1:40" x14ac:dyDescent="0.35">
      <c r="A2566" t="s">
        <v>37</v>
      </c>
      <c r="B2566" t="s">
        <v>10051</v>
      </c>
      <c r="C2566" t="s">
        <v>39</v>
      </c>
      <c r="D2566" t="s">
        <v>8430</v>
      </c>
      <c r="E2566" t="s">
        <v>8431</v>
      </c>
      <c r="F2566" s="1">
        <v>46071.497291666667</v>
      </c>
      <c r="G2566" t="s">
        <v>327</v>
      </c>
      <c r="H2566" t="s">
        <v>72</v>
      </c>
      <c r="I2566" t="s">
        <v>2746</v>
      </c>
      <c r="J2566" t="s">
        <v>4244</v>
      </c>
      <c r="K2566" t="s">
        <v>951</v>
      </c>
      <c r="M2566" t="s">
        <v>131</v>
      </c>
      <c r="O2566" t="s">
        <v>77</v>
      </c>
      <c r="P2566" t="s">
        <v>78</v>
      </c>
      <c r="Q2566" t="s">
        <v>50</v>
      </c>
      <c r="R2566" t="s">
        <v>305</v>
      </c>
      <c r="S2566" t="s">
        <v>306</v>
      </c>
      <c r="T2566" t="s">
        <v>307</v>
      </c>
      <c r="U2566" s="1">
        <v>46076.359375</v>
      </c>
      <c r="V2566" t="s">
        <v>54</v>
      </c>
      <c r="W2566" t="s">
        <v>55</v>
      </c>
      <c r="X2566" t="s">
        <v>211</v>
      </c>
      <c r="Y2566" t="s">
        <v>10052</v>
      </c>
      <c r="Z2566" t="s">
        <v>58</v>
      </c>
      <c r="AA2566" t="s">
        <v>54</v>
      </c>
      <c r="AB2566" t="s">
        <v>213</v>
      </c>
      <c r="AC2566" t="s">
        <v>85</v>
      </c>
      <c r="AD2566" t="s">
        <v>79</v>
      </c>
      <c r="AE2566" t="s">
        <v>10053</v>
      </c>
      <c r="AF2566" t="s">
        <v>10054</v>
      </c>
      <c r="AG2566" t="s">
        <v>58</v>
      </c>
      <c r="AH2566">
        <v>13365</v>
      </c>
      <c r="AJ2566">
        <v>191693</v>
      </c>
      <c r="AK2566">
        <v>8</v>
      </c>
      <c r="AL2566" t="s">
        <v>61</v>
      </c>
      <c r="AM2566" t="s">
        <v>8432</v>
      </c>
      <c r="AN2566" t="s">
        <v>8433</v>
      </c>
    </row>
    <row r="2567" spans="1:40" x14ac:dyDescent="0.35">
      <c r="A2567" t="s">
        <v>37</v>
      </c>
      <c r="B2567" t="s">
        <v>10055</v>
      </c>
      <c r="C2567" t="s">
        <v>39</v>
      </c>
      <c r="D2567" t="s">
        <v>933</v>
      </c>
      <c r="E2567" t="s">
        <v>8706</v>
      </c>
      <c r="F2567" s="1">
        <v>46071.497615740744</v>
      </c>
      <c r="G2567" t="s">
        <v>42</v>
      </c>
      <c r="H2567" t="s">
        <v>43</v>
      </c>
      <c r="I2567" t="s">
        <v>10056</v>
      </c>
      <c r="J2567" t="s">
        <v>10019</v>
      </c>
      <c r="K2567" t="s">
        <v>75</v>
      </c>
      <c r="M2567" t="s">
        <v>76</v>
      </c>
      <c r="O2567" t="s">
        <v>77</v>
      </c>
      <c r="P2567" t="s">
        <v>78</v>
      </c>
      <c r="Q2567" t="s">
        <v>50</v>
      </c>
      <c r="R2567" t="s">
        <v>79</v>
      </c>
      <c r="S2567" t="s">
        <v>172</v>
      </c>
      <c r="T2567" t="s">
        <v>725</v>
      </c>
      <c r="U2567" s="1">
        <v>46076.453541666669</v>
      </c>
      <c r="V2567" t="s">
        <v>54</v>
      </c>
      <c r="W2567" t="s">
        <v>55</v>
      </c>
      <c r="X2567" t="s">
        <v>134</v>
      </c>
      <c r="Y2567" t="s">
        <v>10057</v>
      </c>
      <c r="Z2567" t="s">
        <v>58</v>
      </c>
      <c r="AA2567" t="s">
        <v>54</v>
      </c>
      <c r="AB2567" t="s">
        <v>458</v>
      </c>
      <c r="AC2567" t="s">
        <v>85</v>
      </c>
      <c r="AD2567" t="s">
        <v>79</v>
      </c>
      <c r="AE2567" t="s">
        <v>172</v>
      </c>
      <c r="AF2567" t="s">
        <v>9185</v>
      </c>
      <c r="AG2567" t="s">
        <v>58</v>
      </c>
      <c r="AH2567">
        <v>14549</v>
      </c>
      <c r="AK2567">
        <v>0</v>
      </c>
      <c r="AL2567" t="s">
        <v>61</v>
      </c>
      <c r="AM2567" t="s">
        <v>10058</v>
      </c>
      <c r="AN2567" t="s">
        <v>10059</v>
      </c>
    </row>
    <row r="2568" spans="1:40" x14ac:dyDescent="0.35">
      <c r="A2568" t="s">
        <v>37</v>
      </c>
      <c r="B2568" t="s">
        <v>10060</v>
      </c>
      <c r="C2568" t="s">
        <v>39</v>
      </c>
      <c r="D2568" t="s">
        <v>4233</v>
      </c>
      <c r="E2568" t="s">
        <v>982</v>
      </c>
      <c r="F2568" s="1">
        <v>46071.49422453704</v>
      </c>
      <c r="G2568" t="s">
        <v>534</v>
      </c>
      <c r="H2568" t="s">
        <v>287</v>
      </c>
      <c r="I2568" t="s">
        <v>10061</v>
      </c>
      <c r="J2568" t="s">
        <v>2117</v>
      </c>
      <c r="K2568" t="s">
        <v>2118</v>
      </c>
      <c r="M2568" t="s">
        <v>131</v>
      </c>
      <c r="O2568" t="s">
        <v>77</v>
      </c>
      <c r="P2568" t="s">
        <v>78</v>
      </c>
      <c r="Q2568" t="s">
        <v>465</v>
      </c>
      <c r="R2568" t="s">
        <v>51</v>
      </c>
      <c r="S2568" t="s">
        <v>52</v>
      </c>
      <c r="T2568" t="s">
        <v>240</v>
      </c>
      <c r="U2568" s="1">
        <v>46077.33761574074</v>
      </c>
      <c r="V2568" t="s">
        <v>54</v>
      </c>
      <c r="W2568" t="s">
        <v>55</v>
      </c>
      <c r="X2568" t="s">
        <v>134</v>
      </c>
      <c r="Y2568" t="s">
        <v>4088</v>
      </c>
      <c r="Z2568" t="s">
        <v>58</v>
      </c>
      <c r="AA2568" t="s">
        <v>54</v>
      </c>
      <c r="AB2568" t="s">
        <v>408</v>
      </c>
      <c r="AC2568" t="s">
        <v>85</v>
      </c>
      <c r="AD2568" t="s">
        <v>52</v>
      </c>
      <c r="AE2568" t="s">
        <v>243</v>
      </c>
      <c r="AF2568" t="s">
        <v>1470</v>
      </c>
      <c r="AG2568" t="s">
        <v>58</v>
      </c>
      <c r="AH2568">
        <v>10411</v>
      </c>
      <c r="AK2568">
        <v>1</v>
      </c>
      <c r="AL2568" t="s">
        <v>61</v>
      </c>
      <c r="AM2568" t="s">
        <v>10062</v>
      </c>
      <c r="AN2568" t="s">
        <v>10063</v>
      </c>
    </row>
    <row r="2569" spans="1:40" x14ac:dyDescent="0.35">
      <c r="A2569" t="s">
        <v>37</v>
      </c>
      <c r="B2569" t="s">
        <v>10064</v>
      </c>
      <c r="C2569" t="s">
        <v>39</v>
      </c>
      <c r="D2569" t="s">
        <v>853</v>
      </c>
      <c r="E2569" t="s">
        <v>854</v>
      </c>
      <c r="F2569" s="1">
        <v>46071.491238425922</v>
      </c>
      <c r="G2569" t="s">
        <v>855</v>
      </c>
      <c r="H2569" t="s">
        <v>447</v>
      </c>
      <c r="I2569" t="s">
        <v>3679</v>
      </c>
      <c r="J2569" t="s">
        <v>10065</v>
      </c>
      <c r="K2569" t="s">
        <v>3681</v>
      </c>
      <c r="M2569" t="s">
        <v>76</v>
      </c>
      <c r="O2569" t="s">
        <v>77</v>
      </c>
      <c r="P2569" t="s">
        <v>78</v>
      </c>
      <c r="Q2569" t="s">
        <v>856</v>
      </c>
      <c r="R2569" t="s">
        <v>51</v>
      </c>
      <c r="S2569" t="s">
        <v>52</v>
      </c>
      <c r="T2569" t="s">
        <v>240</v>
      </c>
      <c r="U2569" s="1">
        <v>46076.597268518519</v>
      </c>
      <c r="V2569" t="s">
        <v>54</v>
      </c>
      <c r="W2569" t="s">
        <v>55</v>
      </c>
      <c r="X2569" t="s">
        <v>134</v>
      </c>
      <c r="Y2569" t="s">
        <v>10066</v>
      </c>
      <c r="Z2569" t="s">
        <v>58</v>
      </c>
      <c r="AA2569" t="s">
        <v>54</v>
      </c>
      <c r="AB2569" t="s">
        <v>612</v>
      </c>
      <c r="AC2569" t="s">
        <v>85</v>
      </c>
      <c r="AD2569" t="s">
        <v>52</v>
      </c>
      <c r="AE2569" t="s">
        <v>243</v>
      </c>
      <c r="AF2569" t="s">
        <v>1470</v>
      </c>
      <c r="AG2569" t="s">
        <v>58</v>
      </c>
      <c r="AH2569">
        <v>10313</v>
      </c>
      <c r="AK2569">
        <v>1</v>
      </c>
      <c r="AL2569" t="s">
        <v>61</v>
      </c>
      <c r="AM2569" t="s">
        <v>857</v>
      </c>
      <c r="AN2569" t="s">
        <v>858</v>
      </c>
    </row>
    <row r="2570" spans="1:40" x14ac:dyDescent="0.35">
      <c r="A2570" t="s">
        <v>37</v>
      </c>
      <c r="B2570" t="s">
        <v>10067</v>
      </c>
      <c r="C2570" t="s">
        <v>39</v>
      </c>
      <c r="D2570" t="s">
        <v>2765</v>
      </c>
      <c r="E2570" t="s">
        <v>2766</v>
      </c>
      <c r="F2570" s="1">
        <v>46071.48914351852</v>
      </c>
      <c r="G2570" t="s">
        <v>540</v>
      </c>
      <c r="H2570" t="s">
        <v>447</v>
      </c>
      <c r="I2570" t="s">
        <v>10068</v>
      </c>
      <c r="J2570" t="s">
        <v>404</v>
      </c>
      <c r="K2570" t="s">
        <v>405</v>
      </c>
      <c r="M2570" t="s">
        <v>76</v>
      </c>
      <c r="O2570" t="s">
        <v>237</v>
      </c>
      <c r="P2570" t="s">
        <v>238</v>
      </c>
      <c r="Q2570" t="s">
        <v>1102</v>
      </c>
      <c r="R2570" t="s">
        <v>51</v>
      </c>
      <c r="S2570" t="s">
        <v>52</v>
      </c>
      <c r="T2570" t="s">
        <v>240</v>
      </c>
      <c r="U2570" s="1">
        <v>46076.452569444446</v>
      </c>
      <c r="V2570" t="s">
        <v>54</v>
      </c>
      <c r="W2570" t="s">
        <v>55</v>
      </c>
      <c r="X2570" t="s">
        <v>211</v>
      </c>
      <c r="Y2570" t="s">
        <v>10069</v>
      </c>
      <c r="Z2570" t="s">
        <v>58</v>
      </c>
      <c r="AA2570" t="s">
        <v>54</v>
      </c>
      <c r="AB2570" t="s">
        <v>213</v>
      </c>
      <c r="AC2570" t="s">
        <v>242</v>
      </c>
      <c r="AD2570" t="s">
        <v>52</v>
      </c>
      <c r="AE2570" t="s">
        <v>243</v>
      </c>
      <c r="AF2570" t="s">
        <v>2533</v>
      </c>
      <c r="AG2570" t="s">
        <v>58</v>
      </c>
      <c r="AH2570">
        <v>6886</v>
      </c>
      <c r="AK2570">
        <v>1</v>
      </c>
      <c r="AL2570" t="s">
        <v>61</v>
      </c>
      <c r="AM2570" t="s">
        <v>2768</v>
      </c>
      <c r="AN2570" t="s">
        <v>2769</v>
      </c>
    </row>
    <row r="2571" spans="1:40" x14ac:dyDescent="0.35">
      <c r="A2571" t="s">
        <v>37</v>
      </c>
      <c r="B2571" t="s">
        <v>10070</v>
      </c>
      <c r="C2571" t="s">
        <v>39</v>
      </c>
      <c r="D2571" t="s">
        <v>4462</v>
      </c>
      <c r="E2571" t="s">
        <v>4463</v>
      </c>
      <c r="F2571" s="1">
        <v>46071.490983796299</v>
      </c>
      <c r="G2571" t="s">
        <v>1363</v>
      </c>
      <c r="H2571" t="s">
        <v>106</v>
      </c>
      <c r="I2571" t="s">
        <v>10071</v>
      </c>
      <c r="J2571" t="s">
        <v>404</v>
      </c>
      <c r="K2571" t="s">
        <v>405</v>
      </c>
      <c r="M2571" t="s">
        <v>76</v>
      </c>
      <c r="O2571" t="s">
        <v>237</v>
      </c>
      <c r="P2571" t="s">
        <v>238</v>
      </c>
      <c r="Q2571" t="s">
        <v>818</v>
      </c>
      <c r="R2571" t="s">
        <v>51</v>
      </c>
      <c r="S2571" t="s">
        <v>52</v>
      </c>
      <c r="T2571" t="s">
        <v>240</v>
      </c>
      <c r="U2571" s="1">
        <v>46077.522743055553</v>
      </c>
      <c r="V2571" t="s">
        <v>54</v>
      </c>
      <c r="W2571" t="s">
        <v>55</v>
      </c>
      <c r="X2571" t="s">
        <v>134</v>
      </c>
      <c r="Y2571" t="s">
        <v>10072</v>
      </c>
      <c r="Z2571" t="s">
        <v>58</v>
      </c>
      <c r="AA2571" t="s">
        <v>54</v>
      </c>
      <c r="AB2571" t="s">
        <v>408</v>
      </c>
      <c r="AC2571" t="s">
        <v>242</v>
      </c>
      <c r="AD2571" t="s">
        <v>52</v>
      </c>
      <c r="AE2571" t="s">
        <v>438</v>
      </c>
      <c r="AF2571" t="s">
        <v>439</v>
      </c>
      <c r="AG2571" t="s">
        <v>58</v>
      </c>
      <c r="AH2571">
        <v>357</v>
      </c>
      <c r="AK2571">
        <v>1</v>
      </c>
      <c r="AL2571" t="s">
        <v>410</v>
      </c>
      <c r="AM2571" t="s">
        <v>4469</v>
      </c>
      <c r="AN2571" t="s">
        <v>4470</v>
      </c>
    </row>
    <row r="2572" spans="1:40" x14ac:dyDescent="0.35">
      <c r="A2572" t="s">
        <v>37</v>
      </c>
      <c r="B2572" t="s">
        <v>10073</v>
      </c>
      <c r="C2572" t="s">
        <v>39</v>
      </c>
      <c r="D2572" t="s">
        <v>853</v>
      </c>
      <c r="E2572" t="s">
        <v>854</v>
      </c>
      <c r="F2572" s="1">
        <v>46071.489004629628</v>
      </c>
      <c r="G2572" t="s">
        <v>855</v>
      </c>
      <c r="H2572" t="s">
        <v>447</v>
      </c>
      <c r="I2572" t="s">
        <v>3679</v>
      </c>
      <c r="J2572" t="s">
        <v>10065</v>
      </c>
      <c r="K2572" t="s">
        <v>3681</v>
      </c>
      <c r="M2572" t="s">
        <v>76</v>
      </c>
      <c r="O2572" t="s">
        <v>77</v>
      </c>
      <c r="P2572" t="s">
        <v>78</v>
      </c>
      <c r="Q2572" t="s">
        <v>856</v>
      </c>
      <c r="R2572" t="s">
        <v>51</v>
      </c>
      <c r="S2572" t="s">
        <v>52</v>
      </c>
      <c r="T2572" t="s">
        <v>240</v>
      </c>
      <c r="U2572" s="1">
        <v>46076.596759259257</v>
      </c>
      <c r="V2572" t="s">
        <v>54</v>
      </c>
      <c r="W2572" t="s">
        <v>55</v>
      </c>
      <c r="X2572" t="s">
        <v>134</v>
      </c>
      <c r="Y2572" t="s">
        <v>10066</v>
      </c>
      <c r="Z2572" t="s">
        <v>58</v>
      </c>
      <c r="AA2572" t="s">
        <v>54</v>
      </c>
      <c r="AB2572" t="s">
        <v>612</v>
      </c>
      <c r="AC2572" t="s">
        <v>85</v>
      </c>
      <c r="AD2572" t="s">
        <v>52</v>
      </c>
      <c r="AE2572" t="s">
        <v>243</v>
      </c>
      <c r="AF2572" t="s">
        <v>1470</v>
      </c>
      <c r="AG2572" t="s">
        <v>58</v>
      </c>
      <c r="AH2572">
        <v>10313</v>
      </c>
      <c r="AK2572">
        <v>1</v>
      </c>
      <c r="AL2572" t="s">
        <v>61</v>
      </c>
      <c r="AM2572" t="s">
        <v>857</v>
      </c>
      <c r="AN2572" t="s">
        <v>858</v>
      </c>
    </row>
    <row r="2573" spans="1:40" x14ac:dyDescent="0.35">
      <c r="A2573" t="s">
        <v>37</v>
      </c>
      <c r="B2573" t="s">
        <v>10074</v>
      </c>
      <c r="C2573" t="s">
        <v>656</v>
      </c>
      <c r="D2573" t="s">
        <v>4853</v>
      </c>
      <c r="E2573" t="s">
        <v>4854</v>
      </c>
      <c r="F2573" s="1">
        <v>46071.48847222222</v>
      </c>
      <c r="G2573" t="s">
        <v>355</v>
      </c>
      <c r="H2573" t="s">
        <v>356</v>
      </c>
      <c r="I2573" t="s">
        <v>10075</v>
      </c>
      <c r="J2573" t="s">
        <v>10076</v>
      </c>
      <c r="K2573" t="s">
        <v>7287</v>
      </c>
      <c r="M2573" t="s">
        <v>131</v>
      </c>
      <c r="O2573" t="s">
        <v>77</v>
      </c>
      <c r="P2573" t="s">
        <v>78</v>
      </c>
      <c r="Q2573" t="s">
        <v>50</v>
      </c>
      <c r="R2573" t="s">
        <v>8343</v>
      </c>
      <c r="S2573" t="s">
        <v>10077</v>
      </c>
      <c r="T2573" t="s">
        <v>10078</v>
      </c>
      <c r="U2573" s="1">
        <v>46076.528310185182</v>
      </c>
      <c r="V2573" t="s">
        <v>54</v>
      </c>
      <c r="W2573" t="s">
        <v>55</v>
      </c>
      <c r="X2573" t="s">
        <v>134</v>
      </c>
      <c r="Y2573" t="s">
        <v>10079</v>
      </c>
      <c r="Z2573" t="s">
        <v>58</v>
      </c>
      <c r="AA2573" t="s">
        <v>54</v>
      </c>
      <c r="AB2573" t="s">
        <v>4856</v>
      </c>
      <c r="AC2573" t="s">
        <v>85</v>
      </c>
      <c r="AD2573" t="s">
        <v>8343</v>
      </c>
      <c r="AE2573" t="s">
        <v>10077</v>
      </c>
      <c r="AF2573" t="s">
        <v>10078</v>
      </c>
      <c r="AG2573" t="s">
        <v>58</v>
      </c>
      <c r="AH2573" t="s">
        <v>4855</v>
      </c>
      <c r="AK2573">
        <v>0</v>
      </c>
      <c r="AL2573" t="s">
        <v>61</v>
      </c>
      <c r="AM2573" t="s">
        <v>4856</v>
      </c>
      <c r="AN2573" t="s">
        <v>4857</v>
      </c>
    </row>
    <row r="2574" spans="1:40" x14ac:dyDescent="0.35">
      <c r="A2574" t="s">
        <v>37</v>
      </c>
      <c r="B2574" t="s">
        <v>10080</v>
      </c>
      <c r="C2574" t="s">
        <v>656</v>
      </c>
      <c r="D2574" t="s">
        <v>303</v>
      </c>
      <c r="E2574" t="s">
        <v>5553</v>
      </c>
      <c r="F2574" s="1">
        <v>46071.482997685183</v>
      </c>
      <c r="G2574" t="s">
        <v>286</v>
      </c>
      <c r="H2574" t="s">
        <v>287</v>
      </c>
      <c r="I2574" t="s">
        <v>10081</v>
      </c>
      <c r="J2574" t="s">
        <v>10082</v>
      </c>
      <c r="K2574" t="s">
        <v>2551</v>
      </c>
      <c r="M2574" t="s">
        <v>47</v>
      </c>
      <c r="O2574" t="s">
        <v>77</v>
      </c>
      <c r="P2574" t="s">
        <v>78</v>
      </c>
      <c r="Q2574" t="s">
        <v>50</v>
      </c>
      <c r="R2574" t="s">
        <v>208</v>
      </c>
      <c r="S2574" t="s">
        <v>209</v>
      </c>
      <c r="T2574" t="s">
        <v>8341</v>
      </c>
      <c r="U2574" s="1">
        <v>46073.353634259256</v>
      </c>
      <c r="V2574" t="s">
        <v>54</v>
      </c>
      <c r="W2574" t="s">
        <v>55</v>
      </c>
      <c r="X2574" t="s">
        <v>134</v>
      </c>
      <c r="Y2574" t="s">
        <v>10083</v>
      </c>
      <c r="Z2574" t="s">
        <v>5594</v>
      </c>
      <c r="AA2574" t="s">
        <v>54</v>
      </c>
      <c r="AB2574" t="s">
        <v>612</v>
      </c>
      <c r="AC2574" t="s">
        <v>85</v>
      </c>
      <c r="AD2574" t="s">
        <v>208</v>
      </c>
      <c r="AE2574" t="s">
        <v>3119</v>
      </c>
      <c r="AF2574" t="s">
        <v>10084</v>
      </c>
      <c r="AG2574" t="s">
        <v>5594</v>
      </c>
      <c r="AH2574">
        <v>15274</v>
      </c>
      <c r="AK2574">
        <v>1</v>
      </c>
      <c r="AL2574" t="s">
        <v>61</v>
      </c>
      <c r="AM2574" t="s">
        <v>10085</v>
      </c>
      <c r="AN2574" t="s">
        <v>10086</v>
      </c>
    </row>
    <row r="2575" spans="1:40" x14ac:dyDescent="0.35">
      <c r="A2575" t="s">
        <v>37</v>
      </c>
      <c r="B2575" t="s">
        <v>10087</v>
      </c>
      <c r="C2575" t="s">
        <v>656</v>
      </c>
      <c r="D2575" t="s">
        <v>10088</v>
      </c>
      <c r="E2575" t="s">
        <v>10089</v>
      </c>
      <c r="F2575" s="1">
        <v>46071.478958333333</v>
      </c>
      <c r="G2575" t="s">
        <v>355</v>
      </c>
      <c r="H2575" t="s">
        <v>356</v>
      </c>
      <c r="I2575" t="s">
        <v>10090</v>
      </c>
      <c r="J2575" t="s">
        <v>2550</v>
      </c>
      <c r="K2575" t="s">
        <v>2551</v>
      </c>
      <c r="M2575" t="s">
        <v>47</v>
      </c>
      <c r="O2575" t="s">
        <v>77</v>
      </c>
      <c r="P2575" t="s">
        <v>78</v>
      </c>
      <c r="Q2575" t="s">
        <v>50</v>
      </c>
      <c r="R2575" t="s">
        <v>208</v>
      </c>
      <c r="S2575" t="s">
        <v>209</v>
      </c>
      <c r="T2575" t="s">
        <v>3776</v>
      </c>
      <c r="U2575" s="1">
        <v>46072.549583333333</v>
      </c>
      <c r="V2575" t="s">
        <v>54</v>
      </c>
      <c r="W2575" t="s">
        <v>55</v>
      </c>
      <c r="X2575" t="s">
        <v>134</v>
      </c>
      <c r="Y2575" t="s">
        <v>3777</v>
      </c>
      <c r="Z2575" t="s">
        <v>5594</v>
      </c>
      <c r="AA2575" t="s">
        <v>54</v>
      </c>
      <c r="AB2575" t="s">
        <v>458</v>
      </c>
      <c r="AC2575" t="s">
        <v>85</v>
      </c>
      <c r="AD2575" t="s">
        <v>208</v>
      </c>
      <c r="AE2575" t="s">
        <v>209</v>
      </c>
      <c r="AF2575" t="s">
        <v>3776</v>
      </c>
      <c r="AG2575" t="s">
        <v>5594</v>
      </c>
      <c r="AH2575" t="s">
        <v>10091</v>
      </c>
      <c r="AK2575">
        <v>1</v>
      </c>
      <c r="AL2575" t="s">
        <v>61</v>
      </c>
      <c r="AM2575" t="s">
        <v>10092</v>
      </c>
      <c r="AN2575" t="s">
        <v>10093</v>
      </c>
    </row>
    <row r="2576" spans="1:40" x14ac:dyDescent="0.35">
      <c r="A2576" t="s">
        <v>37</v>
      </c>
      <c r="B2576" t="s">
        <v>10094</v>
      </c>
      <c r="C2576" t="s">
        <v>39</v>
      </c>
      <c r="D2576" t="s">
        <v>4233</v>
      </c>
      <c r="E2576" t="s">
        <v>10095</v>
      </c>
      <c r="F2576" s="1">
        <v>46071.477638888886</v>
      </c>
      <c r="G2576" t="s">
        <v>355</v>
      </c>
      <c r="H2576" t="s">
        <v>356</v>
      </c>
      <c r="I2576" t="s">
        <v>10096</v>
      </c>
      <c r="J2576" t="s">
        <v>2406</v>
      </c>
      <c r="K2576" t="s">
        <v>1187</v>
      </c>
      <c r="M2576" t="s">
        <v>131</v>
      </c>
      <c r="O2576" t="s">
        <v>77</v>
      </c>
      <c r="P2576" t="s">
        <v>78</v>
      </c>
      <c r="Q2576" t="s">
        <v>50</v>
      </c>
      <c r="R2576" t="s">
        <v>1189</v>
      </c>
      <c r="S2576" t="s">
        <v>1190</v>
      </c>
      <c r="T2576" t="s">
        <v>10097</v>
      </c>
      <c r="U2576" s="1">
        <v>46076.492384259262</v>
      </c>
      <c r="V2576" t="s">
        <v>54</v>
      </c>
      <c r="W2576" t="s">
        <v>55</v>
      </c>
      <c r="X2576" t="s">
        <v>134</v>
      </c>
      <c r="Y2576" t="s">
        <v>10098</v>
      </c>
      <c r="Z2576" t="s">
        <v>58</v>
      </c>
      <c r="AA2576" t="s">
        <v>54</v>
      </c>
      <c r="AB2576" t="s">
        <v>458</v>
      </c>
      <c r="AC2576" t="s">
        <v>85</v>
      </c>
      <c r="AD2576" t="s">
        <v>1189</v>
      </c>
      <c r="AE2576" t="s">
        <v>1190</v>
      </c>
      <c r="AF2576" t="s">
        <v>3058</v>
      </c>
      <c r="AG2576" t="s">
        <v>58</v>
      </c>
      <c r="AH2576">
        <v>12741</v>
      </c>
      <c r="AK2576">
        <v>1</v>
      </c>
      <c r="AL2576" t="s">
        <v>61</v>
      </c>
      <c r="AM2576" t="s">
        <v>10099</v>
      </c>
      <c r="AN2576" t="s">
        <v>10100</v>
      </c>
    </row>
    <row r="2577" spans="1:40" x14ac:dyDescent="0.35">
      <c r="A2577" t="s">
        <v>37</v>
      </c>
      <c r="B2577" t="s">
        <v>10101</v>
      </c>
      <c r="C2577" t="s">
        <v>102</v>
      </c>
      <c r="D2577" t="s">
        <v>4789</v>
      </c>
      <c r="E2577" t="s">
        <v>4790</v>
      </c>
      <c r="F2577" s="1">
        <v>46071.480127314811</v>
      </c>
      <c r="G2577" t="s">
        <v>355</v>
      </c>
      <c r="H2577" t="s">
        <v>356</v>
      </c>
      <c r="I2577" t="s">
        <v>10102</v>
      </c>
      <c r="J2577" t="s">
        <v>4792</v>
      </c>
      <c r="K2577" t="s">
        <v>4793</v>
      </c>
      <c r="M2577" t="s">
        <v>131</v>
      </c>
      <c r="O2577" t="s">
        <v>237</v>
      </c>
      <c r="P2577" t="s">
        <v>238</v>
      </c>
      <c r="Q2577" t="s">
        <v>1174</v>
      </c>
      <c r="R2577" t="s">
        <v>51</v>
      </c>
      <c r="S2577" t="s">
        <v>52</v>
      </c>
      <c r="T2577" t="s">
        <v>240</v>
      </c>
      <c r="U2577" s="1">
        <v>46076.449189814812</v>
      </c>
      <c r="V2577" t="s">
        <v>54</v>
      </c>
      <c r="W2577" t="s">
        <v>55</v>
      </c>
      <c r="X2577" t="s">
        <v>56</v>
      </c>
      <c r="Y2577" t="s">
        <v>10103</v>
      </c>
      <c r="Z2577" t="s">
        <v>58</v>
      </c>
      <c r="AA2577" t="s">
        <v>54</v>
      </c>
      <c r="AB2577" t="s">
        <v>4795</v>
      </c>
      <c r="AC2577" t="s">
        <v>242</v>
      </c>
      <c r="AD2577" t="s">
        <v>51</v>
      </c>
      <c r="AE2577" t="s">
        <v>52</v>
      </c>
      <c r="AF2577" t="s">
        <v>240</v>
      </c>
      <c r="AG2577" t="s">
        <v>58</v>
      </c>
      <c r="AH2577">
        <v>14949</v>
      </c>
      <c r="AK2577">
        <v>0</v>
      </c>
      <c r="AL2577" t="s">
        <v>61</v>
      </c>
      <c r="AM2577" t="s">
        <v>4796</v>
      </c>
      <c r="AN2577" t="s">
        <v>4797</v>
      </c>
    </row>
    <row r="2578" spans="1:40" x14ac:dyDescent="0.35">
      <c r="A2578" t="s">
        <v>37</v>
      </c>
      <c r="B2578" t="s">
        <v>10104</v>
      </c>
      <c r="C2578" t="s">
        <v>39</v>
      </c>
      <c r="D2578" t="s">
        <v>4348</v>
      </c>
      <c r="E2578" t="s">
        <v>10105</v>
      </c>
      <c r="F2578" s="1">
        <v>46071.476539351854</v>
      </c>
      <c r="G2578" t="s">
        <v>10106</v>
      </c>
      <c r="H2578" t="s">
        <v>233</v>
      </c>
      <c r="I2578" t="s">
        <v>403</v>
      </c>
      <c r="J2578" t="s">
        <v>4338</v>
      </c>
      <c r="K2578" t="s">
        <v>405</v>
      </c>
      <c r="M2578" t="s">
        <v>76</v>
      </c>
      <c r="O2578" t="s">
        <v>77</v>
      </c>
      <c r="P2578" t="s">
        <v>78</v>
      </c>
      <c r="Q2578" t="s">
        <v>3204</v>
      </c>
      <c r="R2578" t="s">
        <v>51</v>
      </c>
      <c r="S2578" t="s">
        <v>52</v>
      </c>
      <c r="T2578" t="s">
        <v>4080</v>
      </c>
      <c r="U2578" s="1">
        <v>46076.448067129626</v>
      </c>
      <c r="V2578" t="s">
        <v>54</v>
      </c>
      <c r="W2578" t="s">
        <v>55</v>
      </c>
      <c r="X2578" t="s">
        <v>134</v>
      </c>
      <c r="Y2578" t="s">
        <v>10107</v>
      </c>
      <c r="Z2578" t="s">
        <v>58</v>
      </c>
      <c r="AA2578" t="s">
        <v>54</v>
      </c>
      <c r="AB2578" t="s">
        <v>458</v>
      </c>
      <c r="AC2578" t="s">
        <v>85</v>
      </c>
      <c r="AD2578" t="s">
        <v>52</v>
      </c>
      <c r="AE2578" t="s">
        <v>438</v>
      </c>
      <c r="AF2578" t="s">
        <v>775</v>
      </c>
      <c r="AG2578" t="s">
        <v>58</v>
      </c>
      <c r="AH2578">
        <v>3480</v>
      </c>
      <c r="AK2578">
        <v>1</v>
      </c>
      <c r="AL2578" t="s">
        <v>61</v>
      </c>
      <c r="AM2578" t="s">
        <v>10108</v>
      </c>
      <c r="AN2578" t="s">
        <v>10109</v>
      </c>
    </row>
    <row r="2579" spans="1:40" x14ac:dyDescent="0.35">
      <c r="A2579" t="s">
        <v>37</v>
      </c>
      <c r="B2579" t="s">
        <v>10110</v>
      </c>
      <c r="C2579" t="s">
        <v>39</v>
      </c>
      <c r="D2579" t="s">
        <v>747</v>
      </c>
      <c r="E2579" t="s">
        <v>10111</v>
      </c>
      <c r="F2579" s="1">
        <v>46071.4762962963</v>
      </c>
      <c r="G2579" t="s">
        <v>273</v>
      </c>
      <c r="H2579" t="s">
        <v>233</v>
      </c>
      <c r="I2579" t="s">
        <v>10071</v>
      </c>
      <c r="J2579" t="s">
        <v>4338</v>
      </c>
      <c r="K2579" t="s">
        <v>405</v>
      </c>
      <c r="M2579" t="s">
        <v>47</v>
      </c>
      <c r="O2579" t="s">
        <v>1501</v>
      </c>
      <c r="P2579" t="s">
        <v>1502</v>
      </c>
      <c r="Q2579" t="s">
        <v>476</v>
      </c>
      <c r="R2579" t="s">
        <v>51</v>
      </c>
      <c r="S2579" t="s">
        <v>52</v>
      </c>
      <c r="T2579" t="s">
        <v>240</v>
      </c>
      <c r="U2579" s="1">
        <v>46073.394490740742</v>
      </c>
      <c r="V2579" t="s">
        <v>1338</v>
      </c>
      <c r="W2579" t="s">
        <v>55</v>
      </c>
      <c r="X2579" t="s">
        <v>134</v>
      </c>
      <c r="Y2579" t="s">
        <v>10112</v>
      </c>
      <c r="Z2579" t="s">
        <v>5594</v>
      </c>
      <c r="AA2579" t="s">
        <v>1338</v>
      </c>
      <c r="AB2579" t="s">
        <v>408</v>
      </c>
      <c r="AC2579" t="s">
        <v>1504</v>
      </c>
      <c r="AD2579" t="s">
        <v>52</v>
      </c>
      <c r="AE2579" t="s">
        <v>243</v>
      </c>
      <c r="AF2579" t="s">
        <v>244</v>
      </c>
      <c r="AG2579" t="s">
        <v>5594</v>
      </c>
      <c r="AH2579">
        <v>5510</v>
      </c>
      <c r="AK2579">
        <v>1</v>
      </c>
      <c r="AL2579" t="s">
        <v>410</v>
      </c>
      <c r="AM2579" t="s">
        <v>10113</v>
      </c>
      <c r="AN2579" t="s">
        <v>10114</v>
      </c>
    </row>
    <row r="2580" spans="1:40" x14ac:dyDescent="0.35">
      <c r="A2580" t="s">
        <v>37</v>
      </c>
      <c r="B2580" t="s">
        <v>10115</v>
      </c>
      <c r="C2580" t="s">
        <v>39</v>
      </c>
      <c r="D2580" t="s">
        <v>10116</v>
      </c>
      <c r="E2580" t="s">
        <v>10117</v>
      </c>
      <c r="F2580" s="1">
        <v>46071.479803240742</v>
      </c>
      <c r="G2580" t="s">
        <v>355</v>
      </c>
      <c r="H2580" t="s">
        <v>356</v>
      </c>
      <c r="I2580" t="s">
        <v>10118</v>
      </c>
      <c r="J2580" t="s">
        <v>10082</v>
      </c>
      <c r="K2580" t="s">
        <v>2551</v>
      </c>
      <c r="M2580" t="s">
        <v>47</v>
      </c>
      <c r="O2580" t="s">
        <v>77</v>
      </c>
      <c r="P2580" t="s">
        <v>78</v>
      </c>
      <c r="Q2580" t="s">
        <v>50</v>
      </c>
      <c r="R2580" t="s">
        <v>51</v>
      </c>
      <c r="S2580" t="s">
        <v>52</v>
      </c>
      <c r="T2580" t="s">
        <v>240</v>
      </c>
      <c r="U2580" s="1">
        <v>46073.352581018517</v>
      </c>
      <c r="V2580" t="s">
        <v>54</v>
      </c>
      <c r="W2580" t="s">
        <v>55</v>
      </c>
      <c r="X2580" t="s">
        <v>134</v>
      </c>
      <c r="Y2580" t="s">
        <v>10119</v>
      </c>
      <c r="Z2580" t="s">
        <v>5594</v>
      </c>
      <c r="AA2580" t="s">
        <v>54</v>
      </c>
      <c r="AB2580" t="s">
        <v>612</v>
      </c>
      <c r="AC2580" t="s">
        <v>85</v>
      </c>
      <c r="AD2580" t="s">
        <v>208</v>
      </c>
      <c r="AE2580" t="s">
        <v>3119</v>
      </c>
      <c r="AF2580" t="s">
        <v>967</v>
      </c>
      <c r="AG2580" t="s">
        <v>5594</v>
      </c>
      <c r="AH2580" t="s">
        <v>10120</v>
      </c>
      <c r="AK2580">
        <v>1</v>
      </c>
      <c r="AL2580" t="s">
        <v>61</v>
      </c>
      <c r="AM2580" t="s">
        <v>10121</v>
      </c>
      <c r="AN2580" t="s">
        <v>10122</v>
      </c>
    </row>
    <row r="2581" spans="1:40" x14ac:dyDescent="0.35">
      <c r="A2581" t="s">
        <v>37</v>
      </c>
      <c r="B2581" t="s">
        <v>10123</v>
      </c>
      <c r="C2581" t="s">
        <v>39</v>
      </c>
      <c r="D2581" t="s">
        <v>1751</v>
      </c>
      <c r="E2581" t="s">
        <v>1316</v>
      </c>
      <c r="F2581" s="1">
        <v>46071.473576388889</v>
      </c>
      <c r="G2581" t="s">
        <v>1752</v>
      </c>
      <c r="H2581" t="s">
        <v>447</v>
      </c>
      <c r="I2581" t="s">
        <v>10124</v>
      </c>
      <c r="J2581" t="s">
        <v>1754</v>
      </c>
      <c r="K2581" t="s">
        <v>1755</v>
      </c>
      <c r="M2581" t="s">
        <v>47</v>
      </c>
      <c r="O2581" t="s">
        <v>77</v>
      </c>
      <c r="P2581" t="s">
        <v>78</v>
      </c>
      <c r="Q2581" t="s">
        <v>50</v>
      </c>
      <c r="R2581" t="s">
        <v>51</v>
      </c>
      <c r="S2581" t="s">
        <v>52</v>
      </c>
      <c r="T2581" t="s">
        <v>773</v>
      </c>
      <c r="U2581" s="1">
        <v>46074.947534722225</v>
      </c>
      <c r="V2581" t="s">
        <v>54</v>
      </c>
      <c r="W2581" t="s">
        <v>55</v>
      </c>
      <c r="X2581" t="s">
        <v>134</v>
      </c>
      <c r="Y2581" t="s">
        <v>10125</v>
      </c>
      <c r="Z2581" t="s">
        <v>5594</v>
      </c>
      <c r="AA2581" t="s">
        <v>54</v>
      </c>
      <c r="AB2581" t="s">
        <v>1757</v>
      </c>
      <c r="AC2581" t="s">
        <v>85</v>
      </c>
      <c r="AD2581" t="s">
        <v>52</v>
      </c>
      <c r="AE2581" t="s">
        <v>243</v>
      </c>
      <c r="AF2581" t="s">
        <v>409</v>
      </c>
      <c r="AG2581" t="s">
        <v>5594</v>
      </c>
      <c r="AK2581">
        <v>1</v>
      </c>
      <c r="AL2581" t="s">
        <v>61</v>
      </c>
      <c r="AM2581" t="s">
        <v>1757</v>
      </c>
      <c r="AN2581" t="s">
        <v>1758</v>
      </c>
    </row>
    <row r="2582" spans="1:40" x14ac:dyDescent="0.35">
      <c r="A2582" t="s">
        <v>37</v>
      </c>
      <c r="B2582" t="s">
        <v>10126</v>
      </c>
      <c r="C2582" t="s">
        <v>39</v>
      </c>
      <c r="D2582" t="s">
        <v>657</v>
      </c>
      <c r="E2582" t="s">
        <v>658</v>
      </c>
      <c r="F2582" s="1">
        <v>46071.474780092591</v>
      </c>
      <c r="G2582" t="s">
        <v>355</v>
      </c>
      <c r="H2582" t="s">
        <v>356</v>
      </c>
      <c r="I2582" t="s">
        <v>10127</v>
      </c>
      <c r="J2582" t="s">
        <v>4046</v>
      </c>
      <c r="K2582" t="s">
        <v>4047</v>
      </c>
      <c r="M2582" t="s">
        <v>47</v>
      </c>
      <c r="O2582" t="s">
        <v>77</v>
      </c>
      <c r="P2582" t="s">
        <v>78</v>
      </c>
      <c r="Q2582" t="s">
        <v>50</v>
      </c>
      <c r="R2582" t="s">
        <v>662</v>
      </c>
      <c r="S2582" t="s">
        <v>663</v>
      </c>
      <c r="T2582" t="s">
        <v>4048</v>
      </c>
      <c r="U2582" s="1">
        <v>46072.630567129629</v>
      </c>
      <c r="V2582" t="s">
        <v>54</v>
      </c>
      <c r="W2582" t="s">
        <v>55</v>
      </c>
      <c r="X2582" t="s">
        <v>56</v>
      </c>
      <c r="Y2582" t="s">
        <v>10128</v>
      </c>
      <c r="Z2582" t="s">
        <v>5594</v>
      </c>
      <c r="AA2582" t="s">
        <v>54</v>
      </c>
      <c r="AB2582" t="s">
        <v>4050</v>
      </c>
      <c r="AC2582" t="s">
        <v>85</v>
      </c>
      <c r="AD2582" t="s">
        <v>667</v>
      </c>
      <c r="AE2582" t="s">
        <v>664</v>
      </c>
      <c r="AF2582" t="s">
        <v>4730</v>
      </c>
      <c r="AG2582" t="s">
        <v>5594</v>
      </c>
      <c r="AH2582" t="s">
        <v>668</v>
      </c>
      <c r="AK2582">
        <v>0</v>
      </c>
      <c r="AL2582" t="s">
        <v>61</v>
      </c>
      <c r="AM2582" t="s">
        <v>666</v>
      </c>
      <c r="AN2582" t="s">
        <v>669</v>
      </c>
    </row>
    <row r="2583" spans="1:40" x14ac:dyDescent="0.35">
      <c r="A2583" t="s">
        <v>37</v>
      </c>
      <c r="B2583" t="s">
        <v>10129</v>
      </c>
      <c r="C2583" t="s">
        <v>39</v>
      </c>
      <c r="D2583" t="s">
        <v>10130</v>
      </c>
      <c r="E2583" t="s">
        <v>10131</v>
      </c>
      <c r="F2583" s="1">
        <v>46071.467511574076</v>
      </c>
      <c r="G2583" t="s">
        <v>261</v>
      </c>
      <c r="H2583" t="s">
        <v>72</v>
      </c>
      <c r="I2583" t="s">
        <v>10132</v>
      </c>
      <c r="J2583" t="s">
        <v>404</v>
      </c>
      <c r="K2583" t="s">
        <v>405</v>
      </c>
      <c r="M2583" t="s">
        <v>76</v>
      </c>
      <c r="O2583" t="s">
        <v>77</v>
      </c>
      <c r="P2583" t="s">
        <v>78</v>
      </c>
      <c r="Q2583" t="s">
        <v>50</v>
      </c>
      <c r="R2583" t="s">
        <v>51</v>
      </c>
      <c r="S2583" t="s">
        <v>52</v>
      </c>
      <c r="T2583" t="s">
        <v>240</v>
      </c>
      <c r="U2583" s="1">
        <v>46076.513796296298</v>
      </c>
      <c r="V2583" t="s">
        <v>54</v>
      </c>
      <c r="W2583" t="s">
        <v>55</v>
      </c>
      <c r="X2583" t="s">
        <v>134</v>
      </c>
      <c r="Y2583" t="s">
        <v>10133</v>
      </c>
      <c r="Z2583" t="s">
        <v>58</v>
      </c>
      <c r="AA2583" t="s">
        <v>54</v>
      </c>
      <c r="AB2583" t="s">
        <v>408</v>
      </c>
      <c r="AC2583" t="s">
        <v>85</v>
      </c>
      <c r="AD2583" t="s">
        <v>52</v>
      </c>
      <c r="AE2583" t="s">
        <v>3755</v>
      </c>
      <c r="AF2583" t="s">
        <v>10134</v>
      </c>
      <c r="AG2583" t="s">
        <v>58</v>
      </c>
      <c r="AH2583">
        <v>15677</v>
      </c>
      <c r="AK2583">
        <v>1</v>
      </c>
      <c r="AL2583" t="s">
        <v>61</v>
      </c>
      <c r="AM2583" t="s">
        <v>10135</v>
      </c>
      <c r="AN2583" t="s">
        <v>10136</v>
      </c>
    </row>
    <row r="2584" spans="1:40" x14ac:dyDescent="0.35">
      <c r="A2584" t="s">
        <v>37</v>
      </c>
      <c r="B2584" t="s">
        <v>10137</v>
      </c>
      <c r="C2584" t="s">
        <v>39</v>
      </c>
      <c r="D2584" t="s">
        <v>10138</v>
      </c>
      <c r="E2584" t="s">
        <v>10139</v>
      </c>
      <c r="F2584" s="1">
        <v>46071.466516203705</v>
      </c>
      <c r="G2584" t="s">
        <v>71</v>
      </c>
      <c r="H2584" t="s">
        <v>72</v>
      </c>
      <c r="I2584" t="s">
        <v>10140</v>
      </c>
      <c r="J2584" t="s">
        <v>3829</v>
      </c>
      <c r="K2584" t="s">
        <v>951</v>
      </c>
      <c r="M2584" t="s">
        <v>76</v>
      </c>
      <c r="O2584" t="s">
        <v>77</v>
      </c>
      <c r="P2584" t="s">
        <v>78</v>
      </c>
      <c r="Q2584" t="s">
        <v>50</v>
      </c>
      <c r="R2584" t="s">
        <v>79</v>
      </c>
      <c r="S2584" t="s">
        <v>967</v>
      </c>
      <c r="T2584" t="s">
        <v>1028</v>
      </c>
      <c r="U2584" s="1">
        <v>46077.618668981479</v>
      </c>
      <c r="V2584" t="s">
        <v>54</v>
      </c>
      <c r="W2584" t="s">
        <v>55</v>
      </c>
      <c r="X2584" t="s">
        <v>82</v>
      </c>
      <c r="Y2584" t="s">
        <v>3863</v>
      </c>
      <c r="Z2584" t="s">
        <v>58</v>
      </c>
      <c r="AA2584" t="s">
        <v>54</v>
      </c>
      <c r="AB2584" t="s">
        <v>645</v>
      </c>
      <c r="AC2584" t="s">
        <v>85</v>
      </c>
      <c r="AD2584" t="s">
        <v>79</v>
      </c>
      <c r="AE2584" t="s">
        <v>967</v>
      </c>
      <c r="AF2584" t="s">
        <v>1028</v>
      </c>
      <c r="AG2584" t="s">
        <v>58</v>
      </c>
      <c r="AH2584">
        <v>12275</v>
      </c>
      <c r="AK2584">
        <v>1</v>
      </c>
      <c r="AL2584" t="s">
        <v>61</v>
      </c>
      <c r="AM2584" t="s">
        <v>10141</v>
      </c>
      <c r="AN2584" t="s">
        <v>10142</v>
      </c>
    </row>
    <row r="2585" spans="1:40" x14ac:dyDescent="0.35">
      <c r="A2585" t="s">
        <v>37</v>
      </c>
      <c r="B2585" t="s">
        <v>10143</v>
      </c>
      <c r="C2585" t="s">
        <v>102</v>
      </c>
      <c r="D2585" t="s">
        <v>10144</v>
      </c>
      <c r="E2585" t="s">
        <v>10145</v>
      </c>
      <c r="F2585" s="1">
        <v>46071.462650462963</v>
      </c>
      <c r="G2585" t="s">
        <v>2053</v>
      </c>
      <c r="H2585" t="s">
        <v>106</v>
      </c>
      <c r="I2585" t="s">
        <v>10146</v>
      </c>
      <c r="J2585" t="s">
        <v>4338</v>
      </c>
      <c r="K2585" t="s">
        <v>405</v>
      </c>
      <c r="M2585" t="s">
        <v>76</v>
      </c>
      <c r="O2585" t="s">
        <v>237</v>
      </c>
      <c r="P2585" t="s">
        <v>238</v>
      </c>
      <c r="Q2585" t="s">
        <v>50</v>
      </c>
      <c r="R2585" t="s">
        <v>51</v>
      </c>
      <c r="S2585" t="s">
        <v>52</v>
      </c>
      <c r="T2585" t="s">
        <v>240</v>
      </c>
      <c r="U2585" s="1">
        <v>46077.384363425925</v>
      </c>
      <c r="V2585" t="s">
        <v>54</v>
      </c>
      <c r="W2585" t="s">
        <v>55</v>
      </c>
      <c r="X2585" t="s">
        <v>211</v>
      </c>
      <c r="Y2585" t="s">
        <v>10147</v>
      </c>
      <c r="Z2585" t="s">
        <v>58</v>
      </c>
      <c r="AA2585" t="s">
        <v>54</v>
      </c>
      <c r="AB2585" t="s">
        <v>213</v>
      </c>
      <c r="AC2585" t="s">
        <v>242</v>
      </c>
      <c r="AD2585" t="s">
        <v>52</v>
      </c>
      <c r="AE2585" t="s">
        <v>243</v>
      </c>
      <c r="AF2585" t="s">
        <v>244</v>
      </c>
      <c r="AG2585" t="s">
        <v>58</v>
      </c>
      <c r="AH2585" t="s">
        <v>10148</v>
      </c>
      <c r="AK2585">
        <v>2</v>
      </c>
      <c r="AL2585" t="s">
        <v>61</v>
      </c>
      <c r="AM2585" t="s">
        <v>10149</v>
      </c>
      <c r="AN2585" t="s">
        <v>10150</v>
      </c>
    </row>
    <row r="2586" spans="1:40" x14ac:dyDescent="0.35">
      <c r="A2586" t="s">
        <v>37</v>
      </c>
      <c r="B2586" t="s">
        <v>10151</v>
      </c>
      <c r="C2586" t="s">
        <v>39</v>
      </c>
      <c r="D2586" t="s">
        <v>739</v>
      </c>
      <c r="E2586" t="s">
        <v>4764</v>
      </c>
      <c r="F2586" s="1">
        <v>46071.481631944444</v>
      </c>
      <c r="G2586" t="s">
        <v>497</v>
      </c>
      <c r="H2586" t="s">
        <v>72</v>
      </c>
      <c r="I2586" t="s">
        <v>10152</v>
      </c>
      <c r="J2586" t="s">
        <v>2531</v>
      </c>
      <c r="K2586" t="s">
        <v>2532</v>
      </c>
      <c r="M2586" t="s">
        <v>47</v>
      </c>
      <c r="O2586" t="s">
        <v>77</v>
      </c>
      <c r="P2586" t="s">
        <v>78</v>
      </c>
      <c r="Q2586" t="s">
        <v>50</v>
      </c>
      <c r="R2586" t="s">
        <v>51</v>
      </c>
      <c r="S2586" t="s">
        <v>52</v>
      </c>
      <c r="T2586" t="s">
        <v>240</v>
      </c>
      <c r="U2586" s="1">
        <v>46072.597326388888</v>
      </c>
      <c r="V2586" t="s">
        <v>54</v>
      </c>
      <c r="W2586" t="s">
        <v>55</v>
      </c>
      <c r="X2586" t="s">
        <v>82</v>
      </c>
      <c r="Y2586" t="e">
        <f>- Please note that, your username has been whitelisted now. kindly ensure that you are using only one device to punch.</f>
        <v>#NAME?</v>
      </c>
      <c r="Z2586" t="s">
        <v>5594</v>
      </c>
      <c r="AA2586" t="s">
        <v>54</v>
      </c>
      <c r="AB2586" t="s">
        <v>396</v>
      </c>
      <c r="AC2586" t="s">
        <v>85</v>
      </c>
      <c r="AD2586" t="s">
        <v>52</v>
      </c>
      <c r="AE2586" t="s">
        <v>243</v>
      </c>
      <c r="AF2586" t="s">
        <v>2533</v>
      </c>
      <c r="AG2586" t="s">
        <v>5594</v>
      </c>
      <c r="AH2586">
        <v>12398</v>
      </c>
      <c r="AK2586">
        <v>5</v>
      </c>
      <c r="AL2586" t="s">
        <v>61</v>
      </c>
      <c r="AM2586" t="s">
        <v>10153</v>
      </c>
      <c r="AN2586" t="s">
        <v>10154</v>
      </c>
    </row>
    <row r="2587" spans="1:40" x14ac:dyDescent="0.35">
      <c r="A2587" t="s">
        <v>37</v>
      </c>
      <c r="B2587" t="s">
        <v>10155</v>
      </c>
      <c r="C2587" t="s">
        <v>39</v>
      </c>
      <c r="D2587" t="s">
        <v>430</v>
      </c>
      <c r="E2587" t="s">
        <v>4716</v>
      </c>
      <c r="F2587" s="1">
        <v>46071.462118055555</v>
      </c>
      <c r="G2587" t="s">
        <v>722</v>
      </c>
      <c r="H2587" t="s">
        <v>356</v>
      </c>
      <c r="I2587" t="s">
        <v>1446</v>
      </c>
      <c r="J2587" t="s">
        <v>4212</v>
      </c>
      <c r="K2587" t="s">
        <v>4213</v>
      </c>
      <c r="M2587" t="s">
        <v>47</v>
      </c>
      <c r="O2587" t="s">
        <v>77</v>
      </c>
      <c r="P2587" t="s">
        <v>78</v>
      </c>
      <c r="Q2587" t="s">
        <v>50</v>
      </c>
      <c r="R2587" t="s">
        <v>51</v>
      </c>
      <c r="S2587" t="s">
        <v>52</v>
      </c>
      <c r="T2587" t="s">
        <v>773</v>
      </c>
      <c r="U2587" s="1">
        <v>46073.596273148149</v>
      </c>
      <c r="V2587" t="s">
        <v>54</v>
      </c>
      <c r="W2587" t="s">
        <v>55</v>
      </c>
      <c r="X2587" t="s">
        <v>211</v>
      </c>
      <c r="Y2587" t="s">
        <v>10156</v>
      </c>
      <c r="Z2587" t="s">
        <v>5594</v>
      </c>
      <c r="AA2587" t="s">
        <v>54</v>
      </c>
      <c r="AB2587" t="s">
        <v>213</v>
      </c>
      <c r="AC2587" t="s">
        <v>85</v>
      </c>
      <c r="AD2587" t="s">
        <v>52</v>
      </c>
      <c r="AE2587" t="s">
        <v>438</v>
      </c>
      <c r="AF2587" t="s">
        <v>2111</v>
      </c>
      <c r="AG2587" t="s">
        <v>5594</v>
      </c>
      <c r="AH2587">
        <v>15775</v>
      </c>
      <c r="AK2587">
        <v>7</v>
      </c>
      <c r="AL2587" t="s">
        <v>61</v>
      </c>
      <c r="AM2587" t="s">
        <v>4718</v>
      </c>
      <c r="AN2587" t="s">
        <v>4719</v>
      </c>
    </row>
    <row r="2588" spans="1:40" x14ac:dyDescent="0.35">
      <c r="A2588" t="s">
        <v>37</v>
      </c>
      <c r="B2588" t="s">
        <v>10157</v>
      </c>
      <c r="C2588" t="s">
        <v>102</v>
      </c>
      <c r="D2588" t="s">
        <v>568</v>
      </c>
      <c r="E2588" t="s">
        <v>569</v>
      </c>
      <c r="F2588" s="1">
        <v>46071.463576388887</v>
      </c>
      <c r="G2588" t="s">
        <v>105</v>
      </c>
      <c r="H2588" t="s">
        <v>106</v>
      </c>
      <c r="I2588" t="s">
        <v>2736</v>
      </c>
      <c r="J2588" t="s">
        <v>108</v>
      </c>
      <c r="K2588" t="s">
        <v>571</v>
      </c>
      <c r="M2588" t="s">
        <v>47</v>
      </c>
      <c r="O2588" t="s">
        <v>77</v>
      </c>
      <c r="P2588" t="s">
        <v>78</v>
      </c>
      <c r="Q2588" t="s">
        <v>448</v>
      </c>
      <c r="R2588" t="s">
        <v>111</v>
      </c>
      <c r="S2588" t="s">
        <v>51</v>
      </c>
      <c r="T2588" t="s">
        <v>112</v>
      </c>
      <c r="U2588" s="1">
        <v>46072.627071759256</v>
      </c>
      <c r="V2588" t="s">
        <v>54</v>
      </c>
      <c r="W2588" t="s">
        <v>55</v>
      </c>
      <c r="X2588" t="s">
        <v>113</v>
      </c>
      <c r="Y2588" t="s">
        <v>10158</v>
      </c>
      <c r="Z2588" t="s">
        <v>5594</v>
      </c>
      <c r="AA2588" t="s">
        <v>54</v>
      </c>
      <c r="AB2588" t="s">
        <v>1212</v>
      </c>
      <c r="AC2588" t="s">
        <v>85</v>
      </c>
      <c r="AD2588" t="s">
        <v>116</v>
      </c>
      <c r="AE2588" t="s">
        <v>1541</v>
      </c>
      <c r="AF2588" t="s">
        <v>2738</v>
      </c>
      <c r="AG2588" t="s">
        <v>5594</v>
      </c>
      <c r="AK2588">
        <v>1</v>
      </c>
      <c r="AL2588" t="s">
        <v>61</v>
      </c>
      <c r="AM2588" t="s">
        <v>576</v>
      </c>
      <c r="AN2588" t="s">
        <v>577</v>
      </c>
    </row>
    <row r="2589" spans="1:40" x14ac:dyDescent="0.35">
      <c r="A2589" t="s">
        <v>37</v>
      </c>
      <c r="B2589" t="s">
        <v>10159</v>
      </c>
      <c r="C2589" t="s">
        <v>102</v>
      </c>
      <c r="D2589" t="s">
        <v>1698</v>
      </c>
      <c r="E2589" t="s">
        <v>584</v>
      </c>
      <c r="F2589" s="1">
        <v>46071.455266203702</v>
      </c>
      <c r="G2589" t="s">
        <v>105</v>
      </c>
      <c r="H2589" t="s">
        <v>106</v>
      </c>
      <c r="I2589" t="s">
        <v>3589</v>
      </c>
      <c r="J2589" t="s">
        <v>108</v>
      </c>
      <c r="K2589" t="s">
        <v>341</v>
      </c>
      <c r="M2589" t="s">
        <v>47</v>
      </c>
      <c r="O2589" t="s">
        <v>77</v>
      </c>
      <c r="P2589" t="s">
        <v>78</v>
      </c>
      <c r="Q2589" t="s">
        <v>50</v>
      </c>
      <c r="R2589" t="s">
        <v>111</v>
      </c>
      <c r="S2589" t="s">
        <v>51</v>
      </c>
      <c r="T2589" t="s">
        <v>112</v>
      </c>
      <c r="U2589" s="1">
        <v>46072.204791666663</v>
      </c>
      <c r="V2589" t="s">
        <v>54</v>
      </c>
      <c r="X2589" t="s">
        <v>134</v>
      </c>
      <c r="Y2589" t="s">
        <v>10160</v>
      </c>
      <c r="Z2589" t="s">
        <v>5594</v>
      </c>
      <c r="AA2589" t="s">
        <v>54</v>
      </c>
      <c r="AB2589" t="s">
        <v>1701</v>
      </c>
      <c r="AC2589" t="s">
        <v>85</v>
      </c>
      <c r="AD2589" t="s">
        <v>116</v>
      </c>
      <c r="AE2589" t="s">
        <v>117</v>
      </c>
      <c r="AF2589" t="s">
        <v>1740</v>
      </c>
      <c r="AG2589" t="s">
        <v>5594</v>
      </c>
      <c r="AK2589">
        <v>1</v>
      </c>
      <c r="AL2589" t="s">
        <v>61</v>
      </c>
      <c r="AM2589" t="s">
        <v>1701</v>
      </c>
      <c r="AN2589" t="s">
        <v>1702</v>
      </c>
    </row>
    <row r="2590" spans="1:40" x14ac:dyDescent="0.35">
      <c r="A2590" t="s">
        <v>37</v>
      </c>
      <c r="B2590" t="s">
        <v>10161</v>
      </c>
      <c r="C2590" t="s">
        <v>39</v>
      </c>
      <c r="D2590" t="s">
        <v>657</v>
      </c>
      <c r="E2590" t="s">
        <v>658</v>
      </c>
      <c r="F2590" s="1">
        <v>46071.458067129628</v>
      </c>
      <c r="G2590" t="s">
        <v>355</v>
      </c>
      <c r="H2590" t="s">
        <v>356</v>
      </c>
      <c r="I2590" t="s">
        <v>10162</v>
      </c>
      <c r="J2590" t="s">
        <v>4046</v>
      </c>
      <c r="K2590" t="s">
        <v>4047</v>
      </c>
      <c r="M2590" t="s">
        <v>47</v>
      </c>
      <c r="O2590" t="s">
        <v>77</v>
      </c>
      <c r="P2590" t="s">
        <v>78</v>
      </c>
      <c r="Q2590" t="s">
        <v>50</v>
      </c>
      <c r="R2590" t="s">
        <v>662</v>
      </c>
      <c r="S2590" t="s">
        <v>663</v>
      </c>
      <c r="T2590" t="s">
        <v>664</v>
      </c>
      <c r="U2590" s="1">
        <v>46072.632071759261</v>
      </c>
      <c r="V2590" t="s">
        <v>54</v>
      </c>
      <c r="W2590" t="s">
        <v>55</v>
      </c>
      <c r="X2590" t="s">
        <v>56</v>
      </c>
      <c r="Y2590" t="s">
        <v>10163</v>
      </c>
      <c r="Z2590" t="s">
        <v>5594</v>
      </c>
      <c r="AA2590" t="s">
        <v>54</v>
      </c>
      <c r="AB2590" t="s">
        <v>4050</v>
      </c>
      <c r="AC2590" t="s">
        <v>85</v>
      </c>
      <c r="AD2590" t="s">
        <v>667</v>
      </c>
      <c r="AE2590" t="s">
        <v>664</v>
      </c>
      <c r="AF2590" t="s">
        <v>4730</v>
      </c>
      <c r="AG2590" t="s">
        <v>5594</v>
      </c>
      <c r="AH2590" t="s">
        <v>668</v>
      </c>
      <c r="AK2590">
        <v>0</v>
      </c>
      <c r="AL2590" t="s">
        <v>61</v>
      </c>
      <c r="AM2590" t="s">
        <v>666</v>
      </c>
      <c r="AN2590" t="s">
        <v>669</v>
      </c>
    </row>
    <row r="2591" spans="1:40" x14ac:dyDescent="0.35">
      <c r="A2591" t="s">
        <v>37</v>
      </c>
      <c r="B2591" t="s">
        <v>10164</v>
      </c>
      <c r="C2591" t="s">
        <v>39</v>
      </c>
      <c r="D2591" t="s">
        <v>10144</v>
      </c>
      <c r="E2591" t="s">
        <v>10145</v>
      </c>
      <c r="F2591" s="1">
        <v>46071.454143518517</v>
      </c>
      <c r="G2591" t="s">
        <v>2053</v>
      </c>
      <c r="H2591" t="s">
        <v>106</v>
      </c>
      <c r="I2591" t="s">
        <v>10165</v>
      </c>
      <c r="J2591" t="s">
        <v>455</v>
      </c>
      <c r="K2591" t="s">
        <v>436</v>
      </c>
      <c r="M2591" t="s">
        <v>47</v>
      </c>
      <c r="O2591" t="s">
        <v>237</v>
      </c>
      <c r="P2591" t="s">
        <v>238</v>
      </c>
      <c r="Q2591" t="s">
        <v>50</v>
      </c>
      <c r="R2591" t="s">
        <v>51</v>
      </c>
      <c r="S2591" t="s">
        <v>52</v>
      </c>
      <c r="T2591" t="s">
        <v>240</v>
      </c>
      <c r="U2591" s="1">
        <v>46073.606631944444</v>
      </c>
      <c r="V2591" t="s">
        <v>54</v>
      </c>
      <c r="W2591" t="s">
        <v>55</v>
      </c>
      <c r="X2591" t="s">
        <v>211</v>
      </c>
      <c r="Y2591" t="s">
        <v>10166</v>
      </c>
      <c r="Z2591" t="s">
        <v>5594</v>
      </c>
      <c r="AA2591" t="s">
        <v>54</v>
      </c>
      <c r="AB2591" t="s">
        <v>213</v>
      </c>
      <c r="AC2591" t="s">
        <v>242</v>
      </c>
      <c r="AD2591" t="s">
        <v>52</v>
      </c>
      <c r="AE2591" t="s">
        <v>438</v>
      </c>
      <c r="AF2591" t="s">
        <v>775</v>
      </c>
      <c r="AG2591" t="s">
        <v>5594</v>
      </c>
      <c r="AH2591" t="s">
        <v>10148</v>
      </c>
      <c r="AK2591">
        <v>1</v>
      </c>
      <c r="AL2591" t="s">
        <v>61</v>
      </c>
      <c r="AM2591" t="s">
        <v>10149</v>
      </c>
      <c r="AN2591" t="s">
        <v>10150</v>
      </c>
    </row>
    <row r="2592" spans="1:40" x14ac:dyDescent="0.35">
      <c r="A2592" t="s">
        <v>37</v>
      </c>
      <c r="B2592" t="s">
        <v>10167</v>
      </c>
      <c r="C2592" t="s">
        <v>39</v>
      </c>
      <c r="D2592" t="s">
        <v>10168</v>
      </c>
      <c r="E2592" t="s">
        <v>10169</v>
      </c>
      <c r="F2592" s="1">
        <v>46071.454467592594</v>
      </c>
      <c r="G2592" t="s">
        <v>304</v>
      </c>
      <c r="H2592" t="s">
        <v>106</v>
      </c>
      <c r="I2592" t="s">
        <v>10170</v>
      </c>
      <c r="J2592" t="s">
        <v>4338</v>
      </c>
      <c r="K2592" t="s">
        <v>405</v>
      </c>
      <c r="M2592" t="s">
        <v>47</v>
      </c>
      <c r="O2592" t="s">
        <v>237</v>
      </c>
      <c r="P2592" t="s">
        <v>238</v>
      </c>
      <c r="R2592" t="s">
        <v>51</v>
      </c>
      <c r="S2592" t="s">
        <v>52</v>
      </c>
      <c r="T2592" t="s">
        <v>240</v>
      </c>
      <c r="U2592" s="1">
        <v>46072.507372685184</v>
      </c>
      <c r="V2592" t="s">
        <v>54</v>
      </c>
      <c r="W2592" t="s">
        <v>55</v>
      </c>
      <c r="X2592" t="s">
        <v>82</v>
      </c>
      <c r="Y2592" t="s">
        <v>8406</v>
      </c>
      <c r="Z2592" t="s">
        <v>5594</v>
      </c>
      <c r="AA2592" t="s">
        <v>54</v>
      </c>
      <c r="AB2592" t="s">
        <v>727</v>
      </c>
      <c r="AC2592" t="s">
        <v>242</v>
      </c>
      <c r="AD2592" t="s">
        <v>52</v>
      </c>
      <c r="AE2592" t="s">
        <v>243</v>
      </c>
      <c r="AF2592" t="s">
        <v>2533</v>
      </c>
      <c r="AG2592" t="s">
        <v>5594</v>
      </c>
      <c r="AH2592" t="s">
        <v>10171</v>
      </c>
      <c r="AK2592">
        <v>1</v>
      </c>
      <c r="AL2592" t="s">
        <v>61</v>
      </c>
      <c r="AM2592" t="s">
        <v>10172</v>
      </c>
      <c r="AN2592" t="s">
        <v>10173</v>
      </c>
    </row>
    <row r="2593" spans="1:40" x14ac:dyDescent="0.35">
      <c r="A2593" t="s">
        <v>37</v>
      </c>
      <c r="B2593" t="s">
        <v>10174</v>
      </c>
      <c r="C2593" t="s">
        <v>102</v>
      </c>
      <c r="D2593" t="s">
        <v>9331</v>
      </c>
      <c r="E2593" t="s">
        <v>9332</v>
      </c>
      <c r="F2593" s="1">
        <v>46071.454444444447</v>
      </c>
      <c r="G2593" t="s">
        <v>1249</v>
      </c>
      <c r="H2593" t="s">
        <v>233</v>
      </c>
      <c r="I2593" t="s">
        <v>10175</v>
      </c>
      <c r="J2593" t="s">
        <v>557</v>
      </c>
      <c r="K2593" t="s">
        <v>75</v>
      </c>
      <c r="M2593" t="s">
        <v>47</v>
      </c>
      <c r="O2593" t="s">
        <v>237</v>
      </c>
      <c r="P2593" t="s">
        <v>238</v>
      </c>
      <c r="R2593" t="s">
        <v>79</v>
      </c>
      <c r="S2593" t="s">
        <v>10176</v>
      </c>
      <c r="T2593" t="s">
        <v>10177</v>
      </c>
      <c r="U2593" s="1">
        <v>46072.433252314811</v>
      </c>
      <c r="V2593" t="s">
        <v>54</v>
      </c>
      <c r="W2593" t="s">
        <v>55</v>
      </c>
      <c r="X2593" t="s">
        <v>82</v>
      </c>
      <c r="Y2593" t="s">
        <v>10178</v>
      </c>
      <c r="Z2593" t="s">
        <v>5594</v>
      </c>
      <c r="AA2593" t="s">
        <v>54</v>
      </c>
      <c r="AB2593" t="s">
        <v>645</v>
      </c>
      <c r="AC2593" t="s">
        <v>242</v>
      </c>
      <c r="AD2593" t="s">
        <v>79</v>
      </c>
      <c r="AE2593" t="s">
        <v>10176</v>
      </c>
      <c r="AF2593" t="s">
        <v>10179</v>
      </c>
      <c r="AG2593" t="s">
        <v>5594</v>
      </c>
      <c r="AH2593">
        <v>6569</v>
      </c>
      <c r="AK2593">
        <v>4</v>
      </c>
      <c r="AL2593" t="s">
        <v>61</v>
      </c>
      <c r="AM2593" t="s">
        <v>9333</v>
      </c>
      <c r="AN2593" t="s">
        <v>9334</v>
      </c>
    </row>
    <row r="2594" spans="1:40" x14ac:dyDescent="0.35">
      <c r="A2594" t="s">
        <v>37</v>
      </c>
      <c r="B2594" t="s">
        <v>10180</v>
      </c>
      <c r="C2594" t="s">
        <v>39</v>
      </c>
      <c r="D2594" t="s">
        <v>7490</v>
      </c>
      <c r="E2594" t="s">
        <v>7491</v>
      </c>
      <c r="F2594" s="1">
        <v>46071.45107638889</v>
      </c>
      <c r="G2594" t="s">
        <v>355</v>
      </c>
      <c r="H2594" t="s">
        <v>356</v>
      </c>
      <c r="I2594" t="s">
        <v>205</v>
      </c>
      <c r="J2594" t="s">
        <v>741</v>
      </c>
      <c r="K2594" t="s">
        <v>207</v>
      </c>
      <c r="M2594" t="s">
        <v>47</v>
      </c>
      <c r="O2594" t="s">
        <v>77</v>
      </c>
      <c r="P2594" t="s">
        <v>78</v>
      </c>
      <c r="Q2594" t="s">
        <v>50</v>
      </c>
      <c r="R2594" t="s">
        <v>305</v>
      </c>
      <c r="S2594" t="s">
        <v>306</v>
      </c>
      <c r="T2594" t="s">
        <v>307</v>
      </c>
      <c r="U2594" s="1">
        <v>46072.164976851855</v>
      </c>
      <c r="V2594" t="s">
        <v>54</v>
      </c>
      <c r="W2594" t="s">
        <v>55</v>
      </c>
      <c r="X2594" t="s">
        <v>211</v>
      </c>
      <c r="Y2594" t="s">
        <v>10181</v>
      </c>
      <c r="Z2594" t="s">
        <v>5594</v>
      </c>
      <c r="AA2594" t="s">
        <v>54</v>
      </c>
      <c r="AB2594" t="s">
        <v>213</v>
      </c>
      <c r="AC2594" t="s">
        <v>85</v>
      </c>
      <c r="AD2594" t="s">
        <v>214</v>
      </c>
      <c r="AE2594" t="s">
        <v>215</v>
      </c>
      <c r="AF2594" t="s">
        <v>216</v>
      </c>
      <c r="AG2594" t="s">
        <v>5594</v>
      </c>
      <c r="AH2594" t="s">
        <v>7493</v>
      </c>
      <c r="AK2594">
        <v>3</v>
      </c>
      <c r="AL2594" t="s">
        <v>61</v>
      </c>
      <c r="AM2594" t="s">
        <v>7494</v>
      </c>
      <c r="AN2594" t="s">
        <v>7495</v>
      </c>
    </row>
    <row r="2595" spans="1:40" x14ac:dyDescent="0.35">
      <c r="A2595" t="s">
        <v>37</v>
      </c>
      <c r="B2595" t="s">
        <v>10182</v>
      </c>
      <c r="C2595" t="s">
        <v>39</v>
      </c>
      <c r="D2595" t="s">
        <v>9444</v>
      </c>
      <c r="E2595" t="s">
        <v>9445</v>
      </c>
      <c r="F2595" s="1">
        <v>46071.449965277781</v>
      </c>
      <c r="G2595" t="s">
        <v>91</v>
      </c>
      <c r="H2595" t="s">
        <v>92</v>
      </c>
      <c r="I2595" t="s">
        <v>10183</v>
      </c>
      <c r="J2595" t="s">
        <v>4338</v>
      </c>
      <c r="K2595" t="s">
        <v>405</v>
      </c>
      <c r="M2595" t="s">
        <v>76</v>
      </c>
      <c r="O2595" t="s">
        <v>237</v>
      </c>
      <c r="P2595" t="s">
        <v>238</v>
      </c>
      <c r="Q2595" t="s">
        <v>50</v>
      </c>
      <c r="R2595" t="s">
        <v>51</v>
      </c>
      <c r="S2595" t="s">
        <v>52</v>
      </c>
      <c r="T2595" t="s">
        <v>240</v>
      </c>
      <c r="U2595" s="1">
        <v>46076.447268518517</v>
      </c>
      <c r="V2595" t="s">
        <v>54</v>
      </c>
      <c r="W2595" t="s">
        <v>55</v>
      </c>
      <c r="X2595" t="s">
        <v>211</v>
      </c>
      <c r="Y2595" t="s">
        <v>10184</v>
      </c>
      <c r="Z2595" t="s">
        <v>58</v>
      </c>
      <c r="AA2595" t="s">
        <v>54</v>
      </c>
      <c r="AB2595" t="s">
        <v>213</v>
      </c>
      <c r="AC2595" t="s">
        <v>242</v>
      </c>
      <c r="AD2595" t="s">
        <v>52</v>
      </c>
      <c r="AE2595" t="s">
        <v>243</v>
      </c>
      <c r="AF2595" t="s">
        <v>244</v>
      </c>
      <c r="AG2595" t="s">
        <v>58</v>
      </c>
      <c r="AH2595">
        <v>14620</v>
      </c>
      <c r="AK2595">
        <v>1</v>
      </c>
      <c r="AL2595" t="s">
        <v>61</v>
      </c>
      <c r="AM2595" t="s">
        <v>9448</v>
      </c>
      <c r="AN2595" t="s">
        <v>9449</v>
      </c>
    </row>
    <row r="2596" spans="1:40" x14ac:dyDescent="0.35">
      <c r="A2596" t="s">
        <v>37</v>
      </c>
      <c r="B2596" t="s">
        <v>10185</v>
      </c>
      <c r="C2596" t="s">
        <v>39</v>
      </c>
      <c r="D2596" t="s">
        <v>7445</v>
      </c>
      <c r="E2596" t="s">
        <v>1316</v>
      </c>
      <c r="F2596" s="1">
        <v>46071.452152777776</v>
      </c>
      <c r="G2596" t="s">
        <v>286</v>
      </c>
      <c r="H2596" t="s">
        <v>287</v>
      </c>
      <c r="I2596" t="s">
        <v>10186</v>
      </c>
      <c r="J2596" t="s">
        <v>8674</v>
      </c>
      <c r="K2596" t="s">
        <v>7448</v>
      </c>
      <c r="M2596" t="s">
        <v>47</v>
      </c>
      <c r="O2596" t="s">
        <v>77</v>
      </c>
      <c r="P2596" t="s">
        <v>78</v>
      </c>
      <c r="Q2596" t="s">
        <v>50</v>
      </c>
      <c r="R2596" t="s">
        <v>51</v>
      </c>
      <c r="S2596" t="s">
        <v>52</v>
      </c>
      <c r="T2596" t="s">
        <v>240</v>
      </c>
      <c r="U2596" s="1">
        <v>46072.615104166667</v>
      </c>
      <c r="V2596" t="s">
        <v>54</v>
      </c>
      <c r="W2596" t="s">
        <v>55</v>
      </c>
      <c r="X2596" t="s">
        <v>113</v>
      </c>
      <c r="Y2596" t="s">
        <v>8700</v>
      </c>
      <c r="Z2596" t="s">
        <v>5594</v>
      </c>
      <c r="AA2596" t="s">
        <v>54</v>
      </c>
      <c r="AB2596" t="s">
        <v>8676</v>
      </c>
      <c r="AC2596" t="s">
        <v>85</v>
      </c>
      <c r="AD2596" t="s">
        <v>52</v>
      </c>
      <c r="AE2596" t="s">
        <v>243</v>
      </c>
      <c r="AF2596" t="s">
        <v>244</v>
      </c>
      <c r="AG2596" t="s">
        <v>5594</v>
      </c>
      <c r="AK2596">
        <v>0</v>
      </c>
      <c r="AL2596" t="s">
        <v>61</v>
      </c>
      <c r="AM2596" t="s">
        <v>7451</v>
      </c>
      <c r="AN2596" t="s">
        <v>7452</v>
      </c>
    </row>
    <row r="2597" spans="1:40" x14ac:dyDescent="0.35">
      <c r="A2597" t="s">
        <v>37</v>
      </c>
      <c r="B2597" t="s">
        <v>10187</v>
      </c>
      <c r="C2597" t="s">
        <v>39</v>
      </c>
      <c r="D2597" t="s">
        <v>6345</v>
      </c>
      <c r="E2597" t="s">
        <v>10188</v>
      </c>
      <c r="F2597" s="1">
        <v>46071.447025462963</v>
      </c>
      <c r="G2597" t="s">
        <v>855</v>
      </c>
      <c r="H2597" t="s">
        <v>447</v>
      </c>
      <c r="I2597" t="s">
        <v>205</v>
      </c>
      <c r="J2597" t="s">
        <v>1692</v>
      </c>
      <c r="K2597" t="s">
        <v>207</v>
      </c>
      <c r="M2597" t="s">
        <v>47</v>
      </c>
      <c r="O2597" t="s">
        <v>77</v>
      </c>
      <c r="P2597" t="s">
        <v>78</v>
      </c>
      <c r="Q2597" t="s">
        <v>856</v>
      </c>
      <c r="R2597" t="s">
        <v>305</v>
      </c>
      <c r="S2597" t="s">
        <v>306</v>
      </c>
      <c r="T2597" t="s">
        <v>307</v>
      </c>
      <c r="U2597" s="1">
        <v>46074.680011574077</v>
      </c>
      <c r="V2597" t="s">
        <v>54</v>
      </c>
      <c r="W2597" t="s">
        <v>55</v>
      </c>
      <c r="X2597" t="s">
        <v>211</v>
      </c>
      <c r="Y2597" t="s">
        <v>8919</v>
      </c>
      <c r="Z2597" t="s">
        <v>5594</v>
      </c>
      <c r="AA2597" t="s">
        <v>54</v>
      </c>
      <c r="AB2597" t="s">
        <v>213</v>
      </c>
      <c r="AC2597" t="s">
        <v>85</v>
      </c>
      <c r="AD2597" t="s">
        <v>214</v>
      </c>
      <c r="AE2597" t="s">
        <v>215</v>
      </c>
      <c r="AF2597" t="s">
        <v>161</v>
      </c>
      <c r="AG2597" t="s">
        <v>5594</v>
      </c>
      <c r="AH2597">
        <v>8378</v>
      </c>
      <c r="AK2597">
        <v>4</v>
      </c>
      <c r="AL2597" t="s">
        <v>61</v>
      </c>
      <c r="AM2597" t="s">
        <v>10189</v>
      </c>
      <c r="AN2597" t="s">
        <v>10190</v>
      </c>
    </row>
    <row r="2598" spans="1:40" x14ac:dyDescent="0.35">
      <c r="A2598" t="s">
        <v>37</v>
      </c>
      <c r="B2598" t="s">
        <v>10191</v>
      </c>
      <c r="C2598" t="s">
        <v>39</v>
      </c>
      <c r="D2598" t="s">
        <v>7067</v>
      </c>
      <c r="E2598" t="s">
        <v>4373</v>
      </c>
      <c r="F2598" s="1">
        <v>46071.447974537034</v>
      </c>
      <c r="G2598" t="s">
        <v>393</v>
      </c>
      <c r="H2598" t="s">
        <v>92</v>
      </c>
      <c r="I2598" t="s">
        <v>10192</v>
      </c>
      <c r="J2598" t="s">
        <v>9282</v>
      </c>
      <c r="K2598" t="s">
        <v>9283</v>
      </c>
      <c r="M2598" t="s">
        <v>131</v>
      </c>
      <c r="O2598" t="s">
        <v>77</v>
      </c>
      <c r="P2598" t="s">
        <v>78</v>
      </c>
      <c r="Q2598" t="s">
        <v>50</v>
      </c>
      <c r="R2598" t="s">
        <v>79</v>
      </c>
      <c r="S2598" t="s">
        <v>975</v>
      </c>
      <c r="T2598" t="s">
        <v>2280</v>
      </c>
      <c r="U2598" s="1">
        <v>46078.678981481484</v>
      </c>
      <c r="V2598" t="s">
        <v>54</v>
      </c>
      <c r="W2598" t="s">
        <v>55</v>
      </c>
      <c r="X2598" t="s">
        <v>82</v>
      </c>
      <c r="Y2598" t="s">
        <v>9908</v>
      </c>
      <c r="Z2598" t="s">
        <v>58</v>
      </c>
      <c r="AA2598" t="s">
        <v>54</v>
      </c>
      <c r="AB2598" t="s">
        <v>84</v>
      </c>
      <c r="AC2598" t="s">
        <v>85</v>
      </c>
      <c r="AD2598" t="s">
        <v>79</v>
      </c>
      <c r="AE2598" t="s">
        <v>975</v>
      </c>
      <c r="AF2598" t="s">
        <v>2280</v>
      </c>
      <c r="AG2598" t="s">
        <v>58</v>
      </c>
      <c r="AH2598">
        <v>15910</v>
      </c>
      <c r="AK2598">
        <v>3</v>
      </c>
      <c r="AL2598" t="s">
        <v>61</v>
      </c>
      <c r="AM2598" t="s">
        <v>10193</v>
      </c>
      <c r="AN2598" t="s">
        <v>10194</v>
      </c>
    </row>
    <row r="2599" spans="1:40" x14ac:dyDescent="0.35">
      <c r="A2599" t="s">
        <v>37</v>
      </c>
      <c r="B2599" t="s">
        <v>10195</v>
      </c>
      <c r="C2599" t="s">
        <v>102</v>
      </c>
      <c r="D2599" t="s">
        <v>10196</v>
      </c>
      <c r="E2599" t="s">
        <v>713</v>
      </c>
      <c r="F2599" s="1">
        <v>46071.446192129632</v>
      </c>
      <c r="G2599" t="s">
        <v>71</v>
      </c>
      <c r="H2599" t="s">
        <v>72</v>
      </c>
      <c r="I2599" t="s">
        <v>10197</v>
      </c>
      <c r="J2599" t="s">
        <v>2581</v>
      </c>
      <c r="K2599" t="s">
        <v>2582</v>
      </c>
      <c r="M2599" t="s">
        <v>47</v>
      </c>
      <c r="O2599" t="s">
        <v>237</v>
      </c>
      <c r="P2599" t="s">
        <v>238</v>
      </c>
      <c r="Q2599" t="s">
        <v>50</v>
      </c>
      <c r="R2599" t="s">
        <v>305</v>
      </c>
      <c r="S2599" t="s">
        <v>306</v>
      </c>
      <c r="T2599" t="s">
        <v>307</v>
      </c>
      <c r="U2599" s="1">
        <v>46072.504641203705</v>
      </c>
      <c r="V2599" t="s">
        <v>54</v>
      </c>
      <c r="W2599" t="s">
        <v>55</v>
      </c>
      <c r="X2599" t="s">
        <v>211</v>
      </c>
      <c r="Y2599" t="s">
        <v>10198</v>
      </c>
      <c r="Z2599" t="s">
        <v>5594</v>
      </c>
      <c r="AA2599" t="s">
        <v>54</v>
      </c>
      <c r="AB2599" t="s">
        <v>213</v>
      </c>
      <c r="AC2599" t="s">
        <v>242</v>
      </c>
      <c r="AD2599" t="s">
        <v>305</v>
      </c>
      <c r="AE2599" t="s">
        <v>306</v>
      </c>
      <c r="AF2599" t="s">
        <v>307</v>
      </c>
      <c r="AG2599" t="s">
        <v>5594</v>
      </c>
      <c r="AH2599" t="s">
        <v>10199</v>
      </c>
      <c r="AK2599">
        <v>2</v>
      </c>
      <c r="AL2599" t="s">
        <v>61</v>
      </c>
      <c r="AM2599" t="s">
        <v>10200</v>
      </c>
      <c r="AN2599" t="s">
        <v>10201</v>
      </c>
    </row>
    <row r="2600" spans="1:40" x14ac:dyDescent="0.35">
      <c r="A2600" t="s">
        <v>37</v>
      </c>
      <c r="B2600" t="s">
        <v>10202</v>
      </c>
      <c r="C2600" t="s">
        <v>102</v>
      </c>
      <c r="D2600" t="s">
        <v>10203</v>
      </c>
      <c r="E2600" t="s">
        <v>8164</v>
      </c>
      <c r="F2600" s="1">
        <v>46071.442280092589</v>
      </c>
      <c r="G2600" t="s">
        <v>793</v>
      </c>
      <c r="H2600" t="s">
        <v>356</v>
      </c>
      <c r="I2600" t="s">
        <v>10204</v>
      </c>
      <c r="J2600" t="s">
        <v>10205</v>
      </c>
      <c r="K2600" t="s">
        <v>1834</v>
      </c>
      <c r="M2600" t="s">
        <v>47</v>
      </c>
      <c r="O2600" t="s">
        <v>237</v>
      </c>
      <c r="P2600" t="s">
        <v>238</v>
      </c>
      <c r="Q2600" t="s">
        <v>50</v>
      </c>
      <c r="R2600" t="s">
        <v>51</v>
      </c>
      <c r="S2600" t="s">
        <v>52</v>
      </c>
      <c r="T2600" t="s">
        <v>240</v>
      </c>
      <c r="U2600" s="1">
        <v>46072.416689814818</v>
      </c>
      <c r="V2600" t="s">
        <v>54</v>
      </c>
      <c r="W2600" t="s">
        <v>55</v>
      </c>
      <c r="X2600" t="s">
        <v>211</v>
      </c>
      <c r="Y2600" t="s">
        <v>10206</v>
      </c>
      <c r="Z2600" t="s">
        <v>5594</v>
      </c>
      <c r="AA2600" t="s">
        <v>54</v>
      </c>
      <c r="AB2600" t="s">
        <v>213</v>
      </c>
      <c r="AC2600" t="s">
        <v>242</v>
      </c>
      <c r="AD2600" t="s">
        <v>52</v>
      </c>
      <c r="AE2600" t="s">
        <v>243</v>
      </c>
      <c r="AF2600" t="s">
        <v>2425</v>
      </c>
      <c r="AG2600" t="s">
        <v>5594</v>
      </c>
      <c r="AH2600">
        <v>13600</v>
      </c>
      <c r="AK2600">
        <v>1</v>
      </c>
      <c r="AL2600" t="s">
        <v>61</v>
      </c>
      <c r="AM2600" t="s">
        <v>10207</v>
      </c>
      <c r="AN2600" t="s">
        <v>10208</v>
      </c>
    </row>
    <row r="2601" spans="1:40" x14ac:dyDescent="0.35">
      <c r="A2601" t="s">
        <v>37</v>
      </c>
      <c r="B2601" t="s">
        <v>10209</v>
      </c>
      <c r="C2601" t="s">
        <v>39</v>
      </c>
      <c r="D2601" t="s">
        <v>220</v>
      </c>
      <c r="E2601" t="s">
        <v>10210</v>
      </c>
      <c r="F2601" s="1">
        <v>46071.442824074074</v>
      </c>
      <c r="G2601" t="s">
        <v>497</v>
      </c>
      <c r="H2601" t="s">
        <v>72</v>
      </c>
      <c r="I2601" t="s">
        <v>8996</v>
      </c>
      <c r="J2601" t="s">
        <v>6620</v>
      </c>
      <c r="K2601" t="s">
        <v>951</v>
      </c>
      <c r="M2601" t="s">
        <v>47</v>
      </c>
      <c r="O2601" t="s">
        <v>77</v>
      </c>
      <c r="P2601" t="s">
        <v>78</v>
      </c>
      <c r="R2601" t="s">
        <v>79</v>
      </c>
      <c r="S2601" t="s">
        <v>8996</v>
      </c>
      <c r="T2601" t="s">
        <v>8996</v>
      </c>
      <c r="U2601" s="1">
        <v>46072.585613425923</v>
      </c>
      <c r="V2601" t="s">
        <v>54</v>
      </c>
      <c r="W2601" t="s">
        <v>55</v>
      </c>
      <c r="X2601" t="s">
        <v>134</v>
      </c>
      <c r="Y2601" t="s">
        <v>10211</v>
      </c>
      <c r="Z2601" t="s">
        <v>5594</v>
      </c>
      <c r="AA2601" t="s">
        <v>54</v>
      </c>
      <c r="AB2601" t="s">
        <v>408</v>
      </c>
      <c r="AC2601" t="s">
        <v>85</v>
      </c>
      <c r="AD2601" t="s">
        <v>79</v>
      </c>
      <c r="AE2601" t="s">
        <v>8998</v>
      </c>
      <c r="AF2601" t="s">
        <v>8998</v>
      </c>
      <c r="AG2601" t="s">
        <v>5594</v>
      </c>
      <c r="AH2601" t="s">
        <v>10212</v>
      </c>
      <c r="AK2601">
        <v>1</v>
      </c>
      <c r="AL2601" t="s">
        <v>61</v>
      </c>
      <c r="AM2601" t="s">
        <v>10213</v>
      </c>
      <c r="AN2601" t="s">
        <v>10214</v>
      </c>
    </row>
    <row r="2602" spans="1:40" x14ac:dyDescent="0.35">
      <c r="A2602" t="s">
        <v>37</v>
      </c>
      <c r="B2602" t="s">
        <v>10215</v>
      </c>
      <c r="C2602" t="s">
        <v>39</v>
      </c>
      <c r="D2602" t="s">
        <v>469</v>
      </c>
      <c r="E2602" t="s">
        <v>10216</v>
      </c>
      <c r="F2602" s="1">
        <v>46071.439432870371</v>
      </c>
      <c r="G2602" t="s">
        <v>91</v>
      </c>
      <c r="H2602" t="s">
        <v>92</v>
      </c>
      <c r="I2602" t="s">
        <v>10217</v>
      </c>
      <c r="J2602" t="s">
        <v>10218</v>
      </c>
      <c r="K2602" t="s">
        <v>10219</v>
      </c>
      <c r="M2602" t="s">
        <v>47</v>
      </c>
      <c r="O2602" t="s">
        <v>48</v>
      </c>
      <c r="P2602" t="s">
        <v>49</v>
      </c>
      <c r="Q2602" t="s">
        <v>10220</v>
      </c>
      <c r="R2602" t="s">
        <v>51</v>
      </c>
      <c r="S2602" t="s">
        <v>52</v>
      </c>
      <c r="T2602" t="s">
        <v>4080</v>
      </c>
      <c r="U2602" s="1">
        <v>46072.382627314815</v>
      </c>
      <c r="V2602" t="s">
        <v>54</v>
      </c>
      <c r="W2602" t="s">
        <v>55</v>
      </c>
      <c r="X2602" t="s">
        <v>134</v>
      </c>
      <c r="Y2602" t="s">
        <v>10221</v>
      </c>
      <c r="Z2602" t="s">
        <v>5594</v>
      </c>
      <c r="AA2602" t="s">
        <v>54</v>
      </c>
      <c r="AB2602" t="s">
        <v>458</v>
      </c>
      <c r="AC2602" t="s">
        <v>60</v>
      </c>
      <c r="AD2602" t="s">
        <v>52</v>
      </c>
      <c r="AE2602" t="s">
        <v>438</v>
      </c>
      <c r="AF2602" t="s">
        <v>2204</v>
      </c>
      <c r="AG2602" t="s">
        <v>5594</v>
      </c>
      <c r="AH2602">
        <v>10327</v>
      </c>
      <c r="AK2602">
        <v>1</v>
      </c>
      <c r="AL2602" t="s">
        <v>410</v>
      </c>
      <c r="AM2602" t="s">
        <v>10222</v>
      </c>
      <c r="AN2602" t="s">
        <v>10223</v>
      </c>
    </row>
    <row r="2603" spans="1:40" x14ac:dyDescent="0.35">
      <c r="A2603" t="s">
        <v>37</v>
      </c>
      <c r="B2603" t="s">
        <v>10224</v>
      </c>
      <c r="C2603" t="s">
        <v>102</v>
      </c>
      <c r="D2603" t="s">
        <v>1698</v>
      </c>
      <c r="E2603" t="s">
        <v>584</v>
      </c>
      <c r="F2603" s="1">
        <v>46071.436990740738</v>
      </c>
      <c r="G2603" t="s">
        <v>105</v>
      </c>
      <c r="H2603" t="s">
        <v>106</v>
      </c>
      <c r="I2603" t="s">
        <v>10225</v>
      </c>
      <c r="J2603" t="s">
        <v>108</v>
      </c>
      <c r="K2603" t="s">
        <v>109</v>
      </c>
      <c r="M2603" t="s">
        <v>76</v>
      </c>
      <c r="O2603" t="s">
        <v>77</v>
      </c>
      <c r="P2603" t="s">
        <v>78</v>
      </c>
      <c r="Q2603" t="s">
        <v>50</v>
      </c>
      <c r="R2603" t="s">
        <v>111</v>
      </c>
      <c r="S2603" t="s">
        <v>51</v>
      </c>
      <c r="T2603" t="s">
        <v>112</v>
      </c>
      <c r="U2603" s="1">
        <v>46077.991597222222</v>
      </c>
      <c r="V2603" t="s">
        <v>54</v>
      </c>
      <c r="W2603" t="s">
        <v>1584</v>
      </c>
      <c r="X2603" t="s">
        <v>134</v>
      </c>
      <c r="Y2603" t="s">
        <v>10226</v>
      </c>
      <c r="Z2603" t="s">
        <v>58</v>
      </c>
      <c r="AA2603" t="s">
        <v>54</v>
      </c>
      <c r="AB2603" t="s">
        <v>1701</v>
      </c>
      <c r="AC2603" t="s">
        <v>85</v>
      </c>
      <c r="AD2603" t="s">
        <v>116</v>
      </c>
      <c r="AE2603" t="s">
        <v>117</v>
      </c>
      <c r="AF2603" t="s">
        <v>5119</v>
      </c>
      <c r="AG2603" t="s">
        <v>58</v>
      </c>
      <c r="AK2603">
        <v>1</v>
      </c>
      <c r="AL2603" t="s">
        <v>61</v>
      </c>
      <c r="AM2603" t="s">
        <v>1701</v>
      </c>
      <c r="AN2603" t="s">
        <v>1702</v>
      </c>
    </row>
    <row r="2604" spans="1:40" x14ac:dyDescent="0.35">
      <c r="A2604" t="s">
        <v>37</v>
      </c>
      <c r="B2604" t="s">
        <v>10227</v>
      </c>
      <c r="C2604" t="s">
        <v>39</v>
      </c>
      <c r="D2604" t="s">
        <v>220</v>
      </c>
      <c r="E2604" t="s">
        <v>10210</v>
      </c>
      <c r="F2604" s="1">
        <v>46071.435856481483</v>
      </c>
      <c r="G2604" t="s">
        <v>497</v>
      </c>
      <c r="H2604" t="s">
        <v>72</v>
      </c>
      <c r="I2604" t="s">
        <v>8996</v>
      </c>
      <c r="J2604" t="s">
        <v>6620</v>
      </c>
      <c r="K2604" t="s">
        <v>951</v>
      </c>
      <c r="M2604" t="s">
        <v>76</v>
      </c>
      <c r="O2604" t="s">
        <v>77</v>
      </c>
      <c r="P2604" t="s">
        <v>78</v>
      </c>
      <c r="R2604" t="s">
        <v>79</v>
      </c>
      <c r="S2604" t="s">
        <v>8996</v>
      </c>
      <c r="T2604" t="s">
        <v>8996</v>
      </c>
      <c r="U2604" s="1">
        <v>46077.34412037037</v>
      </c>
      <c r="V2604" t="s">
        <v>54</v>
      </c>
      <c r="W2604" t="s">
        <v>55</v>
      </c>
      <c r="X2604" t="s">
        <v>134</v>
      </c>
      <c r="Y2604" t="s">
        <v>10228</v>
      </c>
      <c r="Z2604" t="s">
        <v>58</v>
      </c>
      <c r="AA2604" t="s">
        <v>54</v>
      </c>
      <c r="AB2604" t="s">
        <v>408</v>
      </c>
      <c r="AC2604" t="s">
        <v>85</v>
      </c>
      <c r="AD2604" t="s">
        <v>79</v>
      </c>
      <c r="AE2604" t="s">
        <v>8998</v>
      </c>
      <c r="AF2604" t="s">
        <v>8998</v>
      </c>
      <c r="AG2604" t="s">
        <v>58</v>
      </c>
      <c r="AH2604" t="s">
        <v>10212</v>
      </c>
      <c r="AJ2604">
        <v>12517</v>
      </c>
      <c r="AK2604">
        <v>5</v>
      </c>
      <c r="AL2604" t="s">
        <v>61</v>
      </c>
      <c r="AM2604" t="s">
        <v>10213</v>
      </c>
      <c r="AN2604" t="s">
        <v>10214</v>
      </c>
    </row>
    <row r="2605" spans="1:40" x14ac:dyDescent="0.35">
      <c r="A2605" t="s">
        <v>37</v>
      </c>
      <c r="B2605" t="s">
        <v>10229</v>
      </c>
      <c r="C2605" t="s">
        <v>39</v>
      </c>
      <c r="D2605" t="s">
        <v>1751</v>
      </c>
      <c r="E2605" t="s">
        <v>1316</v>
      </c>
      <c r="F2605" s="1">
        <v>46071.434814814813</v>
      </c>
      <c r="G2605" t="s">
        <v>1752</v>
      </c>
      <c r="H2605" t="s">
        <v>447</v>
      </c>
      <c r="I2605" t="s">
        <v>10230</v>
      </c>
      <c r="J2605" t="s">
        <v>1754</v>
      </c>
      <c r="K2605" t="s">
        <v>1755</v>
      </c>
      <c r="M2605" t="s">
        <v>47</v>
      </c>
      <c r="O2605" t="s">
        <v>77</v>
      </c>
      <c r="P2605" t="s">
        <v>78</v>
      </c>
      <c r="Q2605" t="s">
        <v>50</v>
      </c>
      <c r="R2605" t="s">
        <v>51</v>
      </c>
      <c r="S2605" t="s">
        <v>52</v>
      </c>
      <c r="T2605" t="s">
        <v>773</v>
      </c>
      <c r="U2605" s="1">
        <v>46074.945196759261</v>
      </c>
      <c r="V2605" t="s">
        <v>54</v>
      </c>
      <c r="W2605" t="s">
        <v>55</v>
      </c>
      <c r="X2605" t="s">
        <v>134</v>
      </c>
      <c r="Y2605" t="s">
        <v>10231</v>
      </c>
      <c r="Z2605" t="s">
        <v>5594</v>
      </c>
      <c r="AA2605" t="s">
        <v>54</v>
      </c>
      <c r="AB2605" t="s">
        <v>1757</v>
      </c>
      <c r="AC2605" t="s">
        <v>85</v>
      </c>
      <c r="AD2605" t="s">
        <v>52</v>
      </c>
      <c r="AE2605" t="s">
        <v>243</v>
      </c>
      <c r="AF2605" t="s">
        <v>409</v>
      </c>
      <c r="AG2605" t="s">
        <v>5594</v>
      </c>
      <c r="AK2605">
        <v>1</v>
      </c>
      <c r="AL2605" t="s">
        <v>61</v>
      </c>
      <c r="AM2605" t="s">
        <v>1757</v>
      </c>
      <c r="AN2605" t="s">
        <v>1758</v>
      </c>
    </row>
    <row r="2606" spans="1:40" x14ac:dyDescent="0.35">
      <c r="A2606" t="s">
        <v>37</v>
      </c>
      <c r="B2606" t="s">
        <v>10232</v>
      </c>
      <c r="C2606" t="s">
        <v>102</v>
      </c>
      <c r="D2606" t="s">
        <v>2659</v>
      </c>
      <c r="E2606" t="s">
        <v>2660</v>
      </c>
      <c r="F2606" s="1">
        <v>46071.429166666669</v>
      </c>
      <c r="G2606" t="s">
        <v>71</v>
      </c>
      <c r="H2606" t="s">
        <v>72</v>
      </c>
      <c r="I2606" t="s">
        <v>2505</v>
      </c>
      <c r="J2606" t="s">
        <v>2421</v>
      </c>
      <c r="K2606" t="s">
        <v>2422</v>
      </c>
      <c r="M2606" t="s">
        <v>47</v>
      </c>
      <c r="O2606" t="s">
        <v>1501</v>
      </c>
      <c r="P2606" t="s">
        <v>1502</v>
      </c>
      <c r="Q2606" t="s">
        <v>50</v>
      </c>
      <c r="R2606" t="s">
        <v>51</v>
      </c>
      <c r="S2606" t="s">
        <v>52</v>
      </c>
      <c r="T2606" t="s">
        <v>240</v>
      </c>
      <c r="U2606" s="1">
        <v>46073.569224537037</v>
      </c>
      <c r="V2606" t="s">
        <v>54</v>
      </c>
      <c r="W2606" t="s">
        <v>55</v>
      </c>
      <c r="X2606" t="s">
        <v>134</v>
      </c>
      <c r="Y2606" t="s">
        <v>10233</v>
      </c>
      <c r="Z2606" t="s">
        <v>5594</v>
      </c>
      <c r="AA2606" t="s">
        <v>54</v>
      </c>
      <c r="AB2606" t="s">
        <v>408</v>
      </c>
      <c r="AC2606" t="s">
        <v>1504</v>
      </c>
      <c r="AD2606" t="s">
        <v>52</v>
      </c>
      <c r="AE2606" t="s">
        <v>243</v>
      </c>
      <c r="AF2606" t="s">
        <v>2425</v>
      </c>
      <c r="AG2606" t="s">
        <v>5594</v>
      </c>
      <c r="AH2606" t="s">
        <v>2663</v>
      </c>
      <c r="AK2606">
        <v>3</v>
      </c>
      <c r="AL2606" t="s">
        <v>61</v>
      </c>
      <c r="AM2606" t="s">
        <v>2664</v>
      </c>
      <c r="AN2606" t="s">
        <v>2665</v>
      </c>
    </row>
    <row r="2607" spans="1:40" x14ac:dyDescent="0.35">
      <c r="A2607" t="s">
        <v>37</v>
      </c>
      <c r="B2607" t="s">
        <v>10234</v>
      </c>
      <c r="C2607" t="s">
        <v>39</v>
      </c>
      <c r="D2607" t="s">
        <v>10235</v>
      </c>
      <c r="E2607" t="s">
        <v>10236</v>
      </c>
      <c r="F2607" s="1">
        <v>46071.426423611112</v>
      </c>
      <c r="G2607" t="s">
        <v>446</v>
      </c>
      <c r="H2607" t="s">
        <v>447</v>
      </c>
      <c r="I2607" t="s">
        <v>10237</v>
      </c>
      <c r="J2607" t="s">
        <v>1833</v>
      </c>
      <c r="K2607" t="s">
        <v>1834</v>
      </c>
      <c r="M2607" t="s">
        <v>76</v>
      </c>
      <c r="O2607" t="s">
        <v>77</v>
      </c>
      <c r="P2607" t="s">
        <v>78</v>
      </c>
      <c r="Q2607" t="s">
        <v>1174</v>
      </c>
      <c r="R2607" t="s">
        <v>51</v>
      </c>
      <c r="S2607" t="s">
        <v>52</v>
      </c>
      <c r="T2607" t="s">
        <v>240</v>
      </c>
      <c r="U2607" s="1">
        <v>46078.96465277778</v>
      </c>
      <c r="V2607" t="s">
        <v>54</v>
      </c>
      <c r="W2607" t="s">
        <v>55</v>
      </c>
      <c r="X2607" t="s">
        <v>134</v>
      </c>
      <c r="Y2607" t="s">
        <v>5160</v>
      </c>
      <c r="Z2607" t="s">
        <v>58</v>
      </c>
      <c r="AA2607" t="s">
        <v>54</v>
      </c>
      <c r="AB2607" t="s">
        <v>1836</v>
      </c>
      <c r="AC2607" t="s">
        <v>85</v>
      </c>
      <c r="AD2607" t="s">
        <v>52</v>
      </c>
      <c r="AE2607" t="s">
        <v>243</v>
      </c>
      <c r="AF2607" t="s">
        <v>244</v>
      </c>
      <c r="AG2607" t="s">
        <v>58</v>
      </c>
      <c r="AH2607">
        <v>14994</v>
      </c>
      <c r="AK2607">
        <v>0</v>
      </c>
      <c r="AL2607" t="s">
        <v>61</v>
      </c>
      <c r="AM2607" t="s">
        <v>10238</v>
      </c>
      <c r="AN2607" t="s">
        <v>10239</v>
      </c>
    </row>
    <row r="2608" spans="1:40" x14ac:dyDescent="0.35">
      <c r="A2608" t="s">
        <v>37</v>
      </c>
      <c r="B2608" t="s">
        <v>10240</v>
      </c>
      <c r="C2608" t="s">
        <v>102</v>
      </c>
      <c r="D2608" t="s">
        <v>2396</v>
      </c>
      <c r="E2608" t="s">
        <v>10241</v>
      </c>
      <c r="F2608" s="1">
        <v>46071.430162037039</v>
      </c>
      <c r="G2608" t="s">
        <v>631</v>
      </c>
      <c r="H2608" t="s">
        <v>447</v>
      </c>
      <c r="I2608" t="s">
        <v>10242</v>
      </c>
      <c r="J2608" t="s">
        <v>1454</v>
      </c>
      <c r="K2608" t="s">
        <v>75</v>
      </c>
      <c r="M2608" t="s">
        <v>76</v>
      </c>
      <c r="O2608" t="s">
        <v>237</v>
      </c>
      <c r="P2608" t="s">
        <v>238</v>
      </c>
      <c r="Q2608" t="s">
        <v>50</v>
      </c>
      <c r="R2608" t="s">
        <v>79</v>
      </c>
      <c r="S2608" t="s">
        <v>10176</v>
      </c>
      <c r="T2608" t="s">
        <v>10243</v>
      </c>
      <c r="U2608" s="1">
        <v>46077.404143518521</v>
      </c>
      <c r="V2608" t="s">
        <v>54</v>
      </c>
      <c r="W2608" t="s">
        <v>55</v>
      </c>
      <c r="X2608" t="s">
        <v>82</v>
      </c>
      <c r="Y2608" t="s">
        <v>10244</v>
      </c>
      <c r="Z2608" t="s">
        <v>58</v>
      </c>
      <c r="AA2608" t="s">
        <v>54</v>
      </c>
      <c r="AB2608" t="s">
        <v>2721</v>
      </c>
      <c r="AC2608" t="s">
        <v>242</v>
      </c>
      <c r="AD2608" t="s">
        <v>79</v>
      </c>
      <c r="AE2608" t="s">
        <v>10176</v>
      </c>
      <c r="AF2608" t="s">
        <v>10245</v>
      </c>
      <c r="AG2608" t="s">
        <v>58</v>
      </c>
      <c r="AH2608">
        <v>15895</v>
      </c>
      <c r="AK2608">
        <v>2</v>
      </c>
      <c r="AL2608" t="s">
        <v>61</v>
      </c>
      <c r="AM2608" t="s">
        <v>10246</v>
      </c>
      <c r="AN2608" t="s">
        <v>10247</v>
      </c>
    </row>
    <row r="2609" spans="1:40" x14ac:dyDescent="0.35">
      <c r="A2609" t="s">
        <v>37</v>
      </c>
      <c r="B2609" t="s">
        <v>10248</v>
      </c>
      <c r="C2609" t="s">
        <v>39</v>
      </c>
      <c r="D2609" t="s">
        <v>6251</v>
      </c>
      <c r="E2609" t="s">
        <v>6252</v>
      </c>
      <c r="F2609" s="1">
        <v>46071.424062500002</v>
      </c>
      <c r="G2609" t="s">
        <v>2053</v>
      </c>
      <c r="H2609" t="s">
        <v>106</v>
      </c>
      <c r="I2609" t="s">
        <v>193</v>
      </c>
      <c r="J2609" t="s">
        <v>455</v>
      </c>
      <c r="K2609" t="s">
        <v>436</v>
      </c>
      <c r="M2609" t="s">
        <v>47</v>
      </c>
      <c r="O2609" t="s">
        <v>237</v>
      </c>
      <c r="P2609" t="s">
        <v>238</v>
      </c>
      <c r="Q2609" t="s">
        <v>50</v>
      </c>
      <c r="R2609" t="s">
        <v>51</v>
      </c>
      <c r="S2609" t="s">
        <v>52</v>
      </c>
      <c r="T2609" t="s">
        <v>240</v>
      </c>
      <c r="U2609" s="1">
        <v>46072.555486111109</v>
      </c>
      <c r="V2609" t="s">
        <v>54</v>
      </c>
      <c r="W2609" t="s">
        <v>55</v>
      </c>
      <c r="X2609" t="s">
        <v>211</v>
      </c>
      <c r="Y2609" t="s">
        <v>1059</v>
      </c>
      <c r="Z2609" t="s">
        <v>5594</v>
      </c>
      <c r="AA2609" t="s">
        <v>54</v>
      </c>
      <c r="AB2609" t="s">
        <v>213</v>
      </c>
      <c r="AC2609" t="s">
        <v>242</v>
      </c>
      <c r="AD2609" t="s">
        <v>52</v>
      </c>
      <c r="AE2609" t="s">
        <v>438</v>
      </c>
      <c r="AF2609" t="s">
        <v>439</v>
      </c>
      <c r="AG2609" t="s">
        <v>5594</v>
      </c>
      <c r="AH2609" t="s">
        <v>6255</v>
      </c>
      <c r="AK2609">
        <v>1</v>
      </c>
      <c r="AL2609" t="s">
        <v>61</v>
      </c>
      <c r="AM2609" t="s">
        <v>6256</v>
      </c>
      <c r="AN2609" t="s">
        <v>6257</v>
      </c>
    </row>
    <row r="2610" spans="1:40" x14ac:dyDescent="0.35">
      <c r="A2610" t="s">
        <v>37</v>
      </c>
      <c r="B2610" t="s">
        <v>10249</v>
      </c>
      <c r="C2610" t="s">
        <v>39</v>
      </c>
      <c r="D2610" t="s">
        <v>10250</v>
      </c>
      <c r="E2610" t="s">
        <v>10251</v>
      </c>
      <c r="F2610" s="1">
        <v>46071.422314814816</v>
      </c>
      <c r="G2610" t="s">
        <v>393</v>
      </c>
      <c r="H2610" t="s">
        <v>92</v>
      </c>
      <c r="I2610" t="s">
        <v>10252</v>
      </c>
      <c r="J2610" t="s">
        <v>404</v>
      </c>
      <c r="K2610" t="s">
        <v>405</v>
      </c>
      <c r="M2610" t="s">
        <v>76</v>
      </c>
      <c r="O2610" t="s">
        <v>237</v>
      </c>
      <c r="P2610" t="s">
        <v>238</v>
      </c>
      <c r="Q2610" t="s">
        <v>50</v>
      </c>
      <c r="R2610" t="s">
        <v>51</v>
      </c>
      <c r="S2610" t="s">
        <v>52</v>
      </c>
      <c r="T2610" t="s">
        <v>240</v>
      </c>
      <c r="U2610" s="1">
        <v>46076.400601851848</v>
      </c>
      <c r="V2610" t="s">
        <v>54</v>
      </c>
      <c r="W2610" t="s">
        <v>55</v>
      </c>
      <c r="X2610" t="s">
        <v>211</v>
      </c>
      <c r="Y2610" t="s">
        <v>10253</v>
      </c>
      <c r="Z2610" t="s">
        <v>58</v>
      </c>
      <c r="AA2610" t="s">
        <v>54</v>
      </c>
      <c r="AB2610" t="s">
        <v>213</v>
      </c>
      <c r="AC2610" t="s">
        <v>242</v>
      </c>
      <c r="AD2610" t="s">
        <v>52</v>
      </c>
      <c r="AE2610" t="s">
        <v>243</v>
      </c>
      <c r="AF2610" t="s">
        <v>244</v>
      </c>
      <c r="AG2610" t="s">
        <v>58</v>
      </c>
      <c r="AH2610">
        <v>14165</v>
      </c>
      <c r="AK2610">
        <v>1</v>
      </c>
      <c r="AL2610" t="s">
        <v>61</v>
      </c>
      <c r="AM2610" t="s">
        <v>10254</v>
      </c>
      <c r="AN2610" t="s">
        <v>10255</v>
      </c>
    </row>
    <row r="2611" spans="1:40" x14ac:dyDescent="0.35">
      <c r="A2611" t="s">
        <v>37</v>
      </c>
      <c r="B2611" t="s">
        <v>10256</v>
      </c>
      <c r="C2611" t="s">
        <v>656</v>
      </c>
      <c r="D2611" t="s">
        <v>2403</v>
      </c>
      <c r="E2611" t="s">
        <v>2404</v>
      </c>
      <c r="F2611" s="1">
        <v>46071.421203703707</v>
      </c>
      <c r="G2611" t="s">
        <v>71</v>
      </c>
      <c r="H2611" t="s">
        <v>72</v>
      </c>
      <c r="I2611" t="s">
        <v>3776</v>
      </c>
      <c r="J2611" t="s">
        <v>10257</v>
      </c>
      <c r="K2611" t="s">
        <v>2551</v>
      </c>
      <c r="M2611" t="s">
        <v>131</v>
      </c>
      <c r="O2611" t="s">
        <v>77</v>
      </c>
      <c r="P2611" t="s">
        <v>78</v>
      </c>
      <c r="Q2611" t="s">
        <v>818</v>
      </c>
      <c r="R2611" t="s">
        <v>662</v>
      </c>
      <c r="S2611" t="s">
        <v>209</v>
      </c>
      <c r="T2611" t="s">
        <v>8389</v>
      </c>
      <c r="U2611" s="1">
        <v>46076.393877314818</v>
      </c>
      <c r="V2611" t="s">
        <v>54</v>
      </c>
      <c r="W2611" t="s">
        <v>55</v>
      </c>
      <c r="X2611" t="s">
        <v>134</v>
      </c>
      <c r="Y2611" t="s">
        <v>10258</v>
      </c>
      <c r="Z2611" t="s">
        <v>58</v>
      </c>
      <c r="AA2611" t="s">
        <v>54</v>
      </c>
      <c r="AB2611" t="s">
        <v>408</v>
      </c>
      <c r="AC2611" t="s">
        <v>85</v>
      </c>
      <c r="AD2611" t="s">
        <v>208</v>
      </c>
      <c r="AE2611" t="s">
        <v>3119</v>
      </c>
      <c r="AF2611" t="s">
        <v>967</v>
      </c>
      <c r="AG2611" t="s">
        <v>58</v>
      </c>
      <c r="AH2611" t="s">
        <v>2410</v>
      </c>
      <c r="AK2611">
        <v>2</v>
      </c>
      <c r="AL2611" t="s">
        <v>61</v>
      </c>
      <c r="AM2611" t="s">
        <v>2411</v>
      </c>
      <c r="AN2611" t="s">
        <v>2412</v>
      </c>
    </row>
    <row r="2612" spans="1:40" x14ac:dyDescent="0.35">
      <c r="A2612" t="s">
        <v>37</v>
      </c>
      <c r="B2612" t="s">
        <v>10259</v>
      </c>
      <c r="C2612" t="s">
        <v>39</v>
      </c>
      <c r="D2612" t="s">
        <v>10250</v>
      </c>
      <c r="E2612" t="s">
        <v>10251</v>
      </c>
      <c r="F2612" s="1">
        <v>46071.418564814812</v>
      </c>
      <c r="G2612" t="s">
        <v>393</v>
      </c>
      <c r="H2612" t="s">
        <v>92</v>
      </c>
      <c r="I2612" t="s">
        <v>10260</v>
      </c>
      <c r="J2612" t="s">
        <v>404</v>
      </c>
      <c r="K2612" t="s">
        <v>405</v>
      </c>
      <c r="M2612" t="s">
        <v>76</v>
      </c>
      <c r="O2612" t="s">
        <v>237</v>
      </c>
      <c r="P2612" t="s">
        <v>238</v>
      </c>
      <c r="Q2612" t="s">
        <v>50</v>
      </c>
      <c r="R2612" t="s">
        <v>51</v>
      </c>
      <c r="S2612" t="s">
        <v>52</v>
      </c>
      <c r="T2612" t="s">
        <v>240</v>
      </c>
      <c r="U2612" s="1">
        <v>46076.401099537034</v>
      </c>
      <c r="V2612" t="s">
        <v>54</v>
      </c>
      <c r="W2612" t="s">
        <v>55</v>
      </c>
      <c r="X2612" t="s">
        <v>211</v>
      </c>
      <c r="Y2612" t="s">
        <v>10261</v>
      </c>
      <c r="Z2612" t="s">
        <v>58</v>
      </c>
      <c r="AA2612" t="s">
        <v>54</v>
      </c>
      <c r="AB2612" t="s">
        <v>213</v>
      </c>
      <c r="AC2612" t="s">
        <v>242</v>
      </c>
      <c r="AD2612" t="s">
        <v>52</v>
      </c>
      <c r="AE2612" t="s">
        <v>243</v>
      </c>
      <c r="AF2612" t="s">
        <v>244</v>
      </c>
      <c r="AG2612" t="s">
        <v>58</v>
      </c>
      <c r="AH2612">
        <v>14165</v>
      </c>
      <c r="AK2612">
        <v>1</v>
      </c>
      <c r="AL2612" t="s">
        <v>61</v>
      </c>
      <c r="AM2612" t="s">
        <v>10254</v>
      </c>
      <c r="AN2612" t="s">
        <v>10255</v>
      </c>
    </row>
    <row r="2613" spans="1:40" x14ac:dyDescent="0.35">
      <c r="A2613" t="s">
        <v>37</v>
      </c>
      <c r="B2613" t="s">
        <v>10262</v>
      </c>
      <c r="C2613" t="s">
        <v>102</v>
      </c>
      <c r="D2613" t="s">
        <v>8255</v>
      </c>
      <c r="E2613" t="s">
        <v>8256</v>
      </c>
      <c r="F2613" s="1">
        <v>46071.418564814812</v>
      </c>
      <c r="G2613" t="s">
        <v>71</v>
      </c>
      <c r="H2613" t="s">
        <v>72</v>
      </c>
      <c r="I2613" t="s">
        <v>10263</v>
      </c>
      <c r="J2613" t="s">
        <v>2581</v>
      </c>
      <c r="K2613" t="s">
        <v>2582</v>
      </c>
      <c r="M2613" t="s">
        <v>47</v>
      </c>
      <c r="O2613" t="s">
        <v>237</v>
      </c>
      <c r="P2613" t="s">
        <v>238</v>
      </c>
      <c r="Q2613" t="s">
        <v>50</v>
      </c>
      <c r="R2613" t="s">
        <v>305</v>
      </c>
      <c r="S2613" t="s">
        <v>306</v>
      </c>
      <c r="T2613" t="s">
        <v>307</v>
      </c>
      <c r="U2613" s="1">
        <v>46072.50545138889</v>
      </c>
      <c r="V2613" t="s">
        <v>54</v>
      </c>
      <c r="W2613" t="s">
        <v>55</v>
      </c>
      <c r="X2613" t="s">
        <v>211</v>
      </c>
      <c r="Y2613" t="s">
        <v>10198</v>
      </c>
      <c r="Z2613" t="s">
        <v>5594</v>
      </c>
      <c r="AA2613" t="s">
        <v>54</v>
      </c>
      <c r="AB2613" t="s">
        <v>213</v>
      </c>
      <c r="AC2613" t="s">
        <v>242</v>
      </c>
      <c r="AD2613" t="s">
        <v>305</v>
      </c>
      <c r="AE2613" t="s">
        <v>306</v>
      </c>
      <c r="AF2613" t="s">
        <v>307</v>
      </c>
      <c r="AG2613" t="s">
        <v>5594</v>
      </c>
      <c r="AH2613" t="s">
        <v>8258</v>
      </c>
      <c r="AK2613">
        <v>2</v>
      </c>
      <c r="AL2613" t="s">
        <v>61</v>
      </c>
      <c r="AM2613" t="s">
        <v>8259</v>
      </c>
      <c r="AN2613" t="s">
        <v>8260</v>
      </c>
    </row>
    <row r="2614" spans="1:40" x14ac:dyDescent="0.35">
      <c r="A2614" t="s">
        <v>37</v>
      </c>
      <c r="B2614" t="s">
        <v>10264</v>
      </c>
      <c r="C2614" t="s">
        <v>39</v>
      </c>
      <c r="D2614" t="s">
        <v>127</v>
      </c>
      <c r="E2614" t="s">
        <v>948</v>
      </c>
      <c r="F2614" s="1">
        <v>46071.404467592591</v>
      </c>
      <c r="G2614" t="s">
        <v>497</v>
      </c>
      <c r="H2614" t="s">
        <v>72</v>
      </c>
      <c r="I2614" t="s">
        <v>10265</v>
      </c>
      <c r="J2614" t="s">
        <v>5555</v>
      </c>
      <c r="K2614" t="s">
        <v>5556</v>
      </c>
      <c r="M2614" t="s">
        <v>76</v>
      </c>
      <c r="O2614" t="s">
        <v>77</v>
      </c>
      <c r="P2614" t="s">
        <v>78</v>
      </c>
      <c r="Q2614" t="s">
        <v>50</v>
      </c>
      <c r="R2614" t="s">
        <v>51</v>
      </c>
      <c r="S2614" t="s">
        <v>52</v>
      </c>
      <c r="T2614" t="s">
        <v>773</v>
      </c>
      <c r="U2614" s="1">
        <v>46076.568449074075</v>
      </c>
      <c r="V2614" t="s">
        <v>54</v>
      </c>
      <c r="W2614" t="s">
        <v>55</v>
      </c>
      <c r="X2614" t="s">
        <v>134</v>
      </c>
      <c r="Y2614" t="s">
        <v>10266</v>
      </c>
      <c r="Z2614" t="s">
        <v>58</v>
      </c>
      <c r="AA2614" t="s">
        <v>54</v>
      </c>
      <c r="AB2614" t="s">
        <v>408</v>
      </c>
      <c r="AC2614" t="s">
        <v>85</v>
      </c>
      <c r="AD2614" t="s">
        <v>52</v>
      </c>
      <c r="AE2614" t="s">
        <v>438</v>
      </c>
      <c r="AF2614" t="s">
        <v>2204</v>
      </c>
      <c r="AG2614" t="s">
        <v>58</v>
      </c>
      <c r="AH2614">
        <v>15123</v>
      </c>
      <c r="AK2614">
        <v>1</v>
      </c>
      <c r="AL2614" t="s">
        <v>61</v>
      </c>
      <c r="AM2614" t="s">
        <v>10267</v>
      </c>
      <c r="AN2614" t="s">
        <v>10268</v>
      </c>
    </row>
    <row r="2615" spans="1:40" x14ac:dyDescent="0.35">
      <c r="A2615" t="s">
        <v>37</v>
      </c>
      <c r="B2615" t="s">
        <v>10269</v>
      </c>
      <c r="C2615" t="s">
        <v>39</v>
      </c>
      <c r="D2615" t="s">
        <v>3274</v>
      </c>
      <c r="E2615" t="s">
        <v>469</v>
      </c>
      <c r="F2615" s="1">
        <v>46071.403865740744</v>
      </c>
      <c r="G2615" t="s">
        <v>273</v>
      </c>
      <c r="H2615" t="s">
        <v>233</v>
      </c>
      <c r="I2615" t="s">
        <v>10270</v>
      </c>
      <c r="J2615" t="s">
        <v>1833</v>
      </c>
      <c r="K2615" t="s">
        <v>1834</v>
      </c>
      <c r="M2615" t="s">
        <v>76</v>
      </c>
      <c r="O2615" t="s">
        <v>77</v>
      </c>
      <c r="P2615" t="s">
        <v>78</v>
      </c>
      <c r="Q2615" t="s">
        <v>50</v>
      </c>
      <c r="R2615" t="s">
        <v>51</v>
      </c>
      <c r="S2615" t="s">
        <v>52</v>
      </c>
      <c r="T2615" t="s">
        <v>240</v>
      </c>
      <c r="U2615" s="1">
        <v>46078.928368055553</v>
      </c>
      <c r="V2615" t="s">
        <v>54</v>
      </c>
      <c r="W2615" t="s">
        <v>55</v>
      </c>
      <c r="X2615" t="s">
        <v>134</v>
      </c>
      <c r="Y2615" t="s">
        <v>10271</v>
      </c>
      <c r="Z2615" t="s">
        <v>58</v>
      </c>
      <c r="AA2615" t="s">
        <v>54</v>
      </c>
      <c r="AB2615" t="s">
        <v>1836</v>
      </c>
      <c r="AC2615" t="s">
        <v>85</v>
      </c>
      <c r="AD2615" t="s">
        <v>52</v>
      </c>
      <c r="AE2615" t="s">
        <v>2575</v>
      </c>
      <c r="AF2615" t="s">
        <v>2576</v>
      </c>
      <c r="AG2615" t="s">
        <v>58</v>
      </c>
      <c r="AH2615">
        <v>12296</v>
      </c>
      <c r="AK2615">
        <v>0</v>
      </c>
      <c r="AL2615" t="s">
        <v>61</v>
      </c>
      <c r="AM2615" t="s">
        <v>3276</v>
      </c>
      <c r="AN2615" t="s">
        <v>3277</v>
      </c>
    </row>
    <row r="2616" spans="1:40" x14ac:dyDescent="0.35">
      <c r="A2616" t="s">
        <v>37</v>
      </c>
      <c r="B2616" t="s">
        <v>10272</v>
      </c>
      <c r="C2616" t="s">
        <v>102</v>
      </c>
      <c r="D2616" t="s">
        <v>824</v>
      </c>
      <c r="E2616" t="s">
        <v>825</v>
      </c>
      <c r="F2616" s="1">
        <v>46071.404293981483</v>
      </c>
      <c r="G2616" t="s">
        <v>826</v>
      </c>
      <c r="H2616" t="s">
        <v>356</v>
      </c>
      <c r="I2616" t="s">
        <v>10273</v>
      </c>
      <c r="J2616" t="s">
        <v>828</v>
      </c>
      <c r="K2616" t="s">
        <v>829</v>
      </c>
      <c r="M2616" t="s">
        <v>131</v>
      </c>
      <c r="O2616" t="s">
        <v>237</v>
      </c>
      <c r="P2616" t="s">
        <v>238</v>
      </c>
      <c r="Q2616" t="s">
        <v>50</v>
      </c>
      <c r="R2616" t="s">
        <v>51</v>
      </c>
      <c r="S2616" t="s">
        <v>831</v>
      </c>
      <c r="T2616" t="s">
        <v>829</v>
      </c>
      <c r="U2616" s="1">
        <v>46077.498067129629</v>
      </c>
      <c r="V2616" t="s">
        <v>54</v>
      </c>
      <c r="W2616" t="s">
        <v>55</v>
      </c>
      <c r="X2616" t="s">
        <v>134</v>
      </c>
      <c r="Y2616" t="s">
        <v>10274</v>
      </c>
      <c r="Z2616" t="s">
        <v>58</v>
      </c>
      <c r="AA2616" t="s">
        <v>54</v>
      </c>
      <c r="AB2616" t="s">
        <v>833</v>
      </c>
      <c r="AC2616" t="s">
        <v>242</v>
      </c>
      <c r="AD2616" t="s">
        <v>51</v>
      </c>
      <c r="AE2616" t="s">
        <v>834</v>
      </c>
      <c r="AF2616" t="s">
        <v>834</v>
      </c>
      <c r="AG2616" t="s">
        <v>58</v>
      </c>
      <c r="AH2616">
        <v>12697</v>
      </c>
      <c r="AK2616">
        <v>0</v>
      </c>
      <c r="AL2616" t="s">
        <v>61</v>
      </c>
      <c r="AM2616" t="s">
        <v>833</v>
      </c>
      <c r="AN2616" t="s">
        <v>835</v>
      </c>
    </row>
    <row r="2617" spans="1:40" x14ac:dyDescent="0.35">
      <c r="A2617" t="s">
        <v>37</v>
      </c>
      <c r="B2617" t="s">
        <v>10275</v>
      </c>
      <c r="C2617" t="s">
        <v>39</v>
      </c>
      <c r="D2617" t="s">
        <v>10276</v>
      </c>
      <c r="E2617" t="s">
        <v>10277</v>
      </c>
      <c r="F2617" s="1">
        <v>46071.40252314815</v>
      </c>
      <c r="G2617" t="s">
        <v>1094</v>
      </c>
      <c r="H2617" t="s">
        <v>447</v>
      </c>
      <c r="I2617" t="s">
        <v>205</v>
      </c>
      <c r="J2617" t="s">
        <v>741</v>
      </c>
      <c r="K2617" t="s">
        <v>207</v>
      </c>
      <c r="M2617" t="s">
        <v>47</v>
      </c>
      <c r="O2617" t="s">
        <v>77</v>
      </c>
      <c r="P2617" t="s">
        <v>78</v>
      </c>
      <c r="Q2617" t="s">
        <v>50</v>
      </c>
      <c r="R2617" t="s">
        <v>305</v>
      </c>
      <c r="S2617" t="s">
        <v>306</v>
      </c>
      <c r="T2617" t="s">
        <v>307</v>
      </c>
      <c r="U2617" s="1">
        <v>46073.552615740744</v>
      </c>
      <c r="V2617" t="s">
        <v>54</v>
      </c>
      <c r="W2617" t="s">
        <v>55</v>
      </c>
      <c r="X2617" t="s">
        <v>211</v>
      </c>
      <c r="Y2617" t="s">
        <v>9983</v>
      </c>
      <c r="Z2617" t="s">
        <v>5594</v>
      </c>
      <c r="AA2617" t="s">
        <v>54</v>
      </c>
      <c r="AB2617" t="s">
        <v>213</v>
      </c>
      <c r="AC2617" t="s">
        <v>85</v>
      </c>
      <c r="AD2617" t="s">
        <v>214</v>
      </c>
      <c r="AE2617" t="s">
        <v>215</v>
      </c>
      <c r="AF2617" t="s">
        <v>2083</v>
      </c>
      <c r="AG2617" t="s">
        <v>5594</v>
      </c>
      <c r="AH2617">
        <v>15974</v>
      </c>
      <c r="AK2617">
        <v>3</v>
      </c>
      <c r="AL2617" t="s">
        <v>61</v>
      </c>
      <c r="AM2617" t="s">
        <v>10278</v>
      </c>
      <c r="AN2617" t="s">
        <v>10279</v>
      </c>
    </row>
    <row r="2618" spans="1:40" x14ac:dyDescent="0.35">
      <c r="A2618" t="s">
        <v>37</v>
      </c>
      <c r="B2618" t="s">
        <v>10280</v>
      </c>
      <c r="C2618" t="s">
        <v>102</v>
      </c>
      <c r="D2618" t="s">
        <v>824</v>
      </c>
      <c r="E2618" t="s">
        <v>825</v>
      </c>
      <c r="F2618" s="1">
        <v>46071.399097222224</v>
      </c>
      <c r="G2618" t="s">
        <v>826</v>
      </c>
      <c r="H2618" t="s">
        <v>356</v>
      </c>
      <c r="I2618" t="s">
        <v>10281</v>
      </c>
      <c r="J2618" t="s">
        <v>828</v>
      </c>
      <c r="K2618" t="s">
        <v>829</v>
      </c>
      <c r="M2618" t="s">
        <v>131</v>
      </c>
      <c r="O2618" t="s">
        <v>237</v>
      </c>
      <c r="P2618" t="s">
        <v>238</v>
      </c>
      <c r="Q2618" t="s">
        <v>50</v>
      </c>
      <c r="R2618" t="s">
        <v>51</v>
      </c>
      <c r="S2618" t="s">
        <v>831</v>
      </c>
      <c r="T2618" t="s">
        <v>829</v>
      </c>
      <c r="U2618" s="1">
        <v>46076.420648148145</v>
      </c>
      <c r="V2618" t="s">
        <v>54</v>
      </c>
      <c r="W2618" t="s">
        <v>55</v>
      </c>
      <c r="X2618" t="s">
        <v>196</v>
      </c>
      <c r="Y2618" t="s">
        <v>10282</v>
      </c>
      <c r="Z2618" t="s">
        <v>58</v>
      </c>
      <c r="AA2618" t="s">
        <v>54</v>
      </c>
      <c r="AB2618" t="s">
        <v>833</v>
      </c>
      <c r="AC2618" t="s">
        <v>242</v>
      </c>
      <c r="AD2618" t="s">
        <v>51</v>
      </c>
      <c r="AE2618" t="s">
        <v>834</v>
      </c>
      <c r="AF2618" t="s">
        <v>834</v>
      </c>
      <c r="AG2618" t="s">
        <v>58</v>
      </c>
      <c r="AH2618">
        <v>12697</v>
      </c>
      <c r="AK2618">
        <v>0</v>
      </c>
      <c r="AL2618" t="s">
        <v>61</v>
      </c>
      <c r="AM2618" t="s">
        <v>833</v>
      </c>
      <c r="AN2618" t="s">
        <v>835</v>
      </c>
    </row>
    <row r="2619" spans="1:40" x14ac:dyDescent="0.35">
      <c r="A2619" t="s">
        <v>37</v>
      </c>
      <c r="B2619" t="s">
        <v>10283</v>
      </c>
      <c r="C2619" t="s">
        <v>102</v>
      </c>
      <c r="D2619" t="s">
        <v>824</v>
      </c>
      <c r="E2619" t="s">
        <v>825</v>
      </c>
      <c r="F2619" s="1">
        <v>46071.398159722223</v>
      </c>
      <c r="G2619" t="s">
        <v>826</v>
      </c>
      <c r="H2619" t="s">
        <v>356</v>
      </c>
      <c r="I2619" t="s">
        <v>10284</v>
      </c>
      <c r="J2619" t="s">
        <v>828</v>
      </c>
      <c r="K2619" t="s">
        <v>829</v>
      </c>
      <c r="M2619" t="s">
        <v>47</v>
      </c>
      <c r="O2619" t="s">
        <v>237</v>
      </c>
      <c r="P2619" t="s">
        <v>238</v>
      </c>
      <c r="Q2619" t="s">
        <v>50</v>
      </c>
      <c r="R2619" t="s">
        <v>51</v>
      </c>
      <c r="S2619" t="s">
        <v>831</v>
      </c>
      <c r="T2619" t="s">
        <v>829</v>
      </c>
      <c r="U2619" s="1">
        <v>46072.531793981485</v>
      </c>
      <c r="V2619" t="s">
        <v>54</v>
      </c>
      <c r="W2619" t="s">
        <v>55</v>
      </c>
      <c r="X2619" t="s">
        <v>196</v>
      </c>
      <c r="Y2619" t="s">
        <v>10285</v>
      </c>
      <c r="Z2619" t="s">
        <v>5594</v>
      </c>
      <c r="AA2619" t="s">
        <v>54</v>
      </c>
      <c r="AB2619" t="s">
        <v>833</v>
      </c>
      <c r="AC2619" t="s">
        <v>242</v>
      </c>
      <c r="AD2619" t="s">
        <v>51</v>
      </c>
      <c r="AE2619" t="s">
        <v>834</v>
      </c>
      <c r="AF2619" t="s">
        <v>834</v>
      </c>
      <c r="AG2619" t="s">
        <v>5594</v>
      </c>
      <c r="AH2619">
        <v>12697</v>
      </c>
      <c r="AK2619">
        <v>0</v>
      </c>
      <c r="AL2619" t="s">
        <v>61</v>
      </c>
      <c r="AM2619" t="s">
        <v>833</v>
      </c>
      <c r="AN2619" t="s">
        <v>835</v>
      </c>
    </row>
    <row r="2620" spans="1:40" x14ac:dyDescent="0.35">
      <c r="A2620" t="s">
        <v>37</v>
      </c>
      <c r="B2620" t="s">
        <v>10286</v>
      </c>
      <c r="C2620" t="s">
        <v>102</v>
      </c>
      <c r="D2620" t="s">
        <v>10287</v>
      </c>
      <c r="E2620" t="s">
        <v>10288</v>
      </c>
      <c r="F2620" s="1">
        <v>46071.395428240743</v>
      </c>
      <c r="G2620" t="s">
        <v>1363</v>
      </c>
      <c r="H2620" t="s">
        <v>106</v>
      </c>
      <c r="I2620" t="s">
        <v>10289</v>
      </c>
      <c r="J2620" t="s">
        <v>3117</v>
      </c>
      <c r="K2620" t="s">
        <v>10290</v>
      </c>
      <c r="M2620" t="s">
        <v>76</v>
      </c>
      <c r="O2620" t="s">
        <v>237</v>
      </c>
      <c r="P2620" t="s">
        <v>238</v>
      </c>
      <c r="Q2620" t="s">
        <v>50</v>
      </c>
      <c r="R2620" t="s">
        <v>305</v>
      </c>
      <c r="S2620" t="s">
        <v>306</v>
      </c>
      <c r="T2620" t="s">
        <v>307</v>
      </c>
      <c r="U2620" s="1">
        <v>46076.594074074077</v>
      </c>
      <c r="V2620" t="s">
        <v>54</v>
      </c>
      <c r="W2620" t="s">
        <v>55</v>
      </c>
      <c r="X2620" t="s">
        <v>211</v>
      </c>
      <c r="Y2620" t="s">
        <v>10291</v>
      </c>
      <c r="Z2620" t="s">
        <v>58</v>
      </c>
      <c r="AA2620" t="s">
        <v>54</v>
      </c>
      <c r="AB2620" t="s">
        <v>213</v>
      </c>
      <c r="AC2620" t="s">
        <v>242</v>
      </c>
      <c r="AD2620" t="s">
        <v>208</v>
      </c>
      <c r="AE2620" t="s">
        <v>10292</v>
      </c>
      <c r="AF2620" t="s">
        <v>10293</v>
      </c>
      <c r="AG2620" t="s">
        <v>58</v>
      </c>
      <c r="AH2620">
        <v>15250</v>
      </c>
      <c r="AK2620">
        <v>3</v>
      </c>
      <c r="AL2620" t="s">
        <v>61</v>
      </c>
      <c r="AM2620" t="s">
        <v>10294</v>
      </c>
      <c r="AN2620" t="s">
        <v>10295</v>
      </c>
    </row>
    <row r="2621" spans="1:40" x14ac:dyDescent="0.35">
      <c r="A2621" t="s">
        <v>37</v>
      </c>
      <c r="B2621" t="s">
        <v>10296</v>
      </c>
      <c r="C2621" t="s">
        <v>102</v>
      </c>
      <c r="D2621" t="s">
        <v>10297</v>
      </c>
      <c r="E2621" t="s">
        <v>10298</v>
      </c>
      <c r="F2621" s="1">
        <v>46071.395636574074</v>
      </c>
      <c r="G2621" t="s">
        <v>261</v>
      </c>
      <c r="H2621" t="s">
        <v>72</v>
      </c>
      <c r="I2621" t="s">
        <v>2290</v>
      </c>
      <c r="J2621" t="s">
        <v>557</v>
      </c>
      <c r="K2621" t="s">
        <v>75</v>
      </c>
      <c r="M2621" t="s">
        <v>47</v>
      </c>
      <c r="O2621" t="s">
        <v>237</v>
      </c>
      <c r="P2621" t="s">
        <v>238</v>
      </c>
      <c r="R2621" t="s">
        <v>79</v>
      </c>
      <c r="S2621" t="s">
        <v>172</v>
      </c>
      <c r="T2621" t="s">
        <v>173</v>
      </c>
      <c r="U2621" s="1">
        <v>46072.434502314813</v>
      </c>
      <c r="V2621" t="s">
        <v>54</v>
      </c>
      <c r="W2621" t="s">
        <v>55</v>
      </c>
      <c r="X2621" t="s">
        <v>82</v>
      </c>
      <c r="Y2621" t="s">
        <v>10299</v>
      </c>
      <c r="Z2621" t="s">
        <v>5594</v>
      </c>
      <c r="AA2621" t="s">
        <v>54</v>
      </c>
      <c r="AB2621" t="s">
        <v>645</v>
      </c>
      <c r="AC2621" t="s">
        <v>242</v>
      </c>
      <c r="AD2621" t="s">
        <v>79</v>
      </c>
      <c r="AE2621" t="s">
        <v>172</v>
      </c>
      <c r="AF2621" t="s">
        <v>173</v>
      </c>
      <c r="AG2621" t="s">
        <v>5594</v>
      </c>
      <c r="AH2621">
        <v>15923</v>
      </c>
      <c r="AK2621">
        <v>2</v>
      </c>
      <c r="AL2621" t="s">
        <v>61</v>
      </c>
      <c r="AM2621" t="s">
        <v>10300</v>
      </c>
      <c r="AN2621" t="s">
        <v>10301</v>
      </c>
    </row>
    <row r="2622" spans="1:40" x14ac:dyDescent="0.35">
      <c r="A2622" t="s">
        <v>37</v>
      </c>
      <c r="B2622" t="s">
        <v>10302</v>
      </c>
      <c r="C2622" t="s">
        <v>102</v>
      </c>
      <c r="D2622" t="s">
        <v>10303</v>
      </c>
      <c r="E2622" t="s">
        <v>10304</v>
      </c>
      <c r="F2622" s="1">
        <v>46071.39403935185</v>
      </c>
      <c r="G2622" t="s">
        <v>327</v>
      </c>
      <c r="H2622" t="s">
        <v>72</v>
      </c>
      <c r="I2622" t="s">
        <v>10305</v>
      </c>
      <c r="J2622" t="s">
        <v>404</v>
      </c>
      <c r="K2622" t="s">
        <v>7479</v>
      </c>
      <c r="M2622" t="s">
        <v>47</v>
      </c>
      <c r="O2622" t="s">
        <v>237</v>
      </c>
      <c r="P2622" t="s">
        <v>238</v>
      </c>
      <c r="Q2622" t="s">
        <v>50</v>
      </c>
      <c r="R2622" t="s">
        <v>51</v>
      </c>
      <c r="S2622" t="s">
        <v>52</v>
      </c>
      <c r="T2622" t="s">
        <v>240</v>
      </c>
      <c r="U2622" s="1">
        <v>46072.459305555552</v>
      </c>
      <c r="V2622" t="s">
        <v>54</v>
      </c>
      <c r="W2622" t="s">
        <v>55</v>
      </c>
      <c r="X2622" t="s">
        <v>211</v>
      </c>
      <c r="Y2622" t="s">
        <v>10306</v>
      </c>
      <c r="Z2622" t="s">
        <v>5594</v>
      </c>
      <c r="AA2622" t="s">
        <v>54</v>
      </c>
      <c r="AB2622" t="s">
        <v>213</v>
      </c>
      <c r="AC2622" t="s">
        <v>242</v>
      </c>
      <c r="AD2622" t="s">
        <v>52</v>
      </c>
      <c r="AE2622" t="s">
        <v>243</v>
      </c>
      <c r="AF2622" t="s">
        <v>244</v>
      </c>
      <c r="AG2622" t="s">
        <v>5594</v>
      </c>
      <c r="AH2622" t="s">
        <v>10307</v>
      </c>
      <c r="AK2622">
        <v>1</v>
      </c>
      <c r="AL2622" t="s">
        <v>61</v>
      </c>
      <c r="AM2622" t="s">
        <v>10308</v>
      </c>
      <c r="AN2622" t="s">
        <v>10309</v>
      </c>
    </row>
    <row r="2623" spans="1:40" x14ac:dyDescent="0.35">
      <c r="A2623" t="s">
        <v>37</v>
      </c>
      <c r="B2623" t="s">
        <v>10310</v>
      </c>
      <c r="C2623" t="s">
        <v>102</v>
      </c>
      <c r="D2623" t="s">
        <v>10311</v>
      </c>
      <c r="E2623" t="s">
        <v>10312</v>
      </c>
      <c r="F2623" s="1">
        <v>46071.393784722219</v>
      </c>
      <c r="G2623" t="s">
        <v>327</v>
      </c>
      <c r="H2623" t="s">
        <v>72</v>
      </c>
      <c r="I2623" t="s">
        <v>10313</v>
      </c>
      <c r="J2623" t="s">
        <v>3680</v>
      </c>
      <c r="K2623" t="s">
        <v>3681</v>
      </c>
      <c r="M2623" t="s">
        <v>76</v>
      </c>
      <c r="O2623" t="s">
        <v>237</v>
      </c>
      <c r="P2623" t="s">
        <v>238</v>
      </c>
      <c r="Q2623" t="s">
        <v>50</v>
      </c>
      <c r="R2623" t="s">
        <v>51</v>
      </c>
      <c r="S2623" t="s">
        <v>52</v>
      </c>
      <c r="T2623" t="s">
        <v>2563</v>
      </c>
      <c r="U2623" s="1">
        <v>46077.519270833334</v>
      </c>
      <c r="V2623" t="s">
        <v>54</v>
      </c>
      <c r="W2623" t="s">
        <v>55</v>
      </c>
      <c r="X2623" t="s">
        <v>211</v>
      </c>
      <c r="Y2623" t="s">
        <v>10314</v>
      </c>
      <c r="Z2623" t="s">
        <v>58</v>
      </c>
      <c r="AA2623" t="s">
        <v>54</v>
      </c>
      <c r="AB2623" t="s">
        <v>213</v>
      </c>
      <c r="AC2623" t="s">
        <v>242</v>
      </c>
      <c r="AD2623" t="s">
        <v>52</v>
      </c>
      <c r="AE2623" t="s">
        <v>243</v>
      </c>
      <c r="AF2623" t="s">
        <v>1470</v>
      </c>
      <c r="AG2623" t="s">
        <v>58</v>
      </c>
      <c r="AH2623">
        <v>15945</v>
      </c>
      <c r="AK2623">
        <v>2</v>
      </c>
      <c r="AL2623" t="s">
        <v>61</v>
      </c>
      <c r="AM2623" t="s">
        <v>10315</v>
      </c>
      <c r="AN2623" t="s">
        <v>10316</v>
      </c>
    </row>
    <row r="2624" spans="1:40" x14ac:dyDescent="0.35">
      <c r="A2624" t="s">
        <v>37</v>
      </c>
      <c r="B2624" t="s">
        <v>10317</v>
      </c>
      <c r="C2624" t="s">
        <v>102</v>
      </c>
      <c r="D2624" t="s">
        <v>824</v>
      </c>
      <c r="E2624" t="s">
        <v>825</v>
      </c>
      <c r="F2624" s="1">
        <v>46071.394537037035</v>
      </c>
      <c r="G2624" t="s">
        <v>826</v>
      </c>
      <c r="H2624" t="s">
        <v>356</v>
      </c>
      <c r="I2624" t="s">
        <v>10318</v>
      </c>
      <c r="J2624" t="s">
        <v>828</v>
      </c>
      <c r="K2624" t="s">
        <v>829</v>
      </c>
      <c r="M2624" t="s">
        <v>47</v>
      </c>
      <c r="O2624" t="s">
        <v>237</v>
      </c>
      <c r="P2624" t="s">
        <v>238</v>
      </c>
      <c r="Q2624" t="s">
        <v>50</v>
      </c>
      <c r="R2624" t="s">
        <v>51</v>
      </c>
      <c r="S2624" t="s">
        <v>831</v>
      </c>
      <c r="T2624" t="s">
        <v>829</v>
      </c>
      <c r="U2624" s="1">
        <v>46072.509016203701</v>
      </c>
      <c r="V2624" t="s">
        <v>54</v>
      </c>
      <c r="W2624" t="s">
        <v>55</v>
      </c>
      <c r="X2624" t="s">
        <v>196</v>
      </c>
      <c r="Y2624" t="s">
        <v>10319</v>
      </c>
      <c r="Z2624" t="s">
        <v>5594</v>
      </c>
      <c r="AA2624" t="s">
        <v>54</v>
      </c>
      <c r="AB2624" t="s">
        <v>833</v>
      </c>
      <c r="AC2624" t="s">
        <v>242</v>
      </c>
      <c r="AD2624" t="s">
        <v>51</v>
      </c>
      <c r="AE2624" t="s">
        <v>834</v>
      </c>
      <c r="AF2624" t="s">
        <v>834</v>
      </c>
      <c r="AG2624" t="s">
        <v>5594</v>
      </c>
      <c r="AH2624">
        <v>12697</v>
      </c>
      <c r="AK2624">
        <v>0</v>
      </c>
      <c r="AL2624" t="s">
        <v>61</v>
      </c>
      <c r="AM2624" t="s">
        <v>833</v>
      </c>
      <c r="AN2624" t="s">
        <v>835</v>
      </c>
    </row>
    <row r="2625" spans="1:40" x14ac:dyDescent="0.35">
      <c r="A2625" t="s">
        <v>37</v>
      </c>
      <c r="B2625" t="s">
        <v>10320</v>
      </c>
      <c r="C2625" t="s">
        <v>102</v>
      </c>
      <c r="D2625" t="s">
        <v>469</v>
      </c>
      <c r="E2625" t="s">
        <v>10321</v>
      </c>
      <c r="F2625" s="1">
        <v>46071.393483796295</v>
      </c>
      <c r="G2625" t="s">
        <v>540</v>
      </c>
      <c r="H2625" t="s">
        <v>447</v>
      </c>
      <c r="I2625" t="s">
        <v>2279</v>
      </c>
      <c r="J2625" t="s">
        <v>9282</v>
      </c>
      <c r="K2625" t="s">
        <v>9283</v>
      </c>
      <c r="M2625" t="s">
        <v>131</v>
      </c>
      <c r="O2625" t="s">
        <v>77</v>
      </c>
      <c r="P2625" t="s">
        <v>78</v>
      </c>
      <c r="Q2625" t="s">
        <v>50</v>
      </c>
      <c r="R2625" t="s">
        <v>79</v>
      </c>
      <c r="S2625" t="s">
        <v>975</v>
      </c>
      <c r="T2625" t="s">
        <v>2280</v>
      </c>
      <c r="U2625" s="1">
        <v>46078.67832175926</v>
      </c>
      <c r="V2625" t="s">
        <v>54</v>
      </c>
      <c r="W2625" t="s">
        <v>55</v>
      </c>
      <c r="X2625" t="s">
        <v>82</v>
      </c>
      <c r="Y2625" t="s">
        <v>10322</v>
      </c>
      <c r="Z2625" t="s">
        <v>58</v>
      </c>
      <c r="AA2625" t="s">
        <v>54</v>
      </c>
      <c r="AB2625" t="s">
        <v>698</v>
      </c>
      <c r="AC2625" t="s">
        <v>85</v>
      </c>
      <c r="AD2625" t="s">
        <v>79</v>
      </c>
      <c r="AE2625" t="s">
        <v>936</v>
      </c>
      <c r="AF2625" t="s">
        <v>937</v>
      </c>
      <c r="AG2625" t="s">
        <v>58</v>
      </c>
      <c r="AH2625">
        <v>14768</v>
      </c>
      <c r="AK2625">
        <v>7</v>
      </c>
      <c r="AL2625" t="s">
        <v>61</v>
      </c>
      <c r="AM2625" t="s">
        <v>10323</v>
      </c>
      <c r="AN2625" t="s">
        <v>10324</v>
      </c>
    </row>
    <row r="2626" spans="1:40" x14ac:dyDescent="0.35">
      <c r="A2626" t="s">
        <v>37</v>
      </c>
      <c r="B2626" t="s">
        <v>10325</v>
      </c>
      <c r="C2626" t="s">
        <v>39</v>
      </c>
      <c r="D2626" t="s">
        <v>3907</v>
      </c>
      <c r="E2626" t="s">
        <v>4885</v>
      </c>
      <c r="F2626" s="1">
        <v>46071.388958333337</v>
      </c>
      <c r="G2626" t="s">
        <v>722</v>
      </c>
      <c r="H2626" t="s">
        <v>356</v>
      </c>
      <c r="I2626" t="s">
        <v>1185</v>
      </c>
      <c r="J2626" t="s">
        <v>1186</v>
      </c>
      <c r="K2626" t="s">
        <v>1187</v>
      </c>
      <c r="M2626" t="s">
        <v>47</v>
      </c>
      <c r="O2626" t="s">
        <v>77</v>
      </c>
      <c r="P2626" t="s">
        <v>78</v>
      </c>
      <c r="Q2626" t="s">
        <v>50</v>
      </c>
      <c r="R2626" t="s">
        <v>305</v>
      </c>
      <c r="S2626" t="s">
        <v>306</v>
      </c>
      <c r="T2626" t="s">
        <v>307</v>
      </c>
      <c r="U2626" s="1">
        <v>46072.415798611109</v>
      </c>
      <c r="V2626" t="s">
        <v>54</v>
      </c>
      <c r="W2626" t="s">
        <v>55</v>
      </c>
      <c r="X2626" t="s">
        <v>211</v>
      </c>
      <c r="Y2626" t="s">
        <v>1188</v>
      </c>
      <c r="Z2626" t="s">
        <v>5594</v>
      </c>
      <c r="AA2626" t="s">
        <v>54</v>
      </c>
      <c r="AB2626" t="s">
        <v>213</v>
      </c>
      <c r="AC2626" t="s">
        <v>85</v>
      </c>
      <c r="AD2626" t="s">
        <v>1189</v>
      </c>
      <c r="AE2626" t="s">
        <v>1190</v>
      </c>
      <c r="AF2626" t="s">
        <v>1191</v>
      </c>
      <c r="AG2626" t="s">
        <v>5594</v>
      </c>
      <c r="AH2626">
        <v>14636</v>
      </c>
      <c r="AK2626">
        <v>5</v>
      </c>
      <c r="AL2626" t="s">
        <v>61</v>
      </c>
      <c r="AM2626" t="s">
        <v>4888</v>
      </c>
      <c r="AN2626" t="s">
        <v>4889</v>
      </c>
    </row>
    <row r="2627" spans="1:40" x14ac:dyDescent="0.35">
      <c r="A2627" t="s">
        <v>37</v>
      </c>
      <c r="B2627" t="s">
        <v>10326</v>
      </c>
      <c r="C2627" t="s">
        <v>102</v>
      </c>
      <c r="D2627" t="s">
        <v>824</v>
      </c>
      <c r="E2627" t="s">
        <v>825</v>
      </c>
      <c r="F2627" s="1">
        <v>46071.381527777776</v>
      </c>
      <c r="G2627" t="s">
        <v>826</v>
      </c>
      <c r="H2627" t="s">
        <v>356</v>
      </c>
      <c r="I2627" t="s">
        <v>10327</v>
      </c>
      <c r="J2627" t="s">
        <v>828</v>
      </c>
      <c r="K2627" t="s">
        <v>829</v>
      </c>
      <c r="M2627" t="s">
        <v>830</v>
      </c>
      <c r="O2627" t="s">
        <v>237</v>
      </c>
      <c r="P2627" t="s">
        <v>238</v>
      </c>
      <c r="Q2627" t="s">
        <v>50</v>
      </c>
      <c r="R2627" t="s">
        <v>51</v>
      </c>
      <c r="S2627" t="s">
        <v>831</v>
      </c>
      <c r="T2627" t="s">
        <v>829</v>
      </c>
      <c r="U2627" s="1">
        <v>46076.373020833336</v>
      </c>
      <c r="V2627" t="s">
        <v>54</v>
      </c>
      <c r="W2627" t="s">
        <v>55</v>
      </c>
      <c r="X2627" t="s">
        <v>196</v>
      </c>
      <c r="Y2627" t="s">
        <v>10328</v>
      </c>
      <c r="Z2627" t="s">
        <v>58</v>
      </c>
      <c r="AA2627" t="s">
        <v>54</v>
      </c>
      <c r="AB2627" t="s">
        <v>833</v>
      </c>
      <c r="AC2627" t="s">
        <v>242</v>
      </c>
      <c r="AD2627" t="s">
        <v>51</v>
      </c>
      <c r="AE2627" t="s">
        <v>834</v>
      </c>
      <c r="AF2627" t="s">
        <v>834</v>
      </c>
      <c r="AG2627" t="s">
        <v>58</v>
      </c>
      <c r="AH2627">
        <v>12697</v>
      </c>
      <c r="AK2627">
        <v>0</v>
      </c>
      <c r="AL2627" t="s">
        <v>61</v>
      </c>
      <c r="AM2627" t="s">
        <v>833</v>
      </c>
      <c r="AN2627" t="s">
        <v>835</v>
      </c>
    </row>
    <row r="2628" spans="1:40" x14ac:dyDescent="0.35">
      <c r="A2628" t="s">
        <v>37</v>
      </c>
      <c r="B2628" t="s">
        <v>10329</v>
      </c>
      <c r="C2628" t="s">
        <v>102</v>
      </c>
      <c r="D2628" t="s">
        <v>824</v>
      </c>
      <c r="E2628" t="s">
        <v>825</v>
      </c>
      <c r="F2628" s="1">
        <v>46071.380150462966</v>
      </c>
      <c r="G2628" t="s">
        <v>826</v>
      </c>
      <c r="H2628" t="s">
        <v>356</v>
      </c>
      <c r="I2628" t="s">
        <v>10330</v>
      </c>
      <c r="J2628" t="s">
        <v>828</v>
      </c>
      <c r="K2628" t="s">
        <v>829</v>
      </c>
      <c r="M2628" t="s">
        <v>47</v>
      </c>
      <c r="O2628" t="s">
        <v>237</v>
      </c>
      <c r="P2628" t="s">
        <v>238</v>
      </c>
      <c r="Q2628" t="s">
        <v>50</v>
      </c>
      <c r="R2628" t="s">
        <v>51</v>
      </c>
      <c r="S2628" t="s">
        <v>831</v>
      </c>
      <c r="T2628" t="s">
        <v>829</v>
      </c>
      <c r="U2628" s="1">
        <v>46073.398506944446</v>
      </c>
      <c r="V2628" t="s">
        <v>54</v>
      </c>
      <c r="W2628" t="s">
        <v>55</v>
      </c>
      <c r="X2628" t="s">
        <v>134</v>
      </c>
      <c r="Y2628" t="s">
        <v>10331</v>
      </c>
      <c r="Z2628" t="s">
        <v>5594</v>
      </c>
      <c r="AA2628" t="s">
        <v>54</v>
      </c>
      <c r="AB2628" t="s">
        <v>833</v>
      </c>
      <c r="AC2628" t="s">
        <v>242</v>
      </c>
      <c r="AD2628" t="s">
        <v>51</v>
      </c>
      <c r="AE2628" t="s">
        <v>834</v>
      </c>
      <c r="AF2628" t="s">
        <v>834</v>
      </c>
      <c r="AG2628" t="s">
        <v>5594</v>
      </c>
      <c r="AH2628">
        <v>12697</v>
      </c>
      <c r="AK2628">
        <v>0</v>
      </c>
      <c r="AL2628" t="s">
        <v>61</v>
      </c>
      <c r="AM2628" t="s">
        <v>833</v>
      </c>
      <c r="AN2628" t="s">
        <v>835</v>
      </c>
    </row>
    <row r="2629" spans="1:40" x14ac:dyDescent="0.35">
      <c r="A2629" t="s">
        <v>37</v>
      </c>
      <c r="B2629" t="s">
        <v>10332</v>
      </c>
      <c r="C2629" t="s">
        <v>102</v>
      </c>
      <c r="D2629" t="s">
        <v>4525</v>
      </c>
      <c r="E2629" t="s">
        <v>7714</v>
      </c>
      <c r="F2629" s="1">
        <v>46071.375173611108</v>
      </c>
      <c r="G2629" t="s">
        <v>355</v>
      </c>
      <c r="H2629" t="s">
        <v>356</v>
      </c>
      <c r="I2629" t="s">
        <v>10333</v>
      </c>
      <c r="J2629" t="s">
        <v>695</v>
      </c>
      <c r="K2629" t="s">
        <v>75</v>
      </c>
      <c r="M2629" t="s">
        <v>76</v>
      </c>
      <c r="O2629" t="s">
        <v>237</v>
      </c>
      <c r="P2629" t="s">
        <v>238</v>
      </c>
      <c r="Q2629" t="s">
        <v>3465</v>
      </c>
      <c r="R2629" t="s">
        <v>79</v>
      </c>
      <c r="S2629" t="s">
        <v>936</v>
      </c>
      <c r="T2629" t="s">
        <v>937</v>
      </c>
      <c r="U2629" s="1">
        <v>46077.453414351854</v>
      </c>
      <c r="V2629" t="s">
        <v>54</v>
      </c>
      <c r="W2629" t="s">
        <v>55</v>
      </c>
      <c r="X2629" t="s">
        <v>134</v>
      </c>
      <c r="Y2629" t="s">
        <v>10334</v>
      </c>
      <c r="Z2629" t="s">
        <v>58</v>
      </c>
      <c r="AA2629" t="s">
        <v>54</v>
      </c>
      <c r="AB2629" t="s">
        <v>458</v>
      </c>
      <c r="AC2629" t="s">
        <v>242</v>
      </c>
      <c r="AD2629" t="s">
        <v>79</v>
      </c>
      <c r="AE2629" t="s">
        <v>936</v>
      </c>
      <c r="AF2629" t="s">
        <v>939</v>
      </c>
      <c r="AG2629" t="s">
        <v>58</v>
      </c>
      <c r="AH2629">
        <v>8298</v>
      </c>
      <c r="AK2629">
        <v>1</v>
      </c>
      <c r="AL2629" t="s">
        <v>61</v>
      </c>
      <c r="AM2629" t="s">
        <v>10335</v>
      </c>
      <c r="AN2629" t="s">
        <v>10336</v>
      </c>
    </row>
    <row r="2630" spans="1:40" x14ac:dyDescent="0.35">
      <c r="A2630" t="s">
        <v>37</v>
      </c>
      <c r="B2630" t="s">
        <v>10337</v>
      </c>
      <c r="C2630" t="s">
        <v>39</v>
      </c>
      <c r="D2630" t="s">
        <v>10338</v>
      </c>
      <c r="E2630" t="s">
        <v>10339</v>
      </c>
      <c r="F2630" s="1">
        <v>46071.373842592591</v>
      </c>
      <c r="G2630" t="s">
        <v>71</v>
      </c>
      <c r="H2630" t="s">
        <v>72</v>
      </c>
      <c r="I2630" t="s">
        <v>403</v>
      </c>
      <c r="J2630" t="s">
        <v>4338</v>
      </c>
      <c r="K2630" t="s">
        <v>405</v>
      </c>
      <c r="M2630" t="s">
        <v>76</v>
      </c>
      <c r="O2630" t="s">
        <v>77</v>
      </c>
      <c r="P2630" t="s">
        <v>78</v>
      </c>
      <c r="Q2630" t="s">
        <v>50</v>
      </c>
      <c r="R2630" t="s">
        <v>51</v>
      </c>
      <c r="S2630" t="s">
        <v>52</v>
      </c>
      <c r="T2630" t="s">
        <v>240</v>
      </c>
      <c r="U2630" s="1">
        <v>46076.379108796296</v>
      </c>
      <c r="V2630" t="s">
        <v>54</v>
      </c>
      <c r="W2630" t="s">
        <v>55</v>
      </c>
      <c r="X2630" t="s">
        <v>134</v>
      </c>
      <c r="Y2630" t="s">
        <v>10340</v>
      </c>
      <c r="Z2630" t="s">
        <v>58</v>
      </c>
      <c r="AA2630" t="s">
        <v>54</v>
      </c>
      <c r="AB2630" t="s">
        <v>458</v>
      </c>
      <c r="AC2630" t="s">
        <v>85</v>
      </c>
      <c r="AD2630" t="s">
        <v>52</v>
      </c>
      <c r="AE2630" t="s">
        <v>243</v>
      </c>
      <c r="AF2630" t="s">
        <v>244</v>
      </c>
      <c r="AG2630" t="s">
        <v>58</v>
      </c>
      <c r="AH2630" t="s">
        <v>10341</v>
      </c>
      <c r="AK2630">
        <v>1</v>
      </c>
      <c r="AL2630" t="s">
        <v>61</v>
      </c>
      <c r="AM2630" t="s">
        <v>10342</v>
      </c>
      <c r="AN2630" t="s">
        <v>10343</v>
      </c>
    </row>
    <row r="2631" spans="1:40" x14ac:dyDescent="0.35">
      <c r="A2631" t="s">
        <v>37</v>
      </c>
      <c r="B2631" t="s">
        <v>10344</v>
      </c>
      <c r="C2631" t="s">
        <v>656</v>
      </c>
      <c r="D2631" t="s">
        <v>3318</v>
      </c>
      <c r="E2631" t="s">
        <v>3319</v>
      </c>
      <c r="F2631" s="1">
        <v>46071.372754629629</v>
      </c>
      <c r="G2631" t="s">
        <v>515</v>
      </c>
      <c r="H2631" t="s">
        <v>92</v>
      </c>
      <c r="I2631" t="s">
        <v>10345</v>
      </c>
      <c r="J2631" t="s">
        <v>7842</v>
      </c>
      <c r="K2631" t="s">
        <v>2551</v>
      </c>
      <c r="M2631" t="s">
        <v>47</v>
      </c>
      <c r="O2631" t="s">
        <v>77</v>
      </c>
      <c r="P2631" t="s">
        <v>78</v>
      </c>
      <c r="Q2631" t="s">
        <v>1174</v>
      </c>
      <c r="R2631" t="s">
        <v>662</v>
      </c>
      <c r="S2631" t="s">
        <v>209</v>
      </c>
      <c r="T2631" t="s">
        <v>8389</v>
      </c>
      <c r="U2631" s="1">
        <v>46075.999768518515</v>
      </c>
      <c r="V2631" t="s">
        <v>54</v>
      </c>
      <c r="W2631" t="s">
        <v>55</v>
      </c>
      <c r="X2631" t="s">
        <v>134</v>
      </c>
      <c r="Y2631" t="s">
        <v>8390</v>
      </c>
      <c r="Z2631" t="s">
        <v>5594</v>
      </c>
      <c r="AA2631" t="s">
        <v>54</v>
      </c>
      <c r="AB2631" t="s">
        <v>458</v>
      </c>
      <c r="AC2631" t="s">
        <v>85</v>
      </c>
      <c r="AD2631" t="s">
        <v>208</v>
      </c>
      <c r="AE2631" t="s">
        <v>209</v>
      </c>
      <c r="AF2631" t="s">
        <v>3776</v>
      </c>
      <c r="AG2631" t="s">
        <v>5594</v>
      </c>
      <c r="AH2631" t="s">
        <v>3321</v>
      </c>
      <c r="AK2631">
        <v>1</v>
      </c>
      <c r="AL2631" t="s">
        <v>61</v>
      </c>
      <c r="AM2631" t="s">
        <v>3259</v>
      </c>
      <c r="AN2631" t="s">
        <v>3322</v>
      </c>
    </row>
    <row r="2632" spans="1:40" x14ac:dyDescent="0.35">
      <c r="A2632" t="s">
        <v>37</v>
      </c>
      <c r="B2632" t="s">
        <v>10346</v>
      </c>
      <c r="C2632" t="s">
        <v>39</v>
      </c>
      <c r="D2632" t="s">
        <v>2855</v>
      </c>
      <c r="E2632" t="s">
        <v>2856</v>
      </c>
      <c r="F2632" s="1">
        <v>46071.371990740743</v>
      </c>
      <c r="G2632" t="s">
        <v>355</v>
      </c>
      <c r="H2632" t="s">
        <v>356</v>
      </c>
      <c r="I2632" t="s">
        <v>10347</v>
      </c>
      <c r="J2632" t="s">
        <v>3680</v>
      </c>
      <c r="K2632" t="s">
        <v>3681</v>
      </c>
      <c r="M2632" t="s">
        <v>47</v>
      </c>
      <c r="O2632" t="s">
        <v>77</v>
      </c>
      <c r="P2632" t="s">
        <v>78</v>
      </c>
      <c r="Q2632" t="s">
        <v>50</v>
      </c>
      <c r="R2632" t="s">
        <v>51</v>
      </c>
      <c r="S2632" t="s">
        <v>52</v>
      </c>
      <c r="T2632" t="s">
        <v>53</v>
      </c>
      <c r="U2632" s="1">
        <v>46072.544456018521</v>
      </c>
      <c r="V2632" t="s">
        <v>54</v>
      </c>
      <c r="W2632" t="s">
        <v>55</v>
      </c>
      <c r="X2632" t="s">
        <v>134</v>
      </c>
      <c r="Y2632" t="s">
        <v>10348</v>
      </c>
      <c r="Z2632" t="s">
        <v>5594</v>
      </c>
      <c r="AA2632" t="s">
        <v>54</v>
      </c>
      <c r="AB2632" t="s">
        <v>458</v>
      </c>
      <c r="AC2632" t="s">
        <v>85</v>
      </c>
      <c r="AD2632" t="s">
        <v>52</v>
      </c>
      <c r="AE2632" t="s">
        <v>967</v>
      </c>
      <c r="AF2632" t="s">
        <v>2563</v>
      </c>
      <c r="AG2632" t="s">
        <v>5594</v>
      </c>
      <c r="AH2632" t="s">
        <v>2863</v>
      </c>
      <c r="AK2632">
        <v>2</v>
      </c>
      <c r="AL2632" t="s">
        <v>61</v>
      </c>
      <c r="AM2632" t="s">
        <v>2864</v>
      </c>
      <c r="AN2632" t="s">
        <v>2865</v>
      </c>
    </row>
    <row r="2633" spans="1:40" x14ac:dyDescent="0.35">
      <c r="A2633" t="s">
        <v>37</v>
      </c>
      <c r="B2633" t="s">
        <v>10349</v>
      </c>
      <c r="C2633" t="s">
        <v>102</v>
      </c>
      <c r="D2633" t="s">
        <v>676</v>
      </c>
      <c r="E2633" t="s">
        <v>677</v>
      </c>
      <c r="F2633" s="1">
        <v>46071.363634259258</v>
      </c>
      <c r="G2633" t="s">
        <v>71</v>
      </c>
      <c r="H2633" t="s">
        <v>72</v>
      </c>
      <c r="I2633" t="s">
        <v>10350</v>
      </c>
      <c r="J2633" t="s">
        <v>679</v>
      </c>
      <c r="K2633" t="s">
        <v>130</v>
      </c>
      <c r="M2633" t="s">
        <v>47</v>
      </c>
      <c r="O2633" t="s">
        <v>77</v>
      </c>
      <c r="P2633" t="s">
        <v>78</v>
      </c>
      <c r="Q2633" t="s">
        <v>50</v>
      </c>
      <c r="R2633" t="s">
        <v>51</v>
      </c>
      <c r="S2633" t="s">
        <v>195</v>
      </c>
      <c r="T2633" t="s">
        <v>680</v>
      </c>
      <c r="U2633" s="1">
        <v>46072.50199074074</v>
      </c>
      <c r="V2633" t="s">
        <v>54</v>
      </c>
      <c r="W2633" t="s">
        <v>55</v>
      </c>
      <c r="X2633" t="s">
        <v>134</v>
      </c>
      <c r="Y2633" t="s">
        <v>10351</v>
      </c>
      <c r="Z2633" t="s">
        <v>5594</v>
      </c>
      <c r="AA2633" t="s">
        <v>54</v>
      </c>
      <c r="AB2633" t="s">
        <v>682</v>
      </c>
      <c r="AC2633" t="s">
        <v>85</v>
      </c>
      <c r="AD2633" t="s">
        <v>51</v>
      </c>
      <c r="AE2633" t="s">
        <v>195</v>
      </c>
      <c r="AF2633" t="s">
        <v>680</v>
      </c>
      <c r="AG2633" t="s">
        <v>5594</v>
      </c>
      <c r="AH2633" t="s">
        <v>683</v>
      </c>
      <c r="AK2633">
        <v>1</v>
      </c>
      <c r="AL2633" t="s">
        <v>61</v>
      </c>
      <c r="AM2633" t="s">
        <v>682</v>
      </c>
      <c r="AN2633" t="s">
        <v>684</v>
      </c>
    </row>
    <row r="2634" spans="1:40" x14ac:dyDescent="0.35">
      <c r="A2634" t="s">
        <v>37</v>
      </c>
      <c r="B2634" t="s">
        <v>10352</v>
      </c>
      <c r="C2634" t="s">
        <v>39</v>
      </c>
      <c r="D2634" t="s">
        <v>10311</v>
      </c>
      <c r="E2634" t="s">
        <v>10312</v>
      </c>
      <c r="F2634" s="1">
        <v>46071.350648148145</v>
      </c>
      <c r="G2634" t="s">
        <v>327</v>
      </c>
      <c r="H2634" t="s">
        <v>72</v>
      </c>
      <c r="I2634" t="s">
        <v>10353</v>
      </c>
      <c r="J2634" t="s">
        <v>455</v>
      </c>
      <c r="K2634" t="s">
        <v>436</v>
      </c>
      <c r="M2634" t="s">
        <v>47</v>
      </c>
      <c r="O2634" t="s">
        <v>237</v>
      </c>
      <c r="P2634" t="s">
        <v>238</v>
      </c>
      <c r="Q2634" t="s">
        <v>50</v>
      </c>
      <c r="R2634" t="s">
        <v>51</v>
      </c>
      <c r="S2634" t="s">
        <v>52</v>
      </c>
      <c r="T2634" t="s">
        <v>240</v>
      </c>
      <c r="U2634" s="1">
        <v>46073.410810185182</v>
      </c>
      <c r="V2634" t="s">
        <v>54</v>
      </c>
      <c r="W2634" t="s">
        <v>55</v>
      </c>
      <c r="X2634" t="s">
        <v>211</v>
      </c>
      <c r="Y2634" t="s">
        <v>10354</v>
      </c>
      <c r="Z2634" t="s">
        <v>5594</v>
      </c>
      <c r="AA2634" t="s">
        <v>54</v>
      </c>
      <c r="AB2634" t="s">
        <v>213</v>
      </c>
      <c r="AC2634" t="s">
        <v>242</v>
      </c>
      <c r="AD2634" t="s">
        <v>52</v>
      </c>
      <c r="AE2634" t="s">
        <v>243</v>
      </c>
      <c r="AF2634" t="s">
        <v>2533</v>
      </c>
      <c r="AG2634" t="s">
        <v>5594</v>
      </c>
      <c r="AH2634">
        <v>15945</v>
      </c>
      <c r="AK2634">
        <v>2</v>
      </c>
      <c r="AL2634" t="s">
        <v>61</v>
      </c>
      <c r="AM2634" t="s">
        <v>10315</v>
      </c>
      <c r="AN2634" t="s">
        <v>10316</v>
      </c>
    </row>
    <row r="2635" spans="1:40" x14ac:dyDescent="0.35">
      <c r="A2635" t="s">
        <v>37</v>
      </c>
      <c r="B2635" t="s">
        <v>10355</v>
      </c>
      <c r="C2635" t="s">
        <v>39</v>
      </c>
      <c r="D2635" t="s">
        <v>1216</v>
      </c>
      <c r="E2635" t="s">
        <v>10356</v>
      </c>
      <c r="F2635" s="1">
        <v>46071.348333333335</v>
      </c>
      <c r="G2635" t="s">
        <v>446</v>
      </c>
      <c r="H2635" t="s">
        <v>447</v>
      </c>
      <c r="I2635" t="s">
        <v>1446</v>
      </c>
      <c r="J2635" t="s">
        <v>557</v>
      </c>
      <c r="K2635" t="s">
        <v>75</v>
      </c>
      <c r="M2635" t="s">
        <v>76</v>
      </c>
      <c r="O2635" t="s">
        <v>77</v>
      </c>
      <c r="P2635" t="s">
        <v>78</v>
      </c>
      <c r="Q2635" t="s">
        <v>50</v>
      </c>
      <c r="R2635" t="s">
        <v>51</v>
      </c>
      <c r="S2635" t="s">
        <v>52</v>
      </c>
      <c r="T2635" t="s">
        <v>2248</v>
      </c>
      <c r="U2635" s="1">
        <v>46077.419328703705</v>
      </c>
      <c r="V2635" t="s">
        <v>54</v>
      </c>
      <c r="W2635" t="s">
        <v>55</v>
      </c>
      <c r="X2635" t="s">
        <v>211</v>
      </c>
      <c r="Y2635" t="s">
        <v>10357</v>
      </c>
      <c r="Z2635" t="s">
        <v>58</v>
      </c>
      <c r="AA2635" t="s">
        <v>54</v>
      </c>
      <c r="AB2635" t="s">
        <v>213</v>
      </c>
      <c r="AC2635" t="s">
        <v>85</v>
      </c>
      <c r="AD2635" t="s">
        <v>51</v>
      </c>
      <c r="AE2635" t="s">
        <v>52</v>
      </c>
      <c r="AF2635" t="s">
        <v>2248</v>
      </c>
      <c r="AG2635" t="s">
        <v>58</v>
      </c>
      <c r="AH2635" t="s">
        <v>10358</v>
      </c>
      <c r="AK2635">
        <v>10</v>
      </c>
      <c r="AL2635" t="s">
        <v>61</v>
      </c>
      <c r="AM2635" t="s">
        <v>10359</v>
      </c>
      <c r="AN2635" t="s">
        <v>10360</v>
      </c>
    </row>
    <row r="2636" spans="1:40" x14ac:dyDescent="0.35">
      <c r="A2636" t="s">
        <v>37</v>
      </c>
      <c r="B2636" t="s">
        <v>10361</v>
      </c>
      <c r="C2636" t="s">
        <v>39</v>
      </c>
      <c r="D2636" t="s">
        <v>1481</v>
      </c>
      <c r="E2636" t="s">
        <v>1316</v>
      </c>
      <c r="F2636" s="1">
        <v>46071.287175925929</v>
      </c>
      <c r="G2636" t="s">
        <v>286</v>
      </c>
      <c r="H2636" t="s">
        <v>287</v>
      </c>
      <c r="I2636" t="s">
        <v>10362</v>
      </c>
      <c r="J2636" t="s">
        <v>1483</v>
      </c>
      <c r="K2636" t="s">
        <v>1484</v>
      </c>
      <c r="M2636" t="s">
        <v>47</v>
      </c>
      <c r="O2636" t="s">
        <v>77</v>
      </c>
      <c r="P2636" t="s">
        <v>78</v>
      </c>
      <c r="Q2636" t="s">
        <v>50</v>
      </c>
      <c r="R2636" t="s">
        <v>51</v>
      </c>
      <c r="S2636" t="s">
        <v>52</v>
      </c>
      <c r="T2636" t="s">
        <v>240</v>
      </c>
      <c r="U2636" s="1">
        <v>46072.277557870373</v>
      </c>
      <c r="V2636" t="s">
        <v>54</v>
      </c>
      <c r="W2636" t="s">
        <v>55</v>
      </c>
      <c r="X2636" t="s">
        <v>134</v>
      </c>
      <c r="Y2636" t="s">
        <v>1485</v>
      </c>
      <c r="Z2636" t="s">
        <v>5594</v>
      </c>
      <c r="AA2636" t="s">
        <v>54</v>
      </c>
      <c r="AB2636" t="s">
        <v>1486</v>
      </c>
      <c r="AC2636" t="s">
        <v>85</v>
      </c>
      <c r="AD2636" t="s">
        <v>52</v>
      </c>
      <c r="AE2636" t="s">
        <v>243</v>
      </c>
      <c r="AF2636" t="s">
        <v>409</v>
      </c>
      <c r="AG2636" t="s">
        <v>5594</v>
      </c>
      <c r="AK2636">
        <v>1</v>
      </c>
      <c r="AL2636" t="s">
        <v>61</v>
      </c>
      <c r="AM2636" t="s">
        <v>1487</v>
      </c>
      <c r="AN2636" t="s">
        <v>1488</v>
      </c>
    </row>
    <row r="2637" spans="1:40" x14ac:dyDescent="0.35">
      <c r="A2637" t="s">
        <v>37</v>
      </c>
      <c r="B2637" t="s">
        <v>10363</v>
      </c>
      <c r="C2637" t="s">
        <v>39</v>
      </c>
      <c r="D2637" t="s">
        <v>1481</v>
      </c>
      <c r="E2637" t="s">
        <v>1316</v>
      </c>
      <c r="F2637" s="1">
        <v>46071.28570601852</v>
      </c>
      <c r="G2637" t="s">
        <v>286</v>
      </c>
      <c r="H2637" t="s">
        <v>287</v>
      </c>
      <c r="I2637" t="s">
        <v>10364</v>
      </c>
      <c r="J2637" t="s">
        <v>1483</v>
      </c>
      <c r="K2637" t="s">
        <v>1484</v>
      </c>
      <c r="M2637" t="s">
        <v>47</v>
      </c>
      <c r="O2637" t="s">
        <v>77</v>
      </c>
      <c r="P2637" t="s">
        <v>78</v>
      </c>
      <c r="Q2637" t="s">
        <v>50</v>
      </c>
      <c r="R2637" t="s">
        <v>51</v>
      </c>
      <c r="S2637" t="s">
        <v>52</v>
      </c>
      <c r="T2637" t="s">
        <v>240</v>
      </c>
      <c r="U2637" s="1">
        <v>46072.276932870373</v>
      </c>
      <c r="V2637" t="s">
        <v>54</v>
      </c>
      <c r="W2637" t="s">
        <v>55</v>
      </c>
      <c r="X2637" t="s">
        <v>134</v>
      </c>
      <c r="Y2637" t="s">
        <v>1485</v>
      </c>
      <c r="Z2637" t="s">
        <v>5594</v>
      </c>
      <c r="AA2637" t="s">
        <v>54</v>
      </c>
      <c r="AB2637" t="s">
        <v>1486</v>
      </c>
      <c r="AC2637" t="s">
        <v>85</v>
      </c>
      <c r="AD2637" t="s">
        <v>52</v>
      </c>
      <c r="AE2637" t="s">
        <v>243</v>
      </c>
      <c r="AF2637" t="s">
        <v>409</v>
      </c>
      <c r="AG2637" t="s">
        <v>5594</v>
      </c>
      <c r="AK2637">
        <v>1</v>
      </c>
      <c r="AL2637" t="s">
        <v>61</v>
      </c>
      <c r="AM2637" t="s">
        <v>1487</v>
      </c>
      <c r="AN2637" t="s">
        <v>1488</v>
      </c>
    </row>
    <row r="2638" spans="1:40" x14ac:dyDescent="0.35">
      <c r="A2638" t="s">
        <v>37</v>
      </c>
      <c r="B2638" t="s">
        <v>10365</v>
      </c>
      <c r="C2638" t="s">
        <v>39</v>
      </c>
      <c r="D2638" t="s">
        <v>1481</v>
      </c>
      <c r="E2638" t="s">
        <v>1316</v>
      </c>
      <c r="F2638" s="1">
        <v>46071.284178240741</v>
      </c>
      <c r="G2638" t="s">
        <v>286</v>
      </c>
      <c r="H2638" t="s">
        <v>287</v>
      </c>
      <c r="I2638" t="s">
        <v>10366</v>
      </c>
      <c r="J2638" t="s">
        <v>1483</v>
      </c>
      <c r="K2638" t="s">
        <v>1484</v>
      </c>
      <c r="M2638" t="s">
        <v>47</v>
      </c>
      <c r="O2638" t="s">
        <v>77</v>
      </c>
      <c r="P2638" t="s">
        <v>78</v>
      </c>
      <c r="Q2638" t="s">
        <v>50</v>
      </c>
      <c r="R2638" t="s">
        <v>51</v>
      </c>
      <c r="S2638" t="s">
        <v>52</v>
      </c>
      <c r="T2638" t="s">
        <v>240</v>
      </c>
      <c r="U2638" s="1">
        <v>46072.273773148147</v>
      </c>
      <c r="V2638" t="s">
        <v>54</v>
      </c>
      <c r="W2638" t="s">
        <v>55</v>
      </c>
      <c r="X2638" t="s">
        <v>134</v>
      </c>
      <c r="Y2638" t="s">
        <v>1485</v>
      </c>
      <c r="Z2638" t="s">
        <v>5594</v>
      </c>
      <c r="AA2638" t="s">
        <v>54</v>
      </c>
      <c r="AB2638" t="s">
        <v>1486</v>
      </c>
      <c r="AC2638" t="s">
        <v>85</v>
      </c>
      <c r="AD2638" t="s">
        <v>52</v>
      </c>
      <c r="AE2638" t="s">
        <v>243</v>
      </c>
      <c r="AF2638" t="s">
        <v>409</v>
      </c>
      <c r="AG2638" t="s">
        <v>5594</v>
      </c>
      <c r="AK2638">
        <v>1</v>
      </c>
      <c r="AL2638" t="s">
        <v>61</v>
      </c>
      <c r="AM2638" t="s">
        <v>1487</v>
      </c>
      <c r="AN2638" t="s">
        <v>1488</v>
      </c>
    </row>
    <row r="2639" spans="1:40" x14ac:dyDescent="0.35">
      <c r="A2639" t="s">
        <v>37</v>
      </c>
      <c r="B2639" t="s">
        <v>10367</v>
      </c>
      <c r="C2639" t="s">
        <v>39</v>
      </c>
      <c r="D2639" t="s">
        <v>295</v>
      </c>
      <c r="E2639" t="s">
        <v>10368</v>
      </c>
      <c r="F2639" s="1">
        <v>46071.240439814814</v>
      </c>
      <c r="G2639" t="s">
        <v>4421</v>
      </c>
      <c r="H2639" t="s">
        <v>43</v>
      </c>
      <c r="I2639" t="s">
        <v>10369</v>
      </c>
      <c r="J2639" t="s">
        <v>5588</v>
      </c>
      <c r="K2639" t="s">
        <v>951</v>
      </c>
      <c r="M2639" t="s">
        <v>76</v>
      </c>
      <c r="O2639" t="s">
        <v>77</v>
      </c>
      <c r="P2639" t="s">
        <v>78</v>
      </c>
      <c r="Q2639" t="s">
        <v>3204</v>
      </c>
      <c r="R2639" t="s">
        <v>79</v>
      </c>
      <c r="S2639" t="s">
        <v>1556</v>
      </c>
      <c r="T2639" t="s">
        <v>1557</v>
      </c>
      <c r="U2639" s="1">
        <v>46078.423368055555</v>
      </c>
      <c r="V2639" t="s">
        <v>54</v>
      </c>
      <c r="W2639" t="s">
        <v>55</v>
      </c>
      <c r="X2639" t="s">
        <v>134</v>
      </c>
      <c r="Y2639" t="s">
        <v>10370</v>
      </c>
      <c r="Z2639" t="s">
        <v>58</v>
      </c>
      <c r="AA2639" t="s">
        <v>54</v>
      </c>
      <c r="AB2639" t="s">
        <v>709</v>
      </c>
      <c r="AC2639" t="s">
        <v>85</v>
      </c>
      <c r="AD2639" t="s">
        <v>79</v>
      </c>
      <c r="AE2639" t="s">
        <v>1556</v>
      </c>
      <c r="AF2639" t="s">
        <v>1557</v>
      </c>
      <c r="AG2639" t="s">
        <v>58</v>
      </c>
      <c r="AH2639">
        <v>5495</v>
      </c>
      <c r="AK2639">
        <v>1</v>
      </c>
      <c r="AL2639" t="s">
        <v>61</v>
      </c>
      <c r="AM2639" t="s">
        <v>10371</v>
      </c>
      <c r="AN2639" t="s">
        <v>10372</v>
      </c>
    </row>
    <row r="2640" spans="1:40" x14ac:dyDescent="0.35">
      <c r="A2640" t="s">
        <v>37</v>
      </c>
      <c r="B2640" t="s">
        <v>10373</v>
      </c>
      <c r="C2640" t="s">
        <v>39</v>
      </c>
      <c r="D2640" t="s">
        <v>739</v>
      </c>
      <c r="E2640" t="s">
        <v>1976</v>
      </c>
      <c r="F2640" s="1">
        <v>46071.216041666667</v>
      </c>
      <c r="G2640" t="s">
        <v>722</v>
      </c>
      <c r="H2640" t="s">
        <v>356</v>
      </c>
      <c r="I2640" t="s">
        <v>10374</v>
      </c>
      <c r="J2640" t="s">
        <v>1337</v>
      </c>
      <c r="K2640" t="s">
        <v>951</v>
      </c>
      <c r="M2640" t="s">
        <v>76</v>
      </c>
      <c r="O2640" t="s">
        <v>77</v>
      </c>
      <c r="P2640" t="s">
        <v>78</v>
      </c>
      <c r="Q2640" t="s">
        <v>50</v>
      </c>
      <c r="R2640" t="s">
        <v>79</v>
      </c>
      <c r="S2640" t="s">
        <v>2748</v>
      </c>
      <c r="T2640" t="s">
        <v>2746</v>
      </c>
      <c r="U2640" s="1">
        <v>46078.430694444447</v>
      </c>
      <c r="V2640" t="s">
        <v>54</v>
      </c>
      <c r="W2640" t="s">
        <v>55</v>
      </c>
      <c r="X2640" t="s">
        <v>134</v>
      </c>
      <c r="Y2640" t="e">
        <f>- laptop provided to the user, and profile configured.  - CMDB updated.</f>
        <v>#NAME?</v>
      </c>
      <c r="Z2640" t="s">
        <v>58</v>
      </c>
      <c r="AA2640" t="s">
        <v>54</v>
      </c>
      <c r="AB2640" t="s">
        <v>709</v>
      </c>
      <c r="AC2640" t="s">
        <v>85</v>
      </c>
      <c r="AD2640" t="s">
        <v>79</v>
      </c>
      <c r="AE2640" t="s">
        <v>10053</v>
      </c>
      <c r="AF2640" t="s">
        <v>10054</v>
      </c>
      <c r="AG2640" t="s">
        <v>58</v>
      </c>
      <c r="AH2640">
        <v>11843</v>
      </c>
      <c r="AJ2640">
        <v>191686</v>
      </c>
      <c r="AK2640">
        <v>5</v>
      </c>
      <c r="AL2640" t="s">
        <v>61</v>
      </c>
      <c r="AM2640" t="s">
        <v>1979</v>
      </c>
      <c r="AN2640" t="s">
        <v>1980</v>
      </c>
    </row>
    <row r="2641" spans="1:40" x14ac:dyDescent="0.35">
      <c r="A2641" t="s">
        <v>37</v>
      </c>
      <c r="B2641" t="s">
        <v>10375</v>
      </c>
      <c r="C2641" t="s">
        <v>39</v>
      </c>
      <c r="D2641" t="s">
        <v>444</v>
      </c>
      <c r="E2641" t="s">
        <v>90</v>
      </c>
      <c r="F2641" s="1">
        <v>46071.21361111111</v>
      </c>
      <c r="G2641" t="s">
        <v>793</v>
      </c>
      <c r="H2641" t="s">
        <v>356</v>
      </c>
      <c r="I2641" t="s">
        <v>10374</v>
      </c>
      <c r="J2641" t="s">
        <v>1337</v>
      </c>
      <c r="K2641" t="s">
        <v>951</v>
      </c>
      <c r="M2641" t="s">
        <v>76</v>
      </c>
      <c r="O2641" t="s">
        <v>77</v>
      </c>
      <c r="P2641" t="s">
        <v>78</v>
      </c>
      <c r="Q2641" t="s">
        <v>50</v>
      </c>
      <c r="R2641" t="s">
        <v>79</v>
      </c>
      <c r="S2641" t="s">
        <v>2748</v>
      </c>
      <c r="T2641" t="s">
        <v>2746</v>
      </c>
      <c r="U2641" s="1">
        <v>46078.376273148147</v>
      </c>
      <c r="V2641" t="s">
        <v>54</v>
      </c>
      <c r="W2641" t="s">
        <v>55</v>
      </c>
      <c r="X2641" t="s">
        <v>134</v>
      </c>
      <c r="Y2641" t="e">
        <f>- laptop provided to the user, and profile configured.  - CMDB updated.</f>
        <v>#NAME?</v>
      </c>
      <c r="Z2641" t="s">
        <v>58</v>
      </c>
      <c r="AA2641" t="s">
        <v>54</v>
      </c>
      <c r="AB2641" t="s">
        <v>709</v>
      </c>
      <c r="AC2641" t="s">
        <v>85</v>
      </c>
      <c r="AD2641" t="s">
        <v>79</v>
      </c>
      <c r="AE2641" t="s">
        <v>10053</v>
      </c>
      <c r="AF2641" t="s">
        <v>10054</v>
      </c>
      <c r="AG2641" t="s">
        <v>58</v>
      </c>
      <c r="AH2641">
        <v>14495</v>
      </c>
      <c r="AJ2641">
        <v>191688</v>
      </c>
      <c r="AK2641">
        <v>11</v>
      </c>
      <c r="AL2641" t="s">
        <v>61</v>
      </c>
      <c r="AM2641" t="s">
        <v>6472</v>
      </c>
      <c r="AN2641" t="s">
        <v>6473</v>
      </c>
    </row>
    <row r="2642" spans="1:40" x14ac:dyDescent="0.35">
      <c r="A2642" t="s">
        <v>37</v>
      </c>
      <c r="B2642" t="s">
        <v>10376</v>
      </c>
      <c r="C2642" t="s">
        <v>39</v>
      </c>
      <c r="D2642" t="s">
        <v>1646</v>
      </c>
      <c r="E2642" t="s">
        <v>1647</v>
      </c>
      <c r="F2642" s="1">
        <v>46071.146539351852</v>
      </c>
      <c r="G2642" t="s">
        <v>355</v>
      </c>
      <c r="H2642" t="s">
        <v>356</v>
      </c>
      <c r="I2642" t="s">
        <v>7834</v>
      </c>
      <c r="J2642" t="s">
        <v>1649</v>
      </c>
      <c r="K2642" t="s">
        <v>1650</v>
      </c>
      <c r="M2642" t="s">
        <v>47</v>
      </c>
      <c r="O2642" t="s">
        <v>77</v>
      </c>
      <c r="P2642" t="s">
        <v>78</v>
      </c>
      <c r="Q2642" t="s">
        <v>50</v>
      </c>
      <c r="R2642" t="s">
        <v>79</v>
      </c>
      <c r="S2642" t="s">
        <v>1556</v>
      </c>
      <c r="T2642" t="s">
        <v>1557</v>
      </c>
      <c r="U2642" s="1">
        <v>46072.005254629628</v>
      </c>
      <c r="V2642" t="s">
        <v>54</v>
      </c>
      <c r="W2642" t="s">
        <v>55</v>
      </c>
      <c r="X2642" t="s">
        <v>134</v>
      </c>
      <c r="Y2642" t="s">
        <v>10377</v>
      </c>
      <c r="Z2642" t="s">
        <v>5594</v>
      </c>
      <c r="AA2642" t="s">
        <v>54</v>
      </c>
      <c r="AB2642" t="s">
        <v>709</v>
      </c>
      <c r="AC2642" t="s">
        <v>85</v>
      </c>
      <c r="AD2642" t="s">
        <v>79</v>
      </c>
      <c r="AE2642" t="s">
        <v>1556</v>
      </c>
      <c r="AF2642" t="s">
        <v>1557</v>
      </c>
      <c r="AG2642" t="s">
        <v>5594</v>
      </c>
      <c r="AH2642" t="s">
        <v>1652</v>
      </c>
      <c r="AK2642">
        <v>1</v>
      </c>
      <c r="AL2642" t="s">
        <v>61</v>
      </c>
      <c r="AM2642" t="s">
        <v>1653</v>
      </c>
      <c r="AN2642" t="s">
        <v>1654</v>
      </c>
    </row>
    <row r="2643" spans="1:40" x14ac:dyDescent="0.35">
      <c r="A2643" t="s">
        <v>37</v>
      </c>
      <c r="B2643" t="s">
        <v>10378</v>
      </c>
      <c r="C2643" t="s">
        <v>39</v>
      </c>
      <c r="D2643" t="s">
        <v>2403</v>
      </c>
      <c r="E2643" t="s">
        <v>2404</v>
      </c>
      <c r="F2643" s="1">
        <v>46071.126620370371</v>
      </c>
      <c r="G2643" t="s">
        <v>71</v>
      </c>
      <c r="H2643" t="s">
        <v>72</v>
      </c>
      <c r="I2643" t="s">
        <v>8643</v>
      </c>
      <c r="J2643" t="s">
        <v>435</v>
      </c>
      <c r="K2643" t="s">
        <v>436</v>
      </c>
      <c r="M2643" t="s">
        <v>47</v>
      </c>
      <c r="O2643" t="s">
        <v>77</v>
      </c>
      <c r="P2643" t="s">
        <v>78</v>
      </c>
      <c r="Q2643" t="s">
        <v>818</v>
      </c>
      <c r="R2643" t="s">
        <v>51</v>
      </c>
      <c r="S2643" t="s">
        <v>52</v>
      </c>
      <c r="T2643" t="s">
        <v>240</v>
      </c>
      <c r="U2643" s="1">
        <v>46072.531828703701</v>
      </c>
      <c r="V2643" t="s">
        <v>54</v>
      </c>
      <c r="W2643" t="s">
        <v>55</v>
      </c>
      <c r="X2643" t="s">
        <v>134</v>
      </c>
      <c r="Y2643" t="s">
        <v>10379</v>
      </c>
      <c r="Z2643" t="s">
        <v>5594</v>
      </c>
      <c r="AA2643" t="s">
        <v>54</v>
      </c>
      <c r="AB2643" t="s">
        <v>709</v>
      </c>
      <c r="AC2643" t="s">
        <v>85</v>
      </c>
      <c r="AD2643" t="s">
        <v>52</v>
      </c>
      <c r="AE2643" t="s">
        <v>438</v>
      </c>
      <c r="AF2643" t="s">
        <v>775</v>
      </c>
      <c r="AG2643" t="s">
        <v>5594</v>
      </c>
      <c r="AH2643" t="s">
        <v>2410</v>
      </c>
      <c r="AK2643">
        <v>1</v>
      </c>
      <c r="AL2643" t="s">
        <v>61</v>
      </c>
      <c r="AM2643" t="s">
        <v>2411</v>
      </c>
      <c r="AN2643" t="s">
        <v>2412</v>
      </c>
    </row>
    <row r="2644" spans="1:40" x14ac:dyDescent="0.35">
      <c r="A2644" t="s">
        <v>37</v>
      </c>
      <c r="B2644" t="s">
        <v>10380</v>
      </c>
      <c r="C2644" t="s">
        <v>39</v>
      </c>
      <c r="D2644" t="s">
        <v>3010</v>
      </c>
      <c r="E2644" t="s">
        <v>10381</v>
      </c>
      <c r="F2644" s="1">
        <v>46071.117939814816</v>
      </c>
      <c r="G2644" t="s">
        <v>250</v>
      </c>
      <c r="H2644" t="s">
        <v>106</v>
      </c>
      <c r="I2644" t="s">
        <v>1057</v>
      </c>
      <c r="J2644" t="s">
        <v>455</v>
      </c>
      <c r="K2644" t="s">
        <v>436</v>
      </c>
      <c r="M2644" t="s">
        <v>47</v>
      </c>
      <c r="O2644" t="s">
        <v>77</v>
      </c>
      <c r="P2644" t="s">
        <v>78</v>
      </c>
      <c r="Q2644" t="s">
        <v>10382</v>
      </c>
      <c r="R2644" t="s">
        <v>51</v>
      </c>
      <c r="S2644" t="s">
        <v>52</v>
      </c>
      <c r="T2644" t="s">
        <v>240</v>
      </c>
      <c r="U2644" s="1">
        <v>46073.405682870369</v>
      </c>
      <c r="V2644" t="s">
        <v>54</v>
      </c>
      <c r="W2644" t="s">
        <v>55</v>
      </c>
      <c r="X2644" t="s">
        <v>134</v>
      </c>
      <c r="Y2644" t="s">
        <v>10383</v>
      </c>
      <c r="Z2644" t="s">
        <v>5594</v>
      </c>
      <c r="AA2644" t="s">
        <v>54</v>
      </c>
      <c r="AB2644" t="s">
        <v>709</v>
      </c>
      <c r="AC2644" t="s">
        <v>85</v>
      </c>
      <c r="AD2644" t="s">
        <v>52</v>
      </c>
      <c r="AE2644" t="s">
        <v>438</v>
      </c>
      <c r="AF2644" t="s">
        <v>439</v>
      </c>
      <c r="AG2644" t="s">
        <v>5594</v>
      </c>
      <c r="AH2644">
        <v>5285</v>
      </c>
      <c r="AK2644">
        <v>1</v>
      </c>
      <c r="AL2644" t="s">
        <v>61</v>
      </c>
      <c r="AM2644" t="s">
        <v>10384</v>
      </c>
      <c r="AN2644" t="s">
        <v>10385</v>
      </c>
    </row>
    <row r="2645" spans="1:40" x14ac:dyDescent="0.35">
      <c r="A2645" t="s">
        <v>37</v>
      </c>
      <c r="B2645" t="s">
        <v>10386</v>
      </c>
      <c r="C2645" t="s">
        <v>39</v>
      </c>
      <c r="D2645" t="s">
        <v>10387</v>
      </c>
      <c r="E2645" t="s">
        <v>10388</v>
      </c>
      <c r="F2645" s="1">
        <v>46071.076921296299</v>
      </c>
      <c r="G2645" t="s">
        <v>42</v>
      </c>
      <c r="H2645" t="s">
        <v>43</v>
      </c>
      <c r="I2645" t="s">
        <v>10389</v>
      </c>
      <c r="J2645" t="s">
        <v>1186</v>
      </c>
      <c r="K2645" t="s">
        <v>1187</v>
      </c>
      <c r="M2645" t="s">
        <v>47</v>
      </c>
      <c r="O2645" t="s">
        <v>77</v>
      </c>
      <c r="P2645" t="s">
        <v>78</v>
      </c>
      <c r="Q2645" t="s">
        <v>50</v>
      </c>
      <c r="R2645" t="s">
        <v>305</v>
      </c>
      <c r="S2645" t="s">
        <v>306</v>
      </c>
      <c r="T2645" t="s">
        <v>307</v>
      </c>
      <c r="U2645" s="1">
        <v>46073.586805555555</v>
      </c>
      <c r="V2645" t="s">
        <v>54</v>
      </c>
      <c r="W2645" t="s">
        <v>55</v>
      </c>
      <c r="X2645" t="s">
        <v>211</v>
      </c>
      <c r="Y2645" t="s">
        <v>1188</v>
      </c>
      <c r="Z2645" t="s">
        <v>5594</v>
      </c>
      <c r="AA2645" t="s">
        <v>54</v>
      </c>
      <c r="AB2645" t="s">
        <v>213</v>
      </c>
      <c r="AC2645" t="s">
        <v>85</v>
      </c>
      <c r="AD2645" t="s">
        <v>1189</v>
      </c>
      <c r="AE2645" t="s">
        <v>1190</v>
      </c>
      <c r="AF2645" t="s">
        <v>1191</v>
      </c>
      <c r="AG2645" t="s">
        <v>5594</v>
      </c>
      <c r="AH2645" t="s">
        <v>10390</v>
      </c>
      <c r="AK2645">
        <v>9</v>
      </c>
      <c r="AL2645" t="s">
        <v>61</v>
      </c>
      <c r="AM2645" t="s">
        <v>10391</v>
      </c>
      <c r="AN2645" t="s">
        <v>10392</v>
      </c>
    </row>
    <row r="2646" spans="1:40" x14ac:dyDescent="0.35">
      <c r="A2646" t="s">
        <v>37</v>
      </c>
      <c r="B2646" t="s">
        <v>10393</v>
      </c>
      <c r="C2646" t="s">
        <v>39</v>
      </c>
      <c r="D2646" t="s">
        <v>545</v>
      </c>
      <c r="E2646" t="s">
        <v>546</v>
      </c>
      <c r="F2646" s="1">
        <v>46071.076249999998</v>
      </c>
      <c r="G2646" t="s">
        <v>42</v>
      </c>
      <c r="H2646" t="s">
        <v>43</v>
      </c>
      <c r="I2646" t="s">
        <v>1446</v>
      </c>
      <c r="J2646" t="s">
        <v>1015</v>
      </c>
      <c r="K2646" t="s">
        <v>75</v>
      </c>
      <c r="M2646" t="s">
        <v>76</v>
      </c>
      <c r="O2646" t="s">
        <v>77</v>
      </c>
      <c r="P2646" t="s">
        <v>78</v>
      </c>
      <c r="Q2646" t="s">
        <v>50</v>
      </c>
      <c r="R2646" t="s">
        <v>305</v>
      </c>
      <c r="S2646" t="s">
        <v>306</v>
      </c>
      <c r="T2646" t="s">
        <v>307</v>
      </c>
      <c r="U2646" s="1">
        <v>46077.555613425924</v>
      </c>
      <c r="V2646" t="s">
        <v>54</v>
      </c>
      <c r="W2646" t="s">
        <v>55</v>
      </c>
      <c r="X2646" t="s">
        <v>211</v>
      </c>
      <c r="Y2646" t="s">
        <v>10394</v>
      </c>
      <c r="Z2646" t="s">
        <v>58</v>
      </c>
      <c r="AA2646" t="s">
        <v>54</v>
      </c>
      <c r="AB2646" t="s">
        <v>213</v>
      </c>
      <c r="AC2646" t="s">
        <v>85</v>
      </c>
      <c r="AD2646" t="s">
        <v>79</v>
      </c>
      <c r="AE2646" t="s">
        <v>1016</v>
      </c>
      <c r="AF2646" t="s">
        <v>4181</v>
      </c>
      <c r="AG2646" t="s">
        <v>58</v>
      </c>
      <c r="AH2646">
        <v>14570</v>
      </c>
      <c r="AK2646">
        <v>12</v>
      </c>
      <c r="AL2646" t="s">
        <v>61</v>
      </c>
      <c r="AM2646" t="s">
        <v>552</v>
      </c>
      <c r="AN2646" t="s">
        <v>553</v>
      </c>
    </row>
    <row r="2647" spans="1:40" x14ac:dyDescent="0.35">
      <c r="A2647" t="s">
        <v>37</v>
      </c>
      <c r="B2647" t="s">
        <v>10395</v>
      </c>
      <c r="C2647" t="s">
        <v>102</v>
      </c>
      <c r="D2647" t="s">
        <v>103</v>
      </c>
      <c r="E2647" t="s">
        <v>104</v>
      </c>
      <c r="F2647" s="1">
        <v>46070.977013888885</v>
      </c>
      <c r="G2647" t="s">
        <v>105</v>
      </c>
      <c r="H2647" t="s">
        <v>106</v>
      </c>
      <c r="I2647" t="s">
        <v>10396</v>
      </c>
      <c r="J2647" t="s">
        <v>108</v>
      </c>
      <c r="K2647" t="s">
        <v>109</v>
      </c>
      <c r="M2647" t="s">
        <v>47</v>
      </c>
      <c r="O2647" t="s">
        <v>77</v>
      </c>
      <c r="P2647" t="s">
        <v>78</v>
      </c>
      <c r="Q2647" t="s">
        <v>110</v>
      </c>
      <c r="R2647" t="s">
        <v>111</v>
      </c>
      <c r="S2647" t="s">
        <v>51</v>
      </c>
      <c r="T2647" t="s">
        <v>1583</v>
      </c>
      <c r="U2647" s="1">
        <v>46072.080995370372</v>
      </c>
      <c r="V2647" t="s">
        <v>54</v>
      </c>
      <c r="W2647" t="s">
        <v>1584</v>
      </c>
      <c r="X2647" t="s">
        <v>113</v>
      </c>
      <c r="Y2647" t="s">
        <v>10397</v>
      </c>
      <c r="Z2647" t="s">
        <v>5594</v>
      </c>
      <c r="AA2647" t="s">
        <v>54</v>
      </c>
      <c r="AB2647" t="s">
        <v>115</v>
      </c>
      <c r="AC2647" t="s">
        <v>85</v>
      </c>
      <c r="AD2647" t="s">
        <v>116</v>
      </c>
      <c r="AE2647" t="s">
        <v>1586</v>
      </c>
      <c r="AF2647" t="s">
        <v>5119</v>
      </c>
      <c r="AG2647" t="s">
        <v>5594</v>
      </c>
      <c r="AH2647">
        <v>5928</v>
      </c>
      <c r="AK2647">
        <v>1</v>
      </c>
      <c r="AL2647" t="s">
        <v>61</v>
      </c>
      <c r="AM2647" t="s">
        <v>119</v>
      </c>
      <c r="AN2647" t="s">
        <v>120</v>
      </c>
    </row>
    <row r="2648" spans="1:40" x14ac:dyDescent="0.35">
      <c r="A2648" t="s">
        <v>37</v>
      </c>
      <c r="B2648" t="s">
        <v>10398</v>
      </c>
      <c r="C2648" t="s">
        <v>102</v>
      </c>
      <c r="D2648" t="s">
        <v>103</v>
      </c>
      <c r="E2648" t="s">
        <v>104</v>
      </c>
      <c r="F2648" s="1">
        <v>46070.976446759261</v>
      </c>
      <c r="G2648" t="s">
        <v>105</v>
      </c>
      <c r="H2648" t="s">
        <v>106</v>
      </c>
      <c r="I2648" t="s">
        <v>10399</v>
      </c>
      <c r="J2648" t="s">
        <v>108</v>
      </c>
      <c r="K2648" t="s">
        <v>109</v>
      </c>
      <c r="M2648" t="s">
        <v>47</v>
      </c>
      <c r="O2648" t="s">
        <v>77</v>
      </c>
      <c r="P2648" t="s">
        <v>78</v>
      </c>
      <c r="Q2648" t="s">
        <v>110</v>
      </c>
      <c r="R2648" t="s">
        <v>111</v>
      </c>
      <c r="S2648" t="s">
        <v>51</v>
      </c>
      <c r="T2648" t="s">
        <v>1583</v>
      </c>
      <c r="U2648" s="1">
        <v>46072.49591435185</v>
      </c>
      <c r="V2648" t="s">
        <v>54</v>
      </c>
      <c r="W2648" t="s">
        <v>1584</v>
      </c>
      <c r="X2648" t="s">
        <v>113</v>
      </c>
      <c r="Y2648" t="s">
        <v>10400</v>
      </c>
      <c r="Z2648" t="s">
        <v>5594</v>
      </c>
      <c r="AA2648" t="s">
        <v>54</v>
      </c>
      <c r="AB2648" t="s">
        <v>115</v>
      </c>
      <c r="AC2648" t="s">
        <v>85</v>
      </c>
      <c r="AD2648" t="s">
        <v>116</v>
      </c>
      <c r="AE2648" t="s">
        <v>1586</v>
      </c>
      <c r="AF2648" t="s">
        <v>3110</v>
      </c>
      <c r="AG2648" t="s">
        <v>5594</v>
      </c>
      <c r="AH2648">
        <v>5928</v>
      </c>
      <c r="AK2648">
        <v>1</v>
      </c>
      <c r="AL2648" t="s">
        <v>61</v>
      </c>
      <c r="AM2648" t="s">
        <v>119</v>
      </c>
      <c r="AN2648" t="s">
        <v>120</v>
      </c>
    </row>
    <row r="2649" spans="1:40" x14ac:dyDescent="0.35">
      <c r="A2649" t="s">
        <v>37</v>
      </c>
      <c r="B2649" t="s">
        <v>10401</v>
      </c>
      <c r="C2649" t="s">
        <v>102</v>
      </c>
      <c r="D2649" t="s">
        <v>103</v>
      </c>
      <c r="E2649" t="s">
        <v>104</v>
      </c>
      <c r="F2649" s="1">
        <v>46070.975995370369</v>
      </c>
      <c r="G2649" t="s">
        <v>105</v>
      </c>
      <c r="H2649" t="s">
        <v>106</v>
      </c>
      <c r="I2649" t="s">
        <v>10402</v>
      </c>
      <c r="J2649" t="s">
        <v>108</v>
      </c>
      <c r="K2649" t="s">
        <v>109</v>
      </c>
      <c r="M2649" t="s">
        <v>47</v>
      </c>
      <c r="O2649" t="s">
        <v>77</v>
      </c>
      <c r="P2649" t="s">
        <v>78</v>
      </c>
      <c r="Q2649" t="s">
        <v>110</v>
      </c>
      <c r="R2649" t="s">
        <v>111</v>
      </c>
      <c r="S2649" t="s">
        <v>51</v>
      </c>
      <c r="T2649" t="s">
        <v>1583</v>
      </c>
      <c r="U2649" s="1">
        <v>46072.080625000002</v>
      </c>
      <c r="V2649" t="s">
        <v>54</v>
      </c>
      <c r="W2649" t="s">
        <v>1584</v>
      </c>
      <c r="X2649" t="s">
        <v>113</v>
      </c>
      <c r="Y2649" t="s">
        <v>10403</v>
      </c>
      <c r="Z2649" t="s">
        <v>5594</v>
      </c>
      <c r="AA2649" t="s">
        <v>54</v>
      </c>
      <c r="AB2649" t="s">
        <v>115</v>
      </c>
      <c r="AC2649" t="s">
        <v>85</v>
      </c>
      <c r="AD2649" t="s">
        <v>116</v>
      </c>
      <c r="AE2649" t="s">
        <v>1586</v>
      </c>
      <c r="AF2649" t="s">
        <v>3110</v>
      </c>
      <c r="AG2649" t="s">
        <v>5594</v>
      </c>
      <c r="AH2649">
        <v>5928</v>
      </c>
      <c r="AK2649">
        <v>1</v>
      </c>
      <c r="AL2649" t="s">
        <v>61</v>
      </c>
      <c r="AM2649" t="s">
        <v>119</v>
      </c>
      <c r="AN2649" t="s">
        <v>120</v>
      </c>
    </row>
    <row r="2650" spans="1:40" x14ac:dyDescent="0.35">
      <c r="A2650" t="s">
        <v>37</v>
      </c>
      <c r="B2650" t="s">
        <v>10404</v>
      </c>
      <c r="C2650" t="s">
        <v>102</v>
      </c>
      <c r="D2650" t="s">
        <v>103</v>
      </c>
      <c r="E2650" t="s">
        <v>104</v>
      </c>
      <c r="F2650" s="1">
        <v>46070.975057870368</v>
      </c>
      <c r="G2650" t="s">
        <v>105</v>
      </c>
      <c r="H2650" t="s">
        <v>106</v>
      </c>
      <c r="I2650" t="s">
        <v>10405</v>
      </c>
      <c r="J2650" t="s">
        <v>108</v>
      </c>
      <c r="K2650" t="s">
        <v>109</v>
      </c>
      <c r="M2650" t="s">
        <v>47</v>
      </c>
      <c r="O2650" t="s">
        <v>77</v>
      </c>
      <c r="P2650" t="s">
        <v>78</v>
      </c>
      <c r="Q2650" t="s">
        <v>110</v>
      </c>
      <c r="R2650" t="s">
        <v>111</v>
      </c>
      <c r="S2650" t="s">
        <v>51</v>
      </c>
      <c r="T2650" t="s">
        <v>1583</v>
      </c>
      <c r="U2650" s="1">
        <v>46072.08016203704</v>
      </c>
      <c r="V2650" t="s">
        <v>54</v>
      </c>
      <c r="W2650" t="s">
        <v>1584</v>
      </c>
      <c r="X2650" t="s">
        <v>113</v>
      </c>
      <c r="Y2650" t="s">
        <v>10406</v>
      </c>
      <c r="Z2650" t="s">
        <v>5594</v>
      </c>
      <c r="AA2650" t="s">
        <v>54</v>
      </c>
      <c r="AB2650" t="s">
        <v>115</v>
      </c>
      <c r="AC2650" t="s">
        <v>85</v>
      </c>
      <c r="AD2650" t="s">
        <v>116</v>
      </c>
      <c r="AE2650" t="s">
        <v>1586</v>
      </c>
      <c r="AF2650" t="s">
        <v>3110</v>
      </c>
      <c r="AG2650" t="s">
        <v>5594</v>
      </c>
      <c r="AH2650">
        <v>5928</v>
      </c>
      <c r="AK2650">
        <v>1</v>
      </c>
      <c r="AL2650" t="s">
        <v>61</v>
      </c>
      <c r="AM2650" t="s">
        <v>119</v>
      </c>
      <c r="AN2650" t="s">
        <v>120</v>
      </c>
    </row>
    <row r="2651" spans="1:40" x14ac:dyDescent="0.35">
      <c r="A2651" t="s">
        <v>37</v>
      </c>
      <c r="B2651" t="s">
        <v>10407</v>
      </c>
      <c r="C2651" t="s">
        <v>102</v>
      </c>
      <c r="D2651" t="s">
        <v>103</v>
      </c>
      <c r="E2651" t="s">
        <v>104</v>
      </c>
      <c r="F2651" s="1">
        <v>46070.973634259259</v>
      </c>
      <c r="G2651" t="s">
        <v>105</v>
      </c>
      <c r="H2651" t="s">
        <v>106</v>
      </c>
      <c r="I2651" t="s">
        <v>10408</v>
      </c>
      <c r="J2651" t="s">
        <v>108</v>
      </c>
      <c r="K2651" t="s">
        <v>109</v>
      </c>
      <c r="M2651" t="s">
        <v>47</v>
      </c>
      <c r="O2651" t="s">
        <v>77</v>
      </c>
      <c r="P2651" t="s">
        <v>78</v>
      </c>
      <c r="Q2651" t="s">
        <v>110</v>
      </c>
      <c r="R2651" t="s">
        <v>111</v>
      </c>
      <c r="S2651" t="s">
        <v>51</v>
      </c>
      <c r="T2651" t="s">
        <v>1583</v>
      </c>
      <c r="U2651" s="1">
        <v>46072.079513888886</v>
      </c>
      <c r="V2651" t="s">
        <v>54</v>
      </c>
      <c r="W2651" t="s">
        <v>1584</v>
      </c>
      <c r="X2651" t="s">
        <v>113</v>
      </c>
      <c r="Y2651" t="s">
        <v>10409</v>
      </c>
      <c r="Z2651" t="s">
        <v>5594</v>
      </c>
      <c r="AA2651" t="s">
        <v>54</v>
      </c>
      <c r="AB2651" t="s">
        <v>115</v>
      </c>
      <c r="AC2651" t="s">
        <v>85</v>
      </c>
      <c r="AD2651" t="s">
        <v>116</v>
      </c>
      <c r="AE2651" t="s">
        <v>1586</v>
      </c>
      <c r="AF2651" t="s">
        <v>3110</v>
      </c>
      <c r="AG2651" t="s">
        <v>5594</v>
      </c>
      <c r="AH2651">
        <v>5928</v>
      </c>
      <c r="AK2651">
        <v>1</v>
      </c>
      <c r="AL2651" t="s">
        <v>61</v>
      </c>
      <c r="AM2651" t="s">
        <v>119</v>
      </c>
      <c r="AN2651" t="s">
        <v>120</v>
      </c>
    </row>
    <row r="2652" spans="1:40" x14ac:dyDescent="0.35">
      <c r="A2652" t="s">
        <v>37</v>
      </c>
      <c r="B2652" t="s">
        <v>10410</v>
      </c>
      <c r="C2652" t="s">
        <v>102</v>
      </c>
      <c r="D2652" t="s">
        <v>103</v>
      </c>
      <c r="E2652" t="s">
        <v>104</v>
      </c>
      <c r="F2652" s="1">
        <v>46070.97314814815</v>
      </c>
      <c r="G2652" t="s">
        <v>105</v>
      </c>
      <c r="H2652" t="s">
        <v>106</v>
      </c>
      <c r="I2652" t="s">
        <v>7406</v>
      </c>
      <c r="J2652" t="s">
        <v>108</v>
      </c>
      <c r="K2652" t="s">
        <v>109</v>
      </c>
      <c r="M2652" t="s">
        <v>76</v>
      </c>
      <c r="O2652" t="s">
        <v>77</v>
      </c>
      <c r="P2652" t="s">
        <v>78</v>
      </c>
      <c r="Q2652" t="s">
        <v>110</v>
      </c>
      <c r="R2652" t="s">
        <v>111</v>
      </c>
      <c r="S2652" t="s">
        <v>51</v>
      </c>
      <c r="T2652" t="s">
        <v>1583</v>
      </c>
      <c r="U2652" s="1">
        <v>46077.992523148147</v>
      </c>
      <c r="V2652" t="s">
        <v>54</v>
      </c>
      <c r="W2652" t="s">
        <v>1584</v>
      </c>
      <c r="X2652" t="s">
        <v>113</v>
      </c>
      <c r="Y2652" t="s">
        <v>10411</v>
      </c>
      <c r="Z2652" t="s">
        <v>58</v>
      </c>
      <c r="AA2652" t="s">
        <v>54</v>
      </c>
      <c r="AB2652" t="s">
        <v>115</v>
      </c>
      <c r="AC2652" t="s">
        <v>85</v>
      </c>
      <c r="AD2652" t="s">
        <v>116</v>
      </c>
      <c r="AE2652" t="s">
        <v>1586</v>
      </c>
      <c r="AF2652" t="s">
        <v>5119</v>
      </c>
      <c r="AG2652" t="s">
        <v>58</v>
      </c>
      <c r="AH2652">
        <v>5928</v>
      </c>
      <c r="AK2652">
        <v>1</v>
      </c>
      <c r="AL2652" t="s">
        <v>61</v>
      </c>
      <c r="AM2652" t="s">
        <v>119</v>
      </c>
      <c r="AN2652" t="s">
        <v>120</v>
      </c>
    </row>
    <row r="2653" spans="1:40" x14ac:dyDescent="0.35">
      <c r="A2653" t="s">
        <v>37</v>
      </c>
      <c r="B2653" t="s">
        <v>10412</v>
      </c>
      <c r="C2653" t="s">
        <v>102</v>
      </c>
      <c r="D2653" t="s">
        <v>103</v>
      </c>
      <c r="E2653" t="s">
        <v>104</v>
      </c>
      <c r="F2653" s="1">
        <v>46070.971608796295</v>
      </c>
      <c r="G2653" t="s">
        <v>105</v>
      </c>
      <c r="H2653" t="s">
        <v>106</v>
      </c>
      <c r="I2653" t="s">
        <v>10413</v>
      </c>
      <c r="J2653" t="s">
        <v>108</v>
      </c>
      <c r="K2653" t="s">
        <v>109</v>
      </c>
      <c r="M2653" t="s">
        <v>47</v>
      </c>
      <c r="O2653" t="s">
        <v>77</v>
      </c>
      <c r="P2653" t="s">
        <v>78</v>
      </c>
      <c r="Q2653" t="s">
        <v>110</v>
      </c>
      <c r="R2653" t="s">
        <v>111</v>
      </c>
      <c r="S2653" t="s">
        <v>51</v>
      </c>
      <c r="T2653" t="s">
        <v>1583</v>
      </c>
      <c r="U2653" s="1">
        <v>46072.55672453704</v>
      </c>
      <c r="V2653" t="s">
        <v>54</v>
      </c>
      <c r="W2653" t="s">
        <v>1584</v>
      </c>
      <c r="X2653" t="s">
        <v>113</v>
      </c>
      <c r="Y2653" t="s">
        <v>10414</v>
      </c>
      <c r="Z2653" t="s">
        <v>5594</v>
      </c>
      <c r="AA2653" t="s">
        <v>54</v>
      </c>
      <c r="AB2653" t="s">
        <v>115</v>
      </c>
      <c r="AC2653" t="s">
        <v>85</v>
      </c>
      <c r="AD2653" t="s">
        <v>116</v>
      </c>
      <c r="AE2653" t="s">
        <v>1586</v>
      </c>
      <c r="AF2653" t="s">
        <v>196</v>
      </c>
      <c r="AG2653" t="s">
        <v>5594</v>
      </c>
      <c r="AH2653">
        <v>5928</v>
      </c>
      <c r="AK2653">
        <v>1</v>
      </c>
      <c r="AL2653" t="s">
        <v>61</v>
      </c>
      <c r="AM2653" t="s">
        <v>119</v>
      </c>
      <c r="AN2653" t="s">
        <v>120</v>
      </c>
    </row>
    <row r="2654" spans="1:40" x14ac:dyDescent="0.35">
      <c r="A2654" t="s">
        <v>37</v>
      </c>
      <c r="B2654" t="s">
        <v>10415</v>
      </c>
      <c r="C2654" t="s">
        <v>102</v>
      </c>
      <c r="D2654" t="s">
        <v>103</v>
      </c>
      <c r="E2654" t="s">
        <v>104</v>
      </c>
      <c r="F2654" s="1">
        <v>46070.964502314811</v>
      </c>
      <c r="G2654" t="s">
        <v>105</v>
      </c>
      <c r="H2654" t="s">
        <v>106</v>
      </c>
      <c r="I2654" t="s">
        <v>10416</v>
      </c>
      <c r="J2654" t="s">
        <v>108</v>
      </c>
      <c r="K2654" t="s">
        <v>109</v>
      </c>
      <c r="M2654" t="s">
        <v>47</v>
      </c>
      <c r="O2654" t="s">
        <v>77</v>
      </c>
      <c r="P2654" t="s">
        <v>78</v>
      </c>
      <c r="Q2654" t="s">
        <v>110</v>
      </c>
      <c r="R2654" t="s">
        <v>111</v>
      </c>
      <c r="S2654" t="s">
        <v>51</v>
      </c>
      <c r="T2654" t="s">
        <v>1583</v>
      </c>
      <c r="U2654" s="1">
        <v>46072.079212962963</v>
      </c>
      <c r="V2654" t="s">
        <v>54</v>
      </c>
      <c r="W2654" t="s">
        <v>1584</v>
      </c>
      <c r="X2654" t="s">
        <v>113</v>
      </c>
      <c r="Y2654" t="s">
        <v>10417</v>
      </c>
      <c r="Z2654" t="s">
        <v>5594</v>
      </c>
      <c r="AA2654" t="s">
        <v>54</v>
      </c>
      <c r="AB2654" t="s">
        <v>115</v>
      </c>
      <c r="AC2654" t="s">
        <v>85</v>
      </c>
      <c r="AD2654" t="s">
        <v>116</v>
      </c>
      <c r="AE2654" t="s">
        <v>1586</v>
      </c>
      <c r="AF2654" t="s">
        <v>3110</v>
      </c>
      <c r="AG2654" t="s">
        <v>5594</v>
      </c>
      <c r="AH2654">
        <v>5928</v>
      </c>
      <c r="AK2654">
        <v>1</v>
      </c>
      <c r="AL2654" t="s">
        <v>61</v>
      </c>
      <c r="AM2654" t="s">
        <v>119</v>
      </c>
      <c r="AN2654" t="s">
        <v>120</v>
      </c>
    </row>
    <row r="2655" spans="1:40" x14ac:dyDescent="0.35">
      <c r="A2655" t="s">
        <v>37</v>
      </c>
      <c r="B2655" t="s">
        <v>10418</v>
      </c>
      <c r="C2655" t="s">
        <v>656</v>
      </c>
      <c r="D2655" t="s">
        <v>10419</v>
      </c>
      <c r="E2655" t="s">
        <v>303</v>
      </c>
      <c r="F2655" s="1">
        <v>46070.934583333335</v>
      </c>
      <c r="G2655" t="s">
        <v>446</v>
      </c>
      <c r="H2655" t="s">
        <v>447</v>
      </c>
      <c r="I2655" t="s">
        <v>9578</v>
      </c>
      <c r="J2655" t="s">
        <v>7846</v>
      </c>
      <c r="K2655" t="s">
        <v>2630</v>
      </c>
      <c r="M2655" t="s">
        <v>76</v>
      </c>
      <c r="O2655" t="s">
        <v>77</v>
      </c>
      <c r="P2655" t="s">
        <v>78</v>
      </c>
      <c r="Q2655" t="s">
        <v>50</v>
      </c>
      <c r="R2655" t="s">
        <v>1321</v>
      </c>
      <c r="S2655" t="s">
        <v>1718</v>
      </c>
      <c r="T2655" t="s">
        <v>1323</v>
      </c>
      <c r="U2655" s="1">
        <v>46077.400335648148</v>
      </c>
      <c r="V2655" t="s">
        <v>54</v>
      </c>
      <c r="W2655" t="s">
        <v>55</v>
      </c>
      <c r="X2655" t="s">
        <v>134</v>
      </c>
      <c r="Y2655" t="s">
        <v>9579</v>
      </c>
      <c r="Z2655" t="s">
        <v>58</v>
      </c>
      <c r="AA2655" t="s">
        <v>54</v>
      </c>
      <c r="AB2655" t="s">
        <v>954</v>
      </c>
      <c r="AC2655" t="s">
        <v>85</v>
      </c>
      <c r="AD2655" t="s">
        <v>1321</v>
      </c>
      <c r="AE2655" t="s">
        <v>1718</v>
      </c>
      <c r="AF2655" t="s">
        <v>1323</v>
      </c>
      <c r="AG2655" t="s">
        <v>58</v>
      </c>
      <c r="AH2655" t="s">
        <v>10420</v>
      </c>
      <c r="AK2655">
        <v>1</v>
      </c>
      <c r="AL2655" t="s">
        <v>61</v>
      </c>
      <c r="AM2655" t="s">
        <v>10421</v>
      </c>
      <c r="AN2655" t="s">
        <v>10422</v>
      </c>
    </row>
    <row r="2656" spans="1:40" x14ac:dyDescent="0.35">
      <c r="A2656" t="s">
        <v>37</v>
      </c>
      <c r="B2656" t="s">
        <v>10423</v>
      </c>
      <c r="C2656" t="s">
        <v>102</v>
      </c>
      <c r="D2656" t="s">
        <v>3106</v>
      </c>
      <c r="E2656" t="s">
        <v>3107</v>
      </c>
      <c r="F2656" s="1">
        <v>46070.920902777776</v>
      </c>
      <c r="G2656" t="s">
        <v>105</v>
      </c>
      <c r="H2656" t="s">
        <v>106</v>
      </c>
      <c r="I2656" t="s">
        <v>10424</v>
      </c>
      <c r="J2656" t="s">
        <v>108</v>
      </c>
      <c r="K2656" t="s">
        <v>109</v>
      </c>
      <c r="M2656" t="s">
        <v>47</v>
      </c>
      <c r="O2656" t="s">
        <v>77</v>
      </c>
      <c r="P2656" t="s">
        <v>78</v>
      </c>
      <c r="Q2656" t="s">
        <v>50</v>
      </c>
      <c r="R2656" t="s">
        <v>111</v>
      </c>
      <c r="S2656" t="s">
        <v>51</v>
      </c>
      <c r="T2656" t="s">
        <v>1583</v>
      </c>
      <c r="U2656" s="1">
        <v>46072.040370370371</v>
      </c>
      <c r="V2656" t="s">
        <v>54</v>
      </c>
      <c r="W2656" t="s">
        <v>1584</v>
      </c>
      <c r="X2656" t="s">
        <v>113</v>
      </c>
      <c r="Y2656" t="s">
        <v>10425</v>
      </c>
      <c r="Z2656" t="s">
        <v>5594</v>
      </c>
      <c r="AA2656" t="s">
        <v>54</v>
      </c>
      <c r="AB2656" t="s">
        <v>115</v>
      </c>
      <c r="AC2656" t="s">
        <v>85</v>
      </c>
      <c r="AD2656" t="s">
        <v>116</v>
      </c>
      <c r="AE2656" t="s">
        <v>1586</v>
      </c>
      <c r="AF2656" t="s">
        <v>3110</v>
      </c>
      <c r="AG2656" t="s">
        <v>5594</v>
      </c>
      <c r="AH2656" t="s">
        <v>3111</v>
      </c>
      <c r="AK2656">
        <v>1</v>
      </c>
      <c r="AL2656" t="s">
        <v>61</v>
      </c>
      <c r="AM2656" t="s">
        <v>3112</v>
      </c>
      <c r="AN2656" t="s">
        <v>3113</v>
      </c>
    </row>
    <row r="2657" spans="1:40" x14ac:dyDescent="0.35">
      <c r="A2657" t="s">
        <v>37</v>
      </c>
      <c r="B2657" t="s">
        <v>10426</v>
      </c>
      <c r="C2657" t="s">
        <v>102</v>
      </c>
      <c r="D2657" t="s">
        <v>3106</v>
      </c>
      <c r="E2657" t="s">
        <v>3107</v>
      </c>
      <c r="F2657" s="1">
        <v>46070.920555555553</v>
      </c>
      <c r="G2657" t="s">
        <v>105</v>
      </c>
      <c r="H2657" t="s">
        <v>106</v>
      </c>
      <c r="I2657" t="s">
        <v>10427</v>
      </c>
      <c r="J2657" t="s">
        <v>108</v>
      </c>
      <c r="K2657" t="s">
        <v>109</v>
      </c>
      <c r="M2657" t="s">
        <v>76</v>
      </c>
      <c r="O2657" t="s">
        <v>77</v>
      </c>
      <c r="P2657" t="s">
        <v>78</v>
      </c>
      <c r="Q2657" t="s">
        <v>50</v>
      </c>
      <c r="R2657" t="s">
        <v>111</v>
      </c>
      <c r="S2657" t="s">
        <v>51</v>
      </c>
      <c r="T2657" t="s">
        <v>1583</v>
      </c>
      <c r="U2657" s="1">
        <v>46078.878935185188</v>
      </c>
      <c r="V2657" t="s">
        <v>54</v>
      </c>
      <c r="W2657" t="s">
        <v>1584</v>
      </c>
      <c r="X2657" t="s">
        <v>113</v>
      </c>
      <c r="Y2657" t="s">
        <v>10428</v>
      </c>
      <c r="Z2657" t="s">
        <v>58</v>
      </c>
      <c r="AA2657" t="s">
        <v>54</v>
      </c>
      <c r="AB2657" t="s">
        <v>115</v>
      </c>
      <c r="AC2657" t="s">
        <v>85</v>
      </c>
      <c r="AD2657" t="s">
        <v>116</v>
      </c>
      <c r="AE2657" t="s">
        <v>1586</v>
      </c>
      <c r="AF2657" t="s">
        <v>3110</v>
      </c>
      <c r="AG2657" t="s">
        <v>58</v>
      </c>
      <c r="AH2657" t="s">
        <v>3111</v>
      </c>
      <c r="AK2657">
        <v>1</v>
      </c>
      <c r="AL2657" t="s">
        <v>61</v>
      </c>
      <c r="AM2657" t="s">
        <v>3112</v>
      </c>
      <c r="AN2657" t="s">
        <v>3113</v>
      </c>
    </row>
    <row r="2658" spans="1:40" x14ac:dyDescent="0.35">
      <c r="A2658" t="s">
        <v>37</v>
      </c>
      <c r="B2658" t="s">
        <v>10429</v>
      </c>
      <c r="C2658" t="s">
        <v>102</v>
      </c>
      <c r="D2658" t="s">
        <v>3106</v>
      </c>
      <c r="E2658" t="s">
        <v>3107</v>
      </c>
      <c r="F2658" s="1">
        <v>46070.917245370372</v>
      </c>
      <c r="G2658" t="s">
        <v>105</v>
      </c>
      <c r="H2658" t="s">
        <v>106</v>
      </c>
      <c r="I2658" t="s">
        <v>10430</v>
      </c>
      <c r="J2658" t="s">
        <v>108</v>
      </c>
      <c r="K2658" t="s">
        <v>109</v>
      </c>
      <c r="M2658" t="s">
        <v>47</v>
      </c>
      <c r="O2658" t="s">
        <v>77</v>
      </c>
      <c r="P2658" t="s">
        <v>78</v>
      </c>
      <c r="Q2658" t="s">
        <v>50</v>
      </c>
      <c r="R2658" t="s">
        <v>111</v>
      </c>
      <c r="S2658" t="s">
        <v>51</v>
      </c>
      <c r="T2658" t="s">
        <v>1583</v>
      </c>
      <c r="U2658" s="1">
        <v>46072.078912037039</v>
      </c>
      <c r="V2658" t="s">
        <v>54</v>
      </c>
      <c r="W2658" t="s">
        <v>1584</v>
      </c>
      <c r="X2658" t="s">
        <v>113</v>
      </c>
      <c r="Y2658" t="s">
        <v>10431</v>
      </c>
      <c r="Z2658" t="s">
        <v>5594</v>
      </c>
      <c r="AA2658" t="s">
        <v>54</v>
      </c>
      <c r="AB2658" t="s">
        <v>115</v>
      </c>
      <c r="AC2658" t="s">
        <v>85</v>
      </c>
      <c r="AD2658" t="s">
        <v>116</v>
      </c>
      <c r="AE2658" t="s">
        <v>1586</v>
      </c>
      <c r="AF2658" t="s">
        <v>3110</v>
      </c>
      <c r="AG2658" t="s">
        <v>5594</v>
      </c>
      <c r="AH2658" t="s">
        <v>3111</v>
      </c>
      <c r="AK2658">
        <v>1</v>
      </c>
      <c r="AL2658" t="s">
        <v>61</v>
      </c>
      <c r="AM2658" t="s">
        <v>3112</v>
      </c>
      <c r="AN2658" t="s">
        <v>3113</v>
      </c>
    </row>
    <row r="2659" spans="1:40" x14ac:dyDescent="0.35">
      <c r="A2659" t="s">
        <v>37</v>
      </c>
      <c r="B2659" t="s">
        <v>10432</v>
      </c>
      <c r="C2659" t="s">
        <v>102</v>
      </c>
      <c r="D2659" t="s">
        <v>3106</v>
      </c>
      <c r="E2659" t="s">
        <v>3107</v>
      </c>
      <c r="F2659" s="1">
        <v>46070.916863425926</v>
      </c>
      <c r="G2659" t="s">
        <v>105</v>
      </c>
      <c r="H2659" t="s">
        <v>106</v>
      </c>
      <c r="I2659" t="s">
        <v>10433</v>
      </c>
      <c r="J2659" t="s">
        <v>108</v>
      </c>
      <c r="K2659" t="s">
        <v>109</v>
      </c>
      <c r="M2659" t="s">
        <v>47</v>
      </c>
      <c r="O2659" t="s">
        <v>77</v>
      </c>
      <c r="P2659" t="s">
        <v>78</v>
      </c>
      <c r="Q2659" t="s">
        <v>50</v>
      </c>
      <c r="R2659" t="s">
        <v>111</v>
      </c>
      <c r="S2659" t="s">
        <v>51</v>
      </c>
      <c r="T2659" t="s">
        <v>1583</v>
      </c>
      <c r="U2659" s="1">
        <v>46072.557581018518</v>
      </c>
      <c r="V2659" t="s">
        <v>54</v>
      </c>
      <c r="W2659" t="s">
        <v>1584</v>
      </c>
      <c r="X2659" t="s">
        <v>113</v>
      </c>
      <c r="Y2659" t="s">
        <v>10434</v>
      </c>
      <c r="Z2659" t="s">
        <v>5594</v>
      </c>
      <c r="AA2659" t="s">
        <v>54</v>
      </c>
      <c r="AB2659" t="s">
        <v>115</v>
      </c>
      <c r="AC2659" t="s">
        <v>85</v>
      </c>
      <c r="AD2659" t="s">
        <v>116</v>
      </c>
      <c r="AE2659" t="s">
        <v>1586</v>
      </c>
      <c r="AF2659" t="s">
        <v>3110</v>
      </c>
      <c r="AG2659" t="s">
        <v>5594</v>
      </c>
      <c r="AH2659" t="s">
        <v>3111</v>
      </c>
      <c r="AK2659">
        <v>1</v>
      </c>
      <c r="AL2659" t="s">
        <v>61</v>
      </c>
      <c r="AM2659" t="s">
        <v>3112</v>
      </c>
      <c r="AN2659" t="s">
        <v>3113</v>
      </c>
    </row>
    <row r="2660" spans="1:40" x14ac:dyDescent="0.35">
      <c r="A2660" t="s">
        <v>37</v>
      </c>
      <c r="B2660" t="s">
        <v>10435</v>
      </c>
      <c r="C2660" t="s">
        <v>39</v>
      </c>
      <c r="D2660" t="s">
        <v>2268</v>
      </c>
      <c r="E2660" t="s">
        <v>2269</v>
      </c>
      <c r="F2660" s="1">
        <v>46070.913923611108</v>
      </c>
      <c r="G2660" t="s">
        <v>355</v>
      </c>
      <c r="H2660" t="s">
        <v>356</v>
      </c>
      <c r="I2660" t="s">
        <v>10436</v>
      </c>
      <c r="J2660" t="s">
        <v>1823</v>
      </c>
      <c r="K2660" t="s">
        <v>1824</v>
      </c>
      <c r="M2660" t="s">
        <v>47</v>
      </c>
      <c r="O2660" t="s">
        <v>77</v>
      </c>
      <c r="P2660" t="s">
        <v>78</v>
      </c>
      <c r="Q2660" t="s">
        <v>50</v>
      </c>
      <c r="R2660" t="s">
        <v>51</v>
      </c>
      <c r="S2660" t="s">
        <v>52</v>
      </c>
      <c r="T2660" t="s">
        <v>240</v>
      </c>
      <c r="U2660" s="1">
        <v>46072.367893518516</v>
      </c>
      <c r="V2660" t="s">
        <v>54</v>
      </c>
      <c r="W2660" t="s">
        <v>55</v>
      </c>
      <c r="X2660" t="s">
        <v>134</v>
      </c>
      <c r="Y2660" t="s">
        <v>10437</v>
      </c>
      <c r="Z2660" t="s">
        <v>5594</v>
      </c>
      <c r="AA2660" t="s">
        <v>54</v>
      </c>
      <c r="AB2660" t="s">
        <v>954</v>
      </c>
      <c r="AC2660" t="s">
        <v>85</v>
      </c>
      <c r="AD2660" t="s">
        <v>52</v>
      </c>
      <c r="AE2660" t="s">
        <v>243</v>
      </c>
      <c r="AF2660" t="s">
        <v>1470</v>
      </c>
      <c r="AG2660" t="s">
        <v>5594</v>
      </c>
      <c r="AH2660">
        <v>15060</v>
      </c>
      <c r="AK2660">
        <v>1</v>
      </c>
      <c r="AL2660" t="s">
        <v>61</v>
      </c>
      <c r="AM2660" t="s">
        <v>2273</v>
      </c>
      <c r="AN2660" t="s">
        <v>2274</v>
      </c>
    </row>
    <row r="2661" spans="1:40" x14ac:dyDescent="0.35">
      <c r="A2661" t="s">
        <v>37</v>
      </c>
      <c r="B2661" t="s">
        <v>10438</v>
      </c>
      <c r="C2661" t="s">
        <v>102</v>
      </c>
      <c r="D2661" t="s">
        <v>713</v>
      </c>
      <c r="E2661" t="s">
        <v>779</v>
      </c>
      <c r="F2661" s="1">
        <v>46070.890810185185</v>
      </c>
      <c r="G2661" t="s">
        <v>304</v>
      </c>
      <c r="H2661" t="s">
        <v>106</v>
      </c>
      <c r="I2661" t="s">
        <v>6564</v>
      </c>
      <c r="J2661" t="s">
        <v>2531</v>
      </c>
      <c r="K2661" t="s">
        <v>2532</v>
      </c>
      <c r="M2661" t="s">
        <v>76</v>
      </c>
      <c r="O2661" t="s">
        <v>237</v>
      </c>
      <c r="P2661" t="s">
        <v>238</v>
      </c>
      <c r="Q2661" t="s">
        <v>50</v>
      </c>
      <c r="R2661" t="s">
        <v>51</v>
      </c>
      <c r="S2661" t="s">
        <v>52</v>
      </c>
      <c r="T2661" t="s">
        <v>195</v>
      </c>
      <c r="U2661" s="1">
        <v>46078.520682870374</v>
      </c>
      <c r="V2661" t="s">
        <v>54</v>
      </c>
      <c r="W2661" t="s">
        <v>55</v>
      </c>
      <c r="X2661" t="s">
        <v>82</v>
      </c>
      <c r="Y2661" t="s">
        <v>10439</v>
      </c>
      <c r="Z2661" t="s">
        <v>58</v>
      </c>
      <c r="AA2661" t="s">
        <v>54</v>
      </c>
      <c r="AB2661" t="s">
        <v>954</v>
      </c>
      <c r="AC2661" t="s">
        <v>242</v>
      </c>
      <c r="AD2661" t="s">
        <v>52</v>
      </c>
      <c r="AE2661" t="s">
        <v>243</v>
      </c>
      <c r="AF2661" t="s">
        <v>2533</v>
      </c>
      <c r="AG2661" t="s">
        <v>58</v>
      </c>
      <c r="AH2661">
        <v>13457</v>
      </c>
      <c r="AK2661">
        <v>9</v>
      </c>
      <c r="AL2661" t="s">
        <v>61</v>
      </c>
      <c r="AM2661" t="s">
        <v>786</v>
      </c>
      <c r="AN2661" t="s">
        <v>787</v>
      </c>
    </row>
    <row r="2662" spans="1:40" x14ac:dyDescent="0.35">
      <c r="A2662" t="s">
        <v>37</v>
      </c>
      <c r="B2662" t="s">
        <v>10440</v>
      </c>
      <c r="C2662" t="s">
        <v>39</v>
      </c>
      <c r="D2662" t="s">
        <v>3318</v>
      </c>
      <c r="E2662" t="s">
        <v>3319</v>
      </c>
      <c r="F2662" s="1">
        <v>46070.884976851848</v>
      </c>
      <c r="G2662" t="s">
        <v>515</v>
      </c>
      <c r="H2662" t="s">
        <v>92</v>
      </c>
      <c r="I2662" t="s">
        <v>10441</v>
      </c>
      <c r="J2662" t="s">
        <v>435</v>
      </c>
      <c r="K2662" t="s">
        <v>436</v>
      </c>
      <c r="M2662" t="s">
        <v>47</v>
      </c>
      <c r="O2662" t="s">
        <v>77</v>
      </c>
      <c r="P2662" t="s">
        <v>78</v>
      </c>
      <c r="Q2662" t="s">
        <v>1174</v>
      </c>
      <c r="R2662" t="s">
        <v>51</v>
      </c>
      <c r="S2662" t="s">
        <v>52</v>
      </c>
      <c r="T2662" t="s">
        <v>4080</v>
      </c>
      <c r="U2662" s="1">
        <v>46073.378252314818</v>
      </c>
      <c r="V2662" t="s">
        <v>54</v>
      </c>
      <c r="W2662" t="s">
        <v>55</v>
      </c>
      <c r="X2662" t="s">
        <v>134</v>
      </c>
      <c r="Y2662" t="s">
        <v>10442</v>
      </c>
      <c r="Z2662" t="s">
        <v>5594</v>
      </c>
      <c r="AA2662" t="s">
        <v>54</v>
      </c>
      <c r="AB2662" t="s">
        <v>954</v>
      </c>
      <c r="AC2662" t="s">
        <v>85</v>
      </c>
      <c r="AD2662" t="s">
        <v>52</v>
      </c>
      <c r="AE2662" t="s">
        <v>438</v>
      </c>
      <c r="AF2662" t="s">
        <v>439</v>
      </c>
      <c r="AG2662" t="s">
        <v>5594</v>
      </c>
      <c r="AH2662" t="s">
        <v>3321</v>
      </c>
      <c r="AK2662">
        <v>1</v>
      </c>
      <c r="AL2662" t="s">
        <v>61</v>
      </c>
      <c r="AM2662" t="s">
        <v>3259</v>
      </c>
      <c r="AN2662" t="s">
        <v>3322</v>
      </c>
    </row>
    <row r="2663" spans="1:40" x14ac:dyDescent="0.35">
      <c r="A2663" t="s">
        <v>37</v>
      </c>
      <c r="B2663" t="s">
        <v>10443</v>
      </c>
      <c r="C2663" t="s">
        <v>39</v>
      </c>
      <c r="D2663" t="s">
        <v>127</v>
      </c>
      <c r="E2663" t="s">
        <v>10444</v>
      </c>
      <c r="F2663" s="1">
        <v>46070.883229166669</v>
      </c>
      <c r="G2663" t="s">
        <v>826</v>
      </c>
      <c r="H2663" t="s">
        <v>356</v>
      </c>
      <c r="I2663" t="s">
        <v>10445</v>
      </c>
      <c r="J2663" t="s">
        <v>404</v>
      </c>
      <c r="K2663" t="s">
        <v>405</v>
      </c>
      <c r="M2663" t="s">
        <v>76</v>
      </c>
      <c r="O2663" t="s">
        <v>77</v>
      </c>
      <c r="P2663" t="s">
        <v>78</v>
      </c>
      <c r="Q2663" t="s">
        <v>50</v>
      </c>
      <c r="R2663" t="s">
        <v>51</v>
      </c>
      <c r="S2663" t="s">
        <v>52</v>
      </c>
      <c r="T2663" t="s">
        <v>240</v>
      </c>
      <c r="U2663" s="1">
        <v>46076.374432870369</v>
      </c>
      <c r="V2663" t="s">
        <v>54</v>
      </c>
      <c r="W2663" t="s">
        <v>55</v>
      </c>
      <c r="X2663" t="s">
        <v>134</v>
      </c>
      <c r="Y2663" t="s">
        <v>10446</v>
      </c>
      <c r="Z2663" t="s">
        <v>58</v>
      </c>
      <c r="AA2663" t="s">
        <v>54</v>
      </c>
      <c r="AB2663" t="s">
        <v>954</v>
      </c>
      <c r="AC2663" t="s">
        <v>85</v>
      </c>
      <c r="AD2663" t="s">
        <v>52</v>
      </c>
      <c r="AE2663" t="s">
        <v>243</v>
      </c>
      <c r="AF2663" t="s">
        <v>244</v>
      </c>
      <c r="AG2663" t="s">
        <v>58</v>
      </c>
      <c r="AH2663">
        <v>14626</v>
      </c>
      <c r="AK2663">
        <v>3</v>
      </c>
      <c r="AL2663" t="s">
        <v>61</v>
      </c>
      <c r="AM2663" t="s">
        <v>10447</v>
      </c>
      <c r="AN2663" t="s">
        <v>10448</v>
      </c>
    </row>
    <row r="2664" spans="1:40" x14ac:dyDescent="0.35">
      <c r="A2664" t="s">
        <v>37</v>
      </c>
      <c r="B2664" t="s">
        <v>10449</v>
      </c>
      <c r="C2664" t="s">
        <v>39</v>
      </c>
      <c r="D2664" t="s">
        <v>3741</v>
      </c>
      <c r="E2664" t="s">
        <v>3742</v>
      </c>
      <c r="F2664" s="1">
        <v>46070.87840277778</v>
      </c>
      <c r="G2664" t="s">
        <v>355</v>
      </c>
      <c r="H2664" t="s">
        <v>356</v>
      </c>
      <c r="I2664" t="s">
        <v>10450</v>
      </c>
      <c r="J2664" t="s">
        <v>1926</v>
      </c>
      <c r="K2664" t="s">
        <v>1927</v>
      </c>
      <c r="M2664" t="s">
        <v>76</v>
      </c>
      <c r="O2664" t="s">
        <v>77</v>
      </c>
      <c r="P2664" t="s">
        <v>78</v>
      </c>
      <c r="Q2664" t="s">
        <v>50</v>
      </c>
      <c r="R2664" t="s">
        <v>1189</v>
      </c>
      <c r="S2664" t="s">
        <v>3746</v>
      </c>
      <c r="T2664" t="s">
        <v>3747</v>
      </c>
      <c r="U2664" s="1">
        <v>46077.528819444444</v>
      </c>
      <c r="V2664" t="s">
        <v>54</v>
      </c>
      <c r="W2664" t="s">
        <v>55</v>
      </c>
      <c r="X2664" t="s">
        <v>134</v>
      </c>
      <c r="Y2664" t="s">
        <v>10451</v>
      </c>
      <c r="Z2664" t="s">
        <v>58</v>
      </c>
      <c r="AA2664" t="s">
        <v>54</v>
      </c>
      <c r="AB2664" t="s">
        <v>954</v>
      </c>
      <c r="AC2664" t="s">
        <v>85</v>
      </c>
      <c r="AD2664" t="s">
        <v>1189</v>
      </c>
      <c r="AE2664" t="s">
        <v>3746</v>
      </c>
      <c r="AF2664" t="s">
        <v>3747</v>
      </c>
      <c r="AG2664" t="s">
        <v>58</v>
      </c>
      <c r="AH2664" t="s">
        <v>3748</v>
      </c>
      <c r="AK2664">
        <v>2</v>
      </c>
      <c r="AL2664" t="s">
        <v>61</v>
      </c>
      <c r="AM2664" t="s">
        <v>3749</v>
      </c>
      <c r="AN2664" t="s">
        <v>3750</v>
      </c>
    </row>
    <row r="2665" spans="1:40" x14ac:dyDescent="0.35">
      <c r="A2665" t="s">
        <v>37</v>
      </c>
      <c r="B2665" t="s">
        <v>10452</v>
      </c>
      <c r="C2665" t="s">
        <v>39</v>
      </c>
      <c r="D2665" t="s">
        <v>10453</v>
      </c>
      <c r="E2665" t="s">
        <v>10454</v>
      </c>
      <c r="F2665" s="1">
        <v>46070.876493055555</v>
      </c>
      <c r="G2665" t="s">
        <v>42</v>
      </c>
      <c r="H2665" t="s">
        <v>43</v>
      </c>
      <c r="I2665" t="s">
        <v>403</v>
      </c>
      <c r="J2665" t="s">
        <v>4338</v>
      </c>
      <c r="K2665" t="s">
        <v>405</v>
      </c>
      <c r="M2665" t="s">
        <v>47</v>
      </c>
      <c r="O2665" t="s">
        <v>77</v>
      </c>
      <c r="P2665" t="s">
        <v>78</v>
      </c>
      <c r="Q2665" t="s">
        <v>50</v>
      </c>
      <c r="R2665" t="s">
        <v>51</v>
      </c>
      <c r="S2665" t="s">
        <v>52</v>
      </c>
      <c r="T2665" t="s">
        <v>240</v>
      </c>
      <c r="U2665" s="1">
        <v>46072.44903935185</v>
      </c>
      <c r="V2665" t="s">
        <v>54</v>
      </c>
      <c r="W2665" t="s">
        <v>55</v>
      </c>
      <c r="X2665" t="s">
        <v>134</v>
      </c>
      <c r="Y2665" t="s">
        <v>8406</v>
      </c>
      <c r="Z2665" t="s">
        <v>5594</v>
      </c>
      <c r="AA2665" t="s">
        <v>54</v>
      </c>
      <c r="AB2665" t="s">
        <v>954</v>
      </c>
      <c r="AC2665" t="s">
        <v>85</v>
      </c>
      <c r="AD2665" t="s">
        <v>52</v>
      </c>
      <c r="AE2665" t="s">
        <v>243</v>
      </c>
      <c r="AF2665" t="s">
        <v>2533</v>
      </c>
      <c r="AG2665" t="s">
        <v>5594</v>
      </c>
      <c r="AH2665" t="s">
        <v>10455</v>
      </c>
      <c r="AK2665">
        <v>1</v>
      </c>
      <c r="AL2665" t="s">
        <v>61</v>
      </c>
      <c r="AM2665" t="s">
        <v>10456</v>
      </c>
      <c r="AN2665" t="s">
        <v>10457</v>
      </c>
    </row>
    <row r="2666" spans="1:40" x14ac:dyDescent="0.35">
      <c r="A2666" t="s">
        <v>37</v>
      </c>
      <c r="B2666" t="s">
        <v>10458</v>
      </c>
      <c r="C2666" t="s">
        <v>656</v>
      </c>
      <c r="D2666" t="s">
        <v>1711</v>
      </c>
      <c r="E2666" t="s">
        <v>1712</v>
      </c>
      <c r="F2666" s="1">
        <v>46070.874814814815</v>
      </c>
      <c r="G2666" t="s">
        <v>1713</v>
      </c>
      <c r="H2666" t="s">
        <v>356</v>
      </c>
      <c r="I2666" t="s">
        <v>10459</v>
      </c>
      <c r="J2666" t="s">
        <v>7432</v>
      </c>
      <c r="K2666" t="s">
        <v>7433</v>
      </c>
      <c r="M2666" t="s">
        <v>47</v>
      </c>
      <c r="O2666" t="s">
        <v>237</v>
      </c>
      <c r="P2666" t="s">
        <v>238</v>
      </c>
      <c r="Q2666" t="s">
        <v>50</v>
      </c>
      <c r="R2666" t="s">
        <v>305</v>
      </c>
      <c r="S2666" t="s">
        <v>306</v>
      </c>
      <c r="T2666" t="s">
        <v>307</v>
      </c>
      <c r="U2666" s="1">
        <v>46072.459398148145</v>
      </c>
      <c r="V2666" t="s">
        <v>54</v>
      </c>
      <c r="W2666" t="s">
        <v>55</v>
      </c>
      <c r="X2666" t="s">
        <v>134</v>
      </c>
      <c r="Y2666" t="s">
        <v>10460</v>
      </c>
      <c r="Z2666" t="s">
        <v>5594</v>
      </c>
      <c r="AA2666" t="s">
        <v>54</v>
      </c>
      <c r="AB2666" t="s">
        <v>1717</v>
      </c>
      <c r="AC2666" t="s">
        <v>242</v>
      </c>
      <c r="AD2666" t="s">
        <v>305</v>
      </c>
      <c r="AE2666" t="s">
        <v>306</v>
      </c>
      <c r="AF2666" t="s">
        <v>307</v>
      </c>
      <c r="AG2666" t="s">
        <v>5594</v>
      </c>
      <c r="AK2666">
        <v>1</v>
      </c>
      <c r="AL2666" t="s">
        <v>61</v>
      </c>
      <c r="AM2666" t="s">
        <v>1717</v>
      </c>
      <c r="AN2666" t="s">
        <v>1720</v>
      </c>
    </row>
    <row r="2667" spans="1:40" x14ac:dyDescent="0.35">
      <c r="A2667" t="s">
        <v>37</v>
      </c>
      <c r="B2667" t="s">
        <v>10461</v>
      </c>
      <c r="C2667" t="s">
        <v>39</v>
      </c>
      <c r="D2667" t="s">
        <v>10462</v>
      </c>
      <c r="E2667" t="s">
        <v>10463</v>
      </c>
      <c r="F2667" s="1">
        <v>46070.873981481483</v>
      </c>
      <c r="G2667" t="s">
        <v>355</v>
      </c>
      <c r="H2667" t="s">
        <v>356</v>
      </c>
      <c r="I2667" t="s">
        <v>403</v>
      </c>
      <c r="J2667" t="s">
        <v>4338</v>
      </c>
      <c r="K2667" t="s">
        <v>405</v>
      </c>
      <c r="M2667" t="s">
        <v>47</v>
      </c>
      <c r="O2667" t="s">
        <v>77</v>
      </c>
      <c r="P2667" t="s">
        <v>78</v>
      </c>
      <c r="Q2667" t="s">
        <v>50</v>
      </c>
      <c r="R2667" t="s">
        <v>51</v>
      </c>
      <c r="S2667" t="s">
        <v>52</v>
      </c>
      <c r="T2667" t="s">
        <v>240</v>
      </c>
      <c r="U2667" s="1">
        <v>46072.446250000001</v>
      </c>
      <c r="V2667" t="s">
        <v>54</v>
      </c>
      <c r="W2667" t="s">
        <v>55</v>
      </c>
      <c r="X2667" t="s">
        <v>134</v>
      </c>
      <c r="Y2667" t="s">
        <v>8406</v>
      </c>
      <c r="Z2667" t="s">
        <v>5594</v>
      </c>
      <c r="AA2667" t="s">
        <v>54</v>
      </c>
      <c r="AB2667" t="s">
        <v>954</v>
      </c>
      <c r="AC2667" t="s">
        <v>85</v>
      </c>
      <c r="AD2667" t="s">
        <v>52</v>
      </c>
      <c r="AE2667" t="s">
        <v>243</v>
      </c>
      <c r="AF2667" t="s">
        <v>2533</v>
      </c>
      <c r="AG2667" t="s">
        <v>5594</v>
      </c>
      <c r="AH2667" t="s">
        <v>10464</v>
      </c>
      <c r="AK2667">
        <v>1</v>
      </c>
      <c r="AL2667" t="s">
        <v>61</v>
      </c>
      <c r="AM2667" t="s">
        <v>10465</v>
      </c>
      <c r="AN2667" t="s">
        <v>10466</v>
      </c>
    </row>
    <row r="2668" spans="1:40" x14ac:dyDescent="0.35">
      <c r="A2668" t="s">
        <v>37</v>
      </c>
      <c r="B2668" t="s">
        <v>10467</v>
      </c>
      <c r="C2668" t="s">
        <v>39</v>
      </c>
      <c r="D2668" t="s">
        <v>127</v>
      </c>
      <c r="E2668" t="s">
        <v>3730</v>
      </c>
      <c r="F2668" s="1">
        <v>46070.872766203705</v>
      </c>
      <c r="G2668" t="s">
        <v>71</v>
      </c>
      <c r="H2668" t="s">
        <v>72</v>
      </c>
      <c r="I2668" t="s">
        <v>7199</v>
      </c>
      <c r="J2668" t="s">
        <v>4812</v>
      </c>
      <c r="K2668" t="s">
        <v>4813</v>
      </c>
      <c r="M2668" t="s">
        <v>131</v>
      </c>
      <c r="O2668" t="s">
        <v>77</v>
      </c>
      <c r="P2668" t="s">
        <v>78</v>
      </c>
      <c r="Q2668" t="s">
        <v>1027</v>
      </c>
      <c r="R2668" t="s">
        <v>51</v>
      </c>
      <c r="S2668" t="s">
        <v>52</v>
      </c>
      <c r="T2668" t="s">
        <v>4080</v>
      </c>
      <c r="U2668" s="1">
        <v>46077.541388888887</v>
      </c>
      <c r="V2668" t="s">
        <v>54</v>
      </c>
      <c r="W2668" t="s">
        <v>55</v>
      </c>
      <c r="X2668" t="s">
        <v>134</v>
      </c>
      <c r="Y2668" t="s">
        <v>10468</v>
      </c>
      <c r="Z2668" t="s">
        <v>58</v>
      </c>
      <c r="AA2668" t="s">
        <v>54</v>
      </c>
      <c r="AB2668" t="s">
        <v>954</v>
      </c>
      <c r="AC2668" t="s">
        <v>85</v>
      </c>
      <c r="AD2668" t="s">
        <v>52</v>
      </c>
      <c r="AE2668" t="s">
        <v>438</v>
      </c>
      <c r="AF2668" t="s">
        <v>2204</v>
      </c>
      <c r="AG2668" t="s">
        <v>58</v>
      </c>
      <c r="AH2668">
        <v>7463</v>
      </c>
      <c r="AK2668">
        <v>1</v>
      </c>
      <c r="AL2668" t="s">
        <v>410</v>
      </c>
      <c r="AM2668" t="s">
        <v>10469</v>
      </c>
      <c r="AN2668" t="s">
        <v>10470</v>
      </c>
    </row>
    <row r="2669" spans="1:40" x14ac:dyDescent="0.35">
      <c r="A2669" t="s">
        <v>37</v>
      </c>
      <c r="B2669" t="s">
        <v>10471</v>
      </c>
      <c r="C2669" t="s">
        <v>39</v>
      </c>
      <c r="D2669" t="s">
        <v>2649</v>
      </c>
      <c r="E2669" t="s">
        <v>2650</v>
      </c>
      <c r="F2669" s="1">
        <v>46070.869432870371</v>
      </c>
      <c r="G2669" t="s">
        <v>71</v>
      </c>
      <c r="H2669" t="s">
        <v>72</v>
      </c>
      <c r="I2669" t="s">
        <v>7199</v>
      </c>
      <c r="J2669" t="s">
        <v>4812</v>
      </c>
      <c r="K2669" t="s">
        <v>4813</v>
      </c>
      <c r="M2669" t="s">
        <v>47</v>
      </c>
      <c r="O2669" t="s">
        <v>77</v>
      </c>
      <c r="P2669" t="s">
        <v>78</v>
      </c>
      <c r="Q2669" t="s">
        <v>50</v>
      </c>
      <c r="R2669" t="s">
        <v>51</v>
      </c>
      <c r="S2669" t="s">
        <v>52</v>
      </c>
      <c r="T2669" t="s">
        <v>773</v>
      </c>
      <c r="U2669" s="1">
        <v>46072.426736111112</v>
      </c>
      <c r="V2669" t="s">
        <v>54</v>
      </c>
      <c r="W2669" t="s">
        <v>55</v>
      </c>
      <c r="X2669" t="s">
        <v>134</v>
      </c>
      <c r="Y2669" t="s">
        <v>10472</v>
      </c>
      <c r="Z2669" t="s">
        <v>5594</v>
      </c>
      <c r="AA2669" t="s">
        <v>54</v>
      </c>
      <c r="AB2669" t="s">
        <v>954</v>
      </c>
      <c r="AC2669" t="s">
        <v>85</v>
      </c>
      <c r="AD2669" t="s">
        <v>52</v>
      </c>
      <c r="AE2669" t="s">
        <v>438</v>
      </c>
      <c r="AF2669" t="s">
        <v>2204</v>
      </c>
      <c r="AG2669" t="s">
        <v>5594</v>
      </c>
      <c r="AH2669">
        <v>15938</v>
      </c>
      <c r="AK2669">
        <v>1</v>
      </c>
      <c r="AL2669" t="s">
        <v>61</v>
      </c>
      <c r="AM2669" t="s">
        <v>2656</v>
      </c>
      <c r="AN2669" t="s">
        <v>2657</v>
      </c>
    </row>
    <row r="2670" spans="1:40" x14ac:dyDescent="0.35">
      <c r="A2670" t="s">
        <v>37</v>
      </c>
      <c r="B2670" t="s">
        <v>10473</v>
      </c>
      <c r="C2670" t="s">
        <v>39</v>
      </c>
      <c r="D2670" t="s">
        <v>10474</v>
      </c>
      <c r="E2670" t="s">
        <v>10475</v>
      </c>
      <c r="F2670" s="1">
        <v>46070.867685185185</v>
      </c>
      <c r="G2670" t="s">
        <v>71</v>
      </c>
      <c r="H2670" t="s">
        <v>72</v>
      </c>
      <c r="I2670" t="s">
        <v>7199</v>
      </c>
      <c r="J2670" t="s">
        <v>4812</v>
      </c>
      <c r="K2670" t="s">
        <v>4813</v>
      </c>
      <c r="M2670" t="s">
        <v>47</v>
      </c>
      <c r="O2670" t="s">
        <v>77</v>
      </c>
      <c r="P2670" t="s">
        <v>78</v>
      </c>
      <c r="R2670" t="s">
        <v>51</v>
      </c>
      <c r="S2670" t="s">
        <v>52</v>
      </c>
      <c r="T2670" t="s">
        <v>773</v>
      </c>
      <c r="U2670" s="1">
        <v>46072.42597222222</v>
      </c>
      <c r="V2670" t="s">
        <v>54</v>
      </c>
      <c r="W2670" t="s">
        <v>55</v>
      </c>
      <c r="X2670" t="s">
        <v>134</v>
      </c>
      <c r="Y2670" t="s">
        <v>10472</v>
      </c>
      <c r="Z2670" t="s">
        <v>5594</v>
      </c>
      <c r="AA2670" t="s">
        <v>54</v>
      </c>
      <c r="AB2670" t="s">
        <v>954</v>
      </c>
      <c r="AC2670" t="s">
        <v>85</v>
      </c>
      <c r="AD2670" t="s">
        <v>52</v>
      </c>
      <c r="AE2670" t="s">
        <v>243</v>
      </c>
      <c r="AF2670" t="s">
        <v>2533</v>
      </c>
      <c r="AG2670" t="s">
        <v>5594</v>
      </c>
      <c r="AH2670">
        <v>14944</v>
      </c>
      <c r="AK2670">
        <v>0</v>
      </c>
      <c r="AL2670" t="s">
        <v>61</v>
      </c>
      <c r="AM2670" t="s">
        <v>10476</v>
      </c>
      <c r="AN2670" t="s">
        <v>10477</v>
      </c>
    </row>
    <row r="2671" spans="1:40" x14ac:dyDescent="0.35">
      <c r="A2671" t="s">
        <v>37</v>
      </c>
      <c r="B2671" t="s">
        <v>10478</v>
      </c>
      <c r="C2671" t="s">
        <v>39</v>
      </c>
      <c r="D2671" t="s">
        <v>303</v>
      </c>
      <c r="E2671" t="s">
        <v>10479</v>
      </c>
      <c r="F2671" s="1">
        <v>46070.860914351855</v>
      </c>
      <c r="G2671" t="s">
        <v>250</v>
      </c>
      <c r="H2671" t="s">
        <v>106</v>
      </c>
      <c r="I2671" t="s">
        <v>10480</v>
      </c>
      <c r="J2671" t="s">
        <v>3763</v>
      </c>
      <c r="K2671" t="s">
        <v>4359</v>
      </c>
      <c r="M2671" t="s">
        <v>131</v>
      </c>
      <c r="O2671" t="s">
        <v>77</v>
      </c>
      <c r="P2671" t="s">
        <v>78</v>
      </c>
      <c r="Q2671" t="s">
        <v>50</v>
      </c>
      <c r="R2671" t="s">
        <v>51</v>
      </c>
      <c r="S2671" t="s">
        <v>819</v>
      </c>
      <c r="T2671" t="s">
        <v>6493</v>
      </c>
      <c r="U2671" s="1">
        <v>46076.473912037036</v>
      </c>
      <c r="V2671" t="s">
        <v>54</v>
      </c>
      <c r="W2671" t="s">
        <v>55</v>
      </c>
      <c r="X2671" t="s">
        <v>134</v>
      </c>
      <c r="Y2671" t="s">
        <v>10481</v>
      </c>
      <c r="Z2671" t="s">
        <v>58</v>
      </c>
      <c r="AA2671" t="s">
        <v>54</v>
      </c>
      <c r="AB2671" t="s">
        <v>954</v>
      </c>
      <c r="AC2671" t="s">
        <v>85</v>
      </c>
      <c r="AD2671" t="s">
        <v>51</v>
      </c>
      <c r="AE2671" t="s">
        <v>819</v>
      </c>
      <c r="AF2671" t="s">
        <v>4362</v>
      </c>
      <c r="AG2671" t="s">
        <v>58</v>
      </c>
      <c r="AH2671">
        <v>15696</v>
      </c>
      <c r="AK2671">
        <v>1</v>
      </c>
      <c r="AL2671" t="s">
        <v>61</v>
      </c>
      <c r="AM2671" t="s">
        <v>10482</v>
      </c>
      <c r="AN2671" t="s">
        <v>10483</v>
      </c>
    </row>
    <row r="2672" spans="1:40" x14ac:dyDescent="0.35">
      <c r="A2672" t="s">
        <v>37</v>
      </c>
      <c r="B2672" t="s">
        <v>10484</v>
      </c>
      <c r="C2672" t="s">
        <v>39</v>
      </c>
      <c r="D2672" t="s">
        <v>513</v>
      </c>
      <c r="E2672" t="s">
        <v>10485</v>
      </c>
      <c r="F2672" s="1">
        <v>46070.856944444444</v>
      </c>
      <c r="G2672" t="s">
        <v>464</v>
      </c>
      <c r="H2672" t="s">
        <v>287</v>
      </c>
      <c r="I2672" t="s">
        <v>403</v>
      </c>
      <c r="J2672" t="s">
        <v>4338</v>
      </c>
      <c r="K2672" t="s">
        <v>405</v>
      </c>
      <c r="M2672" t="s">
        <v>47</v>
      </c>
      <c r="O2672" t="s">
        <v>77</v>
      </c>
      <c r="P2672" t="s">
        <v>78</v>
      </c>
      <c r="Q2672" t="s">
        <v>50</v>
      </c>
      <c r="R2672" t="s">
        <v>51</v>
      </c>
      <c r="S2672" t="s">
        <v>52</v>
      </c>
      <c r="T2672" t="s">
        <v>240</v>
      </c>
      <c r="U2672" s="1">
        <v>46072.445381944446</v>
      </c>
      <c r="V2672" t="s">
        <v>54</v>
      </c>
      <c r="W2672" t="s">
        <v>55</v>
      </c>
      <c r="X2672" t="s">
        <v>134</v>
      </c>
      <c r="Y2672" t="s">
        <v>8406</v>
      </c>
      <c r="Z2672" t="s">
        <v>5594</v>
      </c>
      <c r="AA2672" t="s">
        <v>54</v>
      </c>
      <c r="AB2672" t="s">
        <v>954</v>
      </c>
      <c r="AC2672" t="s">
        <v>85</v>
      </c>
      <c r="AD2672" t="s">
        <v>52</v>
      </c>
      <c r="AE2672" t="s">
        <v>243</v>
      </c>
      <c r="AF2672" t="s">
        <v>244</v>
      </c>
      <c r="AG2672" t="s">
        <v>5594</v>
      </c>
      <c r="AH2672">
        <v>3984</v>
      </c>
      <c r="AK2672">
        <v>1</v>
      </c>
      <c r="AL2672" t="s">
        <v>61</v>
      </c>
      <c r="AM2672" t="s">
        <v>10486</v>
      </c>
      <c r="AN2672" t="s">
        <v>10487</v>
      </c>
    </row>
    <row r="2673" spans="1:40" x14ac:dyDescent="0.35">
      <c r="A2673" t="s">
        <v>37</v>
      </c>
      <c r="B2673" t="s">
        <v>10488</v>
      </c>
      <c r="C2673" t="s">
        <v>39</v>
      </c>
      <c r="D2673" t="s">
        <v>519</v>
      </c>
      <c r="E2673" t="s">
        <v>520</v>
      </c>
      <c r="F2673" s="1">
        <v>46070.825532407405</v>
      </c>
      <c r="G2673" t="s">
        <v>286</v>
      </c>
      <c r="H2673" t="s">
        <v>287</v>
      </c>
      <c r="I2673" t="s">
        <v>10489</v>
      </c>
      <c r="J2673" t="s">
        <v>521</v>
      </c>
      <c r="K2673" t="s">
        <v>130</v>
      </c>
      <c r="M2673" t="s">
        <v>47</v>
      </c>
      <c r="O2673" t="s">
        <v>77</v>
      </c>
      <c r="P2673" t="s">
        <v>78</v>
      </c>
      <c r="Q2673" t="s">
        <v>50</v>
      </c>
      <c r="R2673" t="s">
        <v>132</v>
      </c>
      <c r="S2673" t="s">
        <v>133</v>
      </c>
      <c r="T2673" t="s">
        <v>133</v>
      </c>
      <c r="U2673" s="1">
        <v>46072.409282407411</v>
      </c>
      <c r="V2673" t="s">
        <v>54</v>
      </c>
      <c r="W2673" t="s">
        <v>55</v>
      </c>
      <c r="X2673" t="s">
        <v>82</v>
      </c>
      <c r="Y2673" t="s">
        <v>10490</v>
      </c>
      <c r="Z2673" t="s">
        <v>5594</v>
      </c>
      <c r="AA2673" t="s">
        <v>54</v>
      </c>
      <c r="AB2673" t="s">
        <v>523</v>
      </c>
      <c r="AC2673" t="s">
        <v>85</v>
      </c>
      <c r="AD2673" t="s">
        <v>132</v>
      </c>
      <c r="AE2673" t="s">
        <v>133</v>
      </c>
      <c r="AF2673" t="s">
        <v>133</v>
      </c>
      <c r="AG2673" t="s">
        <v>5594</v>
      </c>
      <c r="AH2673" t="s">
        <v>524</v>
      </c>
      <c r="AK2673">
        <v>1</v>
      </c>
      <c r="AL2673" t="s">
        <v>61</v>
      </c>
      <c r="AM2673" t="s">
        <v>523</v>
      </c>
      <c r="AN2673" t="s">
        <v>525</v>
      </c>
    </row>
    <row r="2674" spans="1:40" x14ac:dyDescent="0.35">
      <c r="A2674" t="s">
        <v>37</v>
      </c>
      <c r="B2674" t="s">
        <v>10491</v>
      </c>
      <c r="C2674" t="s">
        <v>102</v>
      </c>
      <c r="D2674" t="s">
        <v>3106</v>
      </c>
      <c r="E2674" t="s">
        <v>3107</v>
      </c>
      <c r="F2674" s="1">
        <v>46070.816666666666</v>
      </c>
      <c r="G2674" t="s">
        <v>105</v>
      </c>
      <c r="H2674" t="s">
        <v>106</v>
      </c>
      <c r="I2674" t="s">
        <v>10399</v>
      </c>
      <c r="J2674" t="s">
        <v>108</v>
      </c>
      <c r="K2674" t="s">
        <v>109</v>
      </c>
      <c r="M2674" t="s">
        <v>150</v>
      </c>
      <c r="O2674" t="s">
        <v>77</v>
      </c>
      <c r="P2674" t="s">
        <v>78</v>
      </c>
      <c r="Q2674" t="s">
        <v>50</v>
      </c>
      <c r="R2674" t="s">
        <v>111</v>
      </c>
      <c r="S2674" t="s">
        <v>51</v>
      </c>
      <c r="T2674" t="s">
        <v>1583</v>
      </c>
      <c r="U2674" s="1">
        <v>46078.916400462964</v>
      </c>
      <c r="V2674" t="s">
        <v>54</v>
      </c>
      <c r="W2674" t="s">
        <v>1584</v>
      </c>
      <c r="X2674" t="s">
        <v>113</v>
      </c>
      <c r="Y2674" t="s">
        <v>10492</v>
      </c>
      <c r="Z2674" t="s">
        <v>58</v>
      </c>
      <c r="AA2674" t="s">
        <v>54</v>
      </c>
      <c r="AB2674" t="s">
        <v>115</v>
      </c>
      <c r="AC2674" t="s">
        <v>85</v>
      </c>
      <c r="AD2674" t="s">
        <v>116</v>
      </c>
      <c r="AE2674" t="s">
        <v>1586</v>
      </c>
      <c r="AF2674" t="s">
        <v>196</v>
      </c>
      <c r="AG2674" t="s">
        <v>58</v>
      </c>
      <c r="AH2674" t="s">
        <v>3111</v>
      </c>
      <c r="AK2674">
        <v>1</v>
      </c>
      <c r="AL2674" t="s">
        <v>61</v>
      </c>
      <c r="AM2674" t="s">
        <v>3112</v>
      </c>
      <c r="AN2674" t="s">
        <v>3113</v>
      </c>
    </row>
    <row r="2675" spans="1:40" x14ac:dyDescent="0.35">
      <c r="A2675" t="s">
        <v>37</v>
      </c>
      <c r="B2675" t="s">
        <v>10493</v>
      </c>
      <c r="C2675" t="s">
        <v>102</v>
      </c>
      <c r="D2675" t="s">
        <v>3106</v>
      </c>
      <c r="E2675" t="s">
        <v>3107</v>
      </c>
      <c r="F2675" s="1">
        <v>46070.816342592596</v>
      </c>
      <c r="G2675" t="s">
        <v>105</v>
      </c>
      <c r="H2675" t="s">
        <v>106</v>
      </c>
      <c r="I2675" t="s">
        <v>10402</v>
      </c>
      <c r="J2675" t="s">
        <v>108</v>
      </c>
      <c r="K2675" t="s">
        <v>109</v>
      </c>
      <c r="M2675" t="s">
        <v>47</v>
      </c>
      <c r="O2675" t="s">
        <v>77</v>
      </c>
      <c r="P2675" t="s">
        <v>78</v>
      </c>
      <c r="Q2675" t="s">
        <v>50</v>
      </c>
      <c r="R2675" t="s">
        <v>111</v>
      </c>
      <c r="S2675" t="s">
        <v>51</v>
      </c>
      <c r="T2675" t="s">
        <v>1583</v>
      </c>
      <c r="U2675" s="1">
        <v>46072.078622685185</v>
      </c>
      <c r="V2675" t="s">
        <v>54</v>
      </c>
      <c r="W2675" t="s">
        <v>1584</v>
      </c>
      <c r="X2675" t="s">
        <v>113</v>
      </c>
      <c r="Y2675" t="s">
        <v>10494</v>
      </c>
      <c r="Z2675" t="s">
        <v>5594</v>
      </c>
      <c r="AA2675" t="s">
        <v>54</v>
      </c>
      <c r="AB2675" t="s">
        <v>115</v>
      </c>
      <c r="AC2675" t="s">
        <v>85</v>
      </c>
      <c r="AD2675" t="s">
        <v>116</v>
      </c>
      <c r="AE2675" t="s">
        <v>1586</v>
      </c>
      <c r="AF2675" t="s">
        <v>3110</v>
      </c>
      <c r="AG2675" t="s">
        <v>5594</v>
      </c>
      <c r="AH2675" t="s">
        <v>3111</v>
      </c>
      <c r="AK2675">
        <v>1</v>
      </c>
      <c r="AL2675" t="s">
        <v>61</v>
      </c>
      <c r="AM2675" t="s">
        <v>3112</v>
      </c>
      <c r="AN2675" t="s">
        <v>3113</v>
      </c>
    </row>
    <row r="2676" spans="1:40" x14ac:dyDescent="0.35">
      <c r="A2676" t="s">
        <v>37</v>
      </c>
      <c r="B2676" t="s">
        <v>10495</v>
      </c>
      <c r="C2676" t="s">
        <v>102</v>
      </c>
      <c r="D2676" t="s">
        <v>3106</v>
      </c>
      <c r="E2676" t="s">
        <v>3107</v>
      </c>
      <c r="F2676" s="1">
        <v>46070.812650462962</v>
      </c>
      <c r="G2676" t="s">
        <v>105</v>
      </c>
      <c r="H2676" t="s">
        <v>106</v>
      </c>
      <c r="I2676" t="s">
        <v>7406</v>
      </c>
      <c r="J2676" t="s">
        <v>108</v>
      </c>
      <c r="K2676" t="s">
        <v>109</v>
      </c>
      <c r="M2676" t="s">
        <v>76</v>
      </c>
      <c r="O2676" t="s">
        <v>77</v>
      </c>
      <c r="P2676" t="s">
        <v>78</v>
      </c>
      <c r="Q2676" t="s">
        <v>50</v>
      </c>
      <c r="R2676" t="s">
        <v>111</v>
      </c>
      <c r="S2676" t="s">
        <v>51</v>
      </c>
      <c r="T2676" t="s">
        <v>1583</v>
      </c>
      <c r="U2676" s="1">
        <v>46078.878587962965</v>
      </c>
      <c r="V2676" t="s">
        <v>54</v>
      </c>
      <c r="W2676" t="s">
        <v>1584</v>
      </c>
      <c r="X2676" t="s">
        <v>113</v>
      </c>
      <c r="Y2676" t="s">
        <v>10496</v>
      </c>
      <c r="Z2676" t="s">
        <v>58</v>
      </c>
      <c r="AA2676" t="s">
        <v>54</v>
      </c>
      <c r="AB2676" t="s">
        <v>115</v>
      </c>
      <c r="AC2676" t="s">
        <v>85</v>
      </c>
      <c r="AD2676" t="s">
        <v>116</v>
      </c>
      <c r="AE2676" t="s">
        <v>1586</v>
      </c>
      <c r="AF2676" t="s">
        <v>3110</v>
      </c>
      <c r="AG2676" t="s">
        <v>58</v>
      </c>
      <c r="AH2676" t="s">
        <v>3111</v>
      </c>
      <c r="AK2676">
        <v>1</v>
      </c>
      <c r="AL2676" t="s">
        <v>61</v>
      </c>
      <c r="AM2676" t="s">
        <v>3112</v>
      </c>
      <c r="AN2676" t="s">
        <v>3113</v>
      </c>
    </row>
    <row r="2677" spans="1:40" x14ac:dyDescent="0.35">
      <c r="A2677" t="s">
        <v>37</v>
      </c>
      <c r="B2677" t="s">
        <v>10497</v>
      </c>
      <c r="C2677" t="s">
        <v>102</v>
      </c>
      <c r="D2677" t="s">
        <v>3106</v>
      </c>
      <c r="E2677" t="s">
        <v>3107</v>
      </c>
      <c r="F2677" s="1">
        <v>46070.811412037037</v>
      </c>
      <c r="G2677" t="s">
        <v>105</v>
      </c>
      <c r="H2677" t="s">
        <v>106</v>
      </c>
      <c r="I2677" t="s">
        <v>10413</v>
      </c>
      <c r="J2677" t="s">
        <v>108</v>
      </c>
      <c r="K2677" t="s">
        <v>109</v>
      </c>
      <c r="M2677" t="s">
        <v>47</v>
      </c>
      <c r="O2677" t="s">
        <v>77</v>
      </c>
      <c r="P2677" t="s">
        <v>78</v>
      </c>
      <c r="Q2677" t="s">
        <v>50</v>
      </c>
      <c r="R2677" t="s">
        <v>111</v>
      </c>
      <c r="S2677" t="s">
        <v>51</v>
      </c>
      <c r="T2677" t="s">
        <v>1583</v>
      </c>
      <c r="U2677" s="1">
        <v>46072.556516203702</v>
      </c>
      <c r="V2677" t="s">
        <v>54</v>
      </c>
      <c r="W2677" t="s">
        <v>1584</v>
      </c>
      <c r="X2677" t="s">
        <v>113</v>
      </c>
      <c r="Y2677" t="s">
        <v>10498</v>
      </c>
      <c r="Z2677" t="s">
        <v>5594</v>
      </c>
      <c r="AA2677" t="s">
        <v>54</v>
      </c>
      <c r="AB2677" t="s">
        <v>115</v>
      </c>
      <c r="AC2677" t="s">
        <v>85</v>
      </c>
      <c r="AD2677" t="s">
        <v>116</v>
      </c>
      <c r="AE2677" t="s">
        <v>1586</v>
      </c>
      <c r="AF2677" t="s">
        <v>3110</v>
      </c>
      <c r="AG2677" t="s">
        <v>5594</v>
      </c>
      <c r="AH2677" t="s">
        <v>3111</v>
      </c>
      <c r="AK2677">
        <v>1</v>
      </c>
      <c r="AL2677" t="s">
        <v>61</v>
      </c>
      <c r="AM2677" t="s">
        <v>3112</v>
      </c>
      <c r="AN2677" t="s">
        <v>3113</v>
      </c>
    </row>
    <row r="2678" spans="1:40" x14ac:dyDescent="0.35">
      <c r="A2678" t="s">
        <v>37</v>
      </c>
      <c r="B2678" t="s">
        <v>10499</v>
      </c>
      <c r="C2678" t="s">
        <v>102</v>
      </c>
      <c r="D2678" t="s">
        <v>3106</v>
      </c>
      <c r="E2678" t="s">
        <v>3107</v>
      </c>
      <c r="F2678" s="1">
        <v>46070.811076388891</v>
      </c>
      <c r="G2678" t="s">
        <v>105</v>
      </c>
      <c r="H2678" t="s">
        <v>106</v>
      </c>
      <c r="I2678" t="s">
        <v>10500</v>
      </c>
      <c r="J2678" t="s">
        <v>108</v>
      </c>
      <c r="K2678" t="s">
        <v>109</v>
      </c>
      <c r="M2678" t="s">
        <v>76</v>
      </c>
      <c r="O2678" t="s">
        <v>77</v>
      </c>
      <c r="P2678" t="s">
        <v>78</v>
      </c>
      <c r="Q2678" t="s">
        <v>50</v>
      </c>
      <c r="R2678" t="s">
        <v>111</v>
      </c>
      <c r="S2678" t="s">
        <v>51</v>
      </c>
      <c r="T2678" t="s">
        <v>1583</v>
      </c>
      <c r="U2678" s="1">
        <v>46078.878206018519</v>
      </c>
      <c r="V2678" t="s">
        <v>54</v>
      </c>
      <c r="W2678" t="s">
        <v>1584</v>
      </c>
      <c r="X2678" t="s">
        <v>113</v>
      </c>
      <c r="Y2678" t="s">
        <v>10501</v>
      </c>
      <c r="Z2678" t="s">
        <v>58</v>
      </c>
      <c r="AA2678" t="s">
        <v>54</v>
      </c>
      <c r="AB2678" t="s">
        <v>115</v>
      </c>
      <c r="AC2678" t="s">
        <v>85</v>
      </c>
      <c r="AD2678" t="s">
        <v>116</v>
      </c>
      <c r="AE2678" t="s">
        <v>1586</v>
      </c>
      <c r="AF2678" t="s">
        <v>3110</v>
      </c>
      <c r="AG2678" t="s">
        <v>58</v>
      </c>
      <c r="AH2678" t="s">
        <v>3111</v>
      </c>
      <c r="AK2678">
        <v>1</v>
      </c>
      <c r="AL2678" t="s">
        <v>61</v>
      </c>
      <c r="AM2678" t="s">
        <v>3112</v>
      </c>
      <c r="AN2678" t="s">
        <v>3113</v>
      </c>
    </row>
    <row r="2679" spans="1:40" x14ac:dyDescent="0.35">
      <c r="A2679" t="s">
        <v>37</v>
      </c>
      <c r="B2679" t="s">
        <v>10502</v>
      </c>
      <c r="C2679" t="s">
        <v>102</v>
      </c>
      <c r="D2679" t="s">
        <v>3106</v>
      </c>
      <c r="E2679" t="s">
        <v>3107</v>
      </c>
      <c r="F2679" s="1">
        <v>46070.784618055557</v>
      </c>
      <c r="G2679" t="s">
        <v>105</v>
      </c>
      <c r="H2679" t="s">
        <v>106</v>
      </c>
      <c r="I2679" t="s">
        <v>10424</v>
      </c>
      <c r="J2679" t="s">
        <v>108</v>
      </c>
      <c r="K2679" t="s">
        <v>109</v>
      </c>
      <c r="M2679" t="s">
        <v>47</v>
      </c>
      <c r="O2679" t="s">
        <v>77</v>
      </c>
      <c r="P2679" t="s">
        <v>78</v>
      </c>
      <c r="Q2679" t="s">
        <v>50</v>
      </c>
      <c r="R2679" t="s">
        <v>111</v>
      </c>
      <c r="S2679" t="s">
        <v>51</v>
      </c>
      <c r="T2679" t="s">
        <v>1583</v>
      </c>
      <c r="U2679" s="1">
        <v>46072.040694444448</v>
      </c>
      <c r="V2679" t="s">
        <v>54</v>
      </c>
      <c r="W2679" t="s">
        <v>1584</v>
      </c>
      <c r="X2679" t="s">
        <v>113</v>
      </c>
      <c r="Y2679" t="s">
        <v>10503</v>
      </c>
      <c r="Z2679" t="s">
        <v>5594</v>
      </c>
      <c r="AA2679" t="s">
        <v>54</v>
      </c>
      <c r="AB2679" t="s">
        <v>115</v>
      </c>
      <c r="AC2679" t="s">
        <v>85</v>
      </c>
      <c r="AD2679" t="s">
        <v>116</v>
      </c>
      <c r="AE2679" t="s">
        <v>1586</v>
      </c>
      <c r="AF2679" t="s">
        <v>3110</v>
      </c>
      <c r="AG2679" t="s">
        <v>5594</v>
      </c>
      <c r="AH2679" t="s">
        <v>3111</v>
      </c>
      <c r="AK2679">
        <v>1</v>
      </c>
      <c r="AL2679" t="s">
        <v>61</v>
      </c>
      <c r="AM2679" t="s">
        <v>3112</v>
      </c>
      <c r="AN2679" t="s">
        <v>3113</v>
      </c>
    </row>
    <row r="2680" spans="1:40" x14ac:dyDescent="0.35">
      <c r="A2680" t="s">
        <v>37</v>
      </c>
      <c r="B2680" t="s">
        <v>10504</v>
      </c>
      <c r="C2680" t="s">
        <v>656</v>
      </c>
      <c r="D2680" t="s">
        <v>6212</v>
      </c>
      <c r="E2680" t="s">
        <v>6213</v>
      </c>
      <c r="F2680" s="1">
        <v>46070.782407407409</v>
      </c>
      <c r="G2680" t="s">
        <v>355</v>
      </c>
      <c r="H2680" t="s">
        <v>356</v>
      </c>
      <c r="I2680" t="s">
        <v>10505</v>
      </c>
      <c r="J2680" t="s">
        <v>2406</v>
      </c>
      <c r="K2680" t="s">
        <v>1187</v>
      </c>
      <c r="M2680" t="s">
        <v>131</v>
      </c>
      <c r="O2680" t="s">
        <v>77</v>
      </c>
      <c r="P2680" t="s">
        <v>78</v>
      </c>
      <c r="Q2680" t="s">
        <v>50</v>
      </c>
      <c r="R2680" t="s">
        <v>79</v>
      </c>
      <c r="S2680" t="s">
        <v>1556</v>
      </c>
      <c r="T2680" t="s">
        <v>1557</v>
      </c>
      <c r="U2680" s="1">
        <v>46076.541967592595</v>
      </c>
      <c r="V2680" t="s">
        <v>54</v>
      </c>
      <c r="W2680" t="s">
        <v>55</v>
      </c>
      <c r="X2680" t="s">
        <v>134</v>
      </c>
      <c r="Y2680" t="s">
        <v>10506</v>
      </c>
      <c r="Z2680" t="s">
        <v>58</v>
      </c>
      <c r="AA2680" t="s">
        <v>54</v>
      </c>
      <c r="AB2680" t="s">
        <v>954</v>
      </c>
      <c r="AC2680" t="s">
        <v>85</v>
      </c>
      <c r="AD2680" t="s">
        <v>1189</v>
      </c>
      <c r="AE2680" t="s">
        <v>1190</v>
      </c>
      <c r="AF2680" t="s">
        <v>3058</v>
      </c>
      <c r="AG2680" t="s">
        <v>58</v>
      </c>
      <c r="AH2680" t="s">
        <v>6217</v>
      </c>
      <c r="AK2680">
        <v>1</v>
      </c>
      <c r="AL2680" t="s">
        <v>61</v>
      </c>
      <c r="AM2680" t="s">
        <v>6218</v>
      </c>
      <c r="AN2680" t="s">
        <v>6219</v>
      </c>
    </row>
    <row r="2681" spans="1:40" x14ac:dyDescent="0.35">
      <c r="A2681" t="s">
        <v>37</v>
      </c>
      <c r="B2681" t="s">
        <v>10507</v>
      </c>
      <c r="C2681" t="s">
        <v>102</v>
      </c>
      <c r="D2681" t="s">
        <v>3106</v>
      </c>
      <c r="E2681" t="s">
        <v>3107</v>
      </c>
      <c r="F2681" s="1">
        <v>46070.781956018516</v>
      </c>
      <c r="G2681" t="s">
        <v>105</v>
      </c>
      <c r="H2681" t="s">
        <v>106</v>
      </c>
      <c r="I2681" t="s">
        <v>10508</v>
      </c>
      <c r="J2681" t="s">
        <v>108</v>
      </c>
      <c r="K2681" t="s">
        <v>109</v>
      </c>
      <c r="M2681" t="s">
        <v>47</v>
      </c>
      <c r="O2681" t="s">
        <v>77</v>
      </c>
      <c r="P2681" t="s">
        <v>78</v>
      </c>
      <c r="Q2681" t="s">
        <v>50</v>
      </c>
      <c r="R2681" t="s">
        <v>111</v>
      </c>
      <c r="S2681" t="s">
        <v>51</v>
      </c>
      <c r="T2681" t="s">
        <v>1583</v>
      </c>
      <c r="U2681" s="1">
        <v>46072.078229166669</v>
      </c>
      <c r="V2681" t="s">
        <v>54</v>
      </c>
      <c r="W2681" t="s">
        <v>1584</v>
      </c>
      <c r="X2681" t="s">
        <v>113</v>
      </c>
      <c r="Y2681" t="s">
        <v>10509</v>
      </c>
      <c r="Z2681" t="s">
        <v>5594</v>
      </c>
      <c r="AA2681" t="s">
        <v>54</v>
      </c>
      <c r="AB2681" t="s">
        <v>115</v>
      </c>
      <c r="AC2681" t="s">
        <v>85</v>
      </c>
      <c r="AD2681" t="s">
        <v>116</v>
      </c>
      <c r="AE2681" t="s">
        <v>1586</v>
      </c>
      <c r="AF2681" t="s">
        <v>3110</v>
      </c>
      <c r="AG2681" t="s">
        <v>5594</v>
      </c>
      <c r="AH2681" t="s">
        <v>3111</v>
      </c>
      <c r="AK2681">
        <v>1</v>
      </c>
      <c r="AL2681" t="s">
        <v>61</v>
      </c>
      <c r="AM2681" t="s">
        <v>3112</v>
      </c>
      <c r="AN2681" t="s">
        <v>3113</v>
      </c>
    </row>
    <row r="2682" spans="1:40" x14ac:dyDescent="0.35">
      <c r="A2682" t="s">
        <v>37</v>
      </c>
      <c r="B2682" t="s">
        <v>10510</v>
      </c>
      <c r="C2682" t="s">
        <v>102</v>
      </c>
      <c r="D2682" t="s">
        <v>3106</v>
      </c>
      <c r="E2682" t="s">
        <v>3107</v>
      </c>
      <c r="F2682" s="1">
        <v>46070.781331018516</v>
      </c>
      <c r="G2682" t="s">
        <v>105</v>
      </c>
      <c r="H2682" t="s">
        <v>106</v>
      </c>
      <c r="I2682" t="s">
        <v>10430</v>
      </c>
      <c r="J2682" t="s">
        <v>108</v>
      </c>
      <c r="K2682" t="s">
        <v>109</v>
      </c>
      <c r="M2682" t="s">
        <v>47</v>
      </c>
      <c r="O2682" t="s">
        <v>77</v>
      </c>
      <c r="P2682" t="s">
        <v>78</v>
      </c>
      <c r="Q2682" t="s">
        <v>50</v>
      </c>
      <c r="R2682" t="s">
        <v>111</v>
      </c>
      <c r="S2682" t="s">
        <v>51</v>
      </c>
      <c r="T2682" t="s">
        <v>1583</v>
      </c>
      <c r="U2682" s="1">
        <v>46072.077951388892</v>
      </c>
      <c r="V2682" t="s">
        <v>54</v>
      </c>
      <c r="W2682" t="s">
        <v>1584</v>
      </c>
      <c r="X2682" t="s">
        <v>113</v>
      </c>
      <c r="Y2682" t="s">
        <v>10511</v>
      </c>
      <c r="Z2682" t="s">
        <v>5594</v>
      </c>
      <c r="AA2682" t="s">
        <v>54</v>
      </c>
      <c r="AB2682" t="s">
        <v>115</v>
      </c>
      <c r="AC2682" t="s">
        <v>85</v>
      </c>
      <c r="AD2682" t="s">
        <v>116</v>
      </c>
      <c r="AE2682" t="s">
        <v>1586</v>
      </c>
      <c r="AF2682" t="s">
        <v>3110</v>
      </c>
      <c r="AG2682" t="s">
        <v>5594</v>
      </c>
      <c r="AH2682" t="s">
        <v>3111</v>
      </c>
      <c r="AK2682">
        <v>1</v>
      </c>
      <c r="AL2682" t="s">
        <v>61</v>
      </c>
      <c r="AM2682" t="s">
        <v>3112</v>
      </c>
      <c r="AN2682" t="s">
        <v>3113</v>
      </c>
    </row>
    <row r="2683" spans="1:40" x14ac:dyDescent="0.35">
      <c r="A2683" t="s">
        <v>37</v>
      </c>
      <c r="B2683" t="s">
        <v>10512</v>
      </c>
      <c r="C2683" t="s">
        <v>39</v>
      </c>
      <c r="D2683" t="s">
        <v>5437</v>
      </c>
      <c r="E2683" t="s">
        <v>1421</v>
      </c>
      <c r="F2683" s="1">
        <v>46070.772245370368</v>
      </c>
      <c r="I2683" t="s">
        <v>205</v>
      </c>
      <c r="J2683" t="s">
        <v>7089</v>
      </c>
      <c r="K2683" t="s">
        <v>207</v>
      </c>
      <c r="M2683" t="s">
        <v>47</v>
      </c>
      <c r="O2683" t="s">
        <v>77</v>
      </c>
      <c r="P2683" t="s">
        <v>78</v>
      </c>
      <c r="Q2683" t="s">
        <v>50</v>
      </c>
      <c r="R2683" t="s">
        <v>305</v>
      </c>
      <c r="S2683" t="s">
        <v>306</v>
      </c>
      <c r="T2683" t="s">
        <v>307</v>
      </c>
      <c r="U2683" s="1">
        <v>46073.553159722222</v>
      </c>
      <c r="V2683" t="s">
        <v>54</v>
      </c>
      <c r="W2683" t="s">
        <v>55</v>
      </c>
      <c r="X2683" t="s">
        <v>211</v>
      </c>
      <c r="Y2683" t="s">
        <v>9983</v>
      </c>
      <c r="Z2683" t="s">
        <v>5594</v>
      </c>
      <c r="AA2683" t="s">
        <v>54</v>
      </c>
      <c r="AB2683" t="s">
        <v>213</v>
      </c>
      <c r="AC2683" t="s">
        <v>85</v>
      </c>
      <c r="AD2683" t="s">
        <v>214</v>
      </c>
      <c r="AE2683" t="s">
        <v>215</v>
      </c>
      <c r="AF2683" t="s">
        <v>2083</v>
      </c>
      <c r="AG2683" t="s">
        <v>5594</v>
      </c>
      <c r="AH2683">
        <v>15917</v>
      </c>
      <c r="AK2683">
        <v>4</v>
      </c>
      <c r="AL2683" t="s">
        <v>61</v>
      </c>
      <c r="AM2683" t="s">
        <v>10513</v>
      </c>
      <c r="AN2683" t="s">
        <v>10514</v>
      </c>
    </row>
    <row r="2684" spans="1:40" x14ac:dyDescent="0.35">
      <c r="A2684" t="s">
        <v>37</v>
      </c>
      <c r="B2684" t="s">
        <v>10515</v>
      </c>
      <c r="C2684" t="s">
        <v>656</v>
      </c>
      <c r="D2684" t="s">
        <v>10516</v>
      </c>
      <c r="E2684" t="s">
        <v>10517</v>
      </c>
      <c r="F2684" s="1">
        <v>46070.744490740741</v>
      </c>
      <c r="G2684" t="s">
        <v>355</v>
      </c>
      <c r="H2684" t="s">
        <v>356</v>
      </c>
      <c r="I2684" t="s">
        <v>10518</v>
      </c>
      <c r="J2684" t="s">
        <v>7846</v>
      </c>
      <c r="K2684" t="s">
        <v>2630</v>
      </c>
      <c r="M2684" t="s">
        <v>76</v>
      </c>
      <c r="O2684" t="s">
        <v>77</v>
      </c>
      <c r="P2684" t="s">
        <v>78</v>
      </c>
      <c r="Q2684" t="s">
        <v>50</v>
      </c>
      <c r="R2684" t="s">
        <v>1321</v>
      </c>
      <c r="S2684" t="s">
        <v>2631</v>
      </c>
      <c r="T2684" t="s">
        <v>10519</v>
      </c>
      <c r="U2684" s="1">
        <v>46077.369814814818</v>
      </c>
      <c r="V2684" t="s">
        <v>54</v>
      </c>
      <c r="W2684" t="s">
        <v>55</v>
      </c>
      <c r="X2684" t="s">
        <v>134</v>
      </c>
      <c r="Y2684" t="s">
        <v>10520</v>
      </c>
      <c r="Z2684" t="s">
        <v>58</v>
      </c>
      <c r="AA2684" t="s">
        <v>54</v>
      </c>
      <c r="AB2684" t="s">
        <v>954</v>
      </c>
      <c r="AC2684" t="s">
        <v>85</v>
      </c>
      <c r="AD2684" t="s">
        <v>1321</v>
      </c>
      <c r="AE2684" t="s">
        <v>7850</v>
      </c>
      <c r="AF2684" t="s">
        <v>1323</v>
      </c>
      <c r="AG2684" t="s">
        <v>58</v>
      </c>
      <c r="AH2684" t="s">
        <v>10521</v>
      </c>
      <c r="AK2684">
        <v>1</v>
      </c>
      <c r="AL2684" t="s">
        <v>61</v>
      </c>
      <c r="AM2684" t="s">
        <v>10522</v>
      </c>
      <c r="AN2684" t="s">
        <v>10523</v>
      </c>
    </row>
    <row r="2685" spans="1:40" x14ac:dyDescent="0.35">
      <c r="A2685" t="s">
        <v>37</v>
      </c>
      <c r="B2685" t="s">
        <v>10524</v>
      </c>
      <c r="C2685" t="s">
        <v>102</v>
      </c>
      <c r="D2685" t="s">
        <v>853</v>
      </c>
      <c r="E2685" t="s">
        <v>3310</v>
      </c>
      <c r="F2685" s="1">
        <v>46070.72483796296</v>
      </c>
      <c r="G2685" t="s">
        <v>71</v>
      </c>
      <c r="H2685" t="s">
        <v>72</v>
      </c>
      <c r="I2685" t="s">
        <v>8126</v>
      </c>
      <c r="J2685" t="s">
        <v>8127</v>
      </c>
      <c r="K2685" t="s">
        <v>1627</v>
      </c>
      <c r="M2685" t="s">
        <v>131</v>
      </c>
      <c r="O2685" t="s">
        <v>1501</v>
      </c>
      <c r="P2685" t="s">
        <v>1502</v>
      </c>
      <c r="Q2685" t="s">
        <v>50</v>
      </c>
      <c r="R2685" t="s">
        <v>79</v>
      </c>
      <c r="S2685" t="s">
        <v>590</v>
      </c>
      <c r="T2685" t="s">
        <v>5987</v>
      </c>
      <c r="U2685" s="1">
        <v>46078.487013888887</v>
      </c>
      <c r="V2685" t="s">
        <v>54</v>
      </c>
      <c r="W2685" t="s">
        <v>55</v>
      </c>
      <c r="X2685" t="s">
        <v>134</v>
      </c>
      <c r="Y2685" t="s">
        <v>8129</v>
      </c>
      <c r="Z2685" t="s">
        <v>58</v>
      </c>
      <c r="AA2685" t="s">
        <v>54</v>
      </c>
      <c r="AB2685" t="s">
        <v>954</v>
      </c>
      <c r="AC2685" t="s">
        <v>1504</v>
      </c>
      <c r="AD2685" t="s">
        <v>2670</v>
      </c>
      <c r="AE2685" t="s">
        <v>8130</v>
      </c>
      <c r="AF2685" t="s">
        <v>10525</v>
      </c>
      <c r="AG2685" t="s">
        <v>58</v>
      </c>
      <c r="AH2685">
        <v>11777</v>
      </c>
      <c r="AK2685">
        <v>1</v>
      </c>
      <c r="AL2685" t="s">
        <v>61</v>
      </c>
      <c r="AM2685" t="s">
        <v>3312</v>
      </c>
      <c r="AN2685" t="s">
        <v>3313</v>
      </c>
    </row>
    <row r="2686" spans="1:40" x14ac:dyDescent="0.35">
      <c r="A2686" t="s">
        <v>37</v>
      </c>
      <c r="B2686" t="s">
        <v>10526</v>
      </c>
      <c r="C2686" t="s">
        <v>39</v>
      </c>
      <c r="D2686" t="s">
        <v>469</v>
      </c>
      <c r="E2686" t="s">
        <v>2003</v>
      </c>
      <c r="F2686" s="1">
        <v>46070.721631944441</v>
      </c>
      <c r="G2686" t="s">
        <v>432</v>
      </c>
      <c r="H2686" t="s">
        <v>433</v>
      </c>
      <c r="I2686" t="s">
        <v>10527</v>
      </c>
      <c r="J2686" t="s">
        <v>1692</v>
      </c>
      <c r="K2686" t="s">
        <v>207</v>
      </c>
      <c r="M2686" t="s">
        <v>131</v>
      </c>
      <c r="O2686" t="s">
        <v>77</v>
      </c>
      <c r="P2686" t="s">
        <v>78</v>
      </c>
      <c r="Q2686" t="s">
        <v>50</v>
      </c>
      <c r="R2686" t="s">
        <v>79</v>
      </c>
      <c r="S2686" t="s">
        <v>1556</v>
      </c>
      <c r="T2686" t="s">
        <v>1557</v>
      </c>
      <c r="U2686" s="1">
        <v>46077.267210648148</v>
      </c>
      <c r="V2686" t="s">
        <v>54</v>
      </c>
      <c r="W2686" t="s">
        <v>55</v>
      </c>
      <c r="X2686" t="s">
        <v>134</v>
      </c>
      <c r="Y2686" t="s">
        <v>10528</v>
      </c>
      <c r="Z2686" t="s">
        <v>58</v>
      </c>
      <c r="AA2686" t="s">
        <v>54</v>
      </c>
      <c r="AB2686" t="s">
        <v>954</v>
      </c>
      <c r="AC2686" t="s">
        <v>85</v>
      </c>
      <c r="AD2686" t="s">
        <v>214</v>
      </c>
      <c r="AE2686" t="s">
        <v>215</v>
      </c>
      <c r="AF2686" t="s">
        <v>161</v>
      </c>
      <c r="AG2686" t="s">
        <v>58</v>
      </c>
      <c r="AH2686">
        <v>1266</v>
      </c>
      <c r="AK2686">
        <v>2</v>
      </c>
      <c r="AL2686" t="s">
        <v>61</v>
      </c>
      <c r="AM2686" t="s">
        <v>2006</v>
      </c>
      <c r="AN2686" t="s">
        <v>2007</v>
      </c>
    </row>
    <row r="2687" spans="1:40" x14ac:dyDescent="0.35">
      <c r="A2687" t="s">
        <v>37</v>
      </c>
      <c r="B2687" t="s">
        <v>10529</v>
      </c>
      <c r="C2687" t="s">
        <v>656</v>
      </c>
      <c r="D2687" t="s">
        <v>6212</v>
      </c>
      <c r="E2687" t="s">
        <v>6213</v>
      </c>
      <c r="F2687" s="1">
        <v>46070.713541666664</v>
      </c>
      <c r="G2687" t="s">
        <v>355</v>
      </c>
      <c r="H2687" t="s">
        <v>356</v>
      </c>
      <c r="I2687" t="s">
        <v>10530</v>
      </c>
      <c r="J2687" t="s">
        <v>2333</v>
      </c>
      <c r="K2687" t="s">
        <v>1187</v>
      </c>
      <c r="M2687" t="s">
        <v>47</v>
      </c>
      <c r="O2687" t="s">
        <v>77</v>
      </c>
      <c r="P2687" t="s">
        <v>78</v>
      </c>
      <c r="Q2687" t="s">
        <v>50</v>
      </c>
      <c r="R2687" t="s">
        <v>662</v>
      </c>
      <c r="S2687" t="s">
        <v>209</v>
      </c>
      <c r="T2687" t="s">
        <v>8389</v>
      </c>
      <c r="U2687" s="1">
        <v>46075.631620370368</v>
      </c>
      <c r="V2687" t="s">
        <v>54</v>
      </c>
      <c r="W2687" t="s">
        <v>55</v>
      </c>
      <c r="X2687" t="s">
        <v>134</v>
      </c>
      <c r="Y2687" t="s">
        <v>10531</v>
      </c>
      <c r="Z2687" t="s">
        <v>5594</v>
      </c>
      <c r="AA2687" t="s">
        <v>54</v>
      </c>
      <c r="AB2687" t="s">
        <v>954</v>
      </c>
      <c r="AC2687" t="s">
        <v>85</v>
      </c>
      <c r="AD2687" t="s">
        <v>1189</v>
      </c>
      <c r="AE2687" t="s">
        <v>10532</v>
      </c>
      <c r="AF2687" t="s">
        <v>10533</v>
      </c>
      <c r="AG2687" t="s">
        <v>5594</v>
      </c>
      <c r="AH2687" t="s">
        <v>6217</v>
      </c>
      <c r="AK2687">
        <v>1</v>
      </c>
      <c r="AL2687" t="s">
        <v>61</v>
      </c>
      <c r="AM2687" t="s">
        <v>6218</v>
      </c>
      <c r="AN2687" t="s">
        <v>6219</v>
      </c>
    </row>
    <row r="2688" spans="1:40" x14ac:dyDescent="0.35">
      <c r="A2688" t="s">
        <v>37</v>
      </c>
      <c r="B2688" t="s">
        <v>10534</v>
      </c>
      <c r="C2688" t="s">
        <v>39</v>
      </c>
      <c r="D2688" t="s">
        <v>2915</v>
      </c>
      <c r="E2688" t="s">
        <v>2916</v>
      </c>
      <c r="F2688" s="1">
        <v>46070.678946759261</v>
      </c>
      <c r="G2688" t="s">
        <v>327</v>
      </c>
      <c r="H2688" t="s">
        <v>72</v>
      </c>
      <c r="I2688" t="s">
        <v>1446</v>
      </c>
      <c r="J2688" t="s">
        <v>2406</v>
      </c>
      <c r="K2688" t="s">
        <v>1187</v>
      </c>
      <c r="M2688" t="s">
        <v>47</v>
      </c>
      <c r="O2688" t="s">
        <v>77</v>
      </c>
      <c r="P2688" t="s">
        <v>78</v>
      </c>
      <c r="Q2688" t="s">
        <v>50</v>
      </c>
      <c r="R2688" t="s">
        <v>305</v>
      </c>
      <c r="S2688" t="s">
        <v>306</v>
      </c>
      <c r="T2688" t="s">
        <v>307</v>
      </c>
      <c r="U2688" s="1">
        <v>46073.412060185183</v>
      </c>
      <c r="V2688" t="s">
        <v>54</v>
      </c>
      <c r="W2688" t="s">
        <v>55</v>
      </c>
      <c r="X2688" t="s">
        <v>211</v>
      </c>
      <c r="Y2688" t="s">
        <v>10535</v>
      </c>
      <c r="Z2688" t="s">
        <v>5594</v>
      </c>
      <c r="AA2688" t="s">
        <v>54</v>
      </c>
      <c r="AB2688" t="s">
        <v>213</v>
      </c>
      <c r="AC2688" t="s">
        <v>85</v>
      </c>
      <c r="AD2688" t="s">
        <v>1189</v>
      </c>
      <c r="AE2688" t="s">
        <v>3436</v>
      </c>
      <c r="AF2688" t="s">
        <v>3437</v>
      </c>
      <c r="AG2688" t="s">
        <v>5594</v>
      </c>
      <c r="AH2688" t="s">
        <v>2919</v>
      </c>
      <c r="AK2688">
        <v>6</v>
      </c>
      <c r="AL2688" t="s">
        <v>61</v>
      </c>
      <c r="AM2688" t="s">
        <v>2920</v>
      </c>
      <c r="AN2688" t="s">
        <v>2921</v>
      </c>
    </row>
    <row r="2689" spans="1:40" x14ac:dyDescent="0.35">
      <c r="A2689" t="s">
        <v>37</v>
      </c>
      <c r="B2689" t="s">
        <v>10536</v>
      </c>
      <c r="C2689" t="s">
        <v>39</v>
      </c>
      <c r="D2689" t="s">
        <v>8203</v>
      </c>
      <c r="E2689" t="s">
        <v>8204</v>
      </c>
      <c r="F2689" s="1">
        <v>46070.667986111112</v>
      </c>
      <c r="G2689" t="s">
        <v>355</v>
      </c>
      <c r="H2689" t="s">
        <v>356</v>
      </c>
      <c r="I2689" t="s">
        <v>10537</v>
      </c>
      <c r="J2689" t="s">
        <v>950</v>
      </c>
      <c r="K2689" t="s">
        <v>951</v>
      </c>
      <c r="M2689" t="s">
        <v>76</v>
      </c>
      <c r="O2689" t="s">
        <v>77</v>
      </c>
      <c r="P2689" t="s">
        <v>78</v>
      </c>
      <c r="Q2689" t="s">
        <v>1370</v>
      </c>
      <c r="R2689" t="s">
        <v>2670</v>
      </c>
      <c r="S2689" t="s">
        <v>8206</v>
      </c>
      <c r="T2689" t="s">
        <v>8207</v>
      </c>
      <c r="U2689" s="1">
        <v>46077.494930555556</v>
      </c>
      <c r="V2689" t="s">
        <v>54</v>
      </c>
      <c r="W2689" t="s">
        <v>55</v>
      </c>
      <c r="X2689" t="s">
        <v>134</v>
      </c>
      <c r="Y2689" t="e">
        <f>- the toner has been replaced successfully.</f>
        <v>#NAME?</v>
      </c>
      <c r="Z2689" t="s">
        <v>58</v>
      </c>
      <c r="AA2689" t="s">
        <v>54</v>
      </c>
      <c r="AB2689" t="s">
        <v>8209</v>
      </c>
      <c r="AC2689" t="s">
        <v>85</v>
      </c>
      <c r="AD2689" t="s">
        <v>2670</v>
      </c>
      <c r="AE2689" t="s">
        <v>8206</v>
      </c>
      <c r="AF2689" t="s">
        <v>8207</v>
      </c>
      <c r="AG2689" t="s">
        <v>58</v>
      </c>
      <c r="AJ2689">
        <v>191689</v>
      </c>
      <c r="AK2689">
        <v>6</v>
      </c>
      <c r="AL2689" t="s">
        <v>61</v>
      </c>
      <c r="AM2689" t="s">
        <v>8209</v>
      </c>
      <c r="AN2689" t="s">
        <v>8210</v>
      </c>
    </row>
    <row r="2690" spans="1:40" x14ac:dyDescent="0.35">
      <c r="A2690" t="s">
        <v>37</v>
      </c>
      <c r="B2690" t="s">
        <v>10538</v>
      </c>
      <c r="C2690" t="s">
        <v>39</v>
      </c>
      <c r="D2690" t="s">
        <v>1751</v>
      </c>
      <c r="E2690" t="s">
        <v>1316</v>
      </c>
      <c r="F2690" s="1">
        <v>46070.667986111112</v>
      </c>
      <c r="G2690" t="s">
        <v>1752</v>
      </c>
      <c r="H2690" t="s">
        <v>447</v>
      </c>
      <c r="I2690" t="s">
        <v>10539</v>
      </c>
      <c r="J2690" t="s">
        <v>1754</v>
      </c>
      <c r="K2690" t="s">
        <v>1755</v>
      </c>
      <c r="M2690" t="s">
        <v>47</v>
      </c>
      <c r="O2690" t="s">
        <v>77</v>
      </c>
      <c r="P2690" t="s">
        <v>78</v>
      </c>
      <c r="Q2690" t="s">
        <v>50</v>
      </c>
      <c r="R2690" t="s">
        <v>51</v>
      </c>
      <c r="S2690" t="s">
        <v>52</v>
      </c>
      <c r="T2690" t="s">
        <v>773</v>
      </c>
      <c r="U2690" s="1">
        <v>46074.94425925926</v>
      </c>
      <c r="V2690" t="s">
        <v>54</v>
      </c>
      <c r="W2690" t="s">
        <v>55</v>
      </c>
      <c r="X2690" t="s">
        <v>134</v>
      </c>
      <c r="Y2690" t="s">
        <v>1756</v>
      </c>
      <c r="Z2690" t="s">
        <v>5594</v>
      </c>
      <c r="AA2690" t="s">
        <v>54</v>
      </c>
      <c r="AB2690" t="s">
        <v>1757</v>
      </c>
      <c r="AC2690" t="s">
        <v>85</v>
      </c>
      <c r="AD2690" t="s">
        <v>52</v>
      </c>
      <c r="AE2690" t="s">
        <v>243</v>
      </c>
      <c r="AF2690" t="s">
        <v>244</v>
      </c>
      <c r="AG2690" t="s">
        <v>5594</v>
      </c>
      <c r="AK2690">
        <v>1</v>
      </c>
      <c r="AL2690" t="s">
        <v>61</v>
      </c>
      <c r="AM2690" t="s">
        <v>1757</v>
      </c>
      <c r="AN2690" t="s">
        <v>1758</v>
      </c>
    </row>
    <row r="2691" spans="1:40" x14ac:dyDescent="0.35">
      <c r="A2691" t="s">
        <v>37</v>
      </c>
      <c r="B2691" t="s">
        <v>10540</v>
      </c>
      <c r="C2691" t="s">
        <v>39</v>
      </c>
      <c r="D2691" t="s">
        <v>8149</v>
      </c>
      <c r="E2691" t="s">
        <v>469</v>
      </c>
      <c r="F2691" s="1">
        <v>46070.668356481481</v>
      </c>
      <c r="G2691" t="s">
        <v>446</v>
      </c>
      <c r="H2691" t="s">
        <v>447</v>
      </c>
      <c r="I2691" t="s">
        <v>10541</v>
      </c>
      <c r="J2691" t="s">
        <v>206</v>
      </c>
      <c r="K2691" t="s">
        <v>207</v>
      </c>
      <c r="M2691" t="s">
        <v>131</v>
      </c>
      <c r="O2691" t="s">
        <v>77</v>
      </c>
      <c r="P2691" t="s">
        <v>78</v>
      </c>
      <c r="Q2691" t="s">
        <v>50</v>
      </c>
      <c r="R2691" t="s">
        <v>79</v>
      </c>
      <c r="S2691" t="s">
        <v>1556</v>
      </c>
      <c r="T2691" t="s">
        <v>1557</v>
      </c>
      <c r="U2691" s="1">
        <v>46077.679386574076</v>
      </c>
      <c r="V2691" t="s">
        <v>54</v>
      </c>
      <c r="W2691" t="s">
        <v>55</v>
      </c>
      <c r="X2691" t="s">
        <v>134</v>
      </c>
      <c r="Y2691" t="s">
        <v>10542</v>
      </c>
      <c r="Z2691" t="s">
        <v>58</v>
      </c>
      <c r="AA2691" t="s">
        <v>54</v>
      </c>
      <c r="AB2691" t="s">
        <v>954</v>
      </c>
      <c r="AC2691" t="s">
        <v>85</v>
      </c>
      <c r="AD2691" t="s">
        <v>79</v>
      </c>
      <c r="AE2691" t="s">
        <v>1556</v>
      </c>
      <c r="AF2691" t="s">
        <v>1557</v>
      </c>
      <c r="AG2691" t="s">
        <v>58</v>
      </c>
      <c r="AH2691" t="s">
        <v>8152</v>
      </c>
      <c r="AK2691">
        <v>3</v>
      </c>
      <c r="AL2691" t="s">
        <v>61</v>
      </c>
      <c r="AM2691" t="s">
        <v>8153</v>
      </c>
      <c r="AN2691" t="s">
        <v>8154</v>
      </c>
    </row>
    <row r="2692" spans="1:40" x14ac:dyDescent="0.35">
      <c r="A2692" t="s">
        <v>37</v>
      </c>
      <c r="B2692" t="s">
        <v>10543</v>
      </c>
      <c r="C2692" t="s">
        <v>39</v>
      </c>
      <c r="D2692" t="s">
        <v>519</v>
      </c>
      <c r="E2692" t="s">
        <v>520</v>
      </c>
      <c r="F2692" s="1">
        <v>46070.667199074072</v>
      </c>
      <c r="G2692" t="s">
        <v>286</v>
      </c>
      <c r="H2692" t="s">
        <v>287</v>
      </c>
      <c r="I2692" t="s">
        <v>10544</v>
      </c>
      <c r="J2692" t="s">
        <v>521</v>
      </c>
      <c r="K2692" t="s">
        <v>130</v>
      </c>
      <c r="M2692" t="s">
        <v>47</v>
      </c>
      <c r="O2692" t="s">
        <v>77</v>
      </c>
      <c r="P2692" t="s">
        <v>78</v>
      </c>
      <c r="Q2692" t="s">
        <v>50</v>
      </c>
      <c r="R2692" t="s">
        <v>132</v>
      </c>
      <c r="S2692" t="s">
        <v>133</v>
      </c>
      <c r="T2692" t="s">
        <v>133</v>
      </c>
      <c r="U2692" s="1">
        <v>46072.472025462965</v>
      </c>
      <c r="V2692" t="s">
        <v>54</v>
      </c>
      <c r="W2692" t="s">
        <v>55</v>
      </c>
      <c r="X2692" t="s">
        <v>82</v>
      </c>
      <c r="Y2692" t="s">
        <v>10545</v>
      </c>
      <c r="Z2692" t="s">
        <v>5594</v>
      </c>
      <c r="AA2692" t="s">
        <v>54</v>
      </c>
      <c r="AB2692" t="s">
        <v>523</v>
      </c>
      <c r="AC2692" t="s">
        <v>85</v>
      </c>
      <c r="AD2692" t="s">
        <v>132</v>
      </c>
      <c r="AE2692" t="s">
        <v>133</v>
      </c>
      <c r="AF2692" t="s">
        <v>133</v>
      </c>
      <c r="AG2692" t="s">
        <v>5594</v>
      </c>
      <c r="AH2692" t="s">
        <v>524</v>
      </c>
      <c r="AK2692">
        <v>1</v>
      </c>
      <c r="AL2692" t="s">
        <v>61</v>
      </c>
      <c r="AM2692" t="s">
        <v>523</v>
      </c>
      <c r="AN2692" t="s">
        <v>525</v>
      </c>
    </row>
    <row r="2693" spans="1:40" x14ac:dyDescent="0.35">
      <c r="A2693" t="s">
        <v>37</v>
      </c>
      <c r="B2693" t="s">
        <v>10546</v>
      </c>
      <c r="C2693" t="s">
        <v>39</v>
      </c>
      <c r="D2693" t="s">
        <v>7082</v>
      </c>
      <c r="E2693" t="s">
        <v>7083</v>
      </c>
      <c r="F2693" s="1">
        <v>46070.648726851854</v>
      </c>
      <c r="G2693" t="s">
        <v>286</v>
      </c>
      <c r="H2693" t="s">
        <v>287</v>
      </c>
      <c r="I2693" t="s">
        <v>1446</v>
      </c>
      <c r="J2693" t="s">
        <v>4212</v>
      </c>
      <c r="K2693" t="s">
        <v>4213</v>
      </c>
      <c r="M2693" t="s">
        <v>47</v>
      </c>
      <c r="O2693" t="s">
        <v>77</v>
      </c>
      <c r="P2693" t="s">
        <v>78</v>
      </c>
      <c r="Q2693" t="s">
        <v>50</v>
      </c>
      <c r="R2693" t="s">
        <v>51</v>
      </c>
      <c r="S2693" t="s">
        <v>52</v>
      </c>
      <c r="T2693" t="s">
        <v>773</v>
      </c>
      <c r="U2693" s="1">
        <v>46072.313796296294</v>
      </c>
      <c r="V2693" t="s">
        <v>54</v>
      </c>
      <c r="W2693" t="s">
        <v>55</v>
      </c>
      <c r="X2693" t="s">
        <v>211</v>
      </c>
      <c r="Y2693" t="s">
        <v>10547</v>
      </c>
      <c r="Z2693" t="s">
        <v>5594</v>
      </c>
      <c r="AA2693" t="s">
        <v>54</v>
      </c>
      <c r="AB2693" t="s">
        <v>213</v>
      </c>
      <c r="AC2693" t="s">
        <v>85</v>
      </c>
      <c r="AD2693" t="s">
        <v>52</v>
      </c>
      <c r="AE2693" t="s">
        <v>438</v>
      </c>
      <c r="AF2693" t="s">
        <v>2111</v>
      </c>
      <c r="AG2693" t="s">
        <v>5594</v>
      </c>
      <c r="AH2693" t="s">
        <v>7085</v>
      </c>
      <c r="AK2693">
        <v>3</v>
      </c>
      <c r="AL2693" t="s">
        <v>61</v>
      </c>
      <c r="AM2693" t="s">
        <v>7086</v>
      </c>
      <c r="AN2693" t="s">
        <v>7087</v>
      </c>
    </row>
    <row r="2694" spans="1:40" x14ac:dyDescent="0.35">
      <c r="A2694" t="s">
        <v>37</v>
      </c>
      <c r="B2694" t="s">
        <v>10548</v>
      </c>
      <c r="C2694" t="s">
        <v>656</v>
      </c>
      <c r="D2694" t="s">
        <v>583</v>
      </c>
      <c r="E2694" t="s">
        <v>584</v>
      </c>
      <c r="F2694" s="1">
        <v>46070.637835648151</v>
      </c>
      <c r="G2694" t="s">
        <v>585</v>
      </c>
      <c r="H2694" t="s">
        <v>356</v>
      </c>
      <c r="I2694" t="s">
        <v>10549</v>
      </c>
      <c r="J2694" t="s">
        <v>2333</v>
      </c>
      <c r="K2694" t="s">
        <v>1187</v>
      </c>
      <c r="M2694" t="s">
        <v>76</v>
      </c>
      <c r="O2694" t="s">
        <v>77</v>
      </c>
      <c r="P2694" t="s">
        <v>78</v>
      </c>
      <c r="Q2694" t="s">
        <v>50</v>
      </c>
      <c r="R2694" t="s">
        <v>1189</v>
      </c>
      <c r="S2694" t="s">
        <v>1190</v>
      </c>
      <c r="T2694" t="s">
        <v>10097</v>
      </c>
      <c r="U2694" s="1">
        <v>46078.30568287037</v>
      </c>
      <c r="V2694" t="s">
        <v>54</v>
      </c>
      <c r="W2694" t="s">
        <v>55</v>
      </c>
      <c r="X2694" t="s">
        <v>134</v>
      </c>
      <c r="Y2694" t="s">
        <v>10550</v>
      </c>
      <c r="Z2694" t="s">
        <v>58</v>
      </c>
      <c r="AA2694" t="s">
        <v>54</v>
      </c>
      <c r="AB2694" t="s">
        <v>954</v>
      </c>
      <c r="AC2694" t="s">
        <v>85</v>
      </c>
      <c r="AD2694" t="s">
        <v>214</v>
      </c>
      <c r="AE2694" t="s">
        <v>6479</v>
      </c>
      <c r="AF2694" t="s">
        <v>7840</v>
      </c>
      <c r="AG2694" t="s">
        <v>58</v>
      </c>
      <c r="AK2694">
        <v>3</v>
      </c>
      <c r="AL2694" t="s">
        <v>61</v>
      </c>
      <c r="AM2694" t="s">
        <v>593</v>
      </c>
      <c r="AN2694" t="s">
        <v>594</v>
      </c>
    </row>
    <row r="2695" spans="1:40" x14ac:dyDescent="0.35">
      <c r="A2695" t="s">
        <v>37</v>
      </c>
      <c r="B2695" t="s">
        <v>10551</v>
      </c>
      <c r="C2695" t="s">
        <v>102</v>
      </c>
      <c r="D2695" t="s">
        <v>1698</v>
      </c>
      <c r="E2695" t="s">
        <v>584</v>
      </c>
      <c r="F2695" s="1">
        <v>46070.625590277778</v>
      </c>
      <c r="G2695" t="s">
        <v>105</v>
      </c>
      <c r="H2695" t="s">
        <v>106</v>
      </c>
      <c r="I2695" t="s">
        <v>5463</v>
      </c>
      <c r="J2695" t="s">
        <v>108</v>
      </c>
      <c r="K2695" t="s">
        <v>341</v>
      </c>
      <c r="M2695" t="s">
        <v>47</v>
      </c>
      <c r="O2695" t="s">
        <v>77</v>
      </c>
      <c r="P2695" t="s">
        <v>78</v>
      </c>
      <c r="Q2695" t="s">
        <v>50</v>
      </c>
      <c r="R2695" t="s">
        <v>111</v>
      </c>
      <c r="S2695" t="s">
        <v>51</v>
      </c>
      <c r="T2695" t="s">
        <v>112</v>
      </c>
      <c r="U2695" s="1">
        <v>46072.488854166666</v>
      </c>
      <c r="V2695" t="s">
        <v>54</v>
      </c>
      <c r="W2695" t="s">
        <v>55</v>
      </c>
      <c r="X2695" t="s">
        <v>56</v>
      </c>
      <c r="Y2695" t="s">
        <v>10552</v>
      </c>
      <c r="Z2695" t="s">
        <v>5594</v>
      </c>
      <c r="AA2695" t="s">
        <v>54</v>
      </c>
      <c r="AB2695" t="s">
        <v>115</v>
      </c>
      <c r="AC2695" t="s">
        <v>85</v>
      </c>
      <c r="AD2695" t="s">
        <v>116</v>
      </c>
      <c r="AE2695" t="s">
        <v>334</v>
      </c>
      <c r="AF2695" t="s">
        <v>4781</v>
      </c>
      <c r="AG2695" t="s">
        <v>5594</v>
      </c>
      <c r="AK2695">
        <v>1</v>
      </c>
      <c r="AL2695" t="s">
        <v>61</v>
      </c>
      <c r="AM2695" t="s">
        <v>1701</v>
      </c>
      <c r="AN2695" t="s">
        <v>1702</v>
      </c>
    </row>
    <row r="2696" spans="1:40" x14ac:dyDescent="0.35">
      <c r="A2696" t="s">
        <v>37</v>
      </c>
      <c r="B2696" t="s">
        <v>10553</v>
      </c>
      <c r="C2696" t="s">
        <v>39</v>
      </c>
      <c r="D2696" t="s">
        <v>513</v>
      </c>
      <c r="E2696" t="s">
        <v>10554</v>
      </c>
      <c r="F2696" s="1">
        <v>46070.618460648147</v>
      </c>
      <c r="G2696" t="s">
        <v>261</v>
      </c>
      <c r="H2696" t="s">
        <v>72</v>
      </c>
      <c r="I2696" t="s">
        <v>10555</v>
      </c>
      <c r="J2696" t="s">
        <v>1833</v>
      </c>
      <c r="K2696" t="s">
        <v>1834</v>
      </c>
      <c r="M2696" t="s">
        <v>76</v>
      </c>
      <c r="O2696" t="s">
        <v>77</v>
      </c>
      <c r="P2696" t="s">
        <v>78</v>
      </c>
      <c r="Q2696" t="s">
        <v>50</v>
      </c>
      <c r="R2696" t="s">
        <v>51</v>
      </c>
      <c r="S2696" t="s">
        <v>52</v>
      </c>
      <c r="T2696" t="s">
        <v>240</v>
      </c>
      <c r="U2696" s="1">
        <v>46078.968310185184</v>
      </c>
      <c r="V2696" t="s">
        <v>54</v>
      </c>
      <c r="W2696" t="s">
        <v>55</v>
      </c>
      <c r="X2696" t="s">
        <v>134</v>
      </c>
      <c r="Y2696" t="s">
        <v>1835</v>
      </c>
      <c r="Z2696" t="s">
        <v>58</v>
      </c>
      <c r="AA2696" t="s">
        <v>54</v>
      </c>
      <c r="AB2696" t="s">
        <v>1836</v>
      </c>
      <c r="AC2696" t="s">
        <v>85</v>
      </c>
      <c r="AD2696" t="s">
        <v>52</v>
      </c>
      <c r="AE2696" t="s">
        <v>243</v>
      </c>
      <c r="AF2696" t="s">
        <v>1470</v>
      </c>
      <c r="AG2696" t="s">
        <v>58</v>
      </c>
      <c r="AH2696">
        <v>13288</v>
      </c>
      <c r="AK2696">
        <v>0</v>
      </c>
      <c r="AL2696" t="s">
        <v>61</v>
      </c>
      <c r="AM2696" t="s">
        <v>10556</v>
      </c>
      <c r="AN2696" t="s">
        <v>10557</v>
      </c>
    </row>
    <row r="2697" spans="1:40" x14ac:dyDescent="0.35">
      <c r="A2697" t="s">
        <v>37</v>
      </c>
      <c r="B2697" t="s">
        <v>10558</v>
      </c>
      <c r="C2697" t="s">
        <v>39</v>
      </c>
      <c r="D2697" t="s">
        <v>1146</v>
      </c>
      <c r="E2697" t="s">
        <v>513</v>
      </c>
      <c r="F2697" s="1">
        <v>46070.6175</v>
      </c>
      <c r="G2697" t="s">
        <v>497</v>
      </c>
      <c r="H2697" t="s">
        <v>72</v>
      </c>
      <c r="I2697" t="s">
        <v>10559</v>
      </c>
      <c r="J2697" t="s">
        <v>404</v>
      </c>
      <c r="K2697" t="s">
        <v>405</v>
      </c>
      <c r="M2697" t="s">
        <v>47</v>
      </c>
      <c r="O2697" t="s">
        <v>237</v>
      </c>
      <c r="P2697" t="s">
        <v>238</v>
      </c>
      <c r="Q2697" t="s">
        <v>50</v>
      </c>
      <c r="R2697" t="s">
        <v>51</v>
      </c>
      <c r="S2697" t="s">
        <v>52</v>
      </c>
      <c r="T2697" t="s">
        <v>240</v>
      </c>
      <c r="U2697" s="1">
        <v>46072.553113425929</v>
      </c>
      <c r="V2697" t="s">
        <v>54</v>
      </c>
      <c r="W2697" t="s">
        <v>55</v>
      </c>
      <c r="X2697" t="s">
        <v>211</v>
      </c>
      <c r="Y2697" t="s">
        <v>10560</v>
      </c>
      <c r="Z2697" t="s">
        <v>5594</v>
      </c>
      <c r="AA2697" t="s">
        <v>54</v>
      </c>
      <c r="AB2697" t="s">
        <v>213</v>
      </c>
      <c r="AC2697" t="s">
        <v>242</v>
      </c>
      <c r="AD2697" t="s">
        <v>52</v>
      </c>
      <c r="AE2697" t="s">
        <v>438</v>
      </c>
      <c r="AF2697" t="s">
        <v>439</v>
      </c>
      <c r="AG2697" t="s">
        <v>5594</v>
      </c>
      <c r="AH2697" t="s">
        <v>10561</v>
      </c>
      <c r="AK2697">
        <v>1</v>
      </c>
      <c r="AL2697" t="s">
        <v>61</v>
      </c>
      <c r="AM2697" t="s">
        <v>10562</v>
      </c>
      <c r="AN2697" t="s">
        <v>10563</v>
      </c>
    </row>
    <row r="2698" spans="1:40" x14ac:dyDescent="0.35">
      <c r="A2698" t="s">
        <v>37</v>
      </c>
      <c r="B2698" t="s">
        <v>10564</v>
      </c>
      <c r="C2698" t="s">
        <v>39</v>
      </c>
      <c r="D2698" t="s">
        <v>10565</v>
      </c>
      <c r="E2698" t="s">
        <v>10566</v>
      </c>
      <c r="F2698" s="1">
        <v>46070.617199074077</v>
      </c>
      <c r="G2698" t="s">
        <v>355</v>
      </c>
      <c r="H2698" t="s">
        <v>356</v>
      </c>
      <c r="I2698" t="s">
        <v>1446</v>
      </c>
      <c r="J2698" t="s">
        <v>2406</v>
      </c>
      <c r="K2698" t="s">
        <v>1187</v>
      </c>
      <c r="M2698" t="s">
        <v>47</v>
      </c>
      <c r="O2698" t="s">
        <v>77</v>
      </c>
      <c r="P2698" t="s">
        <v>78</v>
      </c>
      <c r="Q2698" t="s">
        <v>50</v>
      </c>
      <c r="R2698" t="s">
        <v>305</v>
      </c>
      <c r="S2698" t="s">
        <v>306</v>
      </c>
      <c r="T2698" t="s">
        <v>307</v>
      </c>
      <c r="U2698" s="1">
        <v>46073.412256944444</v>
      </c>
      <c r="V2698" t="s">
        <v>54</v>
      </c>
      <c r="W2698" t="s">
        <v>55</v>
      </c>
      <c r="X2698" t="s">
        <v>211</v>
      </c>
      <c r="Y2698" t="s">
        <v>10535</v>
      </c>
      <c r="Z2698" t="s">
        <v>5594</v>
      </c>
      <c r="AA2698" t="s">
        <v>54</v>
      </c>
      <c r="AB2698" t="s">
        <v>213</v>
      </c>
      <c r="AC2698" t="s">
        <v>85</v>
      </c>
      <c r="AD2698" t="s">
        <v>1189</v>
      </c>
      <c r="AE2698" t="s">
        <v>3436</v>
      </c>
      <c r="AF2698" t="s">
        <v>3437</v>
      </c>
      <c r="AG2698" t="s">
        <v>5594</v>
      </c>
      <c r="AH2698" t="s">
        <v>10567</v>
      </c>
      <c r="AK2698">
        <v>10</v>
      </c>
      <c r="AL2698" t="s">
        <v>61</v>
      </c>
      <c r="AM2698" t="s">
        <v>10568</v>
      </c>
      <c r="AN2698" t="s">
        <v>10569</v>
      </c>
    </row>
    <row r="2699" spans="1:40" x14ac:dyDescent="0.35">
      <c r="A2699" t="s">
        <v>37</v>
      </c>
      <c r="B2699" t="s">
        <v>10570</v>
      </c>
      <c r="C2699" t="s">
        <v>39</v>
      </c>
      <c r="D2699" t="s">
        <v>2105</v>
      </c>
      <c r="E2699" t="s">
        <v>2106</v>
      </c>
      <c r="F2699" s="1">
        <v>46070.610034722224</v>
      </c>
      <c r="G2699" t="s">
        <v>377</v>
      </c>
      <c r="H2699" t="s">
        <v>287</v>
      </c>
      <c r="I2699" t="s">
        <v>2255</v>
      </c>
      <c r="J2699" t="s">
        <v>1833</v>
      </c>
      <c r="K2699" t="s">
        <v>1834</v>
      </c>
      <c r="M2699" t="s">
        <v>76</v>
      </c>
      <c r="O2699" t="s">
        <v>77</v>
      </c>
      <c r="P2699" t="s">
        <v>78</v>
      </c>
      <c r="Q2699" t="s">
        <v>50</v>
      </c>
      <c r="R2699" t="s">
        <v>51</v>
      </c>
      <c r="S2699" t="s">
        <v>52</v>
      </c>
      <c r="T2699" t="s">
        <v>240</v>
      </c>
      <c r="U2699" s="1">
        <v>46078.932210648149</v>
      </c>
      <c r="V2699" t="s">
        <v>54</v>
      </c>
      <c r="W2699" t="s">
        <v>55</v>
      </c>
      <c r="X2699" t="s">
        <v>134</v>
      </c>
      <c r="Y2699" t="s">
        <v>1835</v>
      </c>
      <c r="Z2699" t="s">
        <v>58</v>
      </c>
      <c r="AA2699" t="s">
        <v>54</v>
      </c>
      <c r="AB2699" t="s">
        <v>1836</v>
      </c>
      <c r="AC2699" t="s">
        <v>85</v>
      </c>
      <c r="AD2699" t="s">
        <v>52</v>
      </c>
      <c r="AE2699" t="s">
        <v>243</v>
      </c>
      <c r="AF2699" t="s">
        <v>1470</v>
      </c>
      <c r="AG2699" t="s">
        <v>58</v>
      </c>
      <c r="AH2699" t="s">
        <v>2112</v>
      </c>
      <c r="AK2699">
        <v>0</v>
      </c>
      <c r="AL2699" t="s">
        <v>61</v>
      </c>
      <c r="AM2699" t="s">
        <v>2113</v>
      </c>
      <c r="AN2699" t="s">
        <v>2114</v>
      </c>
    </row>
    <row r="2700" spans="1:40" x14ac:dyDescent="0.35">
      <c r="A2700" t="s">
        <v>37</v>
      </c>
      <c r="B2700" t="s">
        <v>10571</v>
      </c>
      <c r="C2700" t="s">
        <v>102</v>
      </c>
      <c r="D2700" t="s">
        <v>617</v>
      </c>
      <c r="E2700" t="s">
        <v>618</v>
      </c>
      <c r="F2700" s="1">
        <v>46070.610601851855</v>
      </c>
      <c r="G2700" t="s">
        <v>286</v>
      </c>
      <c r="H2700" t="s">
        <v>287</v>
      </c>
      <c r="I2700" t="s">
        <v>10572</v>
      </c>
      <c r="J2700" t="s">
        <v>620</v>
      </c>
      <c r="K2700" t="s">
        <v>130</v>
      </c>
      <c r="M2700" t="s">
        <v>47</v>
      </c>
      <c r="O2700" t="s">
        <v>77</v>
      </c>
      <c r="P2700" t="s">
        <v>78</v>
      </c>
      <c r="Q2700" t="s">
        <v>50</v>
      </c>
      <c r="R2700" t="s">
        <v>132</v>
      </c>
      <c r="S2700" t="s">
        <v>133</v>
      </c>
      <c r="T2700" t="s">
        <v>133</v>
      </c>
      <c r="U2700" s="1">
        <v>46072.481666666667</v>
      </c>
      <c r="V2700" t="s">
        <v>54</v>
      </c>
      <c r="W2700" t="s">
        <v>55</v>
      </c>
      <c r="X2700" t="s">
        <v>134</v>
      </c>
      <c r="Y2700" t="s">
        <v>10573</v>
      </c>
      <c r="Z2700" t="s">
        <v>5594</v>
      </c>
      <c r="AA2700" t="s">
        <v>54</v>
      </c>
      <c r="AB2700" t="s">
        <v>622</v>
      </c>
      <c r="AC2700" t="s">
        <v>85</v>
      </c>
      <c r="AD2700" t="s">
        <v>132</v>
      </c>
      <c r="AE2700" t="s">
        <v>133</v>
      </c>
      <c r="AF2700" t="s">
        <v>133</v>
      </c>
      <c r="AG2700" t="s">
        <v>5594</v>
      </c>
      <c r="AH2700" t="s">
        <v>623</v>
      </c>
      <c r="AK2700">
        <v>1</v>
      </c>
      <c r="AL2700" t="s">
        <v>61</v>
      </c>
      <c r="AM2700" t="s">
        <v>622</v>
      </c>
      <c r="AN2700" t="s">
        <v>624</v>
      </c>
    </row>
    <row r="2701" spans="1:40" x14ac:dyDescent="0.35">
      <c r="A2701" t="s">
        <v>37</v>
      </c>
      <c r="B2701" t="s">
        <v>10574</v>
      </c>
      <c r="C2701" t="s">
        <v>102</v>
      </c>
      <c r="D2701" t="s">
        <v>1698</v>
      </c>
      <c r="E2701" t="s">
        <v>584</v>
      </c>
      <c r="F2701" s="1">
        <v>46070.606504629628</v>
      </c>
      <c r="G2701" t="s">
        <v>105</v>
      </c>
      <c r="H2701" t="s">
        <v>106</v>
      </c>
      <c r="I2701" t="s">
        <v>5463</v>
      </c>
      <c r="J2701" t="s">
        <v>108</v>
      </c>
      <c r="K2701" t="s">
        <v>109</v>
      </c>
      <c r="M2701" t="s">
        <v>47</v>
      </c>
      <c r="O2701" t="s">
        <v>77</v>
      </c>
      <c r="P2701" t="s">
        <v>78</v>
      </c>
      <c r="Q2701" t="s">
        <v>50</v>
      </c>
      <c r="R2701" t="s">
        <v>111</v>
      </c>
      <c r="S2701" t="s">
        <v>51</v>
      </c>
      <c r="T2701" t="s">
        <v>112</v>
      </c>
      <c r="U2701" s="1">
        <v>46072.373993055553</v>
      </c>
      <c r="V2701" t="s">
        <v>54</v>
      </c>
      <c r="W2701" t="s">
        <v>1584</v>
      </c>
      <c r="X2701" t="s">
        <v>134</v>
      </c>
      <c r="Y2701" t="s">
        <v>10575</v>
      </c>
      <c r="Z2701" t="s">
        <v>5594</v>
      </c>
      <c r="AA2701" t="s">
        <v>54</v>
      </c>
      <c r="AB2701" t="s">
        <v>1701</v>
      </c>
      <c r="AC2701" t="s">
        <v>85</v>
      </c>
      <c r="AD2701" t="s">
        <v>116</v>
      </c>
      <c r="AE2701" t="s">
        <v>334</v>
      </c>
      <c r="AF2701" t="s">
        <v>1706</v>
      </c>
      <c r="AG2701" t="s">
        <v>5594</v>
      </c>
      <c r="AK2701">
        <v>1</v>
      </c>
      <c r="AL2701" t="s">
        <v>61</v>
      </c>
      <c r="AM2701" t="s">
        <v>1701</v>
      </c>
      <c r="AN2701" t="s">
        <v>1702</v>
      </c>
    </row>
    <row r="2702" spans="1:40" x14ac:dyDescent="0.35">
      <c r="A2702" t="s">
        <v>37</v>
      </c>
      <c r="B2702" t="s">
        <v>10576</v>
      </c>
      <c r="C2702" t="s">
        <v>102</v>
      </c>
      <c r="D2702" t="s">
        <v>7417</v>
      </c>
      <c r="E2702" t="s">
        <v>7418</v>
      </c>
      <c r="F2702" s="1">
        <v>46070.603564814817</v>
      </c>
      <c r="G2702" t="s">
        <v>1249</v>
      </c>
      <c r="H2702" t="s">
        <v>233</v>
      </c>
      <c r="I2702" t="s">
        <v>10577</v>
      </c>
      <c r="J2702" t="s">
        <v>724</v>
      </c>
      <c r="K2702" t="s">
        <v>75</v>
      </c>
      <c r="M2702" t="s">
        <v>47</v>
      </c>
      <c r="O2702" t="s">
        <v>237</v>
      </c>
      <c r="P2702" t="s">
        <v>238</v>
      </c>
      <c r="Q2702" t="s">
        <v>50</v>
      </c>
      <c r="R2702" t="s">
        <v>51</v>
      </c>
      <c r="S2702" t="s">
        <v>52</v>
      </c>
      <c r="T2702" t="s">
        <v>2563</v>
      </c>
      <c r="U2702" s="1">
        <v>46073.416400462964</v>
      </c>
      <c r="V2702" t="s">
        <v>54</v>
      </c>
      <c r="W2702" t="s">
        <v>55</v>
      </c>
      <c r="X2702" t="s">
        <v>82</v>
      </c>
      <c r="Y2702" t="s">
        <v>10578</v>
      </c>
      <c r="Z2702" t="s">
        <v>5594</v>
      </c>
      <c r="AA2702" t="s">
        <v>54</v>
      </c>
      <c r="AB2702" t="s">
        <v>727</v>
      </c>
      <c r="AC2702" t="s">
        <v>242</v>
      </c>
      <c r="AD2702" t="s">
        <v>79</v>
      </c>
      <c r="AE2702" t="s">
        <v>558</v>
      </c>
      <c r="AF2702" t="s">
        <v>559</v>
      </c>
      <c r="AG2702" t="s">
        <v>5594</v>
      </c>
      <c r="AH2702">
        <v>15196</v>
      </c>
      <c r="AK2702">
        <v>2</v>
      </c>
      <c r="AL2702" t="s">
        <v>61</v>
      </c>
      <c r="AM2702" t="s">
        <v>7421</v>
      </c>
      <c r="AN2702" t="s">
        <v>7422</v>
      </c>
    </row>
    <row r="2703" spans="1:40" x14ac:dyDescent="0.35">
      <c r="A2703" t="s">
        <v>37</v>
      </c>
      <c r="B2703" t="s">
        <v>10579</v>
      </c>
      <c r="C2703" t="s">
        <v>102</v>
      </c>
      <c r="D2703" t="s">
        <v>2038</v>
      </c>
      <c r="E2703" t="s">
        <v>3006</v>
      </c>
      <c r="F2703" s="1">
        <v>46070.601736111108</v>
      </c>
      <c r="I2703" t="s">
        <v>10580</v>
      </c>
      <c r="J2703" t="s">
        <v>2531</v>
      </c>
      <c r="K2703" t="s">
        <v>2532</v>
      </c>
      <c r="M2703" t="s">
        <v>76</v>
      </c>
      <c r="O2703" t="s">
        <v>237</v>
      </c>
      <c r="P2703" t="s">
        <v>238</v>
      </c>
      <c r="Q2703" t="s">
        <v>50</v>
      </c>
      <c r="R2703" t="s">
        <v>51</v>
      </c>
      <c r="S2703" t="s">
        <v>52</v>
      </c>
      <c r="T2703" t="s">
        <v>240</v>
      </c>
      <c r="U2703" s="1">
        <v>46076.372673611113</v>
      </c>
      <c r="V2703" t="s">
        <v>54</v>
      </c>
      <c r="W2703" t="s">
        <v>55</v>
      </c>
      <c r="X2703" t="s">
        <v>211</v>
      </c>
      <c r="Y2703" t="e">
        <f>- as per user confirmation issue resolved.</f>
        <v>#NAME?</v>
      </c>
      <c r="Z2703" t="s">
        <v>58</v>
      </c>
      <c r="AA2703" t="s">
        <v>54</v>
      </c>
      <c r="AB2703" t="s">
        <v>213</v>
      </c>
      <c r="AC2703" t="s">
        <v>242</v>
      </c>
      <c r="AD2703" t="s">
        <v>52</v>
      </c>
      <c r="AE2703" t="s">
        <v>243</v>
      </c>
      <c r="AF2703" t="s">
        <v>1470</v>
      </c>
      <c r="AG2703" t="s">
        <v>58</v>
      </c>
      <c r="AH2703">
        <v>15935</v>
      </c>
      <c r="AK2703">
        <v>10</v>
      </c>
      <c r="AL2703" t="s">
        <v>61</v>
      </c>
      <c r="AM2703" t="s">
        <v>3007</v>
      </c>
      <c r="AN2703" t="s">
        <v>3008</v>
      </c>
    </row>
    <row r="2704" spans="1:40" x14ac:dyDescent="0.35">
      <c r="A2704" t="s">
        <v>37</v>
      </c>
      <c r="B2704" t="s">
        <v>10581</v>
      </c>
      <c r="C2704" t="s">
        <v>656</v>
      </c>
      <c r="D2704" t="s">
        <v>8308</v>
      </c>
      <c r="E2704" t="s">
        <v>1151</v>
      </c>
      <c r="F2704" s="1">
        <v>46070.600092592591</v>
      </c>
      <c r="G2704" t="s">
        <v>170</v>
      </c>
      <c r="H2704" t="s">
        <v>92</v>
      </c>
      <c r="I2704" t="s">
        <v>10582</v>
      </c>
      <c r="J2704" t="s">
        <v>3117</v>
      </c>
      <c r="K2704" t="s">
        <v>2551</v>
      </c>
      <c r="M2704" t="s">
        <v>76</v>
      </c>
      <c r="O2704" t="s">
        <v>77</v>
      </c>
      <c r="P2704" t="s">
        <v>78</v>
      </c>
      <c r="Q2704" t="s">
        <v>50</v>
      </c>
      <c r="R2704" t="s">
        <v>662</v>
      </c>
      <c r="S2704" t="s">
        <v>663</v>
      </c>
      <c r="T2704" t="s">
        <v>10583</v>
      </c>
      <c r="U2704" s="1">
        <v>46076.574884259258</v>
      </c>
      <c r="V2704" t="s">
        <v>54</v>
      </c>
      <c r="W2704" t="s">
        <v>55</v>
      </c>
      <c r="X2704" t="s">
        <v>134</v>
      </c>
      <c r="Y2704" t="s">
        <v>10584</v>
      </c>
      <c r="Z2704" t="s">
        <v>58</v>
      </c>
      <c r="AA2704" t="s">
        <v>54</v>
      </c>
      <c r="AB2704" t="s">
        <v>84</v>
      </c>
      <c r="AC2704" t="s">
        <v>85</v>
      </c>
      <c r="AD2704" t="s">
        <v>208</v>
      </c>
      <c r="AE2704" t="s">
        <v>10292</v>
      </c>
      <c r="AF2704" t="s">
        <v>10585</v>
      </c>
      <c r="AG2704" t="s">
        <v>58</v>
      </c>
      <c r="AH2704" t="s">
        <v>8908</v>
      </c>
      <c r="AK2704">
        <v>1</v>
      </c>
      <c r="AL2704" t="s">
        <v>61</v>
      </c>
      <c r="AM2704" t="s">
        <v>8909</v>
      </c>
      <c r="AN2704" t="s">
        <v>8910</v>
      </c>
    </row>
    <row r="2705" spans="1:40" x14ac:dyDescent="0.35">
      <c r="A2705" t="s">
        <v>37</v>
      </c>
      <c r="B2705" t="s">
        <v>10586</v>
      </c>
      <c r="C2705" t="s">
        <v>102</v>
      </c>
      <c r="D2705" t="s">
        <v>3834</v>
      </c>
      <c r="E2705" t="s">
        <v>469</v>
      </c>
      <c r="F2705" s="1">
        <v>46070.597349537034</v>
      </c>
      <c r="G2705" t="s">
        <v>170</v>
      </c>
      <c r="H2705" t="s">
        <v>92</v>
      </c>
      <c r="I2705" t="s">
        <v>10587</v>
      </c>
      <c r="J2705" t="s">
        <v>707</v>
      </c>
      <c r="K2705" t="s">
        <v>75</v>
      </c>
      <c r="M2705" t="s">
        <v>76</v>
      </c>
      <c r="O2705" t="s">
        <v>237</v>
      </c>
      <c r="P2705" t="s">
        <v>238</v>
      </c>
      <c r="Q2705" t="s">
        <v>50</v>
      </c>
      <c r="R2705" t="s">
        <v>305</v>
      </c>
      <c r="S2705" t="s">
        <v>306</v>
      </c>
      <c r="T2705" t="s">
        <v>307</v>
      </c>
      <c r="U2705" s="1">
        <v>46077.465555555558</v>
      </c>
      <c r="V2705" t="s">
        <v>54</v>
      </c>
      <c r="W2705" t="s">
        <v>55</v>
      </c>
      <c r="X2705" t="s">
        <v>211</v>
      </c>
      <c r="Y2705" t="e">
        <f>- Repaired MS teams meeting add-on. - restarted outlook.  - now user can join and create teams meetings.</f>
        <v>#NAME?</v>
      </c>
      <c r="Z2705" t="s">
        <v>58</v>
      </c>
      <c r="AA2705" t="s">
        <v>54</v>
      </c>
      <c r="AB2705" t="s">
        <v>213</v>
      </c>
      <c r="AC2705" t="s">
        <v>242</v>
      </c>
      <c r="AD2705" t="s">
        <v>79</v>
      </c>
      <c r="AE2705" t="s">
        <v>696</v>
      </c>
      <c r="AF2705" t="s">
        <v>697</v>
      </c>
      <c r="AG2705" t="s">
        <v>58</v>
      </c>
      <c r="AH2705">
        <v>13338</v>
      </c>
      <c r="AK2705">
        <v>3</v>
      </c>
      <c r="AL2705" t="s">
        <v>61</v>
      </c>
      <c r="AM2705" t="s">
        <v>3835</v>
      </c>
      <c r="AN2705" t="s">
        <v>3836</v>
      </c>
    </row>
    <row r="2706" spans="1:40" x14ac:dyDescent="0.35">
      <c r="A2706" t="s">
        <v>37</v>
      </c>
      <c r="B2706" t="s">
        <v>10588</v>
      </c>
      <c r="C2706" t="s">
        <v>39</v>
      </c>
      <c r="D2706" t="s">
        <v>799</v>
      </c>
      <c r="E2706" t="s">
        <v>2312</v>
      </c>
      <c r="F2706" s="1">
        <v>46070.595324074071</v>
      </c>
      <c r="G2706" t="s">
        <v>508</v>
      </c>
      <c r="H2706" t="s">
        <v>72</v>
      </c>
      <c r="I2706" t="s">
        <v>10589</v>
      </c>
      <c r="J2706" t="s">
        <v>1833</v>
      </c>
      <c r="K2706" t="s">
        <v>1834</v>
      </c>
      <c r="M2706" t="s">
        <v>76</v>
      </c>
      <c r="O2706" t="s">
        <v>77</v>
      </c>
      <c r="P2706" t="s">
        <v>78</v>
      </c>
      <c r="Q2706" t="s">
        <v>50</v>
      </c>
      <c r="R2706" t="s">
        <v>51</v>
      </c>
      <c r="S2706" t="s">
        <v>52</v>
      </c>
      <c r="T2706" t="s">
        <v>240</v>
      </c>
      <c r="U2706" s="1">
        <v>46078.95989583333</v>
      </c>
      <c r="V2706" t="s">
        <v>54</v>
      </c>
      <c r="W2706" t="s">
        <v>55</v>
      </c>
      <c r="X2706" t="s">
        <v>134</v>
      </c>
      <c r="Y2706" t="s">
        <v>5160</v>
      </c>
      <c r="Z2706" t="s">
        <v>58</v>
      </c>
      <c r="AA2706" t="s">
        <v>54</v>
      </c>
      <c r="AB2706" t="s">
        <v>1836</v>
      </c>
      <c r="AC2706" t="s">
        <v>85</v>
      </c>
      <c r="AD2706" t="s">
        <v>52</v>
      </c>
      <c r="AE2706" t="s">
        <v>243</v>
      </c>
      <c r="AF2706" t="s">
        <v>244</v>
      </c>
      <c r="AG2706" t="s">
        <v>58</v>
      </c>
      <c r="AH2706">
        <v>12215</v>
      </c>
      <c r="AK2706">
        <v>0</v>
      </c>
      <c r="AL2706" t="s">
        <v>61</v>
      </c>
      <c r="AM2706" t="s">
        <v>2316</v>
      </c>
      <c r="AN2706" t="s">
        <v>2317</v>
      </c>
    </row>
    <row r="2707" spans="1:40" x14ac:dyDescent="0.35">
      <c r="A2707" t="s">
        <v>37</v>
      </c>
      <c r="B2707" t="s">
        <v>10590</v>
      </c>
      <c r="C2707" t="s">
        <v>656</v>
      </c>
      <c r="D2707" t="s">
        <v>2984</v>
      </c>
      <c r="E2707" t="s">
        <v>2985</v>
      </c>
      <c r="F2707" s="1">
        <v>46070.595254629632</v>
      </c>
      <c r="G2707" t="s">
        <v>355</v>
      </c>
      <c r="H2707" t="s">
        <v>356</v>
      </c>
      <c r="I2707" t="s">
        <v>10591</v>
      </c>
      <c r="J2707" t="s">
        <v>2987</v>
      </c>
      <c r="K2707" t="s">
        <v>2988</v>
      </c>
      <c r="M2707" t="s">
        <v>76</v>
      </c>
      <c r="O2707" t="s">
        <v>77</v>
      </c>
      <c r="P2707" t="s">
        <v>78</v>
      </c>
      <c r="Q2707" t="s">
        <v>50</v>
      </c>
      <c r="R2707" t="s">
        <v>2989</v>
      </c>
      <c r="S2707" t="s">
        <v>2990</v>
      </c>
      <c r="T2707" t="s">
        <v>4820</v>
      </c>
      <c r="U2707" s="1">
        <v>46076.349328703705</v>
      </c>
      <c r="V2707" t="s">
        <v>54</v>
      </c>
      <c r="W2707" t="s">
        <v>55</v>
      </c>
      <c r="X2707" t="s">
        <v>56</v>
      </c>
      <c r="Y2707" t="s">
        <v>10592</v>
      </c>
      <c r="Z2707" t="s">
        <v>58</v>
      </c>
      <c r="AA2707" t="s">
        <v>54</v>
      </c>
      <c r="AB2707" t="s">
        <v>2993</v>
      </c>
      <c r="AC2707" t="s">
        <v>85</v>
      </c>
      <c r="AD2707" t="s">
        <v>2989</v>
      </c>
      <c r="AE2707" t="s">
        <v>2990</v>
      </c>
      <c r="AF2707" t="s">
        <v>4820</v>
      </c>
      <c r="AG2707" t="s">
        <v>58</v>
      </c>
      <c r="AH2707" t="s">
        <v>2994</v>
      </c>
      <c r="AK2707">
        <v>0</v>
      </c>
      <c r="AL2707" t="s">
        <v>61</v>
      </c>
      <c r="AM2707" t="s">
        <v>2993</v>
      </c>
      <c r="AN2707" t="s">
        <v>2995</v>
      </c>
    </row>
    <row r="2708" spans="1:40" x14ac:dyDescent="0.35">
      <c r="A2708" t="s">
        <v>37</v>
      </c>
      <c r="B2708" t="s">
        <v>10593</v>
      </c>
      <c r="C2708" t="s">
        <v>39</v>
      </c>
      <c r="D2708" t="s">
        <v>747</v>
      </c>
      <c r="E2708" t="s">
        <v>10594</v>
      </c>
      <c r="F2708" s="1">
        <v>46070.591099537036</v>
      </c>
      <c r="G2708" t="s">
        <v>42</v>
      </c>
      <c r="H2708" t="s">
        <v>43</v>
      </c>
      <c r="I2708" t="s">
        <v>10595</v>
      </c>
      <c r="J2708" t="s">
        <v>1833</v>
      </c>
      <c r="K2708" t="s">
        <v>1834</v>
      </c>
      <c r="M2708" t="s">
        <v>76</v>
      </c>
      <c r="O2708" t="s">
        <v>77</v>
      </c>
      <c r="P2708" t="s">
        <v>78</v>
      </c>
      <c r="Q2708" t="s">
        <v>3204</v>
      </c>
      <c r="R2708" t="s">
        <v>51</v>
      </c>
      <c r="S2708" t="s">
        <v>52</v>
      </c>
      <c r="T2708" t="s">
        <v>240</v>
      </c>
      <c r="U2708" s="1">
        <v>46078.944953703707</v>
      </c>
      <c r="V2708" t="s">
        <v>54</v>
      </c>
      <c r="W2708" t="s">
        <v>55</v>
      </c>
      <c r="X2708" t="s">
        <v>134</v>
      </c>
      <c r="Y2708" t="s">
        <v>1835</v>
      </c>
      <c r="Z2708" t="s">
        <v>58</v>
      </c>
      <c r="AA2708" t="s">
        <v>54</v>
      </c>
      <c r="AB2708" t="s">
        <v>1836</v>
      </c>
      <c r="AC2708" t="s">
        <v>85</v>
      </c>
      <c r="AD2708" t="s">
        <v>52</v>
      </c>
      <c r="AE2708" t="s">
        <v>243</v>
      </c>
      <c r="AF2708" t="s">
        <v>1470</v>
      </c>
      <c r="AG2708" t="s">
        <v>58</v>
      </c>
      <c r="AH2708">
        <v>5863</v>
      </c>
      <c r="AK2708">
        <v>0</v>
      </c>
      <c r="AL2708" t="s">
        <v>61</v>
      </c>
      <c r="AM2708" t="s">
        <v>10596</v>
      </c>
      <c r="AN2708" t="s">
        <v>10597</v>
      </c>
    </row>
    <row r="2709" spans="1:40" x14ac:dyDescent="0.35">
      <c r="A2709" t="s">
        <v>37</v>
      </c>
      <c r="B2709" t="s">
        <v>10598</v>
      </c>
      <c r="C2709" t="s">
        <v>656</v>
      </c>
      <c r="D2709" t="s">
        <v>7283</v>
      </c>
      <c r="E2709" t="s">
        <v>7284</v>
      </c>
      <c r="F2709" s="1">
        <v>46070.591087962966</v>
      </c>
      <c r="G2709" t="s">
        <v>355</v>
      </c>
      <c r="H2709" t="s">
        <v>356</v>
      </c>
      <c r="I2709" t="s">
        <v>10599</v>
      </c>
      <c r="J2709" t="s">
        <v>7286</v>
      </c>
      <c r="K2709" t="s">
        <v>7287</v>
      </c>
      <c r="M2709" t="s">
        <v>47</v>
      </c>
      <c r="O2709" t="s">
        <v>77</v>
      </c>
      <c r="P2709" t="s">
        <v>78</v>
      </c>
      <c r="Q2709" t="s">
        <v>7288</v>
      </c>
      <c r="R2709" t="s">
        <v>662</v>
      </c>
      <c r="S2709" t="s">
        <v>9729</v>
      </c>
      <c r="T2709" t="s">
        <v>10600</v>
      </c>
      <c r="U2709" s="1">
        <v>46073.428819444445</v>
      </c>
      <c r="V2709" t="s">
        <v>54</v>
      </c>
      <c r="W2709" t="s">
        <v>55</v>
      </c>
      <c r="X2709" t="s">
        <v>134</v>
      </c>
      <c r="Y2709" t="s">
        <v>10601</v>
      </c>
      <c r="Z2709" t="s">
        <v>5594</v>
      </c>
      <c r="AA2709" t="s">
        <v>54</v>
      </c>
      <c r="AB2709" t="s">
        <v>84</v>
      </c>
      <c r="AC2709" t="s">
        <v>85</v>
      </c>
      <c r="AD2709" t="s">
        <v>7291</v>
      </c>
      <c r="AE2709" t="s">
        <v>7292</v>
      </c>
      <c r="AF2709" t="s">
        <v>7293</v>
      </c>
      <c r="AG2709" t="s">
        <v>5594</v>
      </c>
      <c r="AH2709" t="s">
        <v>7294</v>
      </c>
      <c r="AK2709">
        <v>1</v>
      </c>
      <c r="AL2709" t="s">
        <v>61</v>
      </c>
      <c r="AM2709" t="s">
        <v>7295</v>
      </c>
      <c r="AN2709" t="s">
        <v>7296</v>
      </c>
    </row>
    <row r="2710" spans="1:40" x14ac:dyDescent="0.35">
      <c r="A2710" t="s">
        <v>37</v>
      </c>
      <c r="B2710" t="s">
        <v>10602</v>
      </c>
      <c r="C2710" t="s">
        <v>656</v>
      </c>
      <c r="D2710" t="s">
        <v>7283</v>
      </c>
      <c r="E2710" t="s">
        <v>7284</v>
      </c>
      <c r="F2710" s="1">
        <v>46070.590081018519</v>
      </c>
      <c r="G2710" t="s">
        <v>355</v>
      </c>
      <c r="H2710" t="s">
        <v>356</v>
      </c>
      <c r="I2710" t="s">
        <v>10603</v>
      </c>
      <c r="J2710" t="s">
        <v>6155</v>
      </c>
      <c r="K2710" t="s">
        <v>6156</v>
      </c>
      <c r="M2710" t="s">
        <v>47</v>
      </c>
      <c r="O2710" t="s">
        <v>77</v>
      </c>
      <c r="P2710" t="s">
        <v>78</v>
      </c>
      <c r="Q2710" t="s">
        <v>7288</v>
      </c>
      <c r="R2710" t="s">
        <v>51</v>
      </c>
      <c r="S2710" t="s">
        <v>52</v>
      </c>
      <c r="T2710" t="s">
        <v>240</v>
      </c>
      <c r="U2710" s="1">
        <v>46076.036909722221</v>
      </c>
      <c r="V2710" t="s">
        <v>54</v>
      </c>
      <c r="W2710" t="s">
        <v>55</v>
      </c>
      <c r="X2710" t="s">
        <v>134</v>
      </c>
      <c r="Y2710" t="s">
        <v>10604</v>
      </c>
      <c r="Z2710" t="s">
        <v>5594</v>
      </c>
      <c r="AA2710" t="s">
        <v>54</v>
      </c>
      <c r="AB2710" t="s">
        <v>84</v>
      </c>
      <c r="AC2710" t="s">
        <v>85</v>
      </c>
      <c r="AD2710" t="s">
        <v>52</v>
      </c>
      <c r="AE2710" t="s">
        <v>967</v>
      </c>
      <c r="AF2710" t="s">
        <v>2563</v>
      </c>
      <c r="AG2710" t="s">
        <v>5594</v>
      </c>
      <c r="AH2710" t="s">
        <v>7294</v>
      </c>
      <c r="AK2710">
        <v>3</v>
      </c>
      <c r="AL2710" t="s">
        <v>61</v>
      </c>
      <c r="AM2710" t="s">
        <v>7295</v>
      </c>
      <c r="AN2710" t="s">
        <v>7296</v>
      </c>
    </row>
    <row r="2711" spans="1:40" x14ac:dyDescent="0.35">
      <c r="A2711" t="s">
        <v>37</v>
      </c>
      <c r="B2711" t="s">
        <v>10605</v>
      </c>
      <c r="C2711" t="s">
        <v>39</v>
      </c>
      <c r="D2711" t="s">
        <v>1751</v>
      </c>
      <c r="E2711" t="s">
        <v>1316</v>
      </c>
      <c r="F2711" s="1">
        <v>46070.586064814815</v>
      </c>
      <c r="G2711" t="s">
        <v>1752</v>
      </c>
      <c r="H2711" t="s">
        <v>447</v>
      </c>
      <c r="I2711" t="s">
        <v>10606</v>
      </c>
      <c r="J2711" t="s">
        <v>1754</v>
      </c>
      <c r="K2711" t="s">
        <v>1755</v>
      </c>
      <c r="M2711" t="s">
        <v>47</v>
      </c>
      <c r="O2711" t="s">
        <v>77</v>
      </c>
      <c r="P2711" t="s">
        <v>78</v>
      </c>
      <c r="Q2711" t="s">
        <v>50</v>
      </c>
      <c r="R2711" t="s">
        <v>51</v>
      </c>
      <c r="S2711" t="s">
        <v>52</v>
      </c>
      <c r="T2711" t="s">
        <v>773</v>
      </c>
      <c r="U2711" s="1">
        <v>46074.943425925929</v>
      </c>
      <c r="V2711" t="s">
        <v>54</v>
      </c>
      <c r="W2711" t="s">
        <v>55</v>
      </c>
      <c r="X2711" t="s">
        <v>134</v>
      </c>
      <c r="Y2711" t="s">
        <v>10607</v>
      </c>
      <c r="Z2711" t="s">
        <v>5594</v>
      </c>
      <c r="AA2711" t="s">
        <v>54</v>
      </c>
      <c r="AB2711" t="s">
        <v>1757</v>
      </c>
      <c r="AC2711" t="s">
        <v>85</v>
      </c>
      <c r="AD2711" t="s">
        <v>52</v>
      </c>
      <c r="AE2711" t="s">
        <v>999</v>
      </c>
      <c r="AF2711" t="s">
        <v>2272</v>
      </c>
      <c r="AG2711" t="s">
        <v>5594</v>
      </c>
      <c r="AK2711">
        <v>1</v>
      </c>
      <c r="AL2711" t="s">
        <v>61</v>
      </c>
      <c r="AM2711" t="s">
        <v>1757</v>
      </c>
      <c r="AN2711" t="s">
        <v>1758</v>
      </c>
    </row>
    <row r="2712" spans="1:40" x14ac:dyDescent="0.35">
      <c r="A2712" t="s">
        <v>37</v>
      </c>
      <c r="B2712" t="s">
        <v>10608</v>
      </c>
      <c r="C2712" t="s">
        <v>39</v>
      </c>
      <c r="D2712" t="s">
        <v>1368</v>
      </c>
      <c r="E2712" t="s">
        <v>1369</v>
      </c>
      <c r="F2712" s="1">
        <v>46070.581944444442</v>
      </c>
      <c r="G2712" t="s">
        <v>71</v>
      </c>
      <c r="H2712" t="s">
        <v>72</v>
      </c>
      <c r="I2712" t="s">
        <v>1422</v>
      </c>
      <c r="J2712" t="s">
        <v>9079</v>
      </c>
      <c r="K2712" t="s">
        <v>1424</v>
      </c>
      <c r="M2712" t="s">
        <v>47</v>
      </c>
      <c r="O2712" t="s">
        <v>77</v>
      </c>
      <c r="P2712" t="s">
        <v>78</v>
      </c>
      <c r="Q2712" t="s">
        <v>1370</v>
      </c>
      <c r="R2712" t="s">
        <v>305</v>
      </c>
      <c r="S2712" t="s">
        <v>306</v>
      </c>
      <c r="T2712" t="s">
        <v>307</v>
      </c>
      <c r="U2712" s="1">
        <v>46072.363703703704</v>
      </c>
      <c r="V2712" t="s">
        <v>54</v>
      </c>
      <c r="X2712" t="s">
        <v>211</v>
      </c>
      <c r="Y2712" t="s">
        <v>10609</v>
      </c>
      <c r="Z2712" t="s">
        <v>5594</v>
      </c>
      <c r="AA2712" t="s">
        <v>54</v>
      </c>
      <c r="AB2712" t="s">
        <v>213</v>
      </c>
      <c r="AC2712" t="s">
        <v>85</v>
      </c>
      <c r="AD2712" t="s">
        <v>305</v>
      </c>
      <c r="AE2712" t="s">
        <v>306</v>
      </c>
      <c r="AF2712" t="s">
        <v>307</v>
      </c>
      <c r="AG2712" t="s">
        <v>5594</v>
      </c>
      <c r="AH2712">
        <v>6570</v>
      </c>
      <c r="AK2712">
        <v>1</v>
      </c>
      <c r="AL2712" t="s">
        <v>410</v>
      </c>
      <c r="AM2712" t="s">
        <v>1372</v>
      </c>
      <c r="AN2712" t="s">
        <v>1373</v>
      </c>
    </row>
    <row r="2713" spans="1:40" x14ac:dyDescent="0.35">
      <c r="A2713" t="s">
        <v>37</v>
      </c>
      <c r="B2713" t="s">
        <v>10610</v>
      </c>
      <c r="C2713" t="s">
        <v>39</v>
      </c>
      <c r="D2713" t="s">
        <v>6174</v>
      </c>
      <c r="E2713" t="s">
        <v>10611</v>
      </c>
      <c r="F2713" s="1">
        <v>46070.583622685182</v>
      </c>
      <c r="G2713" t="s">
        <v>464</v>
      </c>
      <c r="H2713" t="s">
        <v>287</v>
      </c>
      <c r="I2713" t="s">
        <v>4538</v>
      </c>
      <c r="J2713" t="s">
        <v>3829</v>
      </c>
      <c r="K2713" t="s">
        <v>951</v>
      </c>
      <c r="M2713" t="s">
        <v>47</v>
      </c>
      <c r="O2713" t="s">
        <v>77</v>
      </c>
      <c r="P2713" t="s">
        <v>78</v>
      </c>
      <c r="Q2713" t="s">
        <v>50</v>
      </c>
      <c r="R2713" t="s">
        <v>79</v>
      </c>
      <c r="S2713" t="s">
        <v>975</v>
      </c>
      <c r="T2713" t="s">
        <v>976</v>
      </c>
      <c r="U2713" s="1">
        <v>46072.568356481483</v>
      </c>
      <c r="V2713" t="s">
        <v>54</v>
      </c>
      <c r="W2713" t="s">
        <v>55</v>
      </c>
      <c r="X2713" t="s">
        <v>82</v>
      </c>
      <c r="Y2713" t="s">
        <v>10612</v>
      </c>
      <c r="Z2713" t="s">
        <v>5594</v>
      </c>
      <c r="AA2713" t="s">
        <v>54</v>
      </c>
      <c r="AB2713" t="s">
        <v>727</v>
      </c>
      <c r="AC2713" t="s">
        <v>85</v>
      </c>
      <c r="AD2713" t="s">
        <v>79</v>
      </c>
      <c r="AE2713" t="s">
        <v>975</v>
      </c>
      <c r="AF2713" t="s">
        <v>976</v>
      </c>
      <c r="AG2713" t="s">
        <v>5594</v>
      </c>
      <c r="AH2713">
        <v>878</v>
      </c>
      <c r="AK2713">
        <v>1</v>
      </c>
      <c r="AL2713" t="s">
        <v>61</v>
      </c>
      <c r="AM2713" t="s">
        <v>10613</v>
      </c>
      <c r="AN2713" t="s">
        <v>10614</v>
      </c>
    </row>
    <row r="2714" spans="1:40" x14ac:dyDescent="0.35">
      <c r="A2714" t="s">
        <v>37</v>
      </c>
      <c r="B2714" t="s">
        <v>10615</v>
      </c>
      <c r="C2714" t="s">
        <v>39</v>
      </c>
      <c r="D2714" t="s">
        <v>10616</v>
      </c>
      <c r="E2714" t="s">
        <v>10617</v>
      </c>
      <c r="F2714" s="1">
        <v>46070.578148148146</v>
      </c>
      <c r="G2714" t="s">
        <v>370</v>
      </c>
      <c r="H2714" t="s">
        <v>371</v>
      </c>
      <c r="I2714" t="s">
        <v>10618</v>
      </c>
      <c r="J2714" t="s">
        <v>1833</v>
      </c>
      <c r="K2714" t="s">
        <v>1834</v>
      </c>
      <c r="M2714" t="s">
        <v>76</v>
      </c>
      <c r="O2714" t="s">
        <v>77</v>
      </c>
      <c r="P2714" t="s">
        <v>78</v>
      </c>
      <c r="Q2714" t="s">
        <v>50</v>
      </c>
      <c r="R2714" t="s">
        <v>51</v>
      </c>
      <c r="S2714" t="s">
        <v>52</v>
      </c>
      <c r="T2714" t="s">
        <v>240</v>
      </c>
      <c r="U2714" s="1">
        <v>46078.960844907408</v>
      </c>
      <c r="V2714" t="s">
        <v>54</v>
      </c>
      <c r="W2714" t="s">
        <v>55</v>
      </c>
      <c r="X2714" t="s">
        <v>134</v>
      </c>
      <c r="Y2714" t="s">
        <v>5160</v>
      </c>
      <c r="Z2714" t="s">
        <v>58</v>
      </c>
      <c r="AA2714" t="s">
        <v>54</v>
      </c>
      <c r="AB2714" t="s">
        <v>1836</v>
      </c>
      <c r="AC2714" t="s">
        <v>85</v>
      </c>
      <c r="AD2714" t="s">
        <v>52</v>
      </c>
      <c r="AE2714" t="s">
        <v>243</v>
      </c>
      <c r="AF2714" t="s">
        <v>244</v>
      </c>
      <c r="AG2714" t="s">
        <v>58</v>
      </c>
      <c r="AH2714">
        <v>15575</v>
      </c>
      <c r="AK2714">
        <v>0</v>
      </c>
      <c r="AL2714" t="s">
        <v>61</v>
      </c>
      <c r="AM2714" t="s">
        <v>10619</v>
      </c>
      <c r="AN2714" t="s">
        <v>10620</v>
      </c>
    </row>
    <row r="2715" spans="1:40" x14ac:dyDescent="0.35">
      <c r="A2715" t="s">
        <v>37</v>
      </c>
      <c r="B2715" t="s">
        <v>10621</v>
      </c>
      <c r="C2715" t="s">
        <v>656</v>
      </c>
      <c r="D2715" t="s">
        <v>10516</v>
      </c>
      <c r="E2715" t="s">
        <v>10517</v>
      </c>
      <c r="F2715" s="1">
        <v>46070.570821759262</v>
      </c>
      <c r="G2715" t="s">
        <v>355</v>
      </c>
      <c r="H2715" t="s">
        <v>356</v>
      </c>
      <c r="I2715" t="s">
        <v>10622</v>
      </c>
      <c r="J2715" t="s">
        <v>2550</v>
      </c>
      <c r="K2715" t="s">
        <v>2551</v>
      </c>
      <c r="M2715" t="s">
        <v>47</v>
      </c>
      <c r="O2715" t="s">
        <v>77</v>
      </c>
      <c r="P2715" t="s">
        <v>78</v>
      </c>
      <c r="Q2715" t="s">
        <v>50</v>
      </c>
      <c r="R2715" t="s">
        <v>208</v>
      </c>
      <c r="S2715" t="s">
        <v>3119</v>
      </c>
      <c r="T2715" t="s">
        <v>10084</v>
      </c>
      <c r="U2715" s="1">
        <v>46072.52548611111</v>
      </c>
      <c r="V2715" t="s">
        <v>54</v>
      </c>
      <c r="W2715" t="s">
        <v>55</v>
      </c>
      <c r="X2715" t="s">
        <v>134</v>
      </c>
      <c r="Y2715" t="s">
        <v>10623</v>
      </c>
      <c r="Z2715" t="s">
        <v>5594</v>
      </c>
      <c r="AA2715" t="s">
        <v>54</v>
      </c>
      <c r="AB2715" t="s">
        <v>84</v>
      </c>
      <c r="AC2715" t="s">
        <v>85</v>
      </c>
      <c r="AD2715" t="s">
        <v>208</v>
      </c>
      <c r="AE2715" t="s">
        <v>3119</v>
      </c>
      <c r="AF2715" t="s">
        <v>10084</v>
      </c>
      <c r="AG2715" t="s">
        <v>5594</v>
      </c>
      <c r="AH2715" t="s">
        <v>10521</v>
      </c>
      <c r="AK2715">
        <v>1</v>
      </c>
      <c r="AL2715" t="s">
        <v>61</v>
      </c>
      <c r="AM2715" t="s">
        <v>10522</v>
      </c>
      <c r="AN2715" t="s">
        <v>10523</v>
      </c>
    </row>
    <row r="2716" spans="1:40" x14ac:dyDescent="0.35">
      <c r="A2716" t="s">
        <v>37</v>
      </c>
      <c r="B2716" t="s">
        <v>10624</v>
      </c>
      <c r="C2716" t="s">
        <v>102</v>
      </c>
      <c r="D2716" t="s">
        <v>1963</v>
      </c>
      <c r="E2716" t="s">
        <v>1151</v>
      </c>
      <c r="F2716" s="1">
        <v>46070.558032407411</v>
      </c>
      <c r="G2716" t="s">
        <v>355</v>
      </c>
      <c r="H2716" t="s">
        <v>356</v>
      </c>
      <c r="I2716" t="s">
        <v>10625</v>
      </c>
      <c r="J2716" t="s">
        <v>9282</v>
      </c>
      <c r="K2716" t="s">
        <v>9283</v>
      </c>
      <c r="M2716" t="s">
        <v>47</v>
      </c>
      <c r="O2716" t="s">
        <v>237</v>
      </c>
      <c r="P2716" t="s">
        <v>238</v>
      </c>
      <c r="Q2716" t="s">
        <v>50</v>
      </c>
      <c r="R2716" t="s">
        <v>305</v>
      </c>
      <c r="S2716" t="s">
        <v>306</v>
      </c>
      <c r="T2716" t="s">
        <v>307</v>
      </c>
      <c r="U2716" s="1">
        <v>46073.618402777778</v>
      </c>
      <c r="V2716" t="s">
        <v>54</v>
      </c>
      <c r="W2716" t="s">
        <v>55</v>
      </c>
      <c r="X2716" t="s">
        <v>211</v>
      </c>
      <c r="Y2716" t="s">
        <v>9908</v>
      </c>
      <c r="Z2716" t="s">
        <v>5594</v>
      </c>
      <c r="AA2716" t="s">
        <v>54</v>
      </c>
      <c r="AB2716" t="s">
        <v>213</v>
      </c>
      <c r="AC2716" t="s">
        <v>242</v>
      </c>
      <c r="AD2716" t="s">
        <v>79</v>
      </c>
      <c r="AE2716" t="s">
        <v>558</v>
      </c>
      <c r="AF2716" t="s">
        <v>1110</v>
      </c>
      <c r="AG2716" t="s">
        <v>5594</v>
      </c>
      <c r="AH2716" t="s">
        <v>1965</v>
      </c>
      <c r="AK2716">
        <v>2</v>
      </c>
      <c r="AL2716" t="s">
        <v>61</v>
      </c>
      <c r="AM2716" t="s">
        <v>1966</v>
      </c>
      <c r="AN2716" t="s">
        <v>1967</v>
      </c>
    </row>
    <row r="2717" spans="1:40" x14ac:dyDescent="0.35">
      <c r="A2717" t="s">
        <v>37</v>
      </c>
      <c r="B2717" t="s">
        <v>10626</v>
      </c>
      <c r="C2717" t="s">
        <v>39</v>
      </c>
      <c r="D2717" t="s">
        <v>10627</v>
      </c>
      <c r="E2717" t="s">
        <v>303</v>
      </c>
      <c r="F2717" s="1">
        <v>46070.556388888886</v>
      </c>
      <c r="G2717" t="s">
        <v>297</v>
      </c>
      <c r="H2717" t="s">
        <v>287</v>
      </c>
      <c r="I2717" t="s">
        <v>10628</v>
      </c>
      <c r="J2717" t="s">
        <v>4244</v>
      </c>
      <c r="K2717" t="s">
        <v>951</v>
      </c>
      <c r="M2717" t="s">
        <v>131</v>
      </c>
      <c r="O2717" t="s">
        <v>77</v>
      </c>
      <c r="P2717" t="s">
        <v>78</v>
      </c>
      <c r="Q2717" t="s">
        <v>50</v>
      </c>
      <c r="R2717" t="s">
        <v>79</v>
      </c>
      <c r="S2717" t="s">
        <v>642</v>
      </c>
      <c r="T2717" t="s">
        <v>10629</v>
      </c>
      <c r="U2717" s="1">
        <v>46076.357581018521</v>
      </c>
      <c r="V2717" t="s">
        <v>54</v>
      </c>
      <c r="W2717" t="s">
        <v>55</v>
      </c>
      <c r="X2717" t="s">
        <v>134</v>
      </c>
      <c r="Y2717" t="s">
        <v>10630</v>
      </c>
      <c r="Z2717" t="s">
        <v>58</v>
      </c>
      <c r="AA2717" t="s">
        <v>54</v>
      </c>
      <c r="AB2717" t="s">
        <v>408</v>
      </c>
      <c r="AC2717" t="s">
        <v>85</v>
      </c>
      <c r="AD2717" t="s">
        <v>79</v>
      </c>
      <c r="AE2717" t="s">
        <v>642</v>
      </c>
      <c r="AF2717" t="s">
        <v>10629</v>
      </c>
      <c r="AG2717" t="s">
        <v>58</v>
      </c>
      <c r="AH2717">
        <v>15168</v>
      </c>
      <c r="AJ2717">
        <v>191681</v>
      </c>
      <c r="AK2717">
        <v>5</v>
      </c>
      <c r="AL2717" t="s">
        <v>61</v>
      </c>
      <c r="AM2717" t="s">
        <v>10631</v>
      </c>
      <c r="AN2717" t="s">
        <v>10632</v>
      </c>
    </row>
    <row r="2718" spans="1:40" x14ac:dyDescent="0.35">
      <c r="A2718" t="s">
        <v>37</v>
      </c>
      <c r="B2718" t="s">
        <v>10633</v>
      </c>
      <c r="C2718" t="s">
        <v>39</v>
      </c>
      <c r="D2718" t="s">
        <v>303</v>
      </c>
      <c r="E2718" t="s">
        <v>10634</v>
      </c>
      <c r="F2718" s="1">
        <v>46070.555104166669</v>
      </c>
      <c r="G2718" t="s">
        <v>2031</v>
      </c>
      <c r="H2718" t="s">
        <v>106</v>
      </c>
      <c r="I2718" t="s">
        <v>10635</v>
      </c>
      <c r="J2718" t="s">
        <v>10019</v>
      </c>
      <c r="K2718" t="s">
        <v>75</v>
      </c>
      <c r="M2718" t="s">
        <v>47</v>
      </c>
      <c r="O2718" t="s">
        <v>77</v>
      </c>
      <c r="P2718" t="s">
        <v>78</v>
      </c>
      <c r="Q2718" t="s">
        <v>50</v>
      </c>
      <c r="R2718" t="s">
        <v>305</v>
      </c>
      <c r="S2718" t="s">
        <v>306</v>
      </c>
      <c r="T2718" t="s">
        <v>307</v>
      </c>
      <c r="U2718" s="1">
        <v>46073.571435185186</v>
      </c>
      <c r="V2718" t="s">
        <v>54</v>
      </c>
      <c r="W2718" t="s">
        <v>55</v>
      </c>
      <c r="X2718" t="s">
        <v>211</v>
      </c>
      <c r="Y2718" t="s">
        <v>10636</v>
      </c>
      <c r="Z2718" t="s">
        <v>5594</v>
      </c>
      <c r="AA2718" t="s">
        <v>54</v>
      </c>
      <c r="AB2718" t="s">
        <v>213</v>
      </c>
      <c r="AC2718" t="s">
        <v>85</v>
      </c>
      <c r="AD2718" t="s">
        <v>79</v>
      </c>
      <c r="AE2718" t="s">
        <v>4869</v>
      </c>
      <c r="AF2718" t="s">
        <v>10637</v>
      </c>
      <c r="AG2718" t="s">
        <v>5594</v>
      </c>
      <c r="AH2718">
        <v>14466</v>
      </c>
      <c r="AK2718">
        <v>9</v>
      </c>
      <c r="AL2718" t="s">
        <v>61</v>
      </c>
      <c r="AM2718" t="s">
        <v>10638</v>
      </c>
      <c r="AN2718" t="s">
        <v>10639</v>
      </c>
    </row>
    <row r="2719" spans="1:40" x14ac:dyDescent="0.35">
      <c r="A2719" t="s">
        <v>37</v>
      </c>
      <c r="B2719" t="s">
        <v>10640</v>
      </c>
      <c r="C2719" t="s">
        <v>39</v>
      </c>
      <c r="D2719" t="s">
        <v>2578</v>
      </c>
      <c r="E2719" t="s">
        <v>3010</v>
      </c>
      <c r="F2719" s="1">
        <v>46070.554490740738</v>
      </c>
      <c r="G2719" t="s">
        <v>355</v>
      </c>
      <c r="H2719" t="s">
        <v>356</v>
      </c>
      <c r="I2719" t="s">
        <v>10641</v>
      </c>
      <c r="J2719" t="s">
        <v>2333</v>
      </c>
      <c r="K2719" t="s">
        <v>1187</v>
      </c>
      <c r="M2719" t="s">
        <v>47</v>
      </c>
      <c r="O2719" t="s">
        <v>77</v>
      </c>
      <c r="P2719" t="s">
        <v>78</v>
      </c>
      <c r="Q2719" t="s">
        <v>50</v>
      </c>
      <c r="R2719" t="s">
        <v>1189</v>
      </c>
      <c r="S2719" t="s">
        <v>1190</v>
      </c>
      <c r="T2719" t="s">
        <v>10642</v>
      </c>
      <c r="U2719" s="1">
        <v>46075.628807870373</v>
      </c>
      <c r="V2719" t="s">
        <v>54</v>
      </c>
      <c r="W2719" t="s">
        <v>55</v>
      </c>
      <c r="X2719" t="s">
        <v>134</v>
      </c>
      <c r="Y2719" t="s">
        <v>10643</v>
      </c>
      <c r="Z2719" t="s">
        <v>5594</v>
      </c>
      <c r="AA2719" t="s">
        <v>54</v>
      </c>
      <c r="AB2719" t="s">
        <v>408</v>
      </c>
      <c r="AC2719" t="s">
        <v>85</v>
      </c>
      <c r="AD2719" t="s">
        <v>1189</v>
      </c>
      <c r="AE2719" t="s">
        <v>1190</v>
      </c>
      <c r="AF2719" t="s">
        <v>10644</v>
      </c>
      <c r="AG2719" t="s">
        <v>5594</v>
      </c>
      <c r="AH2719" t="s">
        <v>10645</v>
      </c>
      <c r="AK2719">
        <v>1</v>
      </c>
      <c r="AL2719" t="s">
        <v>61</v>
      </c>
      <c r="AM2719" t="s">
        <v>10646</v>
      </c>
      <c r="AN2719" t="s">
        <v>10647</v>
      </c>
    </row>
    <row r="2720" spans="1:40" x14ac:dyDescent="0.35">
      <c r="A2720" t="s">
        <v>37</v>
      </c>
      <c r="B2720" t="s">
        <v>10648</v>
      </c>
      <c r="C2720" t="s">
        <v>656</v>
      </c>
      <c r="D2720" t="s">
        <v>1711</v>
      </c>
      <c r="E2720" t="s">
        <v>1712</v>
      </c>
      <c r="F2720" s="1">
        <v>46070.55195601852</v>
      </c>
      <c r="G2720" t="s">
        <v>1713</v>
      </c>
      <c r="H2720" t="s">
        <v>356</v>
      </c>
      <c r="I2720" t="s">
        <v>10649</v>
      </c>
      <c r="J2720" t="s">
        <v>7483</v>
      </c>
      <c r="K2720" t="s">
        <v>436</v>
      </c>
      <c r="M2720" t="s">
        <v>47</v>
      </c>
      <c r="O2720" t="s">
        <v>237</v>
      </c>
      <c r="P2720" t="s">
        <v>238</v>
      </c>
      <c r="Q2720" t="s">
        <v>50</v>
      </c>
      <c r="R2720" t="s">
        <v>51</v>
      </c>
      <c r="S2720" t="s">
        <v>52</v>
      </c>
      <c r="T2720" t="s">
        <v>4080</v>
      </c>
      <c r="U2720" s="1">
        <v>46072.548298611109</v>
      </c>
      <c r="V2720" t="s">
        <v>54</v>
      </c>
      <c r="W2720" t="s">
        <v>55</v>
      </c>
      <c r="X2720" t="s">
        <v>134</v>
      </c>
      <c r="Y2720" t="s">
        <v>10650</v>
      </c>
      <c r="Z2720" t="s">
        <v>5594</v>
      </c>
      <c r="AA2720" t="s">
        <v>54</v>
      </c>
      <c r="AB2720" t="s">
        <v>1717</v>
      </c>
      <c r="AC2720" t="s">
        <v>242</v>
      </c>
      <c r="AD2720" t="s">
        <v>52</v>
      </c>
      <c r="AE2720" t="s">
        <v>243</v>
      </c>
      <c r="AF2720" t="s">
        <v>2533</v>
      </c>
      <c r="AG2720" t="s">
        <v>5594</v>
      </c>
      <c r="AK2720">
        <v>1</v>
      </c>
      <c r="AL2720" t="s">
        <v>61</v>
      </c>
      <c r="AM2720" t="s">
        <v>1717</v>
      </c>
      <c r="AN2720" t="s">
        <v>1720</v>
      </c>
    </row>
    <row r="2721" spans="1:40" x14ac:dyDescent="0.35">
      <c r="A2721" t="s">
        <v>37</v>
      </c>
      <c r="B2721" t="s">
        <v>10651</v>
      </c>
      <c r="C2721" t="s">
        <v>102</v>
      </c>
      <c r="D2721" t="s">
        <v>10652</v>
      </c>
      <c r="E2721" t="s">
        <v>10653</v>
      </c>
      <c r="F2721" s="1">
        <v>46070.551886574074</v>
      </c>
      <c r="G2721" t="s">
        <v>913</v>
      </c>
      <c r="H2721" t="s">
        <v>72</v>
      </c>
      <c r="I2721" t="s">
        <v>10654</v>
      </c>
      <c r="J2721" t="s">
        <v>2718</v>
      </c>
      <c r="K2721" t="s">
        <v>951</v>
      </c>
      <c r="M2721" t="s">
        <v>47</v>
      </c>
      <c r="O2721" t="s">
        <v>237</v>
      </c>
      <c r="P2721" t="s">
        <v>238</v>
      </c>
      <c r="Q2721" t="s">
        <v>2895</v>
      </c>
      <c r="R2721" t="s">
        <v>79</v>
      </c>
      <c r="S2721" t="s">
        <v>955</v>
      </c>
      <c r="T2721" t="s">
        <v>1500</v>
      </c>
      <c r="U2721" s="1">
        <v>46072.508773148147</v>
      </c>
      <c r="V2721" t="s">
        <v>54</v>
      </c>
      <c r="W2721" t="s">
        <v>55</v>
      </c>
      <c r="X2721" t="s">
        <v>82</v>
      </c>
      <c r="Y2721" t="s">
        <v>10655</v>
      </c>
      <c r="Z2721" t="s">
        <v>5594</v>
      </c>
      <c r="AA2721" t="s">
        <v>54</v>
      </c>
      <c r="AB2721" t="s">
        <v>727</v>
      </c>
      <c r="AC2721" t="s">
        <v>242</v>
      </c>
      <c r="AD2721" t="s">
        <v>79</v>
      </c>
      <c r="AE2721" t="s">
        <v>955</v>
      </c>
      <c r="AF2721" t="s">
        <v>2460</v>
      </c>
      <c r="AG2721" t="s">
        <v>5594</v>
      </c>
      <c r="AH2721">
        <v>6361</v>
      </c>
      <c r="AK2721">
        <v>10</v>
      </c>
      <c r="AL2721" t="s">
        <v>61</v>
      </c>
      <c r="AM2721" t="s">
        <v>10656</v>
      </c>
      <c r="AN2721" t="s">
        <v>10657</v>
      </c>
    </row>
    <row r="2722" spans="1:40" x14ac:dyDescent="0.35">
      <c r="A2722" t="s">
        <v>37</v>
      </c>
      <c r="B2722" t="s">
        <v>10658</v>
      </c>
      <c r="C2722" t="s">
        <v>102</v>
      </c>
      <c r="D2722" t="s">
        <v>127</v>
      </c>
      <c r="E2722" t="s">
        <v>10659</v>
      </c>
      <c r="F2722" s="1">
        <v>46070.544756944444</v>
      </c>
      <c r="G2722" t="s">
        <v>304</v>
      </c>
      <c r="H2722" t="s">
        <v>106</v>
      </c>
      <c r="I2722" t="s">
        <v>590</v>
      </c>
      <c r="J2722" t="s">
        <v>5583</v>
      </c>
      <c r="K2722" t="s">
        <v>951</v>
      </c>
      <c r="M2722" t="s">
        <v>47</v>
      </c>
      <c r="O2722" t="s">
        <v>1501</v>
      </c>
      <c r="P2722" t="s">
        <v>1502</v>
      </c>
      <c r="Q2722" t="s">
        <v>50</v>
      </c>
      <c r="R2722" t="s">
        <v>79</v>
      </c>
      <c r="S2722" t="s">
        <v>590</v>
      </c>
      <c r="T2722" t="s">
        <v>5987</v>
      </c>
      <c r="U2722" s="1">
        <v>46072.462361111109</v>
      </c>
      <c r="V2722" t="s">
        <v>54</v>
      </c>
      <c r="W2722" t="s">
        <v>55</v>
      </c>
      <c r="X2722" t="s">
        <v>134</v>
      </c>
      <c r="Y2722" t="s">
        <v>10660</v>
      </c>
      <c r="Z2722" t="s">
        <v>5594</v>
      </c>
      <c r="AA2722" t="s">
        <v>54</v>
      </c>
      <c r="AB2722" t="s">
        <v>408</v>
      </c>
      <c r="AC2722" t="s">
        <v>1504</v>
      </c>
      <c r="AD2722" t="s">
        <v>79</v>
      </c>
      <c r="AE2722" t="s">
        <v>590</v>
      </c>
      <c r="AF2722" t="s">
        <v>5987</v>
      </c>
      <c r="AG2722" t="s">
        <v>5594</v>
      </c>
      <c r="AH2722" t="s">
        <v>10661</v>
      </c>
      <c r="AK2722">
        <v>1</v>
      </c>
      <c r="AL2722" t="s">
        <v>61</v>
      </c>
      <c r="AM2722" t="s">
        <v>10662</v>
      </c>
      <c r="AN2722" t="s">
        <v>10663</v>
      </c>
    </row>
    <row r="2723" spans="1:40" x14ac:dyDescent="0.35">
      <c r="A2723" t="s">
        <v>37</v>
      </c>
      <c r="B2723" t="s">
        <v>10664</v>
      </c>
      <c r="C2723" t="s">
        <v>39</v>
      </c>
      <c r="D2723" t="s">
        <v>230</v>
      </c>
      <c r="E2723" t="s">
        <v>1146</v>
      </c>
      <c r="F2723" s="1">
        <v>46070.539571759262</v>
      </c>
      <c r="G2723" t="s">
        <v>170</v>
      </c>
      <c r="H2723" t="s">
        <v>92</v>
      </c>
      <c r="I2723" t="s">
        <v>1446</v>
      </c>
      <c r="J2723" t="s">
        <v>9282</v>
      </c>
      <c r="K2723" t="s">
        <v>9283</v>
      </c>
      <c r="M2723" t="s">
        <v>47</v>
      </c>
      <c r="O2723" t="s">
        <v>77</v>
      </c>
      <c r="P2723" t="s">
        <v>78</v>
      </c>
      <c r="Q2723" t="s">
        <v>50</v>
      </c>
      <c r="R2723" t="s">
        <v>305</v>
      </c>
      <c r="S2723" t="s">
        <v>306</v>
      </c>
      <c r="T2723" t="s">
        <v>307</v>
      </c>
      <c r="U2723" s="1">
        <v>46073.617824074077</v>
      </c>
      <c r="V2723" t="s">
        <v>54</v>
      </c>
      <c r="W2723" t="s">
        <v>55</v>
      </c>
      <c r="X2723" t="s">
        <v>211</v>
      </c>
      <c r="Y2723" t="s">
        <v>9908</v>
      </c>
      <c r="Z2723" t="s">
        <v>5594</v>
      </c>
      <c r="AA2723" t="s">
        <v>54</v>
      </c>
      <c r="AB2723" t="s">
        <v>213</v>
      </c>
      <c r="AC2723" t="s">
        <v>85</v>
      </c>
      <c r="AD2723" t="s">
        <v>79</v>
      </c>
      <c r="AE2723" t="s">
        <v>558</v>
      </c>
      <c r="AF2723" t="s">
        <v>1110</v>
      </c>
      <c r="AG2723" t="s">
        <v>5594</v>
      </c>
      <c r="AH2723" t="s">
        <v>10665</v>
      </c>
      <c r="AK2723">
        <v>4</v>
      </c>
      <c r="AL2723" t="s">
        <v>61</v>
      </c>
      <c r="AM2723" t="s">
        <v>10666</v>
      </c>
      <c r="AN2723" t="s">
        <v>10667</v>
      </c>
    </row>
    <row r="2724" spans="1:40" x14ac:dyDescent="0.35">
      <c r="A2724" t="s">
        <v>37</v>
      </c>
      <c r="B2724" t="s">
        <v>10668</v>
      </c>
      <c r="C2724" t="s">
        <v>102</v>
      </c>
      <c r="D2724" t="s">
        <v>10669</v>
      </c>
      <c r="E2724" t="s">
        <v>10670</v>
      </c>
      <c r="F2724" s="1">
        <v>46070.536990740744</v>
      </c>
      <c r="G2724" t="s">
        <v>464</v>
      </c>
      <c r="H2724" t="s">
        <v>287</v>
      </c>
      <c r="I2724" t="s">
        <v>10671</v>
      </c>
      <c r="J2724" t="s">
        <v>9282</v>
      </c>
      <c r="K2724" t="s">
        <v>9283</v>
      </c>
      <c r="M2724" t="s">
        <v>47</v>
      </c>
      <c r="O2724" t="s">
        <v>237</v>
      </c>
      <c r="P2724" t="s">
        <v>238</v>
      </c>
      <c r="Q2724" t="s">
        <v>50</v>
      </c>
      <c r="R2724" t="s">
        <v>305</v>
      </c>
      <c r="S2724" t="s">
        <v>306</v>
      </c>
      <c r="T2724" t="s">
        <v>307</v>
      </c>
      <c r="U2724" s="1">
        <v>46073.617430555554</v>
      </c>
      <c r="V2724" t="s">
        <v>54</v>
      </c>
      <c r="W2724" t="s">
        <v>55</v>
      </c>
      <c r="X2724" t="s">
        <v>211</v>
      </c>
      <c r="Y2724" t="s">
        <v>9908</v>
      </c>
      <c r="Z2724" t="s">
        <v>5594</v>
      </c>
      <c r="AA2724" t="s">
        <v>54</v>
      </c>
      <c r="AB2724" t="s">
        <v>213</v>
      </c>
      <c r="AC2724" t="s">
        <v>242</v>
      </c>
      <c r="AD2724" t="s">
        <v>79</v>
      </c>
      <c r="AE2724" t="s">
        <v>558</v>
      </c>
      <c r="AF2724" t="s">
        <v>1110</v>
      </c>
      <c r="AG2724" t="s">
        <v>5594</v>
      </c>
      <c r="AH2724" t="s">
        <v>10672</v>
      </c>
      <c r="AK2724">
        <v>2</v>
      </c>
      <c r="AL2724" t="s">
        <v>61</v>
      </c>
      <c r="AM2724" t="s">
        <v>10673</v>
      </c>
      <c r="AN2724" t="s">
        <v>10674</v>
      </c>
    </row>
    <row r="2725" spans="1:40" x14ac:dyDescent="0.35">
      <c r="A2725" t="s">
        <v>37</v>
      </c>
      <c r="B2725" t="s">
        <v>10675</v>
      </c>
      <c r="C2725" t="s">
        <v>102</v>
      </c>
      <c r="D2725" t="s">
        <v>10676</v>
      </c>
      <c r="E2725" t="s">
        <v>10677</v>
      </c>
      <c r="F2725" s="1">
        <v>46070.537812499999</v>
      </c>
      <c r="G2725" t="s">
        <v>793</v>
      </c>
      <c r="H2725" t="s">
        <v>356</v>
      </c>
      <c r="I2725" t="s">
        <v>590</v>
      </c>
      <c r="J2725" t="s">
        <v>1337</v>
      </c>
      <c r="K2725" t="s">
        <v>951</v>
      </c>
      <c r="M2725" t="s">
        <v>47</v>
      </c>
      <c r="O2725" t="s">
        <v>1501</v>
      </c>
      <c r="P2725" t="s">
        <v>1502</v>
      </c>
      <c r="Q2725" t="s">
        <v>50</v>
      </c>
      <c r="R2725" t="s">
        <v>79</v>
      </c>
      <c r="S2725" t="s">
        <v>590</v>
      </c>
      <c r="T2725" t="s">
        <v>5987</v>
      </c>
      <c r="U2725" s="1">
        <v>46072.379930555559</v>
      </c>
      <c r="V2725" t="s">
        <v>54</v>
      </c>
      <c r="W2725" t="s">
        <v>55</v>
      </c>
      <c r="X2725" t="s">
        <v>134</v>
      </c>
      <c r="Y2725" t="e">
        <f>- full scan Completed  - re-connected to RTA Network</f>
        <v>#NAME?</v>
      </c>
      <c r="Z2725" t="s">
        <v>5594</v>
      </c>
      <c r="AA2725" t="s">
        <v>54</v>
      </c>
      <c r="AB2725" t="s">
        <v>408</v>
      </c>
      <c r="AC2725" t="s">
        <v>1504</v>
      </c>
      <c r="AD2725" t="s">
        <v>79</v>
      </c>
      <c r="AE2725" t="s">
        <v>590</v>
      </c>
      <c r="AF2725" t="s">
        <v>5987</v>
      </c>
      <c r="AG2725" t="s">
        <v>5594</v>
      </c>
      <c r="AH2725" t="s">
        <v>10678</v>
      </c>
      <c r="AK2725">
        <v>1</v>
      </c>
      <c r="AL2725" t="s">
        <v>61</v>
      </c>
      <c r="AM2725" t="s">
        <v>10679</v>
      </c>
      <c r="AN2725" t="s">
        <v>10680</v>
      </c>
    </row>
    <row r="2726" spans="1:40" x14ac:dyDescent="0.35">
      <c r="A2726" t="s">
        <v>37</v>
      </c>
      <c r="B2726" t="s">
        <v>10681</v>
      </c>
      <c r="C2726" t="s">
        <v>102</v>
      </c>
      <c r="D2726" t="s">
        <v>4426</v>
      </c>
      <c r="E2726" t="s">
        <v>10682</v>
      </c>
      <c r="F2726" s="1">
        <v>46070.536747685182</v>
      </c>
      <c r="G2726" t="s">
        <v>71</v>
      </c>
      <c r="H2726" t="s">
        <v>72</v>
      </c>
      <c r="I2726" t="s">
        <v>10683</v>
      </c>
      <c r="J2726" t="s">
        <v>9282</v>
      </c>
      <c r="K2726" t="s">
        <v>9283</v>
      </c>
      <c r="M2726" t="s">
        <v>47</v>
      </c>
      <c r="O2726" t="s">
        <v>237</v>
      </c>
      <c r="P2726" t="s">
        <v>238</v>
      </c>
      <c r="Q2726" t="s">
        <v>1174</v>
      </c>
      <c r="R2726" t="s">
        <v>305</v>
      </c>
      <c r="S2726" t="s">
        <v>306</v>
      </c>
      <c r="T2726" t="s">
        <v>307</v>
      </c>
      <c r="U2726" s="1">
        <v>46073.616828703707</v>
      </c>
      <c r="V2726" t="s">
        <v>54</v>
      </c>
      <c r="W2726" t="s">
        <v>55</v>
      </c>
      <c r="X2726" t="s">
        <v>211</v>
      </c>
      <c r="Y2726" t="s">
        <v>10684</v>
      </c>
      <c r="Z2726" t="s">
        <v>5594</v>
      </c>
      <c r="AA2726" t="s">
        <v>54</v>
      </c>
      <c r="AB2726" t="s">
        <v>213</v>
      </c>
      <c r="AC2726" t="s">
        <v>242</v>
      </c>
      <c r="AD2726" t="s">
        <v>79</v>
      </c>
      <c r="AE2726" t="s">
        <v>975</v>
      </c>
      <c r="AF2726" t="s">
        <v>2280</v>
      </c>
      <c r="AG2726" t="s">
        <v>5594</v>
      </c>
      <c r="AH2726">
        <v>10779</v>
      </c>
      <c r="AK2726">
        <v>6</v>
      </c>
      <c r="AL2726" t="s">
        <v>61</v>
      </c>
      <c r="AM2726" t="s">
        <v>10685</v>
      </c>
      <c r="AN2726" t="s">
        <v>10686</v>
      </c>
    </row>
    <row r="2727" spans="1:40" x14ac:dyDescent="0.35">
      <c r="A2727" t="s">
        <v>37</v>
      </c>
      <c r="B2727" t="s">
        <v>10687</v>
      </c>
      <c r="C2727" t="s">
        <v>39</v>
      </c>
      <c r="D2727" t="s">
        <v>583</v>
      </c>
      <c r="E2727" t="s">
        <v>584</v>
      </c>
      <c r="F2727" s="1">
        <v>46070.532766203702</v>
      </c>
      <c r="G2727" t="s">
        <v>585</v>
      </c>
      <c r="H2727" t="s">
        <v>356</v>
      </c>
      <c r="I2727" t="s">
        <v>10688</v>
      </c>
      <c r="J2727" t="s">
        <v>2550</v>
      </c>
      <c r="K2727" t="s">
        <v>2551</v>
      </c>
      <c r="M2727" t="s">
        <v>47</v>
      </c>
      <c r="O2727" t="s">
        <v>77</v>
      </c>
      <c r="P2727" t="s">
        <v>78</v>
      </c>
      <c r="Q2727" t="s">
        <v>50</v>
      </c>
      <c r="R2727" t="s">
        <v>208</v>
      </c>
      <c r="S2727" t="s">
        <v>209</v>
      </c>
      <c r="T2727" t="s">
        <v>2859</v>
      </c>
      <c r="U2727" s="1">
        <v>46072.461967592593</v>
      </c>
      <c r="V2727" t="s">
        <v>54</v>
      </c>
      <c r="W2727" t="s">
        <v>55</v>
      </c>
      <c r="X2727" t="s">
        <v>134</v>
      </c>
      <c r="Y2727" t="s">
        <v>10689</v>
      </c>
      <c r="Z2727" t="s">
        <v>5594</v>
      </c>
      <c r="AA2727" t="s">
        <v>54</v>
      </c>
      <c r="AB2727" t="s">
        <v>408</v>
      </c>
      <c r="AC2727" t="s">
        <v>85</v>
      </c>
      <c r="AD2727" t="s">
        <v>214</v>
      </c>
      <c r="AE2727" t="s">
        <v>2861</v>
      </c>
      <c r="AF2727" t="s">
        <v>3739</v>
      </c>
      <c r="AG2727" t="s">
        <v>5594</v>
      </c>
      <c r="AK2727">
        <v>3</v>
      </c>
      <c r="AL2727" t="s">
        <v>61</v>
      </c>
      <c r="AM2727" t="s">
        <v>593</v>
      </c>
      <c r="AN2727" t="s">
        <v>594</v>
      </c>
    </row>
    <row r="2728" spans="1:40" x14ac:dyDescent="0.35">
      <c r="A2728" t="s">
        <v>37</v>
      </c>
      <c r="B2728" t="s">
        <v>10690</v>
      </c>
      <c r="C2728" t="s">
        <v>102</v>
      </c>
      <c r="D2728" t="s">
        <v>10691</v>
      </c>
      <c r="E2728" t="s">
        <v>10692</v>
      </c>
      <c r="F2728" s="1">
        <v>46070.533958333333</v>
      </c>
      <c r="G2728" t="s">
        <v>204</v>
      </c>
      <c r="H2728" t="s">
        <v>92</v>
      </c>
      <c r="I2728" t="s">
        <v>10693</v>
      </c>
      <c r="J2728" t="s">
        <v>5588</v>
      </c>
      <c r="K2728" t="s">
        <v>951</v>
      </c>
      <c r="M2728" t="s">
        <v>76</v>
      </c>
      <c r="O2728" t="s">
        <v>237</v>
      </c>
      <c r="P2728" t="s">
        <v>238</v>
      </c>
      <c r="R2728" t="s">
        <v>79</v>
      </c>
      <c r="S2728" t="s">
        <v>955</v>
      </c>
      <c r="T2728" t="s">
        <v>2460</v>
      </c>
      <c r="U2728" s="1">
        <v>46077.559131944443</v>
      </c>
      <c r="V2728" t="s">
        <v>54</v>
      </c>
      <c r="W2728" t="s">
        <v>55</v>
      </c>
      <c r="X2728" t="s">
        <v>82</v>
      </c>
      <c r="Y2728" t="s">
        <v>10694</v>
      </c>
      <c r="Z2728" t="s">
        <v>58</v>
      </c>
      <c r="AA2728" t="s">
        <v>54</v>
      </c>
      <c r="AB2728" t="s">
        <v>727</v>
      </c>
      <c r="AC2728" t="s">
        <v>242</v>
      </c>
      <c r="AD2728" t="s">
        <v>79</v>
      </c>
      <c r="AE2728" t="s">
        <v>642</v>
      </c>
      <c r="AF2728" t="s">
        <v>10695</v>
      </c>
      <c r="AG2728" t="s">
        <v>58</v>
      </c>
      <c r="AH2728" t="s">
        <v>10696</v>
      </c>
      <c r="AJ2728">
        <v>191697</v>
      </c>
      <c r="AK2728">
        <v>9</v>
      </c>
      <c r="AL2728" t="s">
        <v>61</v>
      </c>
      <c r="AM2728" t="s">
        <v>10697</v>
      </c>
      <c r="AN2728" t="s">
        <v>10698</v>
      </c>
    </row>
    <row r="2729" spans="1:40" x14ac:dyDescent="0.35">
      <c r="A2729" t="s">
        <v>37</v>
      </c>
      <c r="B2729" t="s">
        <v>10699</v>
      </c>
      <c r="C2729" t="s">
        <v>102</v>
      </c>
      <c r="D2729" t="s">
        <v>747</v>
      </c>
      <c r="E2729" t="s">
        <v>10700</v>
      </c>
      <c r="F2729" s="1">
        <v>46070.525578703702</v>
      </c>
      <c r="G2729" t="s">
        <v>250</v>
      </c>
      <c r="H2729" t="s">
        <v>106</v>
      </c>
      <c r="I2729" t="s">
        <v>10701</v>
      </c>
      <c r="J2729" t="s">
        <v>3117</v>
      </c>
      <c r="K2729" t="s">
        <v>10290</v>
      </c>
      <c r="M2729" t="s">
        <v>76</v>
      </c>
      <c r="O2729" t="s">
        <v>237</v>
      </c>
      <c r="P2729" t="s">
        <v>238</v>
      </c>
      <c r="Q2729" t="s">
        <v>3398</v>
      </c>
      <c r="R2729" t="s">
        <v>305</v>
      </c>
      <c r="S2729" t="s">
        <v>306</v>
      </c>
      <c r="T2729" t="s">
        <v>307</v>
      </c>
      <c r="U2729" s="1">
        <v>46076.58384259259</v>
      </c>
      <c r="V2729" t="s">
        <v>54</v>
      </c>
      <c r="W2729" t="s">
        <v>55</v>
      </c>
      <c r="X2729" t="s">
        <v>211</v>
      </c>
      <c r="Y2729" t="s">
        <v>10702</v>
      </c>
      <c r="Z2729" t="s">
        <v>58</v>
      </c>
      <c r="AA2729" t="s">
        <v>54</v>
      </c>
      <c r="AB2729" t="s">
        <v>213</v>
      </c>
      <c r="AC2729" t="s">
        <v>242</v>
      </c>
      <c r="AD2729" t="s">
        <v>208</v>
      </c>
      <c r="AE2729" t="s">
        <v>3119</v>
      </c>
      <c r="AF2729" t="s">
        <v>10703</v>
      </c>
      <c r="AG2729" t="s">
        <v>58</v>
      </c>
      <c r="AH2729">
        <v>1042</v>
      </c>
      <c r="AK2729">
        <v>5</v>
      </c>
      <c r="AL2729" t="s">
        <v>61</v>
      </c>
      <c r="AM2729" t="s">
        <v>10704</v>
      </c>
      <c r="AN2729" t="s">
        <v>10705</v>
      </c>
    </row>
    <row r="2730" spans="1:40" x14ac:dyDescent="0.35">
      <c r="A2730" t="s">
        <v>37</v>
      </c>
      <c r="B2730" t="s">
        <v>10706</v>
      </c>
      <c r="C2730" t="s">
        <v>39</v>
      </c>
      <c r="D2730" t="s">
        <v>1751</v>
      </c>
      <c r="E2730" t="s">
        <v>1316</v>
      </c>
      <c r="F2730" s="1">
        <v>46070.524074074077</v>
      </c>
      <c r="G2730" t="s">
        <v>1752</v>
      </c>
      <c r="H2730" t="s">
        <v>447</v>
      </c>
      <c r="I2730" t="s">
        <v>10707</v>
      </c>
      <c r="J2730" t="s">
        <v>1754</v>
      </c>
      <c r="K2730" t="s">
        <v>1755</v>
      </c>
      <c r="M2730" t="s">
        <v>47</v>
      </c>
      <c r="O2730" t="s">
        <v>77</v>
      </c>
      <c r="P2730" t="s">
        <v>78</v>
      </c>
      <c r="Q2730" t="s">
        <v>50</v>
      </c>
      <c r="R2730" t="s">
        <v>51</v>
      </c>
      <c r="S2730" t="s">
        <v>52</v>
      </c>
      <c r="T2730" t="s">
        <v>773</v>
      </c>
      <c r="U2730" s="1">
        <v>46074.94259259259</v>
      </c>
      <c r="V2730" t="s">
        <v>54</v>
      </c>
      <c r="W2730" t="s">
        <v>55</v>
      </c>
      <c r="X2730" t="s">
        <v>134</v>
      </c>
      <c r="Y2730" t="s">
        <v>10708</v>
      </c>
      <c r="Z2730" t="s">
        <v>5594</v>
      </c>
      <c r="AA2730" t="s">
        <v>54</v>
      </c>
      <c r="AB2730" t="s">
        <v>1757</v>
      </c>
      <c r="AC2730" t="s">
        <v>85</v>
      </c>
      <c r="AD2730" t="s">
        <v>52</v>
      </c>
      <c r="AE2730" t="s">
        <v>999</v>
      </c>
      <c r="AF2730" t="s">
        <v>2272</v>
      </c>
      <c r="AG2730" t="s">
        <v>5594</v>
      </c>
      <c r="AK2730">
        <v>1</v>
      </c>
      <c r="AL2730" t="s">
        <v>61</v>
      </c>
      <c r="AM2730" t="s">
        <v>1757</v>
      </c>
      <c r="AN2730" t="s">
        <v>1758</v>
      </c>
    </row>
    <row r="2731" spans="1:40" x14ac:dyDescent="0.35">
      <c r="A2731" t="s">
        <v>37</v>
      </c>
      <c r="B2731" t="s">
        <v>10709</v>
      </c>
      <c r="C2731" t="s">
        <v>39</v>
      </c>
      <c r="D2731" t="s">
        <v>747</v>
      </c>
      <c r="E2731" t="s">
        <v>10710</v>
      </c>
      <c r="F2731" s="1">
        <v>46070.521597222221</v>
      </c>
      <c r="G2731" t="s">
        <v>508</v>
      </c>
      <c r="H2731" t="s">
        <v>72</v>
      </c>
      <c r="I2731" t="s">
        <v>2004</v>
      </c>
      <c r="J2731" t="s">
        <v>4338</v>
      </c>
      <c r="K2731" t="s">
        <v>405</v>
      </c>
      <c r="M2731" t="s">
        <v>47</v>
      </c>
      <c r="O2731" t="s">
        <v>237</v>
      </c>
      <c r="P2731" t="s">
        <v>238</v>
      </c>
      <c r="Q2731" t="s">
        <v>10711</v>
      </c>
      <c r="R2731" t="s">
        <v>51</v>
      </c>
      <c r="S2731" t="s">
        <v>52</v>
      </c>
      <c r="T2731" t="s">
        <v>240</v>
      </c>
      <c r="U2731" s="1">
        <v>46072.397847222222</v>
      </c>
      <c r="V2731" t="s">
        <v>54</v>
      </c>
      <c r="W2731" t="s">
        <v>55</v>
      </c>
      <c r="X2731" t="s">
        <v>134</v>
      </c>
      <c r="Y2731" t="s">
        <v>10712</v>
      </c>
      <c r="Z2731" t="s">
        <v>5594</v>
      </c>
      <c r="AA2731" t="s">
        <v>54</v>
      </c>
      <c r="AB2731" t="s">
        <v>84</v>
      </c>
      <c r="AC2731" t="s">
        <v>242</v>
      </c>
      <c r="AD2731" t="s">
        <v>52</v>
      </c>
      <c r="AE2731" t="s">
        <v>243</v>
      </c>
      <c r="AF2731" t="s">
        <v>244</v>
      </c>
      <c r="AG2731" t="s">
        <v>5594</v>
      </c>
      <c r="AH2731">
        <v>78445</v>
      </c>
      <c r="AK2731">
        <v>1</v>
      </c>
      <c r="AL2731" t="s">
        <v>61</v>
      </c>
      <c r="AM2731" t="s">
        <v>10713</v>
      </c>
      <c r="AN2731" t="s">
        <v>10714</v>
      </c>
    </row>
    <row r="2732" spans="1:40" x14ac:dyDescent="0.35">
      <c r="A2732" t="s">
        <v>37</v>
      </c>
      <c r="B2732" t="s">
        <v>10715</v>
      </c>
      <c r="C2732" t="s">
        <v>102</v>
      </c>
      <c r="D2732" t="s">
        <v>10716</v>
      </c>
      <c r="E2732" t="s">
        <v>3482</v>
      </c>
      <c r="F2732" s="1">
        <v>46070.51934027778</v>
      </c>
      <c r="G2732" t="s">
        <v>304</v>
      </c>
      <c r="H2732" t="s">
        <v>106</v>
      </c>
      <c r="I2732" t="s">
        <v>10717</v>
      </c>
      <c r="J2732" t="s">
        <v>2108</v>
      </c>
      <c r="K2732" t="s">
        <v>2118</v>
      </c>
      <c r="M2732" t="s">
        <v>131</v>
      </c>
      <c r="O2732" t="s">
        <v>237</v>
      </c>
      <c r="P2732" t="s">
        <v>238</v>
      </c>
      <c r="Q2732" t="s">
        <v>541</v>
      </c>
      <c r="R2732" t="s">
        <v>51</v>
      </c>
      <c r="S2732" t="s">
        <v>52</v>
      </c>
      <c r="T2732" t="s">
        <v>240</v>
      </c>
      <c r="U2732" s="1">
        <v>46078.36986111111</v>
      </c>
      <c r="V2732" t="s">
        <v>54</v>
      </c>
      <c r="W2732" t="s">
        <v>55</v>
      </c>
      <c r="X2732" t="s">
        <v>134</v>
      </c>
      <c r="Y2732" t="s">
        <v>2119</v>
      </c>
      <c r="Z2732" t="s">
        <v>58</v>
      </c>
      <c r="AA2732" t="s">
        <v>54</v>
      </c>
      <c r="AB2732" t="s">
        <v>408</v>
      </c>
      <c r="AC2732" t="s">
        <v>242</v>
      </c>
      <c r="AD2732" t="s">
        <v>52</v>
      </c>
      <c r="AE2732" t="s">
        <v>243</v>
      </c>
      <c r="AF2732" t="s">
        <v>1470</v>
      </c>
      <c r="AG2732" t="s">
        <v>58</v>
      </c>
      <c r="AH2732">
        <v>5644</v>
      </c>
      <c r="AK2732">
        <v>1</v>
      </c>
      <c r="AL2732" t="s">
        <v>61</v>
      </c>
      <c r="AM2732" t="s">
        <v>10718</v>
      </c>
      <c r="AN2732" t="s">
        <v>10719</v>
      </c>
    </row>
    <row r="2733" spans="1:40" x14ac:dyDescent="0.35">
      <c r="A2733" t="s">
        <v>37</v>
      </c>
      <c r="B2733" t="s">
        <v>10720</v>
      </c>
      <c r="C2733" t="s">
        <v>39</v>
      </c>
      <c r="D2733" t="s">
        <v>1751</v>
      </c>
      <c r="E2733" t="s">
        <v>1316</v>
      </c>
      <c r="F2733" s="1">
        <v>46070.516377314816</v>
      </c>
      <c r="G2733" t="s">
        <v>1752</v>
      </c>
      <c r="H2733" t="s">
        <v>447</v>
      </c>
      <c r="I2733" t="s">
        <v>10721</v>
      </c>
      <c r="J2733" t="s">
        <v>1754</v>
      </c>
      <c r="K2733" t="s">
        <v>1755</v>
      </c>
      <c r="M2733" t="s">
        <v>47</v>
      </c>
      <c r="O2733" t="s">
        <v>77</v>
      </c>
      <c r="P2733" t="s">
        <v>78</v>
      </c>
      <c r="Q2733" t="s">
        <v>50</v>
      </c>
      <c r="R2733" t="s">
        <v>51</v>
      </c>
      <c r="S2733" t="s">
        <v>52</v>
      </c>
      <c r="T2733" t="s">
        <v>773</v>
      </c>
      <c r="U2733" s="1">
        <v>46074.94159722222</v>
      </c>
      <c r="V2733" t="s">
        <v>54</v>
      </c>
      <c r="W2733" t="s">
        <v>55</v>
      </c>
      <c r="X2733" t="s">
        <v>134</v>
      </c>
      <c r="Y2733" t="s">
        <v>1756</v>
      </c>
      <c r="Z2733" t="s">
        <v>5594</v>
      </c>
      <c r="AA2733" t="s">
        <v>54</v>
      </c>
      <c r="AB2733" t="s">
        <v>1757</v>
      </c>
      <c r="AC2733" t="s">
        <v>85</v>
      </c>
      <c r="AD2733" t="s">
        <v>52</v>
      </c>
      <c r="AE2733" t="s">
        <v>243</v>
      </c>
      <c r="AF2733" t="s">
        <v>244</v>
      </c>
      <c r="AG2733" t="s">
        <v>5594</v>
      </c>
      <c r="AK2733">
        <v>1</v>
      </c>
      <c r="AL2733" t="s">
        <v>61</v>
      </c>
      <c r="AM2733" t="s">
        <v>1757</v>
      </c>
      <c r="AN2733" t="s">
        <v>1758</v>
      </c>
    </row>
    <row r="2734" spans="1:40" x14ac:dyDescent="0.35">
      <c r="A2734" t="s">
        <v>37</v>
      </c>
      <c r="B2734" t="s">
        <v>10722</v>
      </c>
      <c r="C2734" t="s">
        <v>39</v>
      </c>
      <c r="D2734" t="s">
        <v>10723</v>
      </c>
      <c r="E2734" t="s">
        <v>10724</v>
      </c>
      <c r="F2734" s="1">
        <v>46070.516782407409</v>
      </c>
      <c r="G2734" t="s">
        <v>402</v>
      </c>
      <c r="H2734" t="s">
        <v>72</v>
      </c>
      <c r="I2734" t="s">
        <v>10725</v>
      </c>
      <c r="J2734" t="s">
        <v>2772</v>
      </c>
      <c r="K2734" t="s">
        <v>10726</v>
      </c>
      <c r="M2734" t="s">
        <v>131</v>
      </c>
      <c r="O2734" t="s">
        <v>77</v>
      </c>
      <c r="P2734" t="s">
        <v>78</v>
      </c>
      <c r="Q2734" t="s">
        <v>50</v>
      </c>
      <c r="R2734" t="s">
        <v>51</v>
      </c>
      <c r="S2734" t="s">
        <v>52</v>
      </c>
      <c r="T2734" t="s">
        <v>240</v>
      </c>
      <c r="U2734" s="1">
        <v>46077.444687499999</v>
      </c>
      <c r="V2734" t="s">
        <v>54</v>
      </c>
      <c r="W2734" t="s">
        <v>55</v>
      </c>
      <c r="X2734" t="s">
        <v>134</v>
      </c>
      <c r="Y2734" t="s">
        <v>10727</v>
      </c>
      <c r="Z2734" t="s">
        <v>58</v>
      </c>
      <c r="AA2734" t="s">
        <v>54</v>
      </c>
      <c r="AB2734" t="s">
        <v>2775</v>
      </c>
      <c r="AC2734" t="s">
        <v>85</v>
      </c>
      <c r="AD2734" t="s">
        <v>52</v>
      </c>
      <c r="AE2734" t="s">
        <v>243</v>
      </c>
      <c r="AF2734" t="s">
        <v>244</v>
      </c>
      <c r="AG2734" t="s">
        <v>58</v>
      </c>
      <c r="AH2734">
        <v>12740</v>
      </c>
      <c r="AK2734">
        <v>0</v>
      </c>
      <c r="AL2734" t="s">
        <v>61</v>
      </c>
      <c r="AM2734" t="s">
        <v>10728</v>
      </c>
      <c r="AN2734" t="s">
        <v>10729</v>
      </c>
    </row>
    <row r="2735" spans="1:40" x14ac:dyDescent="0.35">
      <c r="A2735" t="s">
        <v>37</v>
      </c>
      <c r="B2735" t="s">
        <v>10730</v>
      </c>
      <c r="C2735" t="s">
        <v>39</v>
      </c>
      <c r="D2735" t="s">
        <v>4323</v>
      </c>
      <c r="E2735" t="s">
        <v>10731</v>
      </c>
      <c r="F2735" s="1">
        <v>46070.513206018521</v>
      </c>
      <c r="G2735" t="s">
        <v>71</v>
      </c>
      <c r="H2735" t="s">
        <v>72</v>
      </c>
      <c r="I2735" t="s">
        <v>7199</v>
      </c>
      <c r="J2735" t="s">
        <v>4812</v>
      </c>
      <c r="K2735" t="s">
        <v>4813</v>
      </c>
      <c r="M2735" t="s">
        <v>131</v>
      </c>
      <c r="O2735" t="s">
        <v>77</v>
      </c>
      <c r="P2735" t="s">
        <v>78</v>
      </c>
      <c r="Q2735" t="s">
        <v>4374</v>
      </c>
      <c r="R2735" t="s">
        <v>51</v>
      </c>
      <c r="S2735" t="s">
        <v>52</v>
      </c>
      <c r="T2735" t="s">
        <v>240</v>
      </c>
      <c r="U2735" s="1">
        <v>46077.532581018517</v>
      </c>
      <c r="V2735" t="s">
        <v>54</v>
      </c>
      <c r="W2735" t="s">
        <v>55</v>
      </c>
      <c r="X2735" t="s">
        <v>134</v>
      </c>
      <c r="Y2735" t="s">
        <v>10468</v>
      </c>
      <c r="Z2735" t="s">
        <v>58</v>
      </c>
      <c r="AA2735" t="s">
        <v>54</v>
      </c>
      <c r="AB2735" t="s">
        <v>408</v>
      </c>
      <c r="AC2735" t="s">
        <v>85</v>
      </c>
      <c r="AD2735" t="s">
        <v>52</v>
      </c>
      <c r="AE2735" t="s">
        <v>243</v>
      </c>
      <c r="AF2735" t="s">
        <v>2533</v>
      </c>
      <c r="AG2735" t="s">
        <v>58</v>
      </c>
      <c r="AH2735">
        <v>11495</v>
      </c>
      <c r="AK2735">
        <v>1</v>
      </c>
      <c r="AL2735" t="s">
        <v>61</v>
      </c>
      <c r="AM2735" t="s">
        <v>10732</v>
      </c>
      <c r="AN2735" t="s">
        <v>10733</v>
      </c>
    </row>
    <row r="2736" spans="1:40" x14ac:dyDescent="0.35">
      <c r="A2736" t="s">
        <v>37</v>
      </c>
      <c r="B2736" t="s">
        <v>10734</v>
      </c>
      <c r="C2736" t="s">
        <v>39</v>
      </c>
      <c r="D2736" t="s">
        <v>2765</v>
      </c>
      <c r="E2736" t="s">
        <v>2766</v>
      </c>
      <c r="F2736" s="1">
        <v>46070.507280092592</v>
      </c>
      <c r="G2736" t="s">
        <v>540</v>
      </c>
      <c r="H2736" t="s">
        <v>447</v>
      </c>
      <c r="I2736" t="s">
        <v>1185</v>
      </c>
      <c r="J2736" t="s">
        <v>2333</v>
      </c>
      <c r="K2736" t="s">
        <v>1187</v>
      </c>
      <c r="M2736" t="s">
        <v>47</v>
      </c>
      <c r="O2736" t="s">
        <v>77</v>
      </c>
      <c r="P2736" t="s">
        <v>78</v>
      </c>
      <c r="Q2736" t="s">
        <v>1102</v>
      </c>
      <c r="R2736" t="s">
        <v>305</v>
      </c>
      <c r="S2736" t="s">
        <v>306</v>
      </c>
      <c r="T2736" t="s">
        <v>307</v>
      </c>
      <c r="U2736" s="1">
        <v>46073.468506944446</v>
      </c>
      <c r="V2736" t="s">
        <v>54</v>
      </c>
      <c r="W2736" t="s">
        <v>55</v>
      </c>
      <c r="X2736" t="s">
        <v>211</v>
      </c>
      <c r="Y2736" t="s">
        <v>10735</v>
      </c>
      <c r="Z2736" t="s">
        <v>5594</v>
      </c>
      <c r="AA2736" t="s">
        <v>54</v>
      </c>
      <c r="AB2736" t="s">
        <v>213</v>
      </c>
      <c r="AC2736" t="s">
        <v>85</v>
      </c>
      <c r="AD2736" t="s">
        <v>1189</v>
      </c>
      <c r="AE2736" t="s">
        <v>1190</v>
      </c>
      <c r="AF2736" t="s">
        <v>1191</v>
      </c>
      <c r="AG2736" t="s">
        <v>5594</v>
      </c>
      <c r="AH2736">
        <v>6886</v>
      </c>
      <c r="AK2736">
        <v>3</v>
      </c>
      <c r="AL2736" t="s">
        <v>61</v>
      </c>
      <c r="AM2736" t="s">
        <v>2768</v>
      </c>
      <c r="AN2736" t="s">
        <v>2769</v>
      </c>
    </row>
    <row r="2737" spans="1:40" x14ac:dyDescent="0.35">
      <c r="A2737" t="s">
        <v>37</v>
      </c>
      <c r="B2737" t="s">
        <v>10736</v>
      </c>
      <c r="C2737" t="s">
        <v>39</v>
      </c>
      <c r="D2737" t="s">
        <v>127</v>
      </c>
      <c r="E2737" t="s">
        <v>7426</v>
      </c>
      <c r="F2737" s="1">
        <v>46070.507164351853</v>
      </c>
      <c r="G2737" t="s">
        <v>913</v>
      </c>
      <c r="H2737" t="s">
        <v>72</v>
      </c>
      <c r="I2737" t="s">
        <v>1185</v>
      </c>
      <c r="J2737" t="s">
        <v>2406</v>
      </c>
      <c r="K2737" t="s">
        <v>1187</v>
      </c>
      <c r="M2737" t="s">
        <v>47</v>
      </c>
      <c r="O2737" t="s">
        <v>77</v>
      </c>
      <c r="P2737" t="s">
        <v>78</v>
      </c>
      <c r="Q2737" t="s">
        <v>50</v>
      </c>
      <c r="R2737" t="s">
        <v>305</v>
      </c>
      <c r="S2737" t="s">
        <v>306</v>
      </c>
      <c r="T2737" t="s">
        <v>307</v>
      </c>
      <c r="U2737" s="1">
        <v>46073.454965277779</v>
      </c>
      <c r="V2737" t="s">
        <v>54</v>
      </c>
      <c r="W2737" t="s">
        <v>55</v>
      </c>
      <c r="X2737" t="s">
        <v>211</v>
      </c>
      <c r="Y2737" t="s">
        <v>10737</v>
      </c>
      <c r="Z2737" t="s">
        <v>5594</v>
      </c>
      <c r="AA2737" t="s">
        <v>54</v>
      </c>
      <c r="AB2737" t="s">
        <v>213</v>
      </c>
      <c r="AC2737" t="s">
        <v>85</v>
      </c>
      <c r="AD2737" t="s">
        <v>1189</v>
      </c>
      <c r="AE2737" t="s">
        <v>1190</v>
      </c>
      <c r="AF2737" t="s">
        <v>1191</v>
      </c>
      <c r="AG2737" t="s">
        <v>5594</v>
      </c>
      <c r="AH2737">
        <v>15967</v>
      </c>
      <c r="AK2737">
        <v>3</v>
      </c>
      <c r="AL2737" t="s">
        <v>61</v>
      </c>
      <c r="AM2737" t="s">
        <v>7428</v>
      </c>
      <c r="AN2737" t="s">
        <v>7429</v>
      </c>
    </row>
    <row r="2738" spans="1:40" x14ac:dyDescent="0.35">
      <c r="A2738" t="s">
        <v>37</v>
      </c>
      <c r="B2738" t="s">
        <v>10738</v>
      </c>
      <c r="C2738" t="s">
        <v>39</v>
      </c>
      <c r="D2738" t="s">
        <v>7445</v>
      </c>
      <c r="E2738" t="s">
        <v>1316</v>
      </c>
      <c r="F2738" s="1">
        <v>46070.502129629633</v>
      </c>
      <c r="G2738" t="s">
        <v>286</v>
      </c>
      <c r="H2738" t="s">
        <v>287</v>
      </c>
      <c r="I2738" t="s">
        <v>10739</v>
      </c>
      <c r="J2738" t="s">
        <v>8674</v>
      </c>
      <c r="K2738" t="s">
        <v>7448</v>
      </c>
      <c r="M2738" t="s">
        <v>47</v>
      </c>
      <c r="O2738" t="s">
        <v>77</v>
      </c>
      <c r="P2738" t="s">
        <v>78</v>
      </c>
      <c r="Q2738" t="s">
        <v>50</v>
      </c>
      <c r="R2738" t="s">
        <v>51</v>
      </c>
      <c r="S2738" t="s">
        <v>52</v>
      </c>
      <c r="T2738" t="s">
        <v>240</v>
      </c>
      <c r="U2738" s="1">
        <v>46072.614976851852</v>
      </c>
      <c r="V2738" t="s">
        <v>54</v>
      </c>
      <c r="W2738" t="s">
        <v>55</v>
      </c>
      <c r="X2738" t="s">
        <v>113</v>
      </c>
      <c r="Y2738" t="s">
        <v>8675</v>
      </c>
      <c r="Z2738" t="s">
        <v>5594</v>
      </c>
      <c r="AA2738" t="s">
        <v>54</v>
      </c>
      <c r="AB2738" t="s">
        <v>8676</v>
      </c>
      <c r="AC2738" t="s">
        <v>85</v>
      </c>
      <c r="AD2738" t="s">
        <v>52</v>
      </c>
      <c r="AE2738" t="s">
        <v>243</v>
      </c>
      <c r="AF2738" t="s">
        <v>244</v>
      </c>
      <c r="AG2738" t="s">
        <v>5594</v>
      </c>
      <c r="AK2738">
        <v>0</v>
      </c>
      <c r="AL2738" t="s">
        <v>61</v>
      </c>
      <c r="AM2738" t="s">
        <v>7451</v>
      </c>
      <c r="AN2738" t="s">
        <v>7452</v>
      </c>
    </row>
    <row r="2739" spans="1:40" x14ac:dyDescent="0.35">
      <c r="A2739" t="s">
        <v>37</v>
      </c>
      <c r="B2739" t="s">
        <v>10740</v>
      </c>
      <c r="C2739" t="s">
        <v>39</v>
      </c>
      <c r="D2739" t="s">
        <v>1751</v>
      </c>
      <c r="E2739" t="s">
        <v>1316</v>
      </c>
      <c r="F2739" s="1">
        <v>46070.500104166669</v>
      </c>
      <c r="G2739" t="s">
        <v>1752</v>
      </c>
      <c r="H2739" t="s">
        <v>447</v>
      </c>
      <c r="I2739" t="s">
        <v>10741</v>
      </c>
      <c r="J2739" t="s">
        <v>1754</v>
      </c>
      <c r="K2739" t="s">
        <v>1755</v>
      </c>
      <c r="M2739" t="s">
        <v>47</v>
      </c>
      <c r="O2739" t="s">
        <v>77</v>
      </c>
      <c r="P2739" t="s">
        <v>78</v>
      </c>
      <c r="Q2739" t="s">
        <v>50</v>
      </c>
      <c r="R2739" t="s">
        <v>51</v>
      </c>
      <c r="S2739" t="s">
        <v>52</v>
      </c>
      <c r="T2739" t="s">
        <v>773</v>
      </c>
      <c r="U2739" s="1">
        <v>46074.940787037034</v>
      </c>
      <c r="V2739" t="s">
        <v>54</v>
      </c>
      <c r="W2739" t="s">
        <v>55</v>
      </c>
      <c r="X2739" t="s">
        <v>134</v>
      </c>
      <c r="Y2739" t="s">
        <v>7128</v>
      </c>
      <c r="Z2739" t="s">
        <v>5594</v>
      </c>
      <c r="AA2739" t="s">
        <v>54</v>
      </c>
      <c r="AB2739" t="s">
        <v>1757</v>
      </c>
      <c r="AC2739" t="s">
        <v>85</v>
      </c>
      <c r="AD2739" t="s">
        <v>52</v>
      </c>
      <c r="AE2739" t="s">
        <v>243</v>
      </c>
      <c r="AF2739" t="s">
        <v>409</v>
      </c>
      <c r="AG2739" t="s">
        <v>5594</v>
      </c>
      <c r="AK2739">
        <v>1</v>
      </c>
      <c r="AL2739" t="s">
        <v>61</v>
      </c>
      <c r="AM2739" t="s">
        <v>1757</v>
      </c>
      <c r="AN2739" t="s">
        <v>1758</v>
      </c>
    </row>
    <row r="2740" spans="1:40" x14ac:dyDescent="0.35">
      <c r="A2740" t="s">
        <v>37</v>
      </c>
      <c r="B2740" t="s">
        <v>10742</v>
      </c>
      <c r="C2740" t="s">
        <v>39</v>
      </c>
      <c r="D2740" t="s">
        <v>7445</v>
      </c>
      <c r="E2740" t="s">
        <v>1316</v>
      </c>
      <c r="F2740" s="1">
        <v>46070.497511574074</v>
      </c>
      <c r="G2740" t="s">
        <v>286</v>
      </c>
      <c r="H2740" t="s">
        <v>287</v>
      </c>
      <c r="I2740" t="s">
        <v>10743</v>
      </c>
      <c r="J2740" t="s">
        <v>8674</v>
      </c>
      <c r="K2740" t="s">
        <v>7448</v>
      </c>
      <c r="M2740" t="s">
        <v>47</v>
      </c>
      <c r="O2740" t="s">
        <v>77</v>
      </c>
      <c r="P2740" t="s">
        <v>78</v>
      </c>
      <c r="Q2740" t="s">
        <v>50</v>
      </c>
      <c r="R2740" t="s">
        <v>51</v>
      </c>
      <c r="S2740" t="s">
        <v>52</v>
      </c>
      <c r="T2740" t="s">
        <v>240</v>
      </c>
      <c r="U2740" s="1">
        <v>46072.614803240744</v>
      </c>
      <c r="V2740" t="s">
        <v>54</v>
      </c>
      <c r="W2740" t="s">
        <v>55</v>
      </c>
      <c r="X2740" t="s">
        <v>113</v>
      </c>
      <c r="Y2740" t="s">
        <v>8675</v>
      </c>
      <c r="Z2740" t="s">
        <v>5594</v>
      </c>
      <c r="AA2740" t="s">
        <v>54</v>
      </c>
      <c r="AB2740" t="s">
        <v>8676</v>
      </c>
      <c r="AC2740" t="s">
        <v>85</v>
      </c>
      <c r="AD2740" t="s">
        <v>52</v>
      </c>
      <c r="AE2740" t="s">
        <v>243</v>
      </c>
      <c r="AF2740" t="s">
        <v>244</v>
      </c>
      <c r="AG2740" t="s">
        <v>5594</v>
      </c>
      <c r="AK2740">
        <v>0</v>
      </c>
      <c r="AL2740" t="s">
        <v>61</v>
      </c>
      <c r="AM2740" t="s">
        <v>7451</v>
      </c>
      <c r="AN2740" t="s">
        <v>7452</v>
      </c>
    </row>
    <row r="2741" spans="1:40" x14ac:dyDescent="0.35">
      <c r="A2741" t="s">
        <v>37</v>
      </c>
      <c r="B2741" t="s">
        <v>10744</v>
      </c>
      <c r="C2741" t="s">
        <v>39</v>
      </c>
      <c r="D2741" t="s">
        <v>1751</v>
      </c>
      <c r="E2741" t="s">
        <v>1316</v>
      </c>
      <c r="F2741" s="1">
        <v>46070.496562499997</v>
      </c>
      <c r="G2741" t="s">
        <v>1752</v>
      </c>
      <c r="H2741" t="s">
        <v>447</v>
      </c>
      <c r="I2741" t="s">
        <v>10745</v>
      </c>
      <c r="J2741" t="s">
        <v>1754</v>
      </c>
      <c r="K2741" t="s">
        <v>1755</v>
      </c>
      <c r="M2741" t="s">
        <v>47</v>
      </c>
      <c r="O2741" t="s">
        <v>77</v>
      </c>
      <c r="P2741" t="s">
        <v>78</v>
      </c>
      <c r="Q2741" t="s">
        <v>50</v>
      </c>
      <c r="R2741" t="s">
        <v>51</v>
      </c>
      <c r="S2741" t="s">
        <v>52</v>
      </c>
      <c r="T2741" t="s">
        <v>773</v>
      </c>
      <c r="U2741" s="1">
        <v>46074.940046296295</v>
      </c>
      <c r="V2741" t="s">
        <v>54</v>
      </c>
      <c r="W2741" t="s">
        <v>55</v>
      </c>
      <c r="X2741" t="s">
        <v>134</v>
      </c>
      <c r="Y2741" t="s">
        <v>10746</v>
      </c>
      <c r="Z2741" t="s">
        <v>5594</v>
      </c>
      <c r="AA2741" t="s">
        <v>54</v>
      </c>
      <c r="AB2741" t="s">
        <v>1757</v>
      </c>
      <c r="AC2741" t="s">
        <v>85</v>
      </c>
      <c r="AD2741" t="s">
        <v>52</v>
      </c>
      <c r="AE2741" t="s">
        <v>243</v>
      </c>
      <c r="AF2741" t="s">
        <v>409</v>
      </c>
      <c r="AG2741" t="s">
        <v>5594</v>
      </c>
      <c r="AK2741">
        <v>1</v>
      </c>
      <c r="AL2741" t="s">
        <v>61</v>
      </c>
      <c r="AM2741" t="s">
        <v>1757</v>
      </c>
      <c r="AN2741" t="s">
        <v>1758</v>
      </c>
    </row>
    <row r="2742" spans="1:40" x14ac:dyDescent="0.35">
      <c r="A2742" t="s">
        <v>37</v>
      </c>
      <c r="B2742" t="s">
        <v>10747</v>
      </c>
      <c r="C2742" t="s">
        <v>39</v>
      </c>
      <c r="D2742" t="s">
        <v>7445</v>
      </c>
      <c r="E2742" t="s">
        <v>1316</v>
      </c>
      <c r="F2742" s="1">
        <v>46070.496574074074</v>
      </c>
      <c r="G2742" t="s">
        <v>286</v>
      </c>
      <c r="H2742" t="s">
        <v>287</v>
      </c>
      <c r="I2742" t="s">
        <v>10748</v>
      </c>
      <c r="J2742" t="s">
        <v>8674</v>
      </c>
      <c r="K2742" t="s">
        <v>7448</v>
      </c>
      <c r="M2742" t="s">
        <v>47</v>
      </c>
      <c r="O2742" t="s">
        <v>77</v>
      </c>
      <c r="P2742" t="s">
        <v>78</v>
      </c>
      <c r="Q2742" t="s">
        <v>50</v>
      </c>
      <c r="R2742" t="s">
        <v>51</v>
      </c>
      <c r="S2742" t="s">
        <v>52</v>
      </c>
      <c r="T2742" t="s">
        <v>240</v>
      </c>
      <c r="U2742" s="1">
        <v>46072.614675925928</v>
      </c>
      <c r="V2742" t="s">
        <v>54</v>
      </c>
      <c r="W2742" t="s">
        <v>55</v>
      </c>
      <c r="X2742" t="s">
        <v>113</v>
      </c>
      <c r="Y2742" t="s">
        <v>7449</v>
      </c>
      <c r="Z2742" t="s">
        <v>5594</v>
      </c>
      <c r="AA2742" t="s">
        <v>54</v>
      </c>
      <c r="AB2742" t="s">
        <v>8676</v>
      </c>
      <c r="AC2742" t="s">
        <v>85</v>
      </c>
      <c r="AD2742" t="s">
        <v>52</v>
      </c>
      <c r="AE2742" t="s">
        <v>243</v>
      </c>
      <c r="AF2742" t="s">
        <v>244</v>
      </c>
      <c r="AG2742" t="s">
        <v>5594</v>
      </c>
      <c r="AK2742">
        <v>0</v>
      </c>
      <c r="AL2742" t="s">
        <v>61</v>
      </c>
      <c r="AM2742" t="s">
        <v>7451</v>
      </c>
      <c r="AN2742" t="s">
        <v>7452</v>
      </c>
    </row>
    <row r="2743" spans="1:40" x14ac:dyDescent="0.35">
      <c r="A2743" t="s">
        <v>37</v>
      </c>
      <c r="B2743" t="s">
        <v>10749</v>
      </c>
      <c r="C2743" t="s">
        <v>102</v>
      </c>
      <c r="D2743" t="s">
        <v>225</v>
      </c>
      <c r="E2743" t="s">
        <v>630</v>
      </c>
      <c r="F2743" s="1">
        <v>46070.496157407404</v>
      </c>
      <c r="G2743" t="s">
        <v>71</v>
      </c>
      <c r="H2743" t="s">
        <v>72</v>
      </c>
      <c r="I2743" t="s">
        <v>2460</v>
      </c>
      <c r="J2743" t="s">
        <v>3829</v>
      </c>
      <c r="K2743" t="s">
        <v>951</v>
      </c>
      <c r="M2743" t="s">
        <v>76</v>
      </c>
      <c r="O2743" t="s">
        <v>237</v>
      </c>
      <c r="P2743" t="s">
        <v>238</v>
      </c>
      <c r="Q2743" t="s">
        <v>1027</v>
      </c>
      <c r="R2743" t="s">
        <v>79</v>
      </c>
      <c r="S2743" t="s">
        <v>955</v>
      </c>
      <c r="T2743" t="s">
        <v>2460</v>
      </c>
      <c r="U2743" s="1">
        <v>46077.483460648145</v>
      </c>
      <c r="V2743" t="s">
        <v>54</v>
      </c>
      <c r="W2743" t="s">
        <v>55</v>
      </c>
      <c r="X2743" t="s">
        <v>82</v>
      </c>
      <c r="Y2743" t="s">
        <v>10750</v>
      </c>
      <c r="Z2743" t="s">
        <v>58</v>
      </c>
      <c r="AA2743" t="s">
        <v>54</v>
      </c>
      <c r="AB2743" t="s">
        <v>645</v>
      </c>
      <c r="AC2743" t="s">
        <v>242</v>
      </c>
      <c r="AD2743" t="s">
        <v>79</v>
      </c>
      <c r="AE2743" t="s">
        <v>955</v>
      </c>
      <c r="AF2743" t="s">
        <v>2460</v>
      </c>
      <c r="AG2743" t="s">
        <v>58</v>
      </c>
      <c r="AH2743">
        <v>5548</v>
      </c>
      <c r="AK2743">
        <v>1</v>
      </c>
      <c r="AL2743" t="s">
        <v>410</v>
      </c>
      <c r="AM2743" t="s">
        <v>10751</v>
      </c>
      <c r="AN2743" t="s">
        <v>10752</v>
      </c>
    </row>
    <row r="2744" spans="1:40" x14ac:dyDescent="0.35">
      <c r="A2744" t="s">
        <v>37</v>
      </c>
      <c r="B2744" t="s">
        <v>10753</v>
      </c>
      <c r="C2744" t="s">
        <v>39</v>
      </c>
      <c r="D2744" t="s">
        <v>10276</v>
      </c>
      <c r="E2744" t="s">
        <v>10277</v>
      </c>
      <c r="F2744" s="1">
        <v>46070.497476851851</v>
      </c>
      <c r="G2744" t="s">
        <v>1094</v>
      </c>
      <c r="H2744" t="s">
        <v>447</v>
      </c>
      <c r="I2744" t="s">
        <v>403</v>
      </c>
      <c r="J2744" t="s">
        <v>4338</v>
      </c>
      <c r="K2744" t="s">
        <v>405</v>
      </c>
      <c r="M2744" t="s">
        <v>47</v>
      </c>
      <c r="O2744" t="s">
        <v>77</v>
      </c>
      <c r="P2744" t="s">
        <v>78</v>
      </c>
      <c r="Q2744" t="s">
        <v>50</v>
      </c>
      <c r="R2744" t="s">
        <v>51</v>
      </c>
      <c r="S2744" t="s">
        <v>52</v>
      </c>
      <c r="T2744" t="s">
        <v>240</v>
      </c>
      <c r="U2744" s="1">
        <v>46072.384965277779</v>
      </c>
      <c r="V2744" t="s">
        <v>54</v>
      </c>
      <c r="W2744" t="s">
        <v>55</v>
      </c>
      <c r="X2744" t="s">
        <v>134</v>
      </c>
      <c r="Y2744" t="s">
        <v>10754</v>
      </c>
      <c r="Z2744" t="s">
        <v>5594</v>
      </c>
      <c r="AA2744" t="s">
        <v>54</v>
      </c>
      <c r="AB2744" t="s">
        <v>408</v>
      </c>
      <c r="AC2744" t="s">
        <v>85</v>
      </c>
      <c r="AD2744" t="s">
        <v>52</v>
      </c>
      <c r="AE2744" t="s">
        <v>243</v>
      </c>
      <c r="AF2744" t="s">
        <v>244</v>
      </c>
      <c r="AG2744" t="s">
        <v>5594</v>
      </c>
      <c r="AH2744">
        <v>15974</v>
      </c>
      <c r="AK2744">
        <v>1</v>
      </c>
      <c r="AL2744" t="s">
        <v>61</v>
      </c>
      <c r="AM2744" t="s">
        <v>10278</v>
      </c>
      <c r="AN2744" t="s">
        <v>10279</v>
      </c>
    </row>
    <row r="2745" spans="1:40" x14ac:dyDescent="0.35">
      <c r="A2745" t="s">
        <v>37</v>
      </c>
      <c r="B2745" t="s">
        <v>10755</v>
      </c>
      <c r="C2745" t="s">
        <v>39</v>
      </c>
      <c r="D2745" t="s">
        <v>7445</v>
      </c>
      <c r="E2745" t="s">
        <v>1316</v>
      </c>
      <c r="F2745" s="1">
        <v>46070.495254629626</v>
      </c>
      <c r="G2745" t="s">
        <v>286</v>
      </c>
      <c r="H2745" t="s">
        <v>287</v>
      </c>
      <c r="I2745" t="s">
        <v>10756</v>
      </c>
      <c r="J2745" t="s">
        <v>8674</v>
      </c>
      <c r="K2745" t="s">
        <v>7448</v>
      </c>
      <c r="M2745" t="s">
        <v>47</v>
      </c>
      <c r="O2745" t="s">
        <v>77</v>
      </c>
      <c r="P2745" t="s">
        <v>78</v>
      </c>
      <c r="Q2745" t="s">
        <v>50</v>
      </c>
      <c r="R2745" t="s">
        <v>51</v>
      </c>
      <c r="S2745" t="s">
        <v>52</v>
      </c>
      <c r="T2745" t="s">
        <v>240</v>
      </c>
      <c r="U2745" s="1">
        <v>46072.61440972222</v>
      </c>
      <c r="V2745" t="s">
        <v>54</v>
      </c>
      <c r="W2745" t="s">
        <v>55</v>
      </c>
      <c r="X2745" t="s">
        <v>113</v>
      </c>
      <c r="Y2745" t="s">
        <v>8700</v>
      </c>
      <c r="Z2745" t="s">
        <v>5594</v>
      </c>
      <c r="AA2745" t="s">
        <v>54</v>
      </c>
      <c r="AB2745" t="s">
        <v>8676</v>
      </c>
      <c r="AC2745" t="s">
        <v>85</v>
      </c>
      <c r="AD2745" t="s">
        <v>52</v>
      </c>
      <c r="AE2745" t="s">
        <v>243</v>
      </c>
      <c r="AF2745" t="s">
        <v>244</v>
      </c>
      <c r="AG2745" t="s">
        <v>5594</v>
      </c>
      <c r="AK2745">
        <v>0</v>
      </c>
      <c r="AL2745" t="s">
        <v>61</v>
      </c>
      <c r="AM2745" t="s">
        <v>7451</v>
      </c>
      <c r="AN2745" t="s">
        <v>7452</v>
      </c>
    </row>
    <row r="2746" spans="1:40" x14ac:dyDescent="0.35">
      <c r="A2746" t="s">
        <v>37</v>
      </c>
      <c r="B2746" t="s">
        <v>10757</v>
      </c>
      <c r="C2746" t="s">
        <v>39</v>
      </c>
      <c r="D2746" t="s">
        <v>7445</v>
      </c>
      <c r="E2746" t="s">
        <v>1316</v>
      </c>
      <c r="F2746" s="1">
        <v>46070.494351851848</v>
      </c>
      <c r="G2746" t="s">
        <v>286</v>
      </c>
      <c r="H2746" t="s">
        <v>287</v>
      </c>
      <c r="I2746">
        <v>0.16595404</v>
      </c>
      <c r="J2746" t="s">
        <v>8674</v>
      </c>
      <c r="K2746" t="s">
        <v>7448</v>
      </c>
      <c r="M2746" t="s">
        <v>47</v>
      </c>
      <c r="O2746" t="s">
        <v>77</v>
      </c>
      <c r="P2746" t="s">
        <v>78</v>
      </c>
      <c r="Q2746" t="s">
        <v>50</v>
      </c>
      <c r="R2746" t="s">
        <v>51</v>
      </c>
      <c r="S2746" t="s">
        <v>52</v>
      </c>
      <c r="T2746" t="s">
        <v>240</v>
      </c>
      <c r="U2746" s="1">
        <v>46072.614166666666</v>
      </c>
      <c r="V2746" t="s">
        <v>54</v>
      </c>
      <c r="W2746" t="s">
        <v>55</v>
      </c>
      <c r="X2746" t="s">
        <v>113</v>
      </c>
      <c r="Y2746" t="s">
        <v>8700</v>
      </c>
      <c r="Z2746" t="s">
        <v>5594</v>
      </c>
      <c r="AA2746" t="s">
        <v>54</v>
      </c>
      <c r="AB2746" t="s">
        <v>8676</v>
      </c>
      <c r="AC2746" t="s">
        <v>85</v>
      </c>
      <c r="AD2746" t="s">
        <v>52</v>
      </c>
      <c r="AE2746" t="s">
        <v>243</v>
      </c>
      <c r="AF2746" t="s">
        <v>244</v>
      </c>
      <c r="AG2746" t="s">
        <v>5594</v>
      </c>
      <c r="AK2746">
        <v>0</v>
      </c>
      <c r="AL2746" t="s">
        <v>61</v>
      </c>
      <c r="AM2746" t="s">
        <v>7451</v>
      </c>
      <c r="AN2746" t="s">
        <v>7452</v>
      </c>
    </row>
    <row r="2747" spans="1:40" x14ac:dyDescent="0.35">
      <c r="A2747" t="s">
        <v>37</v>
      </c>
      <c r="B2747" t="s">
        <v>10758</v>
      </c>
      <c r="C2747" t="s">
        <v>39</v>
      </c>
      <c r="D2747" t="s">
        <v>5721</v>
      </c>
      <c r="E2747" t="s">
        <v>10759</v>
      </c>
      <c r="F2747" s="1">
        <v>46070.494351851848</v>
      </c>
      <c r="G2747" t="s">
        <v>1094</v>
      </c>
      <c r="H2747" t="s">
        <v>447</v>
      </c>
      <c r="I2747" t="s">
        <v>10760</v>
      </c>
      <c r="J2747" t="s">
        <v>9282</v>
      </c>
      <c r="K2747" t="s">
        <v>9283</v>
      </c>
      <c r="M2747" t="s">
        <v>47</v>
      </c>
      <c r="O2747" t="s">
        <v>77</v>
      </c>
      <c r="P2747" t="s">
        <v>78</v>
      </c>
      <c r="Q2747" t="s">
        <v>50</v>
      </c>
      <c r="R2747" t="s">
        <v>79</v>
      </c>
      <c r="S2747" t="s">
        <v>975</v>
      </c>
      <c r="T2747" t="s">
        <v>2280</v>
      </c>
      <c r="U2747" s="1">
        <v>46073.614247685182</v>
      </c>
      <c r="V2747" t="s">
        <v>54</v>
      </c>
      <c r="W2747" t="s">
        <v>55</v>
      </c>
      <c r="X2747" t="s">
        <v>134</v>
      </c>
      <c r="Y2747" t="s">
        <v>9908</v>
      </c>
      <c r="Z2747" t="s">
        <v>5594</v>
      </c>
      <c r="AA2747" t="s">
        <v>54</v>
      </c>
      <c r="AB2747" t="s">
        <v>612</v>
      </c>
      <c r="AC2747" t="s">
        <v>85</v>
      </c>
      <c r="AD2747" t="s">
        <v>79</v>
      </c>
      <c r="AE2747" t="s">
        <v>975</v>
      </c>
      <c r="AF2747" t="s">
        <v>2280</v>
      </c>
      <c r="AG2747" t="s">
        <v>5594</v>
      </c>
      <c r="AH2747" t="s">
        <v>10761</v>
      </c>
      <c r="AK2747">
        <v>1</v>
      </c>
      <c r="AL2747" t="s">
        <v>61</v>
      </c>
      <c r="AM2747" t="s">
        <v>10762</v>
      </c>
      <c r="AN2747" t="s">
        <v>10763</v>
      </c>
    </row>
    <row r="2748" spans="1:40" x14ac:dyDescent="0.35">
      <c r="A2748" t="s">
        <v>37</v>
      </c>
      <c r="B2748" t="s">
        <v>10764</v>
      </c>
      <c r="C2748" t="s">
        <v>39</v>
      </c>
      <c r="D2748" t="s">
        <v>1751</v>
      </c>
      <c r="E2748" t="s">
        <v>1316</v>
      </c>
      <c r="F2748" s="1">
        <v>46070.484548611108</v>
      </c>
      <c r="G2748" t="s">
        <v>1752</v>
      </c>
      <c r="H2748" t="s">
        <v>447</v>
      </c>
      <c r="I2748" t="s">
        <v>10765</v>
      </c>
      <c r="J2748" t="s">
        <v>1754</v>
      </c>
      <c r="K2748" t="s">
        <v>1755</v>
      </c>
      <c r="M2748" t="s">
        <v>47</v>
      </c>
      <c r="O2748" t="s">
        <v>77</v>
      </c>
      <c r="P2748" t="s">
        <v>78</v>
      </c>
      <c r="Q2748" t="s">
        <v>50</v>
      </c>
      <c r="R2748" t="s">
        <v>51</v>
      </c>
      <c r="S2748" t="s">
        <v>52</v>
      </c>
      <c r="T2748" t="s">
        <v>773</v>
      </c>
      <c r="U2748" s="1">
        <v>46074.939212962963</v>
      </c>
      <c r="V2748" t="s">
        <v>54</v>
      </c>
      <c r="W2748" t="s">
        <v>55</v>
      </c>
      <c r="X2748" t="s">
        <v>134</v>
      </c>
      <c r="Y2748" t="s">
        <v>1756</v>
      </c>
      <c r="Z2748" t="s">
        <v>5594</v>
      </c>
      <c r="AA2748" t="s">
        <v>54</v>
      </c>
      <c r="AB2748" t="s">
        <v>1757</v>
      </c>
      <c r="AC2748" t="s">
        <v>85</v>
      </c>
      <c r="AD2748" t="s">
        <v>52</v>
      </c>
      <c r="AE2748" t="s">
        <v>243</v>
      </c>
      <c r="AF2748" t="s">
        <v>244</v>
      </c>
      <c r="AG2748" t="s">
        <v>5594</v>
      </c>
      <c r="AK2748">
        <v>1</v>
      </c>
      <c r="AL2748" t="s">
        <v>61</v>
      </c>
      <c r="AM2748" t="s">
        <v>1757</v>
      </c>
      <c r="AN2748" t="s">
        <v>1758</v>
      </c>
    </row>
    <row r="2749" spans="1:40" x14ac:dyDescent="0.35">
      <c r="A2749" t="s">
        <v>37</v>
      </c>
      <c r="B2749" t="s">
        <v>10766</v>
      </c>
      <c r="C2749" t="s">
        <v>656</v>
      </c>
      <c r="D2749" t="s">
        <v>10767</v>
      </c>
      <c r="E2749" t="s">
        <v>10768</v>
      </c>
      <c r="F2749" s="1">
        <v>46070.484444444446</v>
      </c>
      <c r="G2749" t="s">
        <v>355</v>
      </c>
      <c r="H2749" t="s">
        <v>356</v>
      </c>
      <c r="I2749" t="s">
        <v>3776</v>
      </c>
      <c r="J2749" t="s">
        <v>10769</v>
      </c>
      <c r="K2749" t="s">
        <v>2551</v>
      </c>
      <c r="M2749" t="s">
        <v>47</v>
      </c>
      <c r="O2749" t="s">
        <v>77</v>
      </c>
      <c r="P2749" t="s">
        <v>78</v>
      </c>
      <c r="Q2749" t="s">
        <v>50</v>
      </c>
      <c r="R2749" t="s">
        <v>662</v>
      </c>
      <c r="S2749" t="s">
        <v>209</v>
      </c>
      <c r="T2749" t="s">
        <v>8389</v>
      </c>
      <c r="U2749" s="1">
        <v>46074.630208333336</v>
      </c>
      <c r="V2749" t="s">
        <v>54</v>
      </c>
      <c r="W2749" t="s">
        <v>55</v>
      </c>
      <c r="X2749" t="s">
        <v>134</v>
      </c>
      <c r="Y2749" t="s">
        <v>10770</v>
      </c>
      <c r="Z2749" t="s">
        <v>5594</v>
      </c>
      <c r="AA2749" t="s">
        <v>54</v>
      </c>
      <c r="AB2749" t="s">
        <v>612</v>
      </c>
      <c r="AC2749" t="s">
        <v>85</v>
      </c>
      <c r="AD2749" t="s">
        <v>208</v>
      </c>
      <c r="AE2749" t="s">
        <v>209</v>
      </c>
      <c r="AF2749" t="s">
        <v>3776</v>
      </c>
      <c r="AG2749" t="s">
        <v>5594</v>
      </c>
      <c r="AH2749" t="s">
        <v>10771</v>
      </c>
      <c r="AK2749">
        <v>1</v>
      </c>
      <c r="AL2749" t="s">
        <v>61</v>
      </c>
      <c r="AM2749" t="s">
        <v>10772</v>
      </c>
      <c r="AN2749" t="s">
        <v>10773</v>
      </c>
    </row>
    <row r="2750" spans="1:40" x14ac:dyDescent="0.35">
      <c r="A2750" t="s">
        <v>37</v>
      </c>
      <c r="B2750" t="s">
        <v>10774</v>
      </c>
      <c r="C2750" t="s">
        <v>39</v>
      </c>
      <c r="D2750" t="s">
        <v>7445</v>
      </c>
      <c r="E2750" t="s">
        <v>1316</v>
      </c>
      <c r="F2750" s="1">
        <v>46070.483668981484</v>
      </c>
      <c r="G2750" t="s">
        <v>286</v>
      </c>
      <c r="H2750" t="s">
        <v>287</v>
      </c>
      <c r="I2750" t="s">
        <v>10775</v>
      </c>
      <c r="J2750" t="s">
        <v>8674</v>
      </c>
      <c r="K2750" t="s">
        <v>7448</v>
      </c>
      <c r="M2750" t="s">
        <v>47</v>
      </c>
      <c r="O2750" t="s">
        <v>77</v>
      </c>
      <c r="P2750" t="s">
        <v>78</v>
      </c>
      <c r="Q2750" t="s">
        <v>50</v>
      </c>
      <c r="R2750" t="s">
        <v>51</v>
      </c>
      <c r="S2750" t="s">
        <v>52</v>
      </c>
      <c r="T2750" t="s">
        <v>240</v>
      </c>
      <c r="U2750" s="1">
        <v>46072.614027777781</v>
      </c>
      <c r="V2750" t="s">
        <v>54</v>
      </c>
      <c r="W2750" t="s">
        <v>55</v>
      </c>
      <c r="X2750" t="s">
        <v>113</v>
      </c>
      <c r="Y2750" t="s">
        <v>10014</v>
      </c>
      <c r="Z2750" t="s">
        <v>5594</v>
      </c>
      <c r="AA2750" t="s">
        <v>54</v>
      </c>
      <c r="AB2750" t="s">
        <v>8676</v>
      </c>
      <c r="AC2750" t="s">
        <v>85</v>
      </c>
      <c r="AD2750" t="s">
        <v>51</v>
      </c>
      <c r="AE2750" t="s">
        <v>834</v>
      </c>
      <c r="AF2750" t="s">
        <v>834</v>
      </c>
      <c r="AG2750" t="s">
        <v>5594</v>
      </c>
      <c r="AK2750">
        <v>0</v>
      </c>
      <c r="AL2750" t="s">
        <v>61</v>
      </c>
      <c r="AM2750" t="s">
        <v>7451</v>
      </c>
      <c r="AN2750" t="s">
        <v>7452</v>
      </c>
    </row>
    <row r="2751" spans="1:40" x14ac:dyDescent="0.35">
      <c r="A2751" t="s">
        <v>37</v>
      </c>
      <c r="B2751" t="s">
        <v>10776</v>
      </c>
      <c r="C2751" t="s">
        <v>39</v>
      </c>
      <c r="D2751" t="s">
        <v>853</v>
      </c>
      <c r="E2751" t="s">
        <v>10777</v>
      </c>
      <c r="F2751" s="1">
        <v>46070.484791666669</v>
      </c>
      <c r="G2751" t="s">
        <v>1363</v>
      </c>
      <c r="H2751" t="s">
        <v>106</v>
      </c>
      <c r="I2751" t="s">
        <v>2107</v>
      </c>
      <c r="J2751" t="s">
        <v>2108</v>
      </c>
      <c r="K2751" t="s">
        <v>2109</v>
      </c>
      <c r="M2751" t="s">
        <v>131</v>
      </c>
      <c r="O2751" t="s">
        <v>77</v>
      </c>
      <c r="P2751" t="s">
        <v>78</v>
      </c>
      <c r="Q2751" t="s">
        <v>818</v>
      </c>
      <c r="R2751" t="s">
        <v>51</v>
      </c>
      <c r="S2751" t="s">
        <v>52</v>
      </c>
      <c r="T2751" t="s">
        <v>240</v>
      </c>
      <c r="U2751" s="1">
        <v>46077.44568287037</v>
      </c>
      <c r="V2751" t="s">
        <v>54</v>
      </c>
      <c r="W2751" t="s">
        <v>55</v>
      </c>
      <c r="X2751" t="s">
        <v>134</v>
      </c>
      <c r="Y2751" t="s">
        <v>10778</v>
      </c>
      <c r="Z2751" t="s">
        <v>58</v>
      </c>
      <c r="AA2751" t="s">
        <v>54</v>
      </c>
      <c r="AB2751" t="s">
        <v>84</v>
      </c>
      <c r="AC2751" t="s">
        <v>85</v>
      </c>
      <c r="AD2751" t="s">
        <v>52</v>
      </c>
      <c r="AE2751" t="s">
        <v>438</v>
      </c>
      <c r="AF2751" t="s">
        <v>2111</v>
      </c>
      <c r="AG2751" t="s">
        <v>58</v>
      </c>
      <c r="AH2751">
        <v>1062</v>
      </c>
      <c r="AK2751">
        <v>0</v>
      </c>
      <c r="AL2751" t="s">
        <v>61</v>
      </c>
      <c r="AM2751" t="s">
        <v>10779</v>
      </c>
      <c r="AN2751" t="s">
        <v>10780</v>
      </c>
    </row>
    <row r="2752" spans="1:40" x14ac:dyDescent="0.35">
      <c r="A2752" t="s">
        <v>37</v>
      </c>
      <c r="B2752" t="s">
        <v>10781</v>
      </c>
      <c r="C2752" t="s">
        <v>39</v>
      </c>
      <c r="D2752" t="s">
        <v>7445</v>
      </c>
      <c r="E2752" t="s">
        <v>1316</v>
      </c>
      <c r="F2752" s="1">
        <v>46070.48201388889</v>
      </c>
      <c r="G2752" t="s">
        <v>286</v>
      </c>
      <c r="H2752" t="s">
        <v>287</v>
      </c>
      <c r="I2752" t="s">
        <v>10782</v>
      </c>
      <c r="J2752" t="s">
        <v>8674</v>
      </c>
      <c r="K2752" t="s">
        <v>7448</v>
      </c>
      <c r="M2752" t="s">
        <v>47</v>
      </c>
      <c r="O2752" t="s">
        <v>77</v>
      </c>
      <c r="P2752" t="s">
        <v>78</v>
      </c>
      <c r="Q2752" t="s">
        <v>50</v>
      </c>
      <c r="R2752" t="s">
        <v>51</v>
      </c>
      <c r="S2752" t="s">
        <v>52</v>
      </c>
      <c r="T2752" t="s">
        <v>240</v>
      </c>
      <c r="U2752" s="1">
        <v>46072.613877314812</v>
      </c>
      <c r="V2752" t="s">
        <v>54</v>
      </c>
      <c r="W2752" t="s">
        <v>55</v>
      </c>
      <c r="X2752" t="s">
        <v>113</v>
      </c>
      <c r="Y2752" t="s">
        <v>8700</v>
      </c>
      <c r="Z2752" t="s">
        <v>5594</v>
      </c>
      <c r="AA2752" t="s">
        <v>54</v>
      </c>
      <c r="AB2752" t="s">
        <v>8676</v>
      </c>
      <c r="AC2752" t="s">
        <v>85</v>
      </c>
      <c r="AD2752" t="s">
        <v>52</v>
      </c>
      <c r="AE2752" t="s">
        <v>243</v>
      </c>
      <c r="AF2752" t="s">
        <v>244</v>
      </c>
      <c r="AG2752" t="s">
        <v>5594</v>
      </c>
      <c r="AK2752">
        <v>0</v>
      </c>
      <c r="AL2752" t="s">
        <v>61</v>
      </c>
      <c r="AM2752" t="s">
        <v>7451</v>
      </c>
      <c r="AN2752" t="s">
        <v>7452</v>
      </c>
    </row>
    <row r="2753" spans="1:40" x14ac:dyDescent="0.35">
      <c r="A2753" t="s">
        <v>37</v>
      </c>
      <c r="B2753" t="s">
        <v>10783</v>
      </c>
      <c r="C2753" t="s">
        <v>39</v>
      </c>
      <c r="D2753" t="s">
        <v>7445</v>
      </c>
      <c r="E2753" t="s">
        <v>1316</v>
      </c>
      <c r="F2753" s="1">
        <v>46070.477372685185</v>
      </c>
      <c r="G2753" t="s">
        <v>286</v>
      </c>
      <c r="H2753" t="s">
        <v>287</v>
      </c>
      <c r="I2753" t="s">
        <v>10784</v>
      </c>
      <c r="J2753" t="s">
        <v>8674</v>
      </c>
      <c r="K2753" t="s">
        <v>7448</v>
      </c>
      <c r="M2753" t="s">
        <v>47</v>
      </c>
      <c r="O2753" t="s">
        <v>77</v>
      </c>
      <c r="P2753" t="s">
        <v>78</v>
      </c>
      <c r="Q2753" t="s">
        <v>50</v>
      </c>
      <c r="R2753" t="s">
        <v>51</v>
      </c>
      <c r="S2753" t="s">
        <v>52</v>
      </c>
      <c r="T2753" t="s">
        <v>240</v>
      </c>
      <c r="U2753" s="1">
        <v>46072.613749999997</v>
      </c>
      <c r="V2753" t="s">
        <v>54</v>
      </c>
      <c r="W2753" t="s">
        <v>55</v>
      </c>
      <c r="X2753" t="s">
        <v>113</v>
      </c>
      <c r="Y2753" t="s">
        <v>7449</v>
      </c>
      <c r="Z2753" t="s">
        <v>5594</v>
      </c>
      <c r="AA2753" t="s">
        <v>54</v>
      </c>
      <c r="AB2753" t="s">
        <v>8676</v>
      </c>
      <c r="AC2753" t="s">
        <v>85</v>
      </c>
      <c r="AD2753" t="s">
        <v>52</v>
      </c>
      <c r="AE2753" t="s">
        <v>243</v>
      </c>
      <c r="AF2753" t="s">
        <v>244</v>
      </c>
      <c r="AG2753" t="s">
        <v>5594</v>
      </c>
      <c r="AK2753">
        <v>0</v>
      </c>
      <c r="AL2753" t="s">
        <v>61</v>
      </c>
      <c r="AM2753" t="s">
        <v>7451</v>
      </c>
      <c r="AN2753" t="s">
        <v>7452</v>
      </c>
    </row>
    <row r="2754" spans="1:40" x14ac:dyDescent="0.35">
      <c r="A2754" t="s">
        <v>37</v>
      </c>
      <c r="B2754" t="s">
        <v>10785</v>
      </c>
      <c r="C2754" t="s">
        <v>39</v>
      </c>
      <c r="D2754" t="s">
        <v>10786</v>
      </c>
      <c r="E2754" t="s">
        <v>10787</v>
      </c>
      <c r="F2754" s="1">
        <v>46070.477013888885</v>
      </c>
      <c r="G2754" t="s">
        <v>497</v>
      </c>
      <c r="H2754" t="s">
        <v>72</v>
      </c>
      <c r="I2754" t="s">
        <v>10788</v>
      </c>
      <c r="J2754" t="s">
        <v>435</v>
      </c>
      <c r="K2754" t="s">
        <v>436</v>
      </c>
      <c r="M2754" t="s">
        <v>47</v>
      </c>
      <c r="O2754" t="s">
        <v>77</v>
      </c>
      <c r="P2754" t="s">
        <v>78</v>
      </c>
      <c r="Q2754" t="s">
        <v>456</v>
      </c>
      <c r="R2754" t="s">
        <v>51</v>
      </c>
      <c r="S2754" t="s">
        <v>52</v>
      </c>
      <c r="T2754" t="s">
        <v>240</v>
      </c>
      <c r="U2754" s="1">
        <v>46073.432847222219</v>
      </c>
      <c r="V2754" t="s">
        <v>54</v>
      </c>
      <c r="W2754" t="s">
        <v>55</v>
      </c>
      <c r="X2754" t="s">
        <v>134</v>
      </c>
      <c r="Y2754" t="s">
        <v>9853</v>
      </c>
      <c r="Z2754" t="s">
        <v>5594</v>
      </c>
      <c r="AA2754" t="s">
        <v>54</v>
      </c>
      <c r="AB2754" t="s">
        <v>408</v>
      </c>
      <c r="AC2754" t="s">
        <v>85</v>
      </c>
      <c r="AD2754" t="s">
        <v>52</v>
      </c>
      <c r="AE2754" t="s">
        <v>438</v>
      </c>
      <c r="AF2754" t="s">
        <v>439</v>
      </c>
      <c r="AG2754" t="s">
        <v>5594</v>
      </c>
      <c r="AH2754" t="s">
        <v>10789</v>
      </c>
      <c r="AK2754">
        <v>1</v>
      </c>
      <c r="AL2754" t="s">
        <v>61</v>
      </c>
      <c r="AM2754" t="s">
        <v>10790</v>
      </c>
      <c r="AN2754" t="s">
        <v>10791</v>
      </c>
    </row>
    <row r="2755" spans="1:40" x14ac:dyDescent="0.35">
      <c r="A2755" t="s">
        <v>37</v>
      </c>
      <c r="B2755" t="s">
        <v>10792</v>
      </c>
      <c r="C2755" t="s">
        <v>102</v>
      </c>
      <c r="D2755" t="s">
        <v>10793</v>
      </c>
      <c r="E2755" t="s">
        <v>10794</v>
      </c>
      <c r="F2755" s="1">
        <v>46070.46707175926</v>
      </c>
      <c r="G2755" t="s">
        <v>355</v>
      </c>
      <c r="H2755" t="s">
        <v>356</v>
      </c>
      <c r="I2755" t="s">
        <v>10795</v>
      </c>
      <c r="J2755" t="s">
        <v>1337</v>
      </c>
      <c r="K2755" t="s">
        <v>951</v>
      </c>
      <c r="M2755" t="s">
        <v>76</v>
      </c>
      <c r="O2755" t="s">
        <v>237</v>
      </c>
      <c r="P2755" t="s">
        <v>238</v>
      </c>
      <c r="Q2755" t="s">
        <v>10796</v>
      </c>
      <c r="R2755" t="s">
        <v>305</v>
      </c>
      <c r="S2755" t="s">
        <v>306</v>
      </c>
      <c r="T2755" t="s">
        <v>307</v>
      </c>
      <c r="U2755" s="1">
        <v>46077.400659722225</v>
      </c>
      <c r="V2755" t="s">
        <v>54</v>
      </c>
      <c r="W2755" t="s">
        <v>55</v>
      </c>
      <c r="X2755" t="s">
        <v>211</v>
      </c>
      <c r="Y2755" t="s">
        <v>10797</v>
      </c>
      <c r="Z2755" t="s">
        <v>58</v>
      </c>
      <c r="AA2755" t="s">
        <v>54</v>
      </c>
      <c r="AB2755" t="s">
        <v>213</v>
      </c>
      <c r="AC2755" t="s">
        <v>242</v>
      </c>
      <c r="AD2755" t="s">
        <v>79</v>
      </c>
      <c r="AE2755" t="s">
        <v>955</v>
      </c>
      <c r="AF2755" t="s">
        <v>2460</v>
      </c>
      <c r="AG2755" t="s">
        <v>58</v>
      </c>
      <c r="AH2755" t="s">
        <v>10798</v>
      </c>
      <c r="AK2755">
        <v>11</v>
      </c>
      <c r="AL2755" t="s">
        <v>61</v>
      </c>
      <c r="AM2755" t="s">
        <v>10799</v>
      </c>
      <c r="AN2755" t="s">
        <v>10800</v>
      </c>
    </row>
    <row r="2756" spans="1:40" x14ac:dyDescent="0.35">
      <c r="A2756" t="s">
        <v>37</v>
      </c>
      <c r="B2756" t="s">
        <v>10801</v>
      </c>
      <c r="C2756" t="s">
        <v>39</v>
      </c>
      <c r="D2756" t="s">
        <v>7445</v>
      </c>
      <c r="E2756" t="s">
        <v>1316</v>
      </c>
      <c r="F2756" s="1">
        <v>46070.462881944448</v>
      </c>
      <c r="G2756" t="s">
        <v>286</v>
      </c>
      <c r="H2756" t="s">
        <v>287</v>
      </c>
      <c r="I2756" t="s">
        <v>10802</v>
      </c>
      <c r="J2756" t="s">
        <v>8674</v>
      </c>
      <c r="K2756" t="s">
        <v>7448</v>
      </c>
      <c r="M2756" t="s">
        <v>47</v>
      </c>
      <c r="O2756" t="s">
        <v>77</v>
      </c>
      <c r="P2756" t="s">
        <v>78</v>
      </c>
      <c r="Q2756" t="s">
        <v>50</v>
      </c>
      <c r="R2756" t="s">
        <v>51</v>
      </c>
      <c r="S2756" t="s">
        <v>52</v>
      </c>
      <c r="T2756" t="s">
        <v>240</v>
      </c>
      <c r="U2756" s="1">
        <v>46072.613599537035</v>
      </c>
      <c r="V2756" t="s">
        <v>54</v>
      </c>
      <c r="W2756" t="s">
        <v>55</v>
      </c>
      <c r="X2756" t="s">
        <v>113</v>
      </c>
      <c r="Y2756" t="s">
        <v>10803</v>
      </c>
      <c r="Z2756" t="s">
        <v>5594</v>
      </c>
      <c r="AA2756" t="s">
        <v>54</v>
      </c>
      <c r="AB2756" t="s">
        <v>8676</v>
      </c>
      <c r="AC2756" t="s">
        <v>85</v>
      </c>
      <c r="AD2756" t="s">
        <v>51</v>
      </c>
      <c r="AE2756" t="s">
        <v>834</v>
      </c>
      <c r="AF2756" t="s">
        <v>834</v>
      </c>
      <c r="AG2756" t="s">
        <v>5594</v>
      </c>
      <c r="AK2756">
        <v>0</v>
      </c>
      <c r="AL2756" t="s">
        <v>61</v>
      </c>
      <c r="AM2756" t="s">
        <v>7451</v>
      </c>
      <c r="AN2756" t="s">
        <v>7452</v>
      </c>
    </row>
    <row r="2757" spans="1:40" x14ac:dyDescent="0.35">
      <c r="A2757" t="s">
        <v>37</v>
      </c>
      <c r="B2757" t="s">
        <v>10804</v>
      </c>
      <c r="C2757" t="s">
        <v>39</v>
      </c>
      <c r="D2757" t="s">
        <v>7445</v>
      </c>
      <c r="E2757" t="s">
        <v>1316</v>
      </c>
      <c r="F2757" s="1">
        <v>46070.460370370369</v>
      </c>
      <c r="G2757" t="s">
        <v>286</v>
      </c>
      <c r="H2757" t="s">
        <v>287</v>
      </c>
      <c r="I2757" t="s">
        <v>10805</v>
      </c>
      <c r="J2757" t="s">
        <v>8674</v>
      </c>
      <c r="K2757" t="s">
        <v>7448</v>
      </c>
      <c r="M2757" t="s">
        <v>47</v>
      </c>
      <c r="O2757" t="s">
        <v>77</v>
      </c>
      <c r="P2757" t="s">
        <v>78</v>
      </c>
      <c r="Q2757" t="s">
        <v>50</v>
      </c>
      <c r="R2757" t="s">
        <v>51</v>
      </c>
      <c r="S2757" t="s">
        <v>52</v>
      </c>
      <c r="T2757" t="s">
        <v>240</v>
      </c>
      <c r="U2757" s="1">
        <v>46072.613449074073</v>
      </c>
      <c r="V2757" t="s">
        <v>54</v>
      </c>
      <c r="W2757" t="s">
        <v>55</v>
      </c>
      <c r="X2757" t="s">
        <v>113</v>
      </c>
      <c r="Y2757" t="s">
        <v>8675</v>
      </c>
      <c r="Z2757" t="s">
        <v>5594</v>
      </c>
      <c r="AA2757" t="s">
        <v>54</v>
      </c>
      <c r="AB2757" t="s">
        <v>8676</v>
      </c>
      <c r="AC2757" t="s">
        <v>85</v>
      </c>
      <c r="AD2757" t="s">
        <v>52</v>
      </c>
      <c r="AE2757" t="s">
        <v>243</v>
      </c>
      <c r="AF2757" t="s">
        <v>244</v>
      </c>
      <c r="AG2757" t="s">
        <v>5594</v>
      </c>
      <c r="AK2757">
        <v>0</v>
      </c>
      <c r="AL2757" t="s">
        <v>61</v>
      </c>
      <c r="AM2757" t="s">
        <v>7451</v>
      </c>
      <c r="AN2757" t="s">
        <v>7452</v>
      </c>
    </row>
    <row r="2758" spans="1:40" x14ac:dyDescent="0.35">
      <c r="A2758" t="s">
        <v>37</v>
      </c>
      <c r="B2758" t="s">
        <v>10806</v>
      </c>
      <c r="C2758" t="s">
        <v>102</v>
      </c>
      <c r="D2758" t="s">
        <v>1215</v>
      </c>
      <c r="E2758" t="s">
        <v>10807</v>
      </c>
      <c r="F2758" s="1">
        <v>46070.460289351853</v>
      </c>
      <c r="G2758" t="s">
        <v>71</v>
      </c>
      <c r="H2758" t="s">
        <v>72</v>
      </c>
      <c r="I2758" t="s">
        <v>2460</v>
      </c>
      <c r="J2758" t="s">
        <v>3829</v>
      </c>
      <c r="K2758" t="s">
        <v>951</v>
      </c>
      <c r="M2758" t="s">
        <v>76</v>
      </c>
      <c r="O2758" t="s">
        <v>237</v>
      </c>
      <c r="P2758" t="s">
        <v>238</v>
      </c>
      <c r="Q2758" t="s">
        <v>2423</v>
      </c>
      <c r="R2758" t="s">
        <v>79</v>
      </c>
      <c r="S2758" t="s">
        <v>955</v>
      </c>
      <c r="T2758" t="s">
        <v>2460</v>
      </c>
      <c r="U2758" s="1">
        <v>46078.584108796298</v>
      </c>
      <c r="V2758" t="s">
        <v>54</v>
      </c>
      <c r="W2758" t="s">
        <v>55</v>
      </c>
      <c r="X2758" t="s">
        <v>82</v>
      </c>
      <c r="Y2758" t="s">
        <v>10808</v>
      </c>
      <c r="Z2758" t="s">
        <v>58</v>
      </c>
      <c r="AA2758" t="s">
        <v>54</v>
      </c>
      <c r="AB2758" t="s">
        <v>645</v>
      </c>
      <c r="AC2758" t="s">
        <v>242</v>
      </c>
      <c r="AD2758" t="s">
        <v>79</v>
      </c>
      <c r="AE2758" t="s">
        <v>955</v>
      </c>
      <c r="AF2758" t="s">
        <v>2460</v>
      </c>
      <c r="AG2758" t="s">
        <v>58</v>
      </c>
      <c r="AH2758">
        <v>6445</v>
      </c>
      <c r="AK2758">
        <v>8</v>
      </c>
      <c r="AL2758" t="s">
        <v>61</v>
      </c>
      <c r="AM2758" t="s">
        <v>10809</v>
      </c>
      <c r="AN2758" t="s">
        <v>10810</v>
      </c>
    </row>
    <row r="2759" spans="1:40" x14ac:dyDescent="0.35">
      <c r="A2759" t="s">
        <v>37</v>
      </c>
      <c r="B2759" t="s">
        <v>10811</v>
      </c>
      <c r="C2759" t="s">
        <v>656</v>
      </c>
      <c r="D2759" t="s">
        <v>1885</v>
      </c>
      <c r="E2759" t="s">
        <v>1886</v>
      </c>
      <c r="F2759" s="1">
        <v>46070.459918981483</v>
      </c>
      <c r="G2759" t="s">
        <v>355</v>
      </c>
      <c r="H2759" t="s">
        <v>356</v>
      </c>
      <c r="I2759" t="s">
        <v>10812</v>
      </c>
      <c r="J2759" t="s">
        <v>2987</v>
      </c>
      <c r="K2759" t="s">
        <v>2988</v>
      </c>
      <c r="M2759" t="s">
        <v>76</v>
      </c>
      <c r="O2759" t="s">
        <v>77</v>
      </c>
      <c r="P2759" t="s">
        <v>78</v>
      </c>
      <c r="Q2759" t="s">
        <v>50</v>
      </c>
      <c r="R2759" t="s">
        <v>2989</v>
      </c>
      <c r="S2759" t="s">
        <v>2990</v>
      </c>
      <c r="T2759" t="s">
        <v>3067</v>
      </c>
      <c r="U2759" s="1">
        <v>46076.347175925926</v>
      </c>
      <c r="V2759" t="s">
        <v>54</v>
      </c>
      <c r="W2759" t="s">
        <v>55</v>
      </c>
      <c r="X2759" t="s">
        <v>134</v>
      </c>
      <c r="Y2759" t="s">
        <v>10813</v>
      </c>
      <c r="Z2759" t="s">
        <v>58</v>
      </c>
      <c r="AA2759" t="s">
        <v>54</v>
      </c>
      <c r="AB2759" t="s">
        <v>408</v>
      </c>
      <c r="AC2759" t="s">
        <v>85</v>
      </c>
      <c r="AD2759" t="s">
        <v>2989</v>
      </c>
      <c r="AE2759" t="s">
        <v>2990</v>
      </c>
      <c r="AF2759" t="s">
        <v>664</v>
      </c>
      <c r="AG2759" t="s">
        <v>58</v>
      </c>
      <c r="AH2759" t="s">
        <v>1892</v>
      </c>
      <c r="AK2759">
        <v>1</v>
      </c>
      <c r="AL2759" t="s">
        <v>61</v>
      </c>
      <c r="AM2759" t="s">
        <v>1890</v>
      </c>
      <c r="AN2759" t="s">
        <v>1893</v>
      </c>
    </row>
    <row r="2760" spans="1:40" x14ac:dyDescent="0.35">
      <c r="A2760" t="s">
        <v>37</v>
      </c>
      <c r="B2760" t="s">
        <v>10814</v>
      </c>
      <c r="C2760" t="s">
        <v>39</v>
      </c>
      <c r="D2760" t="s">
        <v>7445</v>
      </c>
      <c r="E2760" t="s">
        <v>1316</v>
      </c>
      <c r="F2760" s="1">
        <v>46070.459490740737</v>
      </c>
      <c r="G2760" t="s">
        <v>286</v>
      </c>
      <c r="H2760" t="s">
        <v>287</v>
      </c>
      <c r="I2760" t="s">
        <v>10815</v>
      </c>
      <c r="J2760" t="s">
        <v>8674</v>
      </c>
      <c r="K2760" t="s">
        <v>7448</v>
      </c>
      <c r="M2760" t="s">
        <v>47</v>
      </c>
      <c r="O2760" t="s">
        <v>77</v>
      </c>
      <c r="P2760" t="s">
        <v>78</v>
      </c>
      <c r="Q2760" t="s">
        <v>50</v>
      </c>
      <c r="R2760" t="s">
        <v>51</v>
      </c>
      <c r="S2760" t="s">
        <v>52</v>
      </c>
      <c r="T2760" t="s">
        <v>240</v>
      </c>
      <c r="U2760" s="1">
        <v>46072.613252314812</v>
      </c>
      <c r="V2760" t="s">
        <v>54</v>
      </c>
      <c r="W2760" t="s">
        <v>55</v>
      </c>
      <c r="X2760" t="s">
        <v>113</v>
      </c>
      <c r="Y2760" t="s">
        <v>10014</v>
      </c>
      <c r="Z2760" t="s">
        <v>5594</v>
      </c>
      <c r="AA2760" t="s">
        <v>54</v>
      </c>
      <c r="AB2760" t="s">
        <v>8676</v>
      </c>
      <c r="AC2760" t="s">
        <v>85</v>
      </c>
      <c r="AD2760" t="s">
        <v>52</v>
      </c>
      <c r="AE2760" t="s">
        <v>243</v>
      </c>
      <c r="AF2760" t="s">
        <v>244</v>
      </c>
      <c r="AG2760" t="s">
        <v>5594</v>
      </c>
      <c r="AK2760">
        <v>0</v>
      </c>
      <c r="AL2760" t="s">
        <v>61</v>
      </c>
      <c r="AM2760" t="s">
        <v>7451</v>
      </c>
      <c r="AN2760" t="s">
        <v>7452</v>
      </c>
    </row>
    <row r="2761" spans="1:40" x14ac:dyDescent="0.35">
      <c r="A2761" t="s">
        <v>37</v>
      </c>
      <c r="B2761" t="s">
        <v>10816</v>
      </c>
      <c r="C2761" t="s">
        <v>39</v>
      </c>
      <c r="D2761" t="s">
        <v>7445</v>
      </c>
      <c r="E2761" t="s">
        <v>1316</v>
      </c>
      <c r="F2761" s="1">
        <v>46070.458194444444</v>
      </c>
      <c r="G2761" t="s">
        <v>286</v>
      </c>
      <c r="H2761" t="s">
        <v>287</v>
      </c>
      <c r="I2761" t="s">
        <v>10817</v>
      </c>
      <c r="J2761" t="s">
        <v>8674</v>
      </c>
      <c r="K2761" t="s">
        <v>7448</v>
      </c>
      <c r="M2761" t="s">
        <v>47</v>
      </c>
      <c r="O2761" t="s">
        <v>77</v>
      </c>
      <c r="P2761" t="s">
        <v>78</v>
      </c>
      <c r="Q2761" t="s">
        <v>50</v>
      </c>
      <c r="R2761" t="s">
        <v>51</v>
      </c>
      <c r="S2761" t="s">
        <v>52</v>
      </c>
      <c r="T2761" t="s">
        <v>240</v>
      </c>
      <c r="U2761" s="1">
        <v>46072.61309027778</v>
      </c>
      <c r="V2761" t="s">
        <v>54</v>
      </c>
      <c r="W2761" t="s">
        <v>55</v>
      </c>
      <c r="X2761" t="s">
        <v>113</v>
      </c>
      <c r="Y2761" t="s">
        <v>8700</v>
      </c>
      <c r="Z2761" t="s">
        <v>5594</v>
      </c>
      <c r="AA2761" t="s">
        <v>54</v>
      </c>
      <c r="AB2761" t="s">
        <v>8676</v>
      </c>
      <c r="AC2761" t="s">
        <v>85</v>
      </c>
      <c r="AD2761" t="s">
        <v>52</v>
      </c>
      <c r="AE2761" t="s">
        <v>243</v>
      </c>
      <c r="AF2761" t="s">
        <v>244</v>
      </c>
      <c r="AG2761" t="s">
        <v>5594</v>
      </c>
      <c r="AK2761">
        <v>0</v>
      </c>
      <c r="AL2761" t="s">
        <v>61</v>
      </c>
      <c r="AM2761" t="s">
        <v>7451</v>
      </c>
      <c r="AN2761" t="s">
        <v>7452</v>
      </c>
    </row>
    <row r="2762" spans="1:40" x14ac:dyDescent="0.35">
      <c r="A2762" t="s">
        <v>37</v>
      </c>
      <c r="B2762" t="s">
        <v>10818</v>
      </c>
      <c r="C2762" t="s">
        <v>39</v>
      </c>
      <c r="D2762" t="s">
        <v>7445</v>
      </c>
      <c r="E2762" t="s">
        <v>1316</v>
      </c>
      <c r="F2762" s="1">
        <v>46070.457465277781</v>
      </c>
      <c r="G2762" t="s">
        <v>286</v>
      </c>
      <c r="H2762" t="s">
        <v>287</v>
      </c>
      <c r="I2762" t="s">
        <v>10819</v>
      </c>
      <c r="J2762" t="s">
        <v>8674</v>
      </c>
      <c r="K2762" t="s">
        <v>7448</v>
      </c>
      <c r="M2762" t="s">
        <v>47</v>
      </c>
      <c r="O2762" t="s">
        <v>77</v>
      </c>
      <c r="P2762" t="s">
        <v>78</v>
      </c>
      <c r="Q2762" t="s">
        <v>50</v>
      </c>
      <c r="R2762" t="s">
        <v>51</v>
      </c>
      <c r="S2762" t="s">
        <v>52</v>
      </c>
      <c r="T2762" t="s">
        <v>240</v>
      </c>
      <c r="U2762" s="1">
        <v>46072.612962962965</v>
      </c>
      <c r="V2762" t="s">
        <v>54</v>
      </c>
      <c r="W2762" t="s">
        <v>55</v>
      </c>
      <c r="X2762" t="s">
        <v>113</v>
      </c>
      <c r="Y2762" t="s">
        <v>8700</v>
      </c>
      <c r="Z2762" t="s">
        <v>5594</v>
      </c>
      <c r="AA2762" t="s">
        <v>54</v>
      </c>
      <c r="AB2762" t="s">
        <v>8676</v>
      </c>
      <c r="AC2762" t="s">
        <v>85</v>
      </c>
      <c r="AD2762" t="s">
        <v>52</v>
      </c>
      <c r="AE2762" t="s">
        <v>243</v>
      </c>
      <c r="AF2762" t="s">
        <v>244</v>
      </c>
      <c r="AG2762" t="s">
        <v>5594</v>
      </c>
      <c r="AK2762">
        <v>0</v>
      </c>
      <c r="AL2762" t="s">
        <v>61</v>
      </c>
      <c r="AM2762" t="s">
        <v>7451</v>
      </c>
      <c r="AN2762" t="s">
        <v>7452</v>
      </c>
    </row>
    <row r="2763" spans="1:40" x14ac:dyDescent="0.35">
      <c r="A2763" t="s">
        <v>37</v>
      </c>
      <c r="B2763" t="s">
        <v>10820</v>
      </c>
      <c r="C2763" t="s">
        <v>352</v>
      </c>
      <c r="D2763" t="s">
        <v>2855</v>
      </c>
      <c r="E2763" t="s">
        <v>2856</v>
      </c>
      <c r="F2763" s="1">
        <v>46070.453483796293</v>
      </c>
      <c r="G2763" t="s">
        <v>355</v>
      </c>
      <c r="H2763" t="s">
        <v>356</v>
      </c>
      <c r="I2763" t="s">
        <v>10821</v>
      </c>
      <c r="J2763" t="s">
        <v>435</v>
      </c>
      <c r="K2763" t="s">
        <v>436</v>
      </c>
      <c r="M2763" t="s">
        <v>47</v>
      </c>
      <c r="O2763" t="s">
        <v>48</v>
      </c>
      <c r="P2763" t="s">
        <v>49</v>
      </c>
      <c r="Q2763" t="s">
        <v>50</v>
      </c>
      <c r="R2763" t="s">
        <v>51</v>
      </c>
      <c r="S2763" t="s">
        <v>52</v>
      </c>
      <c r="T2763" t="s">
        <v>240</v>
      </c>
      <c r="U2763" s="1">
        <v>46073.518425925926</v>
      </c>
      <c r="V2763" t="s">
        <v>54</v>
      </c>
      <c r="W2763" t="s">
        <v>55</v>
      </c>
      <c r="X2763" t="s">
        <v>134</v>
      </c>
      <c r="Y2763" t="s">
        <v>10822</v>
      </c>
      <c r="Z2763" t="s">
        <v>5594</v>
      </c>
      <c r="AA2763" t="s">
        <v>54</v>
      </c>
      <c r="AB2763" t="s">
        <v>84</v>
      </c>
      <c r="AC2763" t="s">
        <v>60</v>
      </c>
      <c r="AD2763" t="s">
        <v>52</v>
      </c>
      <c r="AE2763" t="s">
        <v>243</v>
      </c>
      <c r="AF2763" t="s">
        <v>1470</v>
      </c>
      <c r="AG2763" t="s">
        <v>5594</v>
      </c>
      <c r="AH2763" t="s">
        <v>2863</v>
      </c>
      <c r="AK2763">
        <v>1</v>
      </c>
      <c r="AL2763" t="s">
        <v>61</v>
      </c>
      <c r="AM2763" t="s">
        <v>2864</v>
      </c>
      <c r="AN2763" t="s">
        <v>2865</v>
      </c>
    </row>
    <row r="2764" spans="1:40" x14ac:dyDescent="0.35">
      <c r="A2764" t="s">
        <v>37</v>
      </c>
      <c r="B2764" t="s">
        <v>10823</v>
      </c>
      <c r="C2764" t="s">
        <v>39</v>
      </c>
      <c r="D2764" t="s">
        <v>2396</v>
      </c>
      <c r="E2764" t="s">
        <v>1248</v>
      </c>
      <c r="F2764" s="1">
        <v>46070.449282407404</v>
      </c>
      <c r="G2764" t="s">
        <v>261</v>
      </c>
      <c r="H2764" t="s">
        <v>72</v>
      </c>
      <c r="I2764" t="s">
        <v>10824</v>
      </c>
      <c r="J2764" t="s">
        <v>2406</v>
      </c>
      <c r="K2764" t="s">
        <v>1187</v>
      </c>
      <c r="M2764" t="s">
        <v>47</v>
      </c>
      <c r="O2764" t="s">
        <v>77</v>
      </c>
      <c r="P2764" t="s">
        <v>78</v>
      </c>
      <c r="Q2764" t="s">
        <v>50</v>
      </c>
      <c r="R2764" t="s">
        <v>51</v>
      </c>
      <c r="S2764" t="s">
        <v>819</v>
      </c>
      <c r="T2764" t="s">
        <v>819</v>
      </c>
      <c r="U2764" s="1">
        <v>46072.670358796298</v>
      </c>
      <c r="V2764" t="s">
        <v>54</v>
      </c>
      <c r="W2764" t="s">
        <v>55</v>
      </c>
      <c r="X2764" t="s">
        <v>134</v>
      </c>
      <c r="Y2764" t="s">
        <v>10825</v>
      </c>
      <c r="Z2764" t="s">
        <v>5594</v>
      </c>
      <c r="AA2764" t="s">
        <v>54</v>
      </c>
      <c r="AB2764" t="s">
        <v>408</v>
      </c>
      <c r="AC2764" t="s">
        <v>85</v>
      </c>
      <c r="AD2764" t="s">
        <v>1189</v>
      </c>
      <c r="AE2764" t="s">
        <v>1190</v>
      </c>
      <c r="AF2764" t="s">
        <v>3058</v>
      </c>
      <c r="AG2764" t="s">
        <v>5594</v>
      </c>
      <c r="AH2764">
        <v>15089</v>
      </c>
      <c r="AK2764">
        <v>3</v>
      </c>
      <c r="AL2764" t="s">
        <v>61</v>
      </c>
      <c r="AM2764" t="s">
        <v>2397</v>
      </c>
      <c r="AN2764" t="s">
        <v>2398</v>
      </c>
    </row>
    <row r="2765" spans="1:40" x14ac:dyDescent="0.35">
      <c r="A2765" t="s">
        <v>37</v>
      </c>
      <c r="B2765" t="s">
        <v>10826</v>
      </c>
      <c r="C2765" t="s">
        <v>39</v>
      </c>
      <c r="D2765" t="s">
        <v>10827</v>
      </c>
      <c r="E2765" t="s">
        <v>10828</v>
      </c>
      <c r="F2765" s="1">
        <v>46070.447546296295</v>
      </c>
      <c r="G2765" t="s">
        <v>913</v>
      </c>
      <c r="H2765" t="s">
        <v>72</v>
      </c>
      <c r="I2765" t="s">
        <v>1057</v>
      </c>
      <c r="J2765" t="s">
        <v>455</v>
      </c>
      <c r="K2765" t="s">
        <v>436</v>
      </c>
      <c r="M2765" t="s">
        <v>47</v>
      </c>
      <c r="O2765" t="s">
        <v>77</v>
      </c>
      <c r="P2765" t="s">
        <v>78</v>
      </c>
      <c r="Q2765" t="s">
        <v>2895</v>
      </c>
      <c r="R2765" t="s">
        <v>51</v>
      </c>
      <c r="S2765" t="s">
        <v>52</v>
      </c>
      <c r="T2765" t="s">
        <v>4080</v>
      </c>
      <c r="U2765" s="1">
        <v>46072.547060185185</v>
      </c>
      <c r="V2765" t="s">
        <v>54</v>
      </c>
      <c r="W2765" t="s">
        <v>55</v>
      </c>
      <c r="X2765" t="s">
        <v>134</v>
      </c>
      <c r="Y2765" t="s">
        <v>10829</v>
      </c>
      <c r="Z2765" t="s">
        <v>5594</v>
      </c>
      <c r="AA2765" t="s">
        <v>54</v>
      </c>
      <c r="AB2765" t="s">
        <v>408</v>
      </c>
      <c r="AC2765" t="s">
        <v>85</v>
      </c>
      <c r="AD2765" t="s">
        <v>52</v>
      </c>
      <c r="AE2765" t="s">
        <v>438</v>
      </c>
      <c r="AF2765" t="s">
        <v>439</v>
      </c>
      <c r="AG2765" t="s">
        <v>5594</v>
      </c>
      <c r="AH2765">
        <v>4275</v>
      </c>
      <c r="AK2765">
        <v>3</v>
      </c>
      <c r="AL2765" t="s">
        <v>61</v>
      </c>
      <c r="AM2765" t="s">
        <v>10830</v>
      </c>
      <c r="AN2765" t="s">
        <v>10831</v>
      </c>
    </row>
    <row r="2766" spans="1:40" x14ac:dyDescent="0.35">
      <c r="A2766" t="s">
        <v>37</v>
      </c>
      <c r="B2766" t="s">
        <v>10832</v>
      </c>
      <c r="C2766" t="s">
        <v>39</v>
      </c>
      <c r="D2766" t="s">
        <v>1751</v>
      </c>
      <c r="E2766" t="s">
        <v>1316</v>
      </c>
      <c r="F2766" s="1">
        <v>46070.444398148145</v>
      </c>
      <c r="G2766" t="s">
        <v>1752</v>
      </c>
      <c r="H2766" t="s">
        <v>447</v>
      </c>
      <c r="I2766" t="s">
        <v>10833</v>
      </c>
      <c r="J2766" t="s">
        <v>1754</v>
      </c>
      <c r="K2766" t="s">
        <v>1755</v>
      </c>
      <c r="M2766" t="s">
        <v>47</v>
      </c>
      <c r="O2766" t="s">
        <v>77</v>
      </c>
      <c r="P2766" t="s">
        <v>78</v>
      </c>
      <c r="Q2766" t="s">
        <v>50</v>
      </c>
      <c r="R2766" t="s">
        <v>51</v>
      </c>
      <c r="S2766" t="s">
        <v>52</v>
      </c>
      <c r="T2766" t="s">
        <v>773</v>
      </c>
      <c r="U2766" s="1">
        <v>46074.938194444447</v>
      </c>
      <c r="V2766" t="s">
        <v>54</v>
      </c>
      <c r="W2766" t="s">
        <v>55</v>
      </c>
      <c r="X2766" t="s">
        <v>134</v>
      </c>
      <c r="Y2766" t="s">
        <v>1756</v>
      </c>
      <c r="Z2766" t="s">
        <v>5594</v>
      </c>
      <c r="AA2766" t="s">
        <v>54</v>
      </c>
      <c r="AB2766" t="s">
        <v>1757</v>
      </c>
      <c r="AC2766" t="s">
        <v>85</v>
      </c>
      <c r="AD2766" t="s">
        <v>52</v>
      </c>
      <c r="AE2766" t="s">
        <v>243</v>
      </c>
      <c r="AF2766" t="s">
        <v>244</v>
      </c>
      <c r="AG2766" t="s">
        <v>5594</v>
      </c>
      <c r="AK2766">
        <v>1</v>
      </c>
      <c r="AL2766" t="s">
        <v>61</v>
      </c>
      <c r="AM2766" t="s">
        <v>1757</v>
      </c>
      <c r="AN2766" t="s">
        <v>1758</v>
      </c>
    </row>
    <row r="2767" spans="1:40" x14ac:dyDescent="0.35">
      <c r="A2767" t="s">
        <v>37</v>
      </c>
      <c r="B2767" t="s">
        <v>10834</v>
      </c>
      <c r="C2767" t="s">
        <v>39</v>
      </c>
      <c r="D2767" t="s">
        <v>1751</v>
      </c>
      <c r="E2767" t="s">
        <v>1316</v>
      </c>
      <c r="F2767" s="1">
        <v>46070.44363425926</v>
      </c>
      <c r="G2767" t="s">
        <v>1752</v>
      </c>
      <c r="H2767" t="s">
        <v>447</v>
      </c>
      <c r="I2767" t="s">
        <v>10835</v>
      </c>
      <c r="J2767" t="s">
        <v>1754</v>
      </c>
      <c r="K2767" t="s">
        <v>1755</v>
      </c>
      <c r="M2767" t="s">
        <v>47</v>
      </c>
      <c r="O2767" t="s">
        <v>77</v>
      </c>
      <c r="P2767" t="s">
        <v>78</v>
      </c>
      <c r="Q2767" t="s">
        <v>50</v>
      </c>
      <c r="R2767" t="s">
        <v>51</v>
      </c>
      <c r="S2767" t="s">
        <v>52</v>
      </c>
      <c r="T2767" t="s">
        <v>773</v>
      </c>
      <c r="U2767" s="1">
        <v>46074.937384259261</v>
      </c>
      <c r="V2767" t="s">
        <v>54</v>
      </c>
      <c r="W2767" t="s">
        <v>55</v>
      </c>
      <c r="X2767" t="s">
        <v>134</v>
      </c>
      <c r="Y2767" t="s">
        <v>1756</v>
      </c>
      <c r="Z2767" t="s">
        <v>5594</v>
      </c>
      <c r="AA2767" t="s">
        <v>54</v>
      </c>
      <c r="AB2767" t="s">
        <v>1757</v>
      </c>
      <c r="AC2767" t="s">
        <v>85</v>
      </c>
      <c r="AD2767" t="s">
        <v>52</v>
      </c>
      <c r="AE2767" t="s">
        <v>243</v>
      </c>
      <c r="AF2767" t="s">
        <v>244</v>
      </c>
      <c r="AG2767" t="s">
        <v>5594</v>
      </c>
      <c r="AK2767">
        <v>1</v>
      </c>
      <c r="AL2767" t="s">
        <v>61</v>
      </c>
      <c r="AM2767" t="s">
        <v>1757</v>
      </c>
      <c r="AN2767" t="s">
        <v>1758</v>
      </c>
    </row>
    <row r="2768" spans="1:40" x14ac:dyDescent="0.35">
      <c r="A2768" t="s">
        <v>37</v>
      </c>
      <c r="B2768" t="s">
        <v>10836</v>
      </c>
      <c r="C2768" t="s">
        <v>39</v>
      </c>
      <c r="D2768" t="s">
        <v>10837</v>
      </c>
      <c r="E2768" t="s">
        <v>10838</v>
      </c>
      <c r="F2768" s="1">
        <v>46070.441354166665</v>
      </c>
      <c r="G2768" t="s">
        <v>497</v>
      </c>
      <c r="H2768" t="s">
        <v>72</v>
      </c>
      <c r="I2768" t="s">
        <v>10839</v>
      </c>
      <c r="J2768" t="s">
        <v>1626</v>
      </c>
      <c r="K2768" t="s">
        <v>1627</v>
      </c>
      <c r="M2768" t="s">
        <v>47</v>
      </c>
      <c r="O2768" t="s">
        <v>77</v>
      </c>
      <c r="P2768" t="s">
        <v>78</v>
      </c>
      <c r="R2768" t="s">
        <v>79</v>
      </c>
      <c r="S2768" t="s">
        <v>642</v>
      </c>
      <c r="T2768" t="s">
        <v>643</v>
      </c>
      <c r="U2768" s="1">
        <v>46072.43309027778</v>
      </c>
      <c r="V2768" t="s">
        <v>54</v>
      </c>
      <c r="W2768" t="s">
        <v>55</v>
      </c>
      <c r="X2768" t="s">
        <v>56</v>
      </c>
      <c r="Y2768" t="s">
        <v>10840</v>
      </c>
      <c r="Z2768" t="s">
        <v>5594</v>
      </c>
      <c r="AA2768" t="s">
        <v>54</v>
      </c>
      <c r="AB2768" t="s">
        <v>645</v>
      </c>
      <c r="AC2768" t="s">
        <v>85</v>
      </c>
      <c r="AD2768" t="s">
        <v>79</v>
      </c>
      <c r="AE2768" t="s">
        <v>952</v>
      </c>
      <c r="AF2768" t="s">
        <v>10841</v>
      </c>
      <c r="AG2768" t="s">
        <v>5594</v>
      </c>
      <c r="AH2768">
        <v>15126</v>
      </c>
      <c r="AK2768">
        <v>1</v>
      </c>
      <c r="AL2768" t="s">
        <v>61</v>
      </c>
      <c r="AM2768" t="s">
        <v>10842</v>
      </c>
      <c r="AN2768" t="s">
        <v>10843</v>
      </c>
    </row>
    <row r="2769" spans="1:40" x14ac:dyDescent="0.35">
      <c r="A2769" t="s">
        <v>37</v>
      </c>
      <c r="B2769" t="s">
        <v>10844</v>
      </c>
      <c r="C2769" t="s">
        <v>39</v>
      </c>
      <c r="D2769" t="s">
        <v>7119</v>
      </c>
      <c r="E2769" t="s">
        <v>7120</v>
      </c>
      <c r="F2769" s="1">
        <v>46070.440150462964</v>
      </c>
      <c r="G2769" t="s">
        <v>71</v>
      </c>
      <c r="H2769" t="s">
        <v>72</v>
      </c>
      <c r="I2769" t="s">
        <v>10845</v>
      </c>
      <c r="J2769" t="s">
        <v>1058</v>
      </c>
      <c r="K2769" t="s">
        <v>436</v>
      </c>
      <c r="M2769" t="s">
        <v>76</v>
      </c>
      <c r="O2769" t="s">
        <v>77</v>
      </c>
      <c r="P2769" t="s">
        <v>78</v>
      </c>
      <c r="Q2769" t="s">
        <v>50</v>
      </c>
      <c r="R2769" t="s">
        <v>51</v>
      </c>
      <c r="S2769" t="s">
        <v>52</v>
      </c>
      <c r="T2769" t="s">
        <v>4080</v>
      </c>
      <c r="U2769" s="1">
        <v>46076.415185185186</v>
      </c>
      <c r="V2769" t="s">
        <v>54</v>
      </c>
      <c r="W2769" t="s">
        <v>55</v>
      </c>
      <c r="X2769" t="s">
        <v>211</v>
      </c>
      <c r="Y2769" t="s">
        <v>10846</v>
      </c>
      <c r="Z2769" t="s">
        <v>58</v>
      </c>
      <c r="AA2769" t="s">
        <v>54</v>
      </c>
      <c r="AB2769" t="s">
        <v>213</v>
      </c>
      <c r="AC2769" t="s">
        <v>85</v>
      </c>
      <c r="AD2769" t="s">
        <v>52</v>
      </c>
      <c r="AE2769" t="s">
        <v>438</v>
      </c>
      <c r="AF2769" t="s">
        <v>775</v>
      </c>
      <c r="AG2769" t="s">
        <v>58</v>
      </c>
      <c r="AH2769" t="s">
        <v>7123</v>
      </c>
      <c r="AK2769">
        <v>4</v>
      </c>
      <c r="AL2769" t="s">
        <v>61</v>
      </c>
      <c r="AM2769" t="s">
        <v>7124</v>
      </c>
      <c r="AN2769" t="s">
        <v>7125</v>
      </c>
    </row>
    <row r="2770" spans="1:40" x14ac:dyDescent="0.35">
      <c r="A2770" t="s">
        <v>37</v>
      </c>
      <c r="B2770" t="s">
        <v>10847</v>
      </c>
      <c r="C2770" t="s">
        <v>102</v>
      </c>
      <c r="D2770" t="s">
        <v>10848</v>
      </c>
      <c r="E2770" t="s">
        <v>10849</v>
      </c>
      <c r="F2770" s="1">
        <v>46070.446469907409</v>
      </c>
      <c r="G2770" t="s">
        <v>355</v>
      </c>
      <c r="H2770" t="s">
        <v>356</v>
      </c>
      <c r="I2770" t="s">
        <v>10850</v>
      </c>
      <c r="J2770" t="s">
        <v>695</v>
      </c>
      <c r="K2770" t="s">
        <v>75</v>
      </c>
      <c r="M2770" t="s">
        <v>47</v>
      </c>
      <c r="O2770" t="s">
        <v>237</v>
      </c>
      <c r="P2770" t="s">
        <v>238</v>
      </c>
      <c r="Q2770" t="s">
        <v>50</v>
      </c>
      <c r="R2770" t="s">
        <v>79</v>
      </c>
      <c r="S2770" t="s">
        <v>967</v>
      </c>
      <c r="T2770" t="s">
        <v>1072</v>
      </c>
      <c r="U2770" s="1">
        <v>46072.577187499999</v>
      </c>
      <c r="V2770" t="s">
        <v>54</v>
      </c>
      <c r="W2770" t="s">
        <v>55</v>
      </c>
      <c r="X2770" t="s">
        <v>82</v>
      </c>
      <c r="Y2770" t="s">
        <v>4598</v>
      </c>
      <c r="Z2770" t="s">
        <v>5594</v>
      </c>
      <c r="AA2770" t="s">
        <v>54</v>
      </c>
      <c r="AB2770" t="s">
        <v>698</v>
      </c>
      <c r="AC2770" t="s">
        <v>242</v>
      </c>
      <c r="AD2770" t="s">
        <v>79</v>
      </c>
      <c r="AE2770" t="s">
        <v>967</v>
      </c>
      <c r="AF2770" t="s">
        <v>4400</v>
      </c>
      <c r="AG2770" t="s">
        <v>5594</v>
      </c>
      <c r="AH2770" t="s">
        <v>10851</v>
      </c>
      <c r="AK2770">
        <v>2</v>
      </c>
      <c r="AL2770" t="s">
        <v>61</v>
      </c>
      <c r="AM2770" t="s">
        <v>10852</v>
      </c>
      <c r="AN2770" t="s">
        <v>10853</v>
      </c>
    </row>
    <row r="2771" spans="1:40" x14ac:dyDescent="0.35">
      <c r="A2771" t="s">
        <v>37</v>
      </c>
      <c r="B2771" t="s">
        <v>10854</v>
      </c>
      <c r="C2771" t="s">
        <v>39</v>
      </c>
      <c r="D2771" t="s">
        <v>747</v>
      </c>
      <c r="E2771" t="s">
        <v>10855</v>
      </c>
      <c r="F2771" s="1">
        <v>46070.435891203706</v>
      </c>
      <c r="G2771" t="s">
        <v>2031</v>
      </c>
      <c r="H2771" t="s">
        <v>106</v>
      </c>
      <c r="I2771" t="s">
        <v>10856</v>
      </c>
      <c r="J2771" t="s">
        <v>1626</v>
      </c>
      <c r="K2771" t="s">
        <v>1627</v>
      </c>
      <c r="M2771" t="s">
        <v>131</v>
      </c>
      <c r="O2771" t="s">
        <v>77</v>
      </c>
      <c r="P2771" t="s">
        <v>78</v>
      </c>
      <c r="Q2771" t="s">
        <v>818</v>
      </c>
      <c r="R2771" t="s">
        <v>305</v>
      </c>
      <c r="S2771" t="s">
        <v>306</v>
      </c>
      <c r="T2771" t="s">
        <v>307</v>
      </c>
      <c r="U2771" s="1">
        <v>46077.597627314812</v>
      </c>
      <c r="V2771" t="s">
        <v>54</v>
      </c>
      <c r="W2771" t="s">
        <v>55</v>
      </c>
      <c r="X2771" t="s">
        <v>211</v>
      </c>
      <c r="Y2771" t="s">
        <v>10857</v>
      </c>
      <c r="Z2771" t="s">
        <v>58</v>
      </c>
      <c r="AA2771" t="s">
        <v>54</v>
      </c>
      <c r="AB2771" t="s">
        <v>213</v>
      </c>
      <c r="AC2771" t="s">
        <v>85</v>
      </c>
      <c r="AD2771" t="s">
        <v>79</v>
      </c>
      <c r="AE2771" t="s">
        <v>952</v>
      </c>
      <c r="AF2771" t="s">
        <v>1630</v>
      </c>
      <c r="AG2771" t="s">
        <v>58</v>
      </c>
      <c r="AH2771">
        <v>4394</v>
      </c>
      <c r="AK2771">
        <v>5</v>
      </c>
      <c r="AL2771" t="s">
        <v>61</v>
      </c>
      <c r="AM2771" t="s">
        <v>10858</v>
      </c>
      <c r="AN2771" t="s">
        <v>10859</v>
      </c>
    </row>
    <row r="2772" spans="1:40" x14ac:dyDescent="0.35">
      <c r="A2772" t="s">
        <v>37</v>
      </c>
      <c r="B2772" t="s">
        <v>10860</v>
      </c>
      <c r="C2772" t="s">
        <v>656</v>
      </c>
      <c r="D2772" t="s">
        <v>9576</v>
      </c>
      <c r="E2772" t="s">
        <v>9577</v>
      </c>
      <c r="F2772" s="1">
        <v>46070.433923611112</v>
      </c>
      <c r="G2772" t="s">
        <v>446</v>
      </c>
      <c r="H2772" t="s">
        <v>447</v>
      </c>
      <c r="I2772" t="s">
        <v>9578</v>
      </c>
      <c r="J2772" t="s">
        <v>7846</v>
      </c>
      <c r="K2772" t="s">
        <v>7847</v>
      </c>
      <c r="M2772" t="s">
        <v>47</v>
      </c>
      <c r="O2772" t="s">
        <v>77</v>
      </c>
      <c r="P2772" t="s">
        <v>78</v>
      </c>
      <c r="Q2772" t="s">
        <v>50</v>
      </c>
      <c r="R2772" t="s">
        <v>1321</v>
      </c>
      <c r="S2772" t="s">
        <v>1718</v>
      </c>
      <c r="T2772" t="s">
        <v>1323</v>
      </c>
      <c r="U2772" s="1">
        <v>46073.350543981483</v>
      </c>
      <c r="V2772" t="s">
        <v>54</v>
      </c>
      <c r="W2772" t="s">
        <v>55</v>
      </c>
      <c r="X2772" t="s">
        <v>134</v>
      </c>
      <c r="Y2772" t="s">
        <v>9579</v>
      </c>
      <c r="Z2772" t="s">
        <v>5594</v>
      </c>
      <c r="AA2772" t="s">
        <v>54</v>
      </c>
      <c r="AB2772" t="s">
        <v>84</v>
      </c>
      <c r="AC2772" t="s">
        <v>85</v>
      </c>
      <c r="AD2772" t="s">
        <v>1321</v>
      </c>
      <c r="AE2772" t="s">
        <v>1718</v>
      </c>
      <c r="AF2772" t="s">
        <v>1323</v>
      </c>
      <c r="AG2772" t="s">
        <v>5594</v>
      </c>
      <c r="AH2772" t="s">
        <v>9580</v>
      </c>
      <c r="AK2772">
        <v>1</v>
      </c>
      <c r="AL2772" t="s">
        <v>61</v>
      </c>
      <c r="AM2772" t="s">
        <v>9581</v>
      </c>
      <c r="AN2772" t="s">
        <v>9582</v>
      </c>
    </row>
    <row r="2773" spans="1:40" x14ac:dyDescent="0.35">
      <c r="A2773" t="s">
        <v>37</v>
      </c>
      <c r="B2773" t="s">
        <v>10861</v>
      </c>
      <c r="C2773" t="s">
        <v>102</v>
      </c>
      <c r="D2773" t="s">
        <v>7664</v>
      </c>
      <c r="E2773" t="s">
        <v>7665</v>
      </c>
      <c r="F2773" s="1">
        <v>46070.428148148145</v>
      </c>
      <c r="G2773" t="s">
        <v>355</v>
      </c>
      <c r="H2773" t="s">
        <v>356</v>
      </c>
      <c r="I2773" t="s">
        <v>10862</v>
      </c>
      <c r="J2773" t="s">
        <v>9282</v>
      </c>
      <c r="K2773" t="s">
        <v>9283</v>
      </c>
      <c r="M2773" t="s">
        <v>47</v>
      </c>
      <c r="O2773" t="s">
        <v>237</v>
      </c>
      <c r="P2773" t="s">
        <v>238</v>
      </c>
      <c r="Q2773" t="s">
        <v>50</v>
      </c>
      <c r="R2773" t="s">
        <v>305</v>
      </c>
      <c r="S2773" t="s">
        <v>306</v>
      </c>
      <c r="T2773" t="s">
        <v>307</v>
      </c>
      <c r="U2773" s="1">
        <v>46073.613900462966</v>
      </c>
      <c r="V2773" t="s">
        <v>54</v>
      </c>
      <c r="W2773" t="s">
        <v>55</v>
      </c>
      <c r="X2773" t="s">
        <v>211</v>
      </c>
      <c r="Y2773" t="s">
        <v>10863</v>
      </c>
      <c r="Z2773" t="s">
        <v>5594</v>
      </c>
      <c r="AA2773" t="s">
        <v>54</v>
      </c>
      <c r="AB2773" t="s">
        <v>213</v>
      </c>
      <c r="AC2773" t="s">
        <v>242</v>
      </c>
      <c r="AD2773" t="s">
        <v>79</v>
      </c>
      <c r="AE2773" t="s">
        <v>975</v>
      </c>
      <c r="AF2773" t="s">
        <v>2280</v>
      </c>
      <c r="AG2773" t="s">
        <v>5594</v>
      </c>
      <c r="AH2773" t="s">
        <v>7667</v>
      </c>
      <c r="AK2773">
        <v>2</v>
      </c>
      <c r="AL2773" t="s">
        <v>61</v>
      </c>
      <c r="AM2773" t="s">
        <v>7668</v>
      </c>
      <c r="AN2773" t="s">
        <v>7669</v>
      </c>
    </row>
    <row r="2774" spans="1:40" x14ac:dyDescent="0.35">
      <c r="A2774" t="s">
        <v>37</v>
      </c>
      <c r="B2774" t="s">
        <v>10864</v>
      </c>
      <c r="C2774" t="s">
        <v>39</v>
      </c>
      <c r="D2774" t="s">
        <v>10865</v>
      </c>
      <c r="E2774" t="s">
        <v>10866</v>
      </c>
      <c r="F2774" s="1">
        <v>46070.425902777781</v>
      </c>
      <c r="G2774" t="s">
        <v>355</v>
      </c>
      <c r="H2774" t="s">
        <v>356</v>
      </c>
      <c r="I2774" t="s">
        <v>10867</v>
      </c>
      <c r="J2774" t="s">
        <v>435</v>
      </c>
      <c r="K2774" t="s">
        <v>436</v>
      </c>
      <c r="M2774" t="s">
        <v>47</v>
      </c>
      <c r="O2774" t="s">
        <v>237</v>
      </c>
      <c r="P2774" t="s">
        <v>238</v>
      </c>
      <c r="Q2774" t="s">
        <v>1174</v>
      </c>
      <c r="R2774" t="s">
        <v>51</v>
      </c>
      <c r="S2774" t="s">
        <v>52</v>
      </c>
      <c r="T2774" t="s">
        <v>240</v>
      </c>
      <c r="U2774" s="1">
        <v>46072.535231481481</v>
      </c>
      <c r="V2774" t="s">
        <v>54</v>
      </c>
      <c r="W2774" t="s">
        <v>55</v>
      </c>
      <c r="X2774" t="s">
        <v>211</v>
      </c>
      <c r="Y2774" t="s">
        <v>10868</v>
      </c>
      <c r="Z2774" t="s">
        <v>5594</v>
      </c>
      <c r="AA2774" t="s">
        <v>54</v>
      </c>
      <c r="AB2774" t="s">
        <v>213</v>
      </c>
      <c r="AC2774" t="s">
        <v>242</v>
      </c>
      <c r="AD2774" t="s">
        <v>52</v>
      </c>
      <c r="AE2774" t="s">
        <v>438</v>
      </c>
      <c r="AF2774" t="s">
        <v>775</v>
      </c>
      <c r="AG2774" t="s">
        <v>5594</v>
      </c>
      <c r="AH2774" t="s">
        <v>10869</v>
      </c>
      <c r="AK2774">
        <v>1</v>
      </c>
      <c r="AL2774" t="s">
        <v>61</v>
      </c>
      <c r="AM2774" t="s">
        <v>10870</v>
      </c>
      <c r="AN2774" t="s">
        <v>10871</v>
      </c>
    </row>
    <row r="2775" spans="1:40" x14ac:dyDescent="0.35">
      <c r="A2775" t="s">
        <v>37</v>
      </c>
      <c r="B2775" t="s">
        <v>10872</v>
      </c>
      <c r="C2775" t="s">
        <v>39</v>
      </c>
      <c r="D2775" t="s">
        <v>430</v>
      </c>
      <c r="E2775" t="s">
        <v>4716</v>
      </c>
      <c r="F2775" s="1">
        <v>46070.424363425926</v>
      </c>
      <c r="G2775" t="s">
        <v>722</v>
      </c>
      <c r="H2775" t="s">
        <v>356</v>
      </c>
      <c r="I2775" t="s">
        <v>2999</v>
      </c>
      <c r="J2775" t="s">
        <v>2333</v>
      </c>
      <c r="K2775" t="s">
        <v>1187</v>
      </c>
      <c r="M2775" t="s">
        <v>47</v>
      </c>
      <c r="O2775" t="s">
        <v>77</v>
      </c>
      <c r="P2775" t="s">
        <v>78</v>
      </c>
      <c r="Q2775" t="s">
        <v>50</v>
      </c>
      <c r="R2775" t="s">
        <v>305</v>
      </c>
      <c r="S2775" t="s">
        <v>306</v>
      </c>
      <c r="T2775" t="s">
        <v>307</v>
      </c>
      <c r="U2775" s="1">
        <v>46075.619988425926</v>
      </c>
      <c r="V2775" t="s">
        <v>54</v>
      </c>
      <c r="W2775" t="s">
        <v>55</v>
      </c>
      <c r="X2775" t="s">
        <v>211</v>
      </c>
      <c r="Y2775" t="s">
        <v>10873</v>
      </c>
      <c r="Z2775" t="s">
        <v>5594</v>
      </c>
      <c r="AA2775" t="s">
        <v>54</v>
      </c>
      <c r="AB2775" t="s">
        <v>213</v>
      </c>
      <c r="AC2775" t="s">
        <v>85</v>
      </c>
      <c r="AD2775" t="s">
        <v>1189</v>
      </c>
      <c r="AE2775" t="s">
        <v>1190</v>
      </c>
      <c r="AF2775" t="s">
        <v>3001</v>
      </c>
      <c r="AG2775" t="s">
        <v>5594</v>
      </c>
      <c r="AH2775">
        <v>15775</v>
      </c>
      <c r="AK2775">
        <v>3</v>
      </c>
      <c r="AL2775" t="s">
        <v>61</v>
      </c>
      <c r="AM2775" t="s">
        <v>4718</v>
      </c>
      <c r="AN2775" t="s">
        <v>4719</v>
      </c>
    </row>
    <row r="2776" spans="1:40" x14ac:dyDescent="0.35">
      <c r="A2776" t="s">
        <v>37</v>
      </c>
      <c r="B2776" t="s">
        <v>10874</v>
      </c>
      <c r="C2776" t="s">
        <v>39</v>
      </c>
      <c r="D2776" t="s">
        <v>7445</v>
      </c>
      <c r="E2776" t="s">
        <v>1316</v>
      </c>
      <c r="F2776" s="1">
        <v>46070.423831018517</v>
      </c>
      <c r="G2776" t="s">
        <v>286</v>
      </c>
      <c r="H2776" t="s">
        <v>287</v>
      </c>
      <c r="I2776" t="s">
        <v>10875</v>
      </c>
      <c r="J2776" t="s">
        <v>8674</v>
      </c>
      <c r="K2776" t="s">
        <v>7448</v>
      </c>
      <c r="M2776" t="s">
        <v>47</v>
      </c>
      <c r="O2776" t="s">
        <v>77</v>
      </c>
      <c r="P2776" t="s">
        <v>78</v>
      </c>
      <c r="Q2776" t="s">
        <v>50</v>
      </c>
      <c r="R2776" t="s">
        <v>51</v>
      </c>
      <c r="S2776" t="s">
        <v>52</v>
      </c>
      <c r="T2776" t="s">
        <v>240</v>
      </c>
      <c r="U2776" s="1">
        <v>46072.61273148148</v>
      </c>
      <c r="V2776" t="s">
        <v>54</v>
      </c>
      <c r="W2776" t="s">
        <v>55</v>
      </c>
      <c r="X2776" t="s">
        <v>113</v>
      </c>
      <c r="Y2776" t="s">
        <v>8675</v>
      </c>
      <c r="Z2776" t="s">
        <v>5594</v>
      </c>
      <c r="AA2776" t="s">
        <v>54</v>
      </c>
      <c r="AB2776" t="s">
        <v>8676</v>
      </c>
      <c r="AC2776" t="s">
        <v>85</v>
      </c>
      <c r="AD2776" t="s">
        <v>52</v>
      </c>
      <c r="AE2776" t="s">
        <v>243</v>
      </c>
      <c r="AF2776" t="s">
        <v>244</v>
      </c>
      <c r="AG2776" t="s">
        <v>5594</v>
      </c>
      <c r="AK2776">
        <v>0</v>
      </c>
      <c r="AL2776" t="s">
        <v>61</v>
      </c>
      <c r="AM2776" t="s">
        <v>7451</v>
      </c>
      <c r="AN2776" t="s">
        <v>7452</v>
      </c>
    </row>
    <row r="2777" spans="1:40" x14ac:dyDescent="0.35">
      <c r="A2777" t="s">
        <v>37</v>
      </c>
      <c r="B2777" t="s">
        <v>10876</v>
      </c>
      <c r="C2777" t="s">
        <v>39</v>
      </c>
      <c r="D2777" t="s">
        <v>10877</v>
      </c>
      <c r="E2777" t="s">
        <v>10878</v>
      </c>
      <c r="F2777" s="1">
        <v>46070.422905092593</v>
      </c>
      <c r="I2777" t="s">
        <v>205</v>
      </c>
      <c r="J2777" t="s">
        <v>1692</v>
      </c>
      <c r="K2777" t="s">
        <v>207</v>
      </c>
      <c r="M2777" t="s">
        <v>47</v>
      </c>
      <c r="O2777" t="s">
        <v>77</v>
      </c>
      <c r="P2777" t="s">
        <v>78</v>
      </c>
      <c r="Q2777" t="s">
        <v>50</v>
      </c>
      <c r="R2777" t="s">
        <v>305</v>
      </c>
      <c r="S2777" t="s">
        <v>306</v>
      </c>
      <c r="T2777" t="s">
        <v>307</v>
      </c>
      <c r="U2777" s="1">
        <v>46073.605509259258</v>
      </c>
      <c r="V2777" t="s">
        <v>54</v>
      </c>
      <c r="W2777" t="s">
        <v>55</v>
      </c>
      <c r="X2777" t="s">
        <v>211</v>
      </c>
      <c r="Y2777" t="s">
        <v>10879</v>
      </c>
      <c r="Z2777" t="s">
        <v>5594</v>
      </c>
      <c r="AA2777" t="s">
        <v>54</v>
      </c>
      <c r="AB2777" t="s">
        <v>213</v>
      </c>
      <c r="AC2777" t="s">
        <v>85</v>
      </c>
      <c r="AD2777" t="s">
        <v>214</v>
      </c>
      <c r="AE2777" t="s">
        <v>215</v>
      </c>
      <c r="AF2777" t="s">
        <v>2083</v>
      </c>
      <c r="AG2777" t="s">
        <v>5594</v>
      </c>
      <c r="AH2777" t="s">
        <v>10880</v>
      </c>
      <c r="AK2777">
        <v>3</v>
      </c>
      <c r="AL2777" t="s">
        <v>61</v>
      </c>
      <c r="AM2777" t="s">
        <v>10881</v>
      </c>
      <c r="AN2777" t="s">
        <v>10882</v>
      </c>
    </row>
    <row r="2778" spans="1:40" x14ac:dyDescent="0.35">
      <c r="A2778" t="s">
        <v>37</v>
      </c>
      <c r="B2778" t="s">
        <v>10883</v>
      </c>
      <c r="C2778" t="s">
        <v>39</v>
      </c>
      <c r="D2778" t="s">
        <v>430</v>
      </c>
      <c r="E2778" t="s">
        <v>10884</v>
      </c>
      <c r="F2778" s="1">
        <v>46070.42287037037</v>
      </c>
      <c r="G2778" t="s">
        <v>232</v>
      </c>
      <c r="H2778" t="s">
        <v>233</v>
      </c>
      <c r="I2778" t="s">
        <v>1446</v>
      </c>
      <c r="J2778" t="s">
        <v>557</v>
      </c>
      <c r="K2778" t="s">
        <v>75</v>
      </c>
      <c r="M2778" t="s">
        <v>76</v>
      </c>
      <c r="O2778" t="s">
        <v>77</v>
      </c>
      <c r="P2778" t="s">
        <v>78</v>
      </c>
      <c r="Q2778" t="s">
        <v>50</v>
      </c>
      <c r="R2778" t="s">
        <v>305</v>
      </c>
      <c r="S2778" t="s">
        <v>306</v>
      </c>
      <c r="T2778" t="s">
        <v>307</v>
      </c>
      <c r="U2778" s="1">
        <v>46078.446898148148</v>
      </c>
      <c r="V2778" t="s">
        <v>54</v>
      </c>
      <c r="W2778" t="s">
        <v>55</v>
      </c>
      <c r="X2778" t="s">
        <v>211</v>
      </c>
      <c r="Y2778" t="s">
        <v>10885</v>
      </c>
      <c r="Z2778" t="s">
        <v>58</v>
      </c>
      <c r="AA2778" t="s">
        <v>54</v>
      </c>
      <c r="AB2778" t="s">
        <v>213</v>
      </c>
      <c r="AC2778" t="s">
        <v>85</v>
      </c>
      <c r="AD2778" t="s">
        <v>79</v>
      </c>
      <c r="AE2778" t="s">
        <v>1016</v>
      </c>
      <c r="AF2778" t="s">
        <v>4181</v>
      </c>
      <c r="AG2778" t="s">
        <v>58</v>
      </c>
      <c r="AH2778">
        <v>15390</v>
      </c>
      <c r="AK2778">
        <v>18</v>
      </c>
      <c r="AL2778" t="s">
        <v>61</v>
      </c>
      <c r="AM2778" t="s">
        <v>10886</v>
      </c>
      <c r="AN2778" t="s">
        <v>10887</v>
      </c>
    </row>
    <row r="2779" spans="1:40" x14ac:dyDescent="0.35">
      <c r="A2779" t="s">
        <v>37</v>
      </c>
      <c r="B2779" t="s">
        <v>10888</v>
      </c>
      <c r="C2779" t="s">
        <v>352</v>
      </c>
      <c r="D2779" t="s">
        <v>10848</v>
      </c>
      <c r="E2779" t="s">
        <v>10849</v>
      </c>
      <c r="F2779" s="1">
        <v>46070.423761574071</v>
      </c>
      <c r="G2779" t="s">
        <v>355</v>
      </c>
      <c r="H2779" t="s">
        <v>356</v>
      </c>
      <c r="I2779" t="s">
        <v>10889</v>
      </c>
      <c r="J2779" t="s">
        <v>8533</v>
      </c>
      <c r="K2779" t="s">
        <v>8534</v>
      </c>
      <c r="M2779" t="s">
        <v>47</v>
      </c>
      <c r="O2779" t="s">
        <v>1501</v>
      </c>
      <c r="P2779" t="s">
        <v>1502</v>
      </c>
      <c r="Q2779" t="s">
        <v>50</v>
      </c>
      <c r="R2779" t="s">
        <v>51</v>
      </c>
      <c r="S2779" t="s">
        <v>52</v>
      </c>
      <c r="T2779" t="s">
        <v>240</v>
      </c>
      <c r="U2779" s="1">
        <v>46075.094351851854</v>
      </c>
      <c r="V2779" t="s">
        <v>54</v>
      </c>
      <c r="W2779" t="s">
        <v>55</v>
      </c>
      <c r="X2779" t="s">
        <v>82</v>
      </c>
      <c r="Y2779" t="s">
        <v>10890</v>
      </c>
      <c r="Z2779" t="s">
        <v>5594</v>
      </c>
      <c r="AA2779" t="s">
        <v>54</v>
      </c>
      <c r="AB2779" t="s">
        <v>1503</v>
      </c>
      <c r="AC2779" t="s">
        <v>1504</v>
      </c>
      <c r="AD2779" t="s">
        <v>52</v>
      </c>
      <c r="AE2779" t="s">
        <v>8537</v>
      </c>
      <c r="AF2779" t="s">
        <v>8538</v>
      </c>
      <c r="AG2779" t="s">
        <v>5594</v>
      </c>
      <c r="AH2779" t="s">
        <v>10851</v>
      </c>
      <c r="AK2779">
        <v>1</v>
      </c>
      <c r="AL2779" t="s">
        <v>61</v>
      </c>
      <c r="AM2779" t="s">
        <v>10852</v>
      </c>
      <c r="AN2779" t="s">
        <v>10853</v>
      </c>
    </row>
    <row r="2780" spans="1:40" x14ac:dyDescent="0.35">
      <c r="A2780" t="s">
        <v>37</v>
      </c>
      <c r="B2780" t="s">
        <v>10891</v>
      </c>
      <c r="C2780" t="s">
        <v>39</v>
      </c>
      <c r="D2780" t="s">
        <v>635</v>
      </c>
      <c r="E2780" t="s">
        <v>303</v>
      </c>
      <c r="F2780" s="1">
        <v>46070.42150462963</v>
      </c>
      <c r="G2780" t="s">
        <v>393</v>
      </c>
      <c r="H2780" t="s">
        <v>92</v>
      </c>
      <c r="I2780" t="s">
        <v>10892</v>
      </c>
      <c r="J2780" t="s">
        <v>9282</v>
      </c>
      <c r="K2780" t="s">
        <v>9283</v>
      </c>
      <c r="M2780" t="s">
        <v>47</v>
      </c>
      <c r="O2780" t="s">
        <v>77</v>
      </c>
      <c r="P2780" t="s">
        <v>78</v>
      </c>
      <c r="Q2780" t="s">
        <v>50</v>
      </c>
      <c r="R2780" t="s">
        <v>79</v>
      </c>
      <c r="S2780" t="s">
        <v>975</v>
      </c>
      <c r="T2780" t="s">
        <v>2280</v>
      </c>
      <c r="U2780" s="1">
        <v>46073.612604166665</v>
      </c>
      <c r="V2780" t="s">
        <v>54</v>
      </c>
      <c r="W2780" t="s">
        <v>55</v>
      </c>
      <c r="X2780" t="s">
        <v>82</v>
      </c>
      <c r="Y2780" t="s">
        <v>9908</v>
      </c>
      <c r="Z2780" t="s">
        <v>5594</v>
      </c>
      <c r="AA2780" t="s">
        <v>54</v>
      </c>
      <c r="AB2780" t="s">
        <v>727</v>
      </c>
      <c r="AC2780" t="s">
        <v>85</v>
      </c>
      <c r="AD2780" t="s">
        <v>79</v>
      </c>
      <c r="AE2780" t="s">
        <v>936</v>
      </c>
      <c r="AF2780" t="s">
        <v>937</v>
      </c>
      <c r="AG2780" t="s">
        <v>5594</v>
      </c>
      <c r="AH2780">
        <v>15912</v>
      </c>
      <c r="AK2780">
        <v>1</v>
      </c>
      <c r="AL2780" t="s">
        <v>61</v>
      </c>
      <c r="AM2780" t="s">
        <v>4198</v>
      </c>
      <c r="AN2780" t="s">
        <v>4199</v>
      </c>
    </row>
    <row r="2781" spans="1:40" x14ac:dyDescent="0.35">
      <c r="A2781" t="s">
        <v>37</v>
      </c>
      <c r="B2781" t="s">
        <v>10893</v>
      </c>
      <c r="C2781" t="s">
        <v>39</v>
      </c>
      <c r="D2781" t="s">
        <v>1216</v>
      </c>
      <c r="E2781" t="s">
        <v>9960</v>
      </c>
      <c r="F2781" s="1">
        <v>46070.42087962963</v>
      </c>
      <c r="G2781" t="s">
        <v>515</v>
      </c>
      <c r="H2781" t="s">
        <v>92</v>
      </c>
      <c r="I2781" t="s">
        <v>10894</v>
      </c>
      <c r="J2781" t="s">
        <v>2333</v>
      </c>
      <c r="K2781" t="s">
        <v>1187</v>
      </c>
      <c r="M2781" t="s">
        <v>47</v>
      </c>
      <c r="O2781" t="s">
        <v>77</v>
      </c>
      <c r="P2781" t="s">
        <v>78</v>
      </c>
      <c r="Q2781" t="s">
        <v>50</v>
      </c>
      <c r="R2781" t="s">
        <v>79</v>
      </c>
      <c r="S2781" t="s">
        <v>172</v>
      </c>
      <c r="T2781" t="s">
        <v>725</v>
      </c>
      <c r="U2781" s="1">
        <v>46073.391562500001</v>
      </c>
      <c r="V2781" t="s">
        <v>54</v>
      </c>
      <c r="W2781" t="s">
        <v>55</v>
      </c>
      <c r="X2781" t="s">
        <v>134</v>
      </c>
      <c r="Y2781" t="s">
        <v>10895</v>
      </c>
      <c r="Z2781" t="s">
        <v>5594</v>
      </c>
      <c r="AA2781" t="s">
        <v>54</v>
      </c>
      <c r="AB2781" t="s">
        <v>84</v>
      </c>
      <c r="AC2781" t="s">
        <v>85</v>
      </c>
      <c r="AD2781" t="s">
        <v>1189</v>
      </c>
      <c r="AE2781" t="s">
        <v>5346</v>
      </c>
      <c r="AF2781" t="s">
        <v>5347</v>
      </c>
      <c r="AG2781" t="s">
        <v>5594</v>
      </c>
      <c r="AH2781">
        <v>13979</v>
      </c>
      <c r="AK2781">
        <v>1</v>
      </c>
      <c r="AL2781" t="s">
        <v>61</v>
      </c>
      <c r="AM2781" t="s">
        <v>9962</v>
      </c>
      <c r="AN2781" t="s">
        <v>9963</v>
      </c>
    </row>
    <row r="2782" spans="1:40" x14ac:dyDescent="0.35">
      <c r="A2782" t="s">
        <v>37</v>
      </c>
      <c r="B2782" t="s">
        <v>10896</v>
      </c>
      <c r="C2782" t="s">
        <v>39</v>
      </c>
      <c r="D2782" t="s">
        <v>7445</v>
      </c>
      <c r="E2782" t="s">
        <v>1316</v>
      </c>
      <c r="F2782" s="1">
        <v>46070.417893518519</v>
      </c>
      <c r="G2782" t="s">
        <v>286</v>
      </c>
      <c r="H2782" t="s">
        <v>287</v>
      </c>
      <c r="I2782" t="s">
        <v>10897</v>
      </c>
      <c r="J2782" t="s">
        <v>8674</v>
      </c>
      <c r="K2782" t="s">
        <v>7448</v>
      </c>
      <c r="M2782" t="s">
        <v>47</v>
      </c>
      <c r="O2782" t="s">
        <v>77</v>
      </c>
      <c r="P2782" t="s">
        <v>78</v>
      </c>
      <c r="Q2782" t="s">
        <v>50</v>
      </c>
      <c r="R2782" t="s">
        <v>51</v>
      </c>
      <c r="S2782" t="s">
        <v>52</v>
      </c>
      <c r="T2782" t="s">
        <v>240</v>
      </c>
      <c r="U2782" s="1">
        <v>46072.612581018519</v>
      </c>
      <c r="V2782" t="s">
        <v>54</v>
      </c>
      <c r="W2782" t="s">
        <v>55</v>
      </c>
      <c r="X2782" t="s">
        <v>113</v>
      </c>
      <c r="Y2782" t="s">
        <v>8700</v>
      </c>
      <c r="Z2782" t="s">
        <v>5594</v>
      </c>
      <c r="AA2782" t="s">
        <v>54</v>
      </c>
      <c r="AB2782" t="s">
        <v>8676</v>
      </c>
      <c r="AC2782" t="s">
        <v>85</v>
      </c>
      <c r="AD2782" t="s">
        <v>52</v>
      </c>
      <c r="AE2782" t="s">
        <v>243</v>
      </c>
      <c r="AF2782" t="s">
        <v>244</v>
      </c>
      <c r="AG2782" t="s">
        <v>5594</v>
      </c>
      <c r="AK2782">
        <v>0</v>
      </c>
      <c r="AL2782" t="s">
        <v>61</v>
      </c>
      <c r="AM2782" t="s">
        <v>7451</v>
      </c>
      <c r="AN2782" t="s">
        <v>7452</v>
      </c>
    </row>
    <row r="2783" spans="1:40" x14ac:dyDescent="0.35">
      <c r="A2783" t="s">
        <v>37</v>
      </c>
      <c r="B2783" t="s">
        <v>10898</v>
      </c>
      <c r="C2783" t="s">
        <v>39</v>
      </c>
      <c r="D2783" t="s">
        <v>7445</v>
      </c>
      <c r="E2783" t="s">
        <v>1316</v>
      </c>
      <c r="F2783" s="1">
        <v>46070.417256944442</v>
      </c>
      <c r="G2783" t="s">
        <v>286</v>
      </c>
      <c r="H2783" t="s">
        <v>287</v>
      </c>
      <c r="I2783" t="s">
        <v>10899</v>
      </c>
      <c r="J2783" t="s">
        <v>8674</v>
      </c>
      <c r="K2783" t="s">
        <v>7448</v>
      </c>
      <c r="M2783" t="s">
        <v>47</v>
      </c>
      <c r="O2783" t="s">
        <v>77</v>
      </c>
      <c r="P2783" t="s">
        <v>78</v>
      </c>
      <c r="Q2783" t="s">
        <v>50</v>
      </c>
      <c r="R2783" t="s">
        <v>51</v>
      </c>
      <c r="S2783" t="s">
        <v>52</v>
      </c>
      <c r="T2783" t="s">
        <v>240</v>
      </c>
      <c r="U2783" s="1">
        <v>46072.612407407411</v>
      </c>
      <c r="V2783" t="s">
        <v>54</v>
      </c>
      <c r="W2783" t="s">
        <v>55</v>
      </c>
      <c r="X2783" t="s">
        <v>113</v>
      </c>
      <c r="Y2783" t="s">
        <v>8700</v>
      </c>
      <c r="Z2783" t="s">
        <v>5594</v>
      </c>
      <c r="AA2783" t="s">
        <v>54</v>
      </c>
      <c r="AB2783" t="s">
        <v>8676</v>
      </c>
      <c r="AC2783" t="s">
        <v>85</v>
      </c>
      <c r="AD2783" t="s">
        <v>52</v>
      </c>
      <c r="AE2783" t="s">
        <v>243</v>
      </c>
      <c r="AF2783" t="s">
        <v>244</v>
      </c>
      <c r="AG2783" t="s">
        <v>5594</v>
      </c>
      <c r="AK2783">
        <v>0</v>
      </c>
      <c r="AL2783" t="s">
        <v>61</v>
      </c>
      <c r="AM2783" t="s">
        <v>7451</v>
      </c>
      <c r="AN2783" t="s">
        <v>7452</v>
      </c>
    </row>
    <row r="2784" spans="1:40" x14ac:dyDescent="0.35">
      <c r="A2784" t="s">
        <v>37</v>
      </c>
      <c r="B2784" t="s">
        <v>10900</v>
      </c>
      <c r="C2784" t="s">
        <v>102</v>
      </c>
      <c r="D2784" t="s">
        <v>10786</v>
      </c>
      <c r="E2784" t="s">
        <v>10787</v>
      </c>
      <c r="F2784" s="1">
        <v>46070.417500000003</v>
      </c>
      <c r="G2784" t="s">
        <v>497</v>
      </c>
      <c r="H2784" t="s">
        <v>72</v>
      </c>
      <c r="I2784" t="s">
        <v>10901</v>
      </c>
      <c r="J2784" t="s">
        <v>3117</v>
      </c>
      <c r="K2784" t="s">
        <v>10290</v>
      </c>
      <c r="M2784" t="s">
        <v>76</v>
      </c>
      <c r="O2784" t="s">
        <v>237</v>
      </c>
      <c r="P2784" t="s">
        <v>238</v>
      </c>
      <c r="Q2784" t="s">
        <v>456</v>
      </c>
      <c r="R2784" t="s">
        <v>79</v>
      </c>
      <c r="S2784" t="s">
        <v>4503</v>
      </c>
      <c r="T2784" t="s">
        <v>10902</v>
      </c>
      <c r="U2784" s="1">
        <v>46076.570740740739</v>
      </c>
      <c r="V2784" t="s">
        <v>54</v>
      </c>
      <c r="W2784" t="s">
        <v>55</v>
      </c>
      <c r="X2784" t="s">
        <v>134</v>
      </c>
      <c r="Y2784" t="s">
        <v>10903</v>
      </c>
      <c r="Z2784" t="s">
        <v>58</v>
      </c>
      <c r="AA2784" t="s">
        <v>54</v>
      </c>
      <c r="AB2784" t="s">
        <v>84</v>
      </c>
      <c r="AC2784" t="s">
        <v>242</v>
      </c>
      <c r="AD2784" t="s">
        <v>208</v>
      </c>
      <c r="AE2784" t="s">
        <v>10292</v>
      </c>
      <c r="AF2784" t="s">
        <v>10293</v>
      </c>
      <c r="AG2784" t="s">
        <v>58</v>
      </c>
      <c r="AH2784" t="s">
        <v>10789</v>
      </c>
      <c r="AK2784">
        <v>2</v>
      </c>
      <c r="AL2784" t="s">
        <v>61</v>
      </c>
      <c r="AM2784" t="s">
        <v>10790</v>
      </c>
      <c r="AN2784" t="s">
        <v>10791</v>
      </c>
    </row>
    <row r="2785" spans="1:40" x14ac:dyDescent="0.35">
      <c r="A2785" t="s">
        <v>37</v>
      </c>
      <c r="B2785" t="s">
        <v>10904</v>
      </c>
      <c r="C2785" t="s">
        <v>39</v>
      </c>
      <c r="D2785" t="s">
        <v>3891</v>
      </c>
      <c r="E2785" t="s">
        <v>10905</v>
      </c>
      <c r="F2785" s="1">
        <v>46070.411631944444</v>
      </c>
      <c r="G2785" t="s">
        <v>855</v>
      </c>
      <c r="H2785" t="s">
        <v>447</v>
      </c>
      <c r="I2785" t="s">
        <v>10906</v>
      </c>
      <c r="J2785" t="s">
        <v>10218</v>
      </c>
      <c r="K2785" t="s">
        <v>10219</v>
      </c>
      <c r="M2785" t="s">
        <v>47</v>
      </c>
      <c r="O2785" t="s">
        <v>77</v>
      </c>
      <c r="P2785" t="s">
        <v>78</v>
      </c>
      <c r="Q2785" t="s">
        <v>50</v>
      </c>
      <c r="R2785" t="s">
        <v>51</v>
      </c>
      <c r="S2785" t="s">
        <v>52</v>
      </c>
      <c r="T2785" t="s">
        <v>4080</v>
      </c>
      <c r="U2785" s="1">
        <v>46072.385011574072</v>
      </c>
      <c r="V2785" t="s">
        <v>54</v>
      </c>
      <c r="W2785" t="s">
        <v>55</v>
      </c>
      <c r="X2785" t="s">
        <v>134</v>
      </c>
      <c r="Y2785" t="s">
        <v>10907</v>
      </c>
      <c r="Z2785" t="s">
        <v>5594</v>
      </c>
      <c r="AA2785" t="s">
        <v>54</v>
      </c>
      <c r="AB2785" t="s">
        <v>396</v>
      </c>
      <c r="AC2785" t="s">
        <v>85</v>
      </c>
      <c r="AD2785" t="s">
        <v>52</v>
      </c>
      <c r="AE2785" t="s">
        <v>438</v>
      </c>
      <c r="AF2785" t="s">
        <v>2204</v>
      </c>
      <c r="AG2785" t="s">
        <v>5594</v>
      </c>
      <c r="AH2785">
        <v>15909</v>
      </c>
      <c r="AK2785">
        <v>3</v>
      </c>
      <c r="AL2785" t="s">
        <v>61</v>
      </c>
      <c r="AM2785" t="s">
        <v>10908</v>
      </c>
      <c r="AN2785" t="s">
        <v>10909</v>
      </c>
    </row>
    <row r="2786" spans="1:40" x14ac:dyDescent="0.35">
      <c r="A2786" t="s">
        <v>37</v>
      </c>
      <c r="B2786" t="s">
        <v>10910</v>
      </c>
      <c r="C2786" t="s">
        <v>39</v>
      </c>
      <c r="D2786" t="s">
        <v>6251</v>
      </c>
      <c r="E2786" t="s">
        <v>6252</v>
      </c>
      <c r="F2786" s="1">
        <v>46070.407905092594</v>
      </c>
      <c r="G2786" t="s">
        <v>2053</v>
      </c>
      <c r="H2786" t="s">
        <v>106</v>
      </c>
      <c r="I2786" t="s">
        <v>10911</v>
      </c>
      <c r="J2786" t="s">
        <v>455</v>
      </c>
      <c r="K2786" t="s">
        <v>436</v>
      </c>
      <c r="M2786" t="s">
        <v>47</v>
      </c>
      <c r="O2786" t="s">
        <v>237</v>
      </c>
      <c r="P2786" t="s">
        <v>238</v>
      </c>
      <c r="Q2786" t="s">
        <v>50</v>
      </c>
      <c r="R2786" t="s">
        <v>51</v>
      </c>
      <c r="S2786" t="s">
        <v>52</v>
      </c>
      <c r="T2786" t="s">
        <v>240</v>
      </c>
      <c r="U2786" s="1">
        <v>46073.36146990741</v>
      </c>
      <c r="V2786" t="s">
        <v>54</v>
      </c>
      <c r="W2786" t="s">
        <v>55</v>
      </c>
      <c r="X2786" t="s">
        <v>211</v>
      </c>
      <c r="Y2786" t="s">
        <v>10912</v>
      </c>
      <c r="Z2786" t="s">
        <v>5594</v>
      </c>
      <c r="AA2786" t="s">
        <v>54</v>
      </c>
      <c r="AB2786" t="s">
        <v>213</v>
      </c>
      <c r="AC2786" t="s">
        <v>242</v>
      </c>
      <c r="AD2786" t="s">
        <v>52</v>
      </c>
      <c r="AE2786" t="s">
        <v>243</v>
      </c>
      <c r="AF2786" t="s">
        <v>2533</v>
      </c>
      <c r="AG2786" t="s">
        <v>5594</v>
      </c>
      <c r="AH2786" t="s">
        <v>6255</v>
      </c>
      <c r="AK2786">
        <v>1</v>
      </c>
      <c r="AL2786" t="s">
        <v>61</v>
      </c>
      <c r="AM2786" t="s">
        <v>6256</v>
      </c>
      <c r="AN2786" t="s">
        <v>6257</v>
      </c>
    </row>
    <row r="2787" spans="1:40" x14ac:dyDescent="0.35">
      <c r="A2787" t="s">
        <v>37</v>
      </c>
      <c r="B2787" t="s">
        <v>10913</v>
      </c>
      <c r="C2787" t="s">
        <v>39</v>
      </c>
      <c r="D2787" t="s">
        <v>6132</v>
      </c>
      <c r="E2787" t="s">
        <v>6133</v>
      </c>
      <c r="F2787" s="1">
        <v>46070.403055555558</v>
      </c>
      <c r="G2787" t="s">
        <v>855</v>
      </c>
      <c r="H2787" t="s">
        <v>447</v>
      </c>
      <c r="I2787" t="s">
        <v>205</v>
      </c>
      <c r="J2787" t="s">
        <v>1692</v>
      </c>
      <c r="K2787" t="s">
        <v>207</v>
      </c>
      <c r="M2787" t="s">
        <v>131</v>
      </c>
      <c r="O2787" t="s">
        <v>77</v>
      </c>
      <c r="P2787" t="s">
        <v>78</v>
      </c>
      <c r="Q2787" t="s">
        <v>456</v>
      </c>
      <c r="R2787" t="s">
        <v>305</v>
      </c>
      <c r="S2787" t="s">
        <v>306</v>
      </c>
      <c r="T2787" t="s">
        <v>307</v>
      </c>
      <c r="U2787" s="1">
        <v>46077.264143518521</v>
      </c>
      <c r="V2787" t="s">
        <v>54</v>
      </c>
      <c r="W2787" t="s">
        <v>55</v>
      </c>
      <c r="X2787" t="s">
        <v>211</v>
      </c>
      <c r="Y2787" t="s">
        <v>8919</v>
      </c>
      <c r="Z2787" t="s">
        <v>58</v>
      </c>
      <c r="AA2787" t="s">
        <v>54</v>
      </c>
      <c r="AB2787" t="s">
        <v>213</v>
      </c>
      <c r="AC2787" t="s">
        <v>85</v>
      </c>
      <c r="AD2787" t="s">
        <v>214</v>
      </c>
      <c r="AE2787" t="s">
        <v>215</v>
      </c>
      <c r="AF2787" t="s">
        <v>161</v>
      </c>
      <c r="AG2787" t="s">
        <v>58</v>
      </c>
      <c r="AH2787">
        <v>5033</v>
      </c>
      <c r="AK2787">
        <v>5</v>
      </c>
      <c r="AL2787" t="s">
        <v>61</v>
      </c>
      <c r="AM2787" t="s">
        <v>6135</v>
      </c>
      <c r="AN2787" t="s">
        <v>6136</v>
      </c>
    </row>
    <row r="2788" spans="1:40" x14ac:dyDescent="0.35">
      <c r="A2788" t="s">
        <v>37</v>
      </c>
      <c r="B2788" t="s">
        <v>10914</v>
      </c>
      <c r="C2788" t="s">
        <v>39</v>
      </c>
      <c r="D2788" t="s">
        <v>10915</v>
      </c>
      <c r="E2788" t="s">
        <v>10916</v>
      </c>
      <c r="F2788" s="1">
        <v>46070.401562500003</v>
      </c>
      <c r="G2788" t="s">
        <v>286</v>
      </c>
      <c r="H2788" t="s">
        <v>287</v>
      </c>
      <c r="I2788" t="s">
        <v>205</v>
      </c>
      <c r="J2788" t="s">
        <v>741</v>
      </c>
      <c r="K2788" t="s">
        <v>207</v>
      </c>
      <c r="M2788" t="s">
        <v>131</v>
      </c>
      <c r="O2788" t="s">
        <v>77</v>
      </c>
      <c r="P2788" t="s">
        <v>78</v>
      </c>
      <c r="Q2788" t="s">
        <v>50</v>
      </c>
      <c r="R2788" t="s">
        <v>305</v>
      </c>
      <c r="S2788" t="s">
        <v>306</v>
      </c>
      <c r="T2788" t="s">
        <v>307</v>
      </c>
      <c r="U2788" s="1">
        <v>46076.608217592591</v>
      </c>
      <c r="V2788" t="s">
        <v>54</v>
      </c>
      <c r="W2788" t="s">
        <v>55</v>
      </c>
      <c r="X2788" t="s">
        <v>211</v>
      </c>
      <c r="Y2788" t="s">
        <v>10917</v>
      </c>
      <c r="Z2788" t="s">
        <v>58</v>
      </c>
      <c r="AA2788" t="s">
        <v>54</v>
      </c>
      <c r="AB2788" t="s">
        <v>213</v>
      </c>
      <c r="AC2788" t="s">
        <v>85</v>
      </c>
      <c r="AD2788" t="s">
        <v>214</v>
      </c>
      <c r="AE2788" t="s">
        <v>215</v>
      </c>
      <c r="AF2788" t="s">
        <v>216</v>
      </c>
      <c r="AG2788" t="s">
        <v>58</v>
      </c>
      <c r="AH2788" t="s">
        <v>10918</v>
      </c>
      <c r="AK2788">
        <v>7</v>
      </c>
      <c r="AL2788" t="s">
        <v>61</v>
      </c>
      <c r="AM2788" t="s">
        <v>10919</v>
      </c>
      <c r="AN2788" t="s">
        <v>10920</v>
      </c>
    </row>
    <row r="2789" spans="1:40" x14ac:dyDescent="0.35">
      <c r="A2789" t="s">
        <v>37</v>
      </c>
      <c r="B2789" t="s">
        <v>10921</v>
      </c>
      <c r="C2789" t="s">
        <v>39</v>
      </c>
      <c r="D2789" t="s">
        <v>4677</v>
      </c>
      <c r="E2789" t="s">
        <v>4678</v>
      </c>
      <c r="F2789" s="1">
        <v>46070.398657407408</v>
      </c>
      <c r="G2789" t="s">
        <v>855</v>
      </c>
      <c r="H2789" t="s">
        <v>447</v>
      </c>
      <c r="I2789" t="s">
        <v>205</v>
      </c>
      <c r="J2789" t="s">
        <v>7089</v>
      </c>
      <c r="K2789" t="s">
        <v>207</v>
      </c>
      <c r="M2789" t="s">
        <v>47</v>
      </c>
      <c r="O2789" t="s">
        <v>77</v>
      </c>
      <c r="P2789" t="s">
        <v>78</v>
      </c>
      <c r="Q2789" t="s">
        <v>456</v>
      </c>
      <c r="R2789" t="s">
        <v>305</v>
      </c>
      <c r="S2789" t="s">
        <v>306</v>
      </c>
      <c r="T2789" t="s">
        <v>307</v>
      </c>
      <c r="U2789" s="1">
        <v>46073.554965277777</v>
      </c>
      <c r="V2789" t="s">
        <v>54</v>
      </c>
      <c r="W2789" t="s">
        <v>55</v>
      </c>
      <c r="X2789" t="s">
        <v>211</v>
      </c>
      <c r="Y2789" t="s">
        <v>9983</v>
      </c>
      <c r="Z2789" t="s">
        <v>5594</v>
      </c>
      <c r="AA2789" t="s">
        <v>54</v>
      </c>
      <c r="AB2789" t="s">
        <v>213</v>
      </c>
      <c r="AC2789" t="s">
        <v>85</v>
      </c>
      <c r="AD2789" t="s">
        <v>214</v>
      </c>
      <c r="AE2789" t="s">
        <v>215</v>
      </c>
      <c r="AF2789" t="s">
        <v>2083</v>
      </c>
      <c r="AG2789" t="s">
        <v>5594</v>
      </c>
      <c r="AH2789">
        <v>3819</v>
      </c>
      <c r="AK2789">
        <v>3</v>
      </c>
      <c r="AL2789" t="s">
        <v>61</v>
      </c>
      <c r="AM2789" t="s">
        <v>4680</v>
      </c>
      <c r="AN2789" t="s">
        <v>4681</v>
      </c>
    </row>
    <row r="2790" spans="1:40" x14ac:dyDescent="0.35">
      <c r="A2790" t="s">
        <v>37</v>
      </c>
      <c r="B2790" t="s">
        <v>10922</v>
      </c>
      <c r="C2790" t="s">
        <v>39</v>
      </c>
      <c r="D2790" t="s">
        <v>10138</v>
      </c>
      <c r="E2790" t="s">
        <v>800</v>
      </c>
      <c r="F2790" s="1">
        <v>46070.396898148145</v>
      </c>
      <c r="G2790" t="s">
        <v>71</v>
      </c>
      <c r="H2790" t="s">
        <v>72</v>
      </c>
      <c r="I2790" t="s">
        <v>10923</v>
      </c>
      <c r="J2790" t="s">
        <v>435</v>
      </c>
      <c r="K2790" t="s">
        <v>436</v>
      </c>
      <c r="M2790" t="s">
        <v>47</v>
      </c>
      <c r="O2790" t="s">
        <v>77</v>
      </c>
      <c r="P2790" t="s">
        <v>78</v>
      </c>
      <c r="Q2790" t="s">
        <v>50</v>
      </c>
      <c r="R2790" t="s">
        <v>51</v>
      </c>
      <c r="S2790" t="s">
        <v>52</v>
      </c>
      <c r="T2790" t="s">
        <v>4080</v>
      </c>
      <c r="U2790" s="1">
        <v>46072.507025462961</v>
      </c>
      <c r="V2790" t="s">
        <v>54</v>
      </c>
      <c r="W2790" t="s">
        <v>55</v>
      </c>
      <c r="X2790" t="s">
        <v>134</v>
      </c>
      <c r="Y2790" t="s">
        <v>10924</v>
      </c>
      <c r="Z2790" t="s">
        <v>5594</v>
      </c>
      <c r="AA2790" t="s">
        <v>54</v>
      </c>
      <c r="AB2790" t="s">
        <v>408</v>
      </c>
      <c r="AC2790" t="s">
        <v>85</v>
      </c>
      <c r="AD2790" t="s">
        <v>52</v>
      </c>
      <c r="AE2790" t="s">
        <v>243</v>
      </c>
      <c r="AF2790" t="s">
        <v>2533</v>
      </c>
      <c r="AG2790" t="s">
        <v>5594</v>
      </c>
      <c r="AH2790">
        <v>13512</v>
      </c>
      <c r="AK2790">
        <v>1</v>
      </c>
      <c r="AL2790" t="s">
        <v>61</v>
      </c>
      <c r="AM2790" t="s">
        <v>10925</v>
      </c>
      <c r="AN2790" t="s">
        <v>10926</v>
      </c>
    </row>
    <row r="2791" spans="1:40" x14ac:dyDescent="0.35">
      <c r="A2791" t="s">
        <v>37</v>
      </c>
      <c r="B2791" t="s">
        <v>10927</v>
      </c>
      <c r="C2791" t="s">
        <v>102</v>
      </c>
      <c r="D2791" t="s">
        <v>513</v>
      </c>
      <c r="E2791" t="s">
        <v>1093</v>
      </c>
      <c r="F2791" s="1">
        <v>46070.396018518521</v>
      </c>
      <c r="G2791" t="s">
        <v>1094</v>
      </c>
      <c r="H2791" t="s">
        <v>447</v>
      </c>
      <c r="I2791" t="s">
        <v>7068</v>
      </c>
      <c r="J2791" t="s">
        <v>2406</v>
      </c>
      <c r="K2791" t="s">
        <v>1187</v>
      </c>
      <c r="M2791" t="s">
        <v>131</v>
      </c>
      <c r="O2791" t="s">
        <v>237</v>
      </c>
      <c r="P2791" t="s">
        <v>238</v>
      </c>
      <c r="Q2791" t="s">
        <v>50</v>
      </c>
      <c r="R2791" t="s">
        <v>79</v>
      </c>
      <c r="S2791" t="s">
        <v>558</v>
      </c>
      <c r="T2791" t="s">
        <v>1108</v>
      </c>
      <c r="U2791" s="1">
        <v>46076.439837962964</v>
      </c>
      <c r="V2791" t="s">
        <v>54</v>
      </c>
      <c r="W2791" t="s">
        <v>55</v>
      </c>
      <c r="X2791" t="s">
        <v>82</v>
      </c>
      <c r="Y2791" t="s">
        <v>10928</v>
      </c>
      <c r="Z2791" t="s">
        <v>58</v>
      </c>
      <c r="AA2791" t="s">
        <v>54</v>
      </c>
      <c r="AB2791" t="s">
        <v>645</v>
      </c>
      <c r="AC2791" t="s">
        <v>242</v>
      </c>
      <c r="AD2791" t="s">
        <v>1189</v>
      </c>
      <c r="AE2791" t="s">
        <v>1190</v>
      </c>
      <c r="AF2791" t="s">
        <v>3058</v>
      </c>
      <c r="AG2791" t="s">
        <v>58</v>
      </c>
      <c r="AH2791">
        <v>14097</v>
      </c>
      <c r="AK2791">
        <v>2</v>
      </c>
      <c r="AL2791" t="s">
        <v>61</v>
      </c>
      <c r="AM2791" t="s">
        <v>1097</v>
      </c>
      <c r="AN2791" t="s">
        <v>1098</v>
      </c>
    </row>
    <row r="2792" spans="1:40" x14ac:dyDescent="0.35">
      <c r="A2792" t="s">
        <v>37</v>
      </c>
      <c r="B2792" t="s">
        <v>10929</v>
      </c>
      <c r="C2792" t="s">
        <v>102</v>
      </c>
      <c r="D2792" t="s">
        <v>4241</v>
      </c>
      <c r="E2792" t="s">
        <v>5072</v>
      </c>
      <c r="F2792" s="1">
        <v>46070.385578703703</v>
      </c>
      <c r="G2792" t="s">
        <v>250</v>
      </c>
      <c r="H2792" t="s">
        <v>106</v>
      </c>
      <c r="I2792" t="s">
        <v>10930</v>
      </c>
      <c r="J2792" t="s">
        <v>2333</v>
      </c>
      <c r="K2792" t="s">
        <v>1187</v>
      </c>
      <c r="M2792" t="s">
        <v>76</v>
      </c>
      <c r="O2792" t="s">
        <v>237</v>
      </c>
      <c r="P2792" t="s">
        <v>238</v>
      </c>
      <c r="Q2792" t="s">
        <v>50</v>
      </c>
      <c r="R2792" t="s">
        <v>79</v>
      </c>
      <c r="S2792" t="s">
        <v>172</v>
      </c>
      <c r="T2792" t="s">
        <v>10931</v>
      </c>
      <c r="U2792" s="1">
        <v>46078.305254629631</v>
      </c>
      <c r="V2792" t="s">
        <v>54</v>
      </c>
      <c r="W2792" t="s">
        <v>55</v>
      </c>
      <c r="X2792" t="s">
        <v>134</v>
      </c>
      <c r="Y2792" t="s">
        <v>10932</v>
      </c>
      <c r="Z2792" t="s">
        <v>58</v>
      </c>
      <c r="AA2792" t="s">
        <v>54</v>
      </c>
      <c r="AB2792" t="s">
        <v>408</v>
      </c>
      <c r="AC2792" t="s">
        <v>242</v>
      </c>
      <c r="AD2792" t="s">
        <v>1189</v>
      </c>
      <c r="AE2792" t="s">
        <v>3746</v>
      </c>
      <c r="AF2792" t="s">
        <v>3747</v>
      </c>
      <c r="AG2792" t="s">
        <v>58</v>
      </c>
      <c r="AH2792">
        <v>13660</v>
      </c>
      <c r="AK2792">
        <v>3</v>
      </c>
      <c r="AL2792" t="s">
        <v>61</v>
      </c>
      <c r="AM2792" t="s">
        <v>10933</v>
      </c>
      <c r="AN2792" t="s">
        <v>10934</v>
      </c>
    </row>
    <row r="2793" spans="1:40" x14ac:dyDescent="0.35">
      <c r="A2793" t="s">
        <v>37</v>
      </c>
      <c r="B2793" t="s">
        <v>10935</v>
      </c>
      <c r="C2793" t="s">
        <v>39</v>
      </c>
      <c r="D2793" t="s">
        <v>7445</v>
      </c>
      <c r="E2793" t="s">
        <v>1316</v>
      </c>
      <c r="F2793" s="1">
        <v>46070.382708333331</v>
      </c>
      <c r="G2793" t="s">
        <v>286</v>
      </c>
      <c r="H2793" t="s">
        <v>287</v>
      </c>
      <c r="I2793" t="s">
        <v>10936</v>
      </c>
      <c r="J2793" t="s">
        <v>8674</v>
      </c>
      <c r="K2793" t="s">
        <v>7448</v>
      </c>
      <c r="M2793" t="s">
        <v>47</v>
      </c>
      <c r="O2793" t="s">
        <v>77</v>
      </c>
      <c r="P2793" t="s">
        <v>78</v>
      </c>
      <c r="Q2793" t="s">
        <v>50</v>
      </c>
      <c r="R2793" t="s">
        <v>51</v>
      </c>
      <c r="S2793" t="s">
        <v>52</v>
      </c>
      <c r="T2793" t="s">
        <v>240</v>
      </c>
      <c r="U2793" s="1">
        <v>46072.612256944441</v>
      </c>
      <c r="V2793" t="s">
        <v>54</v>
      </c>
      <c r="W2793" t="s">
        <v>55</v>
      </c>
      <c r="X2793" t="s">
        <v>113</v>
      </c>
      <c r="Y2793" t="s">
        <v>8700</v>
      </c>
      <c r="Z2793" t="s">
        <v>5594</v>
      </c>
      <c r="AA2793" t="s">
        <v>54</v>
      </c>
      <c r="AB2793" t="s">
        <v>8676</v>
      </c>
      <c r="AC2793" t="s">
        <v>85</v>
      </c>
      <c r="AD2793" t="s">
        <v>52</v>
      </c>
      <c r="AE2793" t="s">
        <v>243</v>
      </c>
      <c r="AF2793" t="s">
        <v>244</v>
      </c>
      <c r="AG2793" t="s">
        <v>5594</v>
      </c>
      <c r="AK2793">
        <v>0</v>
      </c>
      <c r="AL2793" t="s">
        <v>61</v>
      </c>
      <c r="AM2793" t="s">
        <v>7451</v>
      </c>
      <c r="AN2793" t="s">
        <v>7452</v>
      </c>
    </row>
    <row r="2794" spans="1:40" x14ac:dyDescent="0.35">
      <c r="A2794" t="s">
        <v>37</v>
      </c>
      <c r="B2794" t="s">
        <v>10937</v>
      </c>
      <c r="C2794" t="s">
        <v>39</v>
      </c>
      <c r="D2794" t="s">
        <v>1751</v>
      </c>
      <c r="E2794" t="s">
        <v>1316</v>
      </c>
      <c r="F2794" s="1">
        <v>46070.379918981482</v>
      </c>
      <c r="G2794" t="s">
        <v>1752</v>
      </c>
      <c r="H2794" t="s">
        <v>447</v>
      </c>
      <c r="I2794" t="s">
        <v>10938</v>
      </c>
      <c r="J2794" t="s">
        <v>1754</v>
      </c>
      <c r="K2794" t="s">
        <v>1755</v>
      </c>
      <c r="M2794" t="s">
        <v>47</v>
      </c>
      <c r="O2794" t="s">
        <v>77</v>
      </c>
      <c r="P2794" t="s">
        <v>78</v>
      </c>
      <c r="Q2794" t="s">
        <v>50</v>
      </c>
      <c r="R2794" t="s">
        <v>51</v>
      </c>
      <c r="S2794" t="s">
        <v>52</v>
      </c>
      <c r="T2794" t="s">
        <v>773</v>
      </c>
      <c r="U2794" s="1">
        <v>46074.909618055557</v>
      </c>
      <c r="V2794" t="s">
        <v>54</v>
      </c>
      <c r="W2794" t="s">
        <v>55</v>
      </c>
      <c r="X2794" t="s">
        <v>134</v>
      </c>
      <c r="Y2794" t="s">
        <v>10939</v>
      </c>
      <c r="Z2794" t="s">
        <v>5594</v>
      </c>
      <c r="AA2794" t="s">
        <v>54</v>
      </c>
      <c r="AB2794" t="s">
        <v>1757</v>
      </c>
      <c r="AC2794" t="s">
        <v>85</v>
      </c>
      <c r="AD2794" t="s">
        <v>52</v>
      </c>
      <c r="AE2794" t="s">
        <v>243</v>
      </c>
      <c r="AF2794" t="s">
        <v>409</v>
      </c>
      <c r="AG2794" t="s">
        <v>5594</v>
      </c>
      <c r="AK2794">
        <v>1</v>
      </c>
      <c r="AL2794" t="s">
        <v>61</v>
      </c>
      <c r="AM2794" t="s">
        <v>1757</v>
      </c>
      <c r="AN2794" t="s">
        <v>1758</v>
      </c>
    </row>
    <row r="2795" spans="1:40" x14ac:dyDescent="0.35">
      <c r="A2795" t="s">
        <v>37</v>
      </c>
      <c r="B2795" t="s">
        <v>10940</v>
      </c>
      <c r="C2795" t="s">
        <v>39</v>
      </c>
      <c r="D2795" t="s">
        <v>4183</v>
      </c>
      <c r="E2795" t="s">
        <v>4184</v>
      </c>
      <c r="F2795" s="1">
        <v>46070.372835648152</v>
      </c>
      <c r="G2795" t="s">
        <v>487</v>
      </c>
      <c r="H2795" t="s">
        <v>447</v>
      </c>
      <c r="I2795" t="s">
        <v>205</v>
      </c>
      <c r="J2795" t="s">
        <v>741</v>
      </c>
      <c r="K2795" t="s">
        <v>207</v>
      </c>
      <c r="M2795" t="s">
        <v>47</v>
      </c>
      <c r="O2795" t="s">
        <v>77</v>
      </c>
      <c r="P2795" t="s">
        <v>78</v>
      </c>
      <c r="Q2795" t="s">
        <v>4186</v>
      </c>
      <c r="R2795" t="s">
        <v>305</v>
      </c>
      <c r="S2795" t="s">
        <v>306</v>
      </c>
      <c r="T2795" t="s">
        <v>307</v>
      </c>
      <c r="U2795" s="1">
        <v>46073.554502314815</v>
      </c>
      <c r="V2795" t="s">
        <v>54</v>
      </c>
      <c r="W2795" t="s">
        <v>55</v>
      </c>
      <c r="X2795" t="s">
        <v>211</v>
      </c>
      <c r="Y2795" t="s">
        <v>10941</v>
      </c>
      <c r="Z2795" t="s">
        <v>5594</v>
      </c>
      <c r="AA2795" t="s">
        <v>54</v>
      </c>
      <c r="AB2795" t="s">
        <v>213</v>
      </c>
      <c r="AC2795" t="s">
        <v>85</v>
      </c>
      <c r="AD2795" t="s">
        <v>214</v>
      </c>
      <c r="AE2795" t="s">
        <v>215</v>
      </c>
      <c r="AF2795" t="s">
        <v>2083</v>
      </c>
      <c r="AG2795" t="s">
        <v>5594</v>
      </c>
      <c r="AH2795">
        <v>3945</v>
      </c>
      <c r="AK2795">
        <v>4</v>
      </c>
      <c r="AL2795" t="s">
        <v>61</v>
      </c>
      <c r="AM2795" t="s">
        <v>4188</v>
      </c>
      <c r="AN2795" t="s">
        <v>4189</v>
      </c>
    </row>
    <row r="2796" spans="1:40" x14ac:dyDescent="0.35">
      <c r="A2796" t="s">
        <v>37</v>
      </c>
      <c r="B2796" t="s">
        <v>10942</v>
      </c>
      <c r="C2796" t="s">
        <v>39</v>
      </c>
      <c r="D2796" t="s">
        <v>10943</v>
      </c>
      <c r="E2796" t="s">
        <v>779</v>
      </c>
      <c r="F2796" s="1">
        <v>46070.37128472222</v>
      </c>
      <c r="G2796" t="s">
        <v>2015</v>
      </c>
      <c r="H2796" t="s">
        <v>447</v>
      </c>
      <c r="I2796" t="s">
        <v>10944</v>
      </c>
      <c r="J2796" t="s">
        <v>1555</v>
      </c>
      <c r="K2796" t="s">
        <v>951</v>
      </c>
      <c r="M2796" t="s">
        <v>76</v>
      </c>
      <c r="O2796" t="s">
        <v>77</v>
      </c>
      <c r="P2796" t="s">
        <v>78</v>
      </c>
      <c r="Q2796" t="s">
        <v>10945</v>
      </c>
      <c r="R2796" t="s">
        <v>79</v>
      </c>
      <c r="S2796" t="s">
        <v>2991</v>
      </c>
      <c r="T2796" t="s">
        <v>10946</v>
      </c>
      <c r="U2796" s="1">
        <v>46077.400983796295</v>
      </c>
      <c r="V2796" t="s">
        <v>54</v>
      </c>
      <c r="W2796" t="s">
        <v>55</v>
      </c>
      <c r="X2796" t="s">
        <v>134</v>
      </c>
      <c r="Y2796" t="s">
        <v>10947</v>
      </c>
      <c r="Z2796" t="s">
        <v>58</v>
      </c>
      <c r="AA2796" t="s">
        <v>54</v>
      </c>
      <c r="AB2796" t="s">
        <v>84</v>
      </c>
      <c r="AC2796" t="s">
        <v>85</v>
      </c>
      <c r="AD2796" t="s">
        <v>79</v>
      </c>
      <c r="AE2796" t="s">
        <v>2991</v>
      </c>
      <c r="AF2796" t="s">
        <v>10948</v>
      </c>
      <c r="AG2796" t="s">
        <v>58</v>
      </c>
      <c r="AH2796">
        <v>3576</v>
      </c>
      <c r="AJ2796">
        <v>191696</v>
      </c>
      <c r="AK2796">
        <v>11</v>
      </c>
      <c r="AL2796" t="s">
        <v>61</v>
      </c>
      <c r="AM2796" t="s">
        <v>10949</v>
      </c>
      <c r="AN2796" t="s">
        <v>10950</v>
      </c>
    </row>
    <row r="2797" spans="1:40" x14ac:dyDescent="0.35">
      <c r="A2797" t="s">
        <v>37</v>
      </c>
      <c r="B2797" t="s">
        <v>10951</v>
      </c>
      <c r="C2797" t="s">
        <v>39</v>
      </c>
      <c r="D2797" t="s">
        <v>10952</v>
      </c>
      <c r="E2797" t="s">
        <v>10953</v>
      </c>
      <c r="F2797" s="1">
        <v>46070.357083333336</v>
      </c>
      <c r="G2797" t="s">
        <v>304</v>
      </c>
      <c r="H2797" t="s">
        <v>106</v>
      </c>
      <c r="I2797" t="s">
        <v>10954</v>
      </c>
      <c r="J2797" t="s">
        <v>3680</v>
      </c>
      <c r="K2797" t="s">
        <v>3681</v>
      </c>
      <c r="M2797" t="s">
        <v>47</v>
      </c>
      <c r="O2797" t="s">
        <v>237</v>
      </c>
      <c r="P2797" t="s">
        <v>238</v>
      </c>
      <c r="Q2797" t="s">
        <v>3642</v>
      </c>
      <c r="R2797" t="s">
        <v>51</v>
      </c>
      <c r="S2797" t="s">
        <v>52</v>
      </c>
      <c r="T2797" t="s">
        <v>53</v>
      </c>
      <c r="U2797" s="1">
        <v>46072.542824074073</v>
      </c>
      <c r="V2797" t="s">
        <v>54</v>
      </c>
      <c r="W2797" t="s">
        <v>55</v>
      </c>
      <c r="X2797" t="s">
        <v>211</v>
      </c>
      <c r="Y2797" t="s">
        <v>10955</v>
      </c>
      <c r="Z2797" t="s">
        <v>5594</v>
      </c>
      <c r="AA2797" t="s">
        <v>54</v>
      </c>
      <c r="AB2797" t="s">
        <v>213</v>
      </c>
      <c r="AC2797" t="s">
        <v>242</v>
      </c>
      <c r="AD2797" t="s">
        <v>52</v>
      </c>
      <c r="AE2797" t="s">
        <v>967</v>
      </c>
      <c r="AF2797" t="s">
        <v>2563</v>
      </c>
      <c r="AG2797" t="s">
        <v>5594</v>
      </c>
      <c r="AH2797">
        <v>11342</v>
      </c>
      <c r="AK2797">
        <v>1</v>
      </c>
      <c r="AL2797" t="s">
        <v>61</v>
      </c>
      <c r="AM2797" t="s">
        <v>10956</v>
      </c>
      <c r="AN2797" t="s">
        <v>10957</v>
      </c>
    </row>
    <row r="2798" spans="1:40" x14ac:dyDescent="0.35">
      <c r="A2798" t="s">
        <v>37</v>
      </c>
      <c r="B2798" t="s">
        <v>10958</v>
      </c>
      <c r="C2798" t="s">
        <v>39</v>
      </c>
      <c r="D2798" t="s">
        <v>1963</v>
      </c>
      <c r="E2798" t="s">
        <v>1151</v>
      </c>
      <c r="F2798" s="1">
        <v>46070.357083333336</v>
      </c>
      <c r="G2798" t="s">
        <v>355</v>
      </c>
      <c r="H2798" t="s">
        <v>356</v>
      </c>
      <c r="I2798" t="s">
        <v>205</v>
      </c>
      <c r="J2798" t="s">
        <v>741</v>
      </c>
      <c r="K2798" t="s">
        <v>207</v>
      </c>
      <c r="M2798" t="s">
        <v>47</v>
      </c>
      <c r="O2798" t="s">
        <v>77</v>
      </c>
      <c r="P2798" t="s">
        <v>78</v>
      </c>
      <c r="Q2798" t="s">
        <v>50</v>
      </c>
      <c r="R2798" t="s">
        <v>305</v>
      </c>
      <c r="S2798" t="s">
        <v>306</v>
      </c>
      <c r="T2798" t="s">
        <v>307</v>
      </c>
      <c r="U2798" s="1">
        <v>46073.144490740742</v>
      </c>
      <c r="V2798" t="s">
        <v>54</v>
      </c>
      <c r="W2798" t="s">
        <v>55</v>
      </c>
      <c r="X2798" t="s">
        <v>211</v>
      </c>
      <c r="Y2798" t="s">
        <v>10959</v>
      </c>
      <c r="Z2798" t="s">
        <v>5594</v>
      </c>
      <c r="AA2798" t="s">
        <v>54</v>
      </c>
      <c r="AB2798" t="s">
        <v>213</v>
      </c>
      <c r="AC2798" t="s">
        <v>85</v>
      </c>
      <c r="AD2798" t="s">
        <v>214</v>
      </c>
      <c r="AE2798" t="s">
        <v>215</v>
      </c>
      <c r="AF2798" t="s">
        <v>161</v>
      </c>
      <c r="AG2798" t="s">
        <v>5594</v>
      </c>
      <c r="AH2798" t="s">
        <v>1965</v>
      </c>
      <c r="AK2798">
        <v>3</v>
      </c>
      <c r="AL2798" t="s">
        <v>61</v>
      </c>
      <c r="AM2798" t="s">
        <v>1966</v>
      </c>
      <c r="AN2798" t="s">
        <v>1967</v>
      </c>
    </row>
    <row r="2799" spans="1:40" x14ac:dyDescent="0.35">
      <c r="A2799" t="s">
        <v>37</v>
      </c>
      <c r="B2799" t="s">
        <v>10960</v>
      </c>
      <c r="C2799" t="s">
        <v>39</v>
      </c>
      <c r="D2799" t="s">
        <v>4241</v>
      </c>
      <c r="E2799" t="s">
        <v>5072</v>
      </c>
      <c r="F2799" s="1">
        <v>46070.353101851855</v>
      </c>
      <c r="G2799" t="s">
        <v>250</v>
      </c>
      <c r="H2799" t="s">
        <v>106</v>
      </c>
      <c r="I2799" t="s">
        <v>1222</v>
      </c>
      <c r="J2799" t="s">
        <v>2333</v>
      </c>
      <c r="K2799" t="s">
        <v>1187</v>
      </c>
      <c r="M2799" t="s">
        <v>47</v>
      </c>
      <c r="O2799" t="s">
        <v>77</v>
      </c>
      <c r="P2799" t="s">
        <v>78</v>
      </c>
      <c r="Q2799" t="s">
        <v>50</v>
      </c>
      <c r="R2799" t="s">
        <v>51</v>
      </c>
      <c r="S2799" t="s">
        <v>52</v>
      </c>
      <c r="T2799" t="s">
        <v>4080</v>
      </c>
      <c r="U2799" s="1">
        <v>46075.623599537037</v>
      </c>
      <c r="V2799" t="s">
        <v>54</v>
      </c>
      <c r="W2799" t="s">
        <v>55</v>
      </c>
      <c r="X2799" t="s">
        <v>211</v>
      </c>
      <c r="Y2799" t="s">
        <v>10961</v>
      </c>
      <c r="Z2799" t="s">
        <v>5594</v>
      </c>
      <c r="AA2799" t="s">
        <v>54</v>
      </c>
      <c r="AB2799" t="s">
        <v>213</v>
      </c>
      <c r="AC2799" t="s">
        <v>85</v>
      </c>
      <c r="AD2799" t="s">
        <v>1189</v>
      </c>
      <c r="AE2799" t="s">
        <v>5346</v>
      </c>
      <c r="AF2799" t="s">
        <v>5347</v>
      </c>
      <c r="AG2799" t="s">
        <v>5594</v>
      </c>
      <c r="AH2799">
        <v>13660</v>
      </c>
      <c r="AK2799">
        <v>4</v>
      </c>
      <c r="AL2799" t="s">
        <v>61</v>
      </c>
      <c r="AM2799" t="s">
        <v>10933</v>
      </c>
      <c r="AN2799" t="s">
        <v>10934</v>
      </c>
    </row>
    <row r="2800" spans="1:40" x14ac:dyDescent="0.35">
      <c r="A2800" t="s">
        <v>37</v>
      </c>
      <c r="B2800" t="s">
        <v>10962</v>
      </c>
      <c r="C2800" t="s">
        <v>39</v>
      </c>
      <c r="D2800" t="s">
        <v>469</v>
      </c>
      <c r="E2800" t="s">
        <v>10963</v>
      </c>
      <c r="F2800" s="1">
        <v>46070.349606481483</v>
      </c>
      <c r="G2800" t="s">
        <v>446</v>
      </c>
      <c r="H2800" t="s">
        <v>447</v>
      </c>
      <c r="I2800" t="s">
        <v>1185</v>
      </c>
      <c r="J2800" t="s">
        <v>2333</v>
      </c>
      <c r="K2800" t="s">
        <v>1187</v>
      </c>
      <c r="M2800" t="s">
        <v>47</v>
      </c>
      <c r="O2800" t="s">
        <v>77</v>
      </c>
      <c r="P2800" t="s">
        <v>78</v>
      </c>
      <c r="Q2800" t="s">
        <v>50</v>
      </c>
      <c r="R2800" t="s">
        <v>305</v>
      </c>
      <c r="S2800" t="s">
        <v>306</v>
      </c>
      <c r="T2800" t="s">
        <v>307</v>
      </c>
      <c r="U2800" s="1">
        <v>46074.822974537034</v>
      </c>
      <c r="V2800" t="s">
        <v>54</v>
      </c>
      <c r="W2800" t="s">
        <v>55</v>
      </c>
      <c r="X2800" t="s">
        <v>211</v>
      </c>
      <c r="Y2800" t="s">
        <v>10964</v>
      </c>
      <c r="Z2800" t="s">
        <v>5594</v>
      </c>
      <c r="AA2800" t="s">
        <v>54</v>
      </c>
      <c r="AB2800" t="s">
        <v>213</v>
      </c>
      <c r="AC2800" t="s">
        <v>85</v>
      </c>
      <c r="AD2800" t="s">
        <v>1189</v>
      </c>
      <c r="AE2800" t="s">
        <v>1190</v>
      </c>
      <c r="AF2800" t="s">
        <v>1191</v>
      </c>
      <c r="AG2800" t="s">
        <v>5594</v>
      </c>
      <c r="AH2800">
        <v>15524</v>
      </c>
      <c r="AK2800">
        <v>3</v>
      </c>
      <c r="AL2800" t="s">
        <v>61</v>
      </c>
      <c r="AM2800" t="s">
        <v>10965</v>
      </c>
      <c r="AN2800" t="s">
        <v>10966</v>
      </c>
    </row>
    <row r="2801" spans="1:40" x14ac:dyDescent="0.35">
      <c r="A2801" t="s">
        <v>37</v>
      </c>
      <c r="B2801" t="s">
        <v>10967</v>
      </c>
      <c r="C2801" t="s">
        <v>39</v>
      </c>
      <c r="D2801" t="s">
        <v>972</v>
      </c>
      <c r="E2801" t="s">
        <v>973</v>
      </c>
      <c r="F2801" s="1">
        <v>46070.349965277775</v>
      </c>
      <c r="G2801" t="s">
        <v>71</v>
      </c>
      <c r="H2801" t="s">
        <v>72</v>
      </c>
      <c r="I2801" t="s">
        <v>7228</v>
      </c>
      <c r="J2801" t="s">
        <v>950</v>
      </c>
      <c r="K2801" t="s">
        <v>951</v>
      </c>
      <c r="M2801" t="s">
        <v>76</v>
      </c>
      <c r="O2801" t="s">
        <v>77</v>
      </c>
      <c r="P2801" t="s">
        <v>78</v>
      </c>
      <c r="Q2801" t="s">
        <v>50</v>
      </c>
      <c r="R2801" t="s">
        <v>79</v>
      </c>
      <c r="S2801" t="s">
        <v>975</v>
      </c>
      <c r="T2801" t="s">
        <v>976</v>
      </c>
      <c r="U2801" s="1">
        <v>46077.525775462964</v>
      </c>
      <c r="V2801" t="s">
        <v>54</v>
      </c>
      <c r="W2801" t="s">
        <v>55</v>
      </c>
      <c r="X2801" t="s">
        <v>82</v>
      </c>
      <c r="Y2801" t="e">
        <f>- According to conversation the user asked to close this Request for now.</f>
        <v>#NAME?</v>
      </c>
      <c r="Z2801" t="s">
        <v>58</v>
      </c>
      <c r="AA2801" t="s">
        <v>54</v>
      </c>
      <c r="AB2801" t="s">
        <v>645</v>
      </c>
      <c r="AC2801" t="s">
        <v>85</v>
      </c>
      <c r="AD2801" t="s">
        <v>79</v>
      </c>
      <c r="AE2801" t="s">
        <v>975</v>
      </c>
      <c r="AF2801" t="s">
        <v>976</v>
      </c>
      <c r="AG2801" t="s">
        <v>58</v>
      </c>
      <c r="AH2801">
        <v>2942</v>
      </c>
      <c r="AK2801">
        <v>6</v>
      </c>
      <c r="AL2801" t="s">
        <v>410</v>
      </c>
      <c r="AM2801" t="s">
        <v>978</v>
      </c>
      <c r="AN2801" t="s">
        <v>979</v>
      </c>
    </row>
    <row r="2802" spans="1:40" x14ac:dyDescent="0.35">
      <c r="A2802" t="s">
        <v>37</v>
      </c>
      <c r="B2802" t="s">
        <v>10968</v>
      </c>
      <c r="C2802" t="s">
        <v>39</v>
      </c>
      <c r="D2802" t="s">
        <v>513</v>
      </c>
      <c r="E2802" t="s">
        <v>1093</v>
      </c>
      <c r="F2802" s="1">
        <v>46070.346122685187</v>
      </c>
      <c r="G2802" t="s">
        <v>1094</v>
      </c>
      <c r="H2802" t="s">
        <v>447</v>
      </c>
      <c r="I2802" t="s">
        <v>1185</v>
      </c>
      <c r="J2802" t="s">
        <v>2333</v>
      </c>
      <c r="K2802" t="s">
        <v>1187</v>
      </c>
      <c r="M2802" t="s">
        <v>47</v>
      </c>
      <c r="O2802" t="s">
        <v>77</v>
      </c>
      <c r="P2802" t="s">
        <v>78</v>
      </c>
      <c r="Q2802" t="s">
        <v>50</v>
      </c>
      <c r="R2802" t="s">
        <v>305</v>
      </c>
      <c r="S2802" t="s">
        <v>306</v>
      </c>
      <c r="T2802" t="s">
        <v>307</v>
      </c>
      <c r="U2802" s="1">
        <v>46074.818796296298</v>
      </c>
      <c r="V2802" t="s">
        <v>54</v>
      </c>
      <c r="W2802" t="s">
        <v>55</v>
      </c>
      <c r="X2802" t="s">
        <v>211</v>
      </c>
      <c r="Y2802" t="s">
        <v>10969</v>
      </c>
      <c r="Z2802" t="s">
        <v>5594</v>
      </c>
      <c r="AA2802" t="s">
        <v>54</v>
      </c>
      <c r="AB2802" t="s">
        <v>213</v>
      </c>
      <c r="AC2802" t="s">
        <v>85</v>
      </c>
      <c r="AD2802" t="s">
        <v>1189</v>
      </c>
      <c r="AE2802" t="s">
        <v>1190</v>
      </c>
      <c r="AF2802" t="s">
        <v>1191</v>
      </c>
      <c r="AG2802" t="s">
        <v>5594</v>
      </c>
      <c r="AH2802">
        <v>14097</v>
      </c>
      <c r="AK2802">
        <v>3</v>
      </c>
      <c r="AL2802" t="s">
        <v>61</v>
      </c>
      <c r="AM2802" t="s">
        <v>1097</v>
      </c>
      <c r="AN2802" t="s">
        <v>1098</v>
      </c>
    </row>
    <row r="2803" spans="1:40" x14ac:dyDescent="0.35">
      <c r="A2803" t="s">
        <v>37</v>
      </c>
      <c r="B2803" t="s">
        <v>10970</v>
      </c>
      <c r="C2803" t="s">
        <v>39</v>
      </c>
      <c r="D2803" t="s">
        <v>1646</v>
      </c>
      <c r="E2803" t="s">
        <v>1647</v>
      </c>
      <c r="F2803" s="1">
        <v>46070.220300925925</v>
      </c>
      <c r="G2803" t="s">
        <v>355</v>
      </c>
      <c r="H2803" t="s">
        <v>356</v>
      </c>
      <c r="I2803" t="s">
        <v>1648</v>
      </c>
      <c r="J2803" t="s">
        <v>1649</v>
      </c>
      <c r="K2803" t="s">
        <v>1650</v>
      </c>
      <c r="M2803" t="s">
        <v>47</v>
      </c>
      <c r="O2803" t="s">
        <v>77</v>
      </c>
      <c r="P2803" t="s">
        <v>78</v>
      </c>
      <c r="Q2803" t="s">
        <v>50</v>
      </c>
      <c r="R2803" t="s">
        <v>79</v>
      </c>
      <c r="S2803" t="s">
        <v>1556</v>
      </c>
      <c r="T2803" t="s">
        <v>1557</v>
      </c>
      <c r="U2803" s="1">
        <v>46072.012731481482</v>
      </c>
      <c r="V2803" t="s">
        <v>54</v>
      </c>
      <c r="W2803" t="s">
        <v>55</v>
      </c>
      <c r="X2803" t="s">
        <v>134</v>
      </c>
      <c r="Y2803" t="s">
        <v>10971</v>
      </c>
      <c r="Z2803" t="s">
        <v>5594</v>
      </c>
      <c r="AA2803" t="s">
        <v>54</v>
      </c>
      <c r="AB2803" t="s">
        <v>709</v>
      </c>
      <c r="AC2803" t="s">
        <v>85</v>
      </c>
      <c r="AD2803" t="s">
        <v>79</v>
      </c>
      <c r="AE2803" t="s">
        <v>1556</v>
      </c>
      <c r="AF2803" t="s">
        <v>1557</v>
      </c>
      <c r="AG2803" t="s">
        <v>5594</v>
      </c>
      <c r="AH2803" t="s">
        <v>1652</v>
      </c>
      <c r="AK2803">
        <v>1</v>
      </c>
      <c r="AL2803" t="s">
        <v>61</v>
      </c>
      <c r="AM2803" t="s">
        <v>1653</v>
      </c>
      <c r="AN2803" t="s">
        <v>1654</v>
      </c>
    </row>
    <row r="2804" spans="1:40" x14ac:dyDescent="0.35">
      <c r="A2804" t="s">
        <v>37</v>
      </c>
      <c r="B2804" t="s">
        <v>10972</v>
      </c>
      <c r="C2804" t="s">
        <v>39</v>
      </c>
      <c r="D2804" t="s">
        <v>960</v>
      </c>
      <c r="E2804" t="s">
        <v>961</v>
      </c>
      <c r="F2804" s="1">
        <v>46070.212326388886</v>
      </c>
      <c r="G2804" t="s">
        <v>355</v>
      </c>
      <c r="H2804" t="s">
        <v>356</v>
      </c>
      <c r="I2804" t="s">
        <v>10973</v>
      </c>
      <c r="J2804" t="s">
        <v>435</v>
      </c>
      <c r="K2804" t="s">
        <v>436</v>
      </c>
      <c r="M2804" t="s">
        <v>47</v>
      </c>
      <c r="O2804" t="s">
        <v>77</v>
      </c>
      <c r="P2804" t="s">
        <v>78</v>
      </c>
      <c r="Q2804" t="s">
        <v>50</v>
      </c>
      <c r="R2804" t="s">
        <v>51</v>
      </c>
      <c r="S2804" t="s">
        <v>52</v>
      </c>
      <c r="T2804" t="s">
        <v>240</v>
      </c>
      <c r="U2804" s="1">
        <v>46072.404745370368</v>
      </c>
      <c r="V2804" t="s">
        <v>54</v>
      </c>
      <c r="W2804" t="s">
        <v>55</v>
      </c>
      <c r="X2804" t="s">
        <v>134</v>
      </c>
      <c r="Y2804" t="s">
        <v>10974</v>
      </c>
      <c r="Z2804" t="s">
        <v>5594</v>
      </c>
      <c r="AA2804" t="s">
        <v>54</v>
      </c>
      <c r="AB2804" t="s">
        <v>709</v>
      </c>
      <c r="AC2804" t="s">
        <v>85</v>
      </c>
      <c r="AD2804" t="s">
        <v>52</v>
      </c>
      <c r="AE2804" t="s">
        <v>243</v>
      </c>
      <c r="AF2804" t="s">
        <v>2533</v>
      </c>
      <c r="AG2804" t="s">
        <v>5594</v>
      </c>
      <c r="AH2804" t="s">
        <v>969</v>
      </c>
      <c r="AK2804">
        <v>1</v>
      </c>
      <c r="AL2804" t="s">
        <v>61</v>
      </c>
      <c r="AM2804" t="s">
        <v>966</v>
      </c>
      <c r="AN2804" t="s">
        <v>970</v>
      </c>
    </row>
    <row r="2805" spans="1:40" x14ac:dyDescent="0.35">
      <c r="A2805" t="s">
        <v>37</v>
      </c>
      <c r="B2805" t="s">
        <v>10975</v>
      </c>
      <c r="C2805" t="s">
        <v>39</v>
      </c>
      <c r="D2805" t="s">
        <v>7283</v>
      </c>
      <c r="E2805" t="s">
        <v>7284</v>
      </c>
      <c r="F2805" s="1">
        <v>46070.188449074078</v>
      </c>
      <c r="G2805" t="s">
        <v>355</v>
      </c>
      <c r="H2805" t="s">
        <v>356</v>
      </c>
      <c r="I2805" t="s">
        <v>10976</v>
      </c>
      <c r="J2805" t="s">
        <v>1823</v>
      </c>
      <c r="K2805" t="s">
        <v>1824</v>
      </c>
      <c r="M2805" t="s">
        <v>47</v>
      </c>
      <c r="O2805" t="s">
        <v>77</v>
      </c>
      <c r="P2805" t="s">
        <v>78</v>
      </c>
      <c r="Q2805" t="s">
        <v>7288</v>
      </c>
      <c r="R2805" t="s">
        <v>51</v>
      </c>
      <c r="S2805" t="s">
        <v>52</v>
      </c>
      <c r="T2805" t="s">
        <v>773</v>
      </c>
      <c r="U2805" s="1">
        <v>46072.508564814816</v>
      </c>
      <c r="V2805" t="s">
        <v>54</v>
      </c>
      <c r="W2805" t="s">
        <v>55</v>
      </c>
      <c r="X2805" t="s">
        <v>134</v>
      </c>
      <c r="Y2805" t="s">
        <v>10977</v>
      </c>
      <c r="Z2805" t="s">
        <v>5594</v>
      </c>
      <c r="AA2805" t="s">
        <v>54</v>
      </c>
      <c r="AB2805" t="s">
        <v>709</v>
      </c>
      <c r="AC2805" t="s">
        <v>85</v>
      </c>
      <c r="AD2805" t="s">
        <v>52</v>
      </c>
      <c r="AE2805" t="s">
        <v>438</v>
      </c>
      <c r="AF2805" t="s">
        <v>439</v>
      </c>
      <c r="AG2805" t="s">
        <v>5594</v>
      </c>
      <c r="AH2805" t="s">
        <v>7294</v>
      </c>
      <c r="AK2805">
        <v>5</v>
      </c>
      <c r="AL2805" t="s">
        <v>61</v>
      </c>
      <c r="AM2805" t="s">
        <v>7295</v>
      </c>
      <c r="AN2805" t="s">
        <v>7296</v>
      </c>
    </row>
    <row r="2806" spans="1:40" x14ac:dyDescent="0.35">
      <c r="A2806" t="s">
        <v>37</v>
      </c>
      <c r="B2806" t="s">
        <v>10978</v>
      </c>
      <c r="C2806" t="s">
        <v>39</v>
      </c>
      <c r="D2806" t="s">
        <v>10979</v>
      </c>
      <c r="E2806" t="s">
        <v>10980</v>
      </c>
      <c r="F2806" s="1">
        <v>46070.170937499999</v>
      </c>
      <c r="G2806" t="s">
        <v>631</v>
      </c>
      <c r="H2806" t="s">
        <v>447</v>
      </c>
      <c r="I2806" t="s">
        <v>10981</v>
      </c>
      <c r="J2806" t="s">
        <v>2894</v>
      </c>
      <c r="K2806" t="s">
        <v>951</v>
      </c>
      <c r="M2806" t="s">
        <v>131</v>
      </c>
      <c r="O2806" t="s">
        <v>77</v>
      </c>
      <c r="P2806" t="s">
        <v>78</v>
      </c>
      <c r="Q2806" t="s">
        <v>818</v>
      </c>
      <c r="R2806" t="s">
        <v>79</v>
      </c>
      <c r="S2806" t="s">
        <v>2748</v>
      </c>
      <c r="T2806" t="s">
        <v>2746</v>
      </c>
      <c r="U2806" s="1">
        <v>46076.476493055554</v>
      </c>
      <c r="V2806" t="s">
        <v>54</v>
      </c>
      <c r="W2806" t="s">
        <v>55</v>
      </c>
      <c r="X2806" t="s">
        <v>134</v>
      </c>
      <c r="Y2806" t="s">
        <v>10982</v>
      </c>
      <c r="Z2806" t="s">
        <v>58</v>
      </c>
      <c r="AA2806" t="s">
        <v>54</v>
      </c>
      <c r="AB2806" t="s">
        <v>709</v>
      </c>
      <c r="AC2806" t="s">
        <v>85</v>
      </c>
      <c r="AD2806" t="s">
        <v>79</v>
      </c>
      <c r="AE2806" t="s">
        <v>10053</v>
      </c>
      <c r="AF2806" t="s">
        <v>10054</v>
      </c>
      <c r="AG2806" t="s">
        <v>58</v>
      </c>
      <c r="AH2806">
        <v>2862</v>
      </c>
      <c r="AJ2806">
        <v>191674</v>
      </c>
      <c r="AK2806">
        <v>8</v>
      </c>
      <c r="AL2806" t="s">
        <v>61</v>
      </c>
      <c r="AM2806" t="s">
        <v>10983</v>
      </c>
      <c r="AN2806" t="s">
        <v>10984</v>
      </c>
    </row>
    <row r="2807" spans="1:40" x14ac:dyDescent="0.35">
      <c r="A2807" t="s">
        <v>37</v>
      </c>
      <c r="B2807" t="s">
        <v>10985</v>
      </c>
      <c r="C2807" t="s">
        <v>39</v>
      </c>
      <c r="D2807" t="s">
        <v>469</v>
      </c>
      <c r="E2807" t="s">
        <v>10986</v>
      </c>
      <c r="F2807" s="1">
        <v>46070.158773148149</v>
      </c>
      <c r="G2807" t="s">
        <v>913</v>
      </c>
      <c r="H2807" t="s">
        <v>72</v>
      </c>
      <c r="I2807" t="s">
        <v>2336</v>
      </c>
      <c r="J2807" t="s">
        <v>1186</v>
      </c>
      <c r="K2807" t="s">
        <v>1187</v>
      </c>
      <c r="M2807" t="s">
        <v>47</v>
      </c>
      <c r="O2807" t="s">
        <v>77</v>
      </c>
      <c r="P2807" t="s">
        <v>78</v>
      </c>
      <c r="Q2807" t="s">
        <v>50</v>
      </c>
      <c r="R2807" t="s">
        <v>662</v>
      </c>
      <c r="S2807" t="s">
        <v>10987</v>
      </c>
      <c r="T2807" t="s">
        <v>10988</v>
      </c>
      <c r="U2807" s="1">
        <v>46073.373090277775</v>
      </c>
      <c r="V2807" t="s">
        <v>54</v>
      </c>
      <c r="W2807" t="s">
        <v>55</v>
      </c>
      <c r="X2807" t="s">
        <v>134</v>
      </c>
      <c r="Y2807" t="s">
        <v>10989</v>
      </c>
      <c r="Z2807" t="s">
        <v>5594</v>
      </c>
      <c r="AA2807" t="s">
        <v>54</v>
      </c>
      <c r="AB2807" t="s">
        <v>709</v>
      </c>
      <c r="AC2807" t="s">
        <v>85</v>
      </c>
      <c r="AD2807" t="s">
        <v>1189</v>
      </c>
      <c r="AE2807" t="s">
        <v>1190</v>
      </c>
      <c r="AF2807" t="s">
        <v>4957</v>
      </c>
      <c r="AG2807" t="s">
        <v>5594</v>
      </c>
      <c r="AH2807">
        <v>15863</v>
      </c>
      <c r="AK2807">
        <v>4</v>
      </c>
      <c r="AL2807" t="s">
        <v>61</v>
      </c>
      <c r="AM2807" t="s">
        <v>10990</v>
      </c>
      <c r="AN2807" t="s">
        <v>10991</v>
      </c>
    </row>
    <row r="2808" spans="1:40" x14ac:dyDescent="0.35">
      <c r="A2808" t="s">
        <v>37</v>
      </c>
      <c r="B2808" t="s">
        <v>10992</v>
      </c>
      <c r="C2808" t="s">
        <v>39</v>
      </c>
      <c r="D2808" t="s">
        <v>469</v>
      </c>
      <c r="E2808" t="s">
        <v>10216</v>
      </c>
      <c r="F2808" s="1">
        <v>46070.153252314813</v>
      </c>
      <c r="G2808" t="s">
        <v>91</v>
      </c>
      <c r="H2808" t="s">
        <v>92</v>
      </c>
      <c r="I2808" t="s">
        <v>10993</v>
      </c>
      <c r="J2808" t="s">
        <v>1337</v>
      </c>
      <c r="K2808" t="s">
        <v>951</v>
      </c>
      <c r="M2808" t="s">
        <v>76</v>
      </c>
      <c r="O2808" t="s">
        <v>48</v>
      </c>
      <c r="P2808" t="s">
        <v>49</v>
      </c>
      <c r="Q2808" t="s">
        <v>10220</v>
      </c>
      <c r="R2808" t="s">
        <v>79</v>
      </c>
      <c r="S2808" t="s">
        <v>2748</v>
      </c>
      <c r="T2808" t="s">
        <v>9268</v>
      </c>
      <c r="U2808" s="1">
        <v>46076.587465277778</v>
      </c>
      <c r="V2808" t="s">
        <v>54</v>
      </c>
      <c r="W2808" t="s">
        <v>55</v>
      </c>
      <c r="X2808" t="s">
        <v>134</v>
      </c>
      <c r="Y2808" t="e">
        <f>- iPad provided to the user, and profile configured.  - CMDB updated.</f>
        <v>#NAME?</v>
      </c>
      <c r="Z2808" t="s">
        <v>58</v>
      </c>
      <c r="AA2808" t="s">
        <v>54</v>
      </c>
      <c r="AB2808" t="s">
        <v>709</v>
      </c>
      <c r="AC2808" t="s">
        <v>60</v>
      </c>
      <c r="AD2808" t="s">
        <v>79</v>
      </c>
      <c r="AE2808" t="s">
        <v>2748</v>
      </c>
      <c r="AF2808" t="s">
        <v>9268</v>
      </c>
      <c r="AG2808" t="s">
        <v>58</v>
      </c>
      <c r="AH2808">
        <v>10327</v>
      </c>
      <c r="AK2808">
        <v>6</v>
      </c>
      <c r="AL2808" t="s">
        <v>410</v>
      </c>
      <c r="AM2808" t="s">
        <v>10222</v>
      </c>
      <c r="AN2808" t="s">
        <v>10223</v>
      </c>
    </row>
    <row r="2809" spans="1:40" x14ac:dyDescent="0.35">
      <c r="A2809" t="s">
        <v>37</v>
      </c>
      <c r="B2809" t="s">
        <v>10994</v>
      </c>
      <c r="C2809" t="s">
        <v>102</v>
      </c>
      <c r="D2809" t="s">
        <v>1215</v>
      </c>
      <c r="E2809" t="s">
        <v>10807</v>
      </c>
      <c r="F2809" s="1">
        <v>46070.143900462965</v>
      </c>
      <c r="G2809" t="s">
        <v>71</v>
      </c>
      <c r="H2809" t="s">
        <v>72</v>
      </c>
      <c r="I2809" t="s">
        <v>10995</v>
      </c>
      <c r="J2809" t="s">
        <v>8127</v>
      </c>
      <c r="K2809" t="s">
        <v>1627</v>
      </c>
      <c r="M2809" t="s">
        <v>131</v>
      </c>
      <c r="O2809" t="s">
        <v>237</v>
      </c>
      <c r="P2809" t="s">
        <v>238</v>
      </c>
      <c r="Q2809" t="s">
        <v>2423</v>
      </c>
      <c r="R2809" t="s">
        <v>2670</v>
      </c>
      <c r="S2809" t="s">
        <v>10996</v>
      </c>
      <c r="T2809" t="s">
        <v>10997</v>
      </c>
      <c r="U2809" s="1">
        <v>46078.485011574077</v>
      </c>
      <c r="V2809" t="s">
        <v>54</v>
      </c>
      <c r="W2809" t="s">
        <v>55</v>
      </c>
      <c r="X2809" t="s">
        <v>134</v>
      </c>
      <c r="Y2809" t="s">
        <v>8129</v>
      </c>
      <c r="Z2809" t="s">
        <v>58</v>
      </c>
      <c r="AA2809" t="s">
        <v>54</v>
      </c>
      <c r="AB2809" t="s">
        <v>709</v>
      </c>
      <c r="AC2809" t="s">
        <v>242</v>
      </c>
      <c r="AD2809" t="s">
        <v>2670</v>
      </c>
      <c r="AE2809" t="s">
        <v>8130</v>
      </c>
      <c r="AF2809" t="s">
        <v>8131</v>
      </c>
      <c r="AG2809" t="s">
        <v>58</v>
      </c>
      <c r="AH2809">
        <v>6445</v>
      </c>
      <c r="AK2809">
        <v>1</v>
      </c>
      <c r="AL2809" t="s">
        <v>61</v>
      </c>
      <c r="AM2809" t="s">
        <v>10809</v>
      </c>
      <c r="AN2809" t="s">
        <v>10810</v>
      </c>
    </row>
    <row r="2810" spans="1:40" x14ac:dyDescent="0.35">
      <c r="A2810" t="s">
        <v>37</v>
      </c>
      <c r="B2810" t="s">
        <v>10998</v>
      </c>
      <c r="C2810" t="s">
        <v>656</v>
      </c>
      <c r="D2810" t="s">
        <v>474</v>
      </c>
      <c r="E2810" t="s">
        <v>10999</v>
      </c>
      <c r="F2810" s="1">
        <v>46070.141296296293</v>
      </c>
      <c r="G2810" t="s">
        <v>355</v>
      </c>
      <c r="H2810" t="s">
        <v>356</v>
      </c>
      <c r="I2810" t="s">
        <v>11000</v>
      </c>
      <c r="J2810" t="s">
        <v>2333</v>
      </c>
      <c r="K2810" t="s">
        <v>1187</v>
      </c>
      <c r="M2810" t="s">
        <v>47</v>
      </c>
      <c r="O2810" t="s">
        <v>77</v>
      </c>
      <c r="P2810" t="s">
        <v>78</v>
      </c>
      <c r="Q2810" t="s">
        <v>50</v>
      </c>
      <c r="R2810" t="s">
        <v>1189</v>
      </c>
      <c r="S2810" t="s">
        <v>2407</v>
      </c>
      <c r="T2810" t="s">
        <v>8180</v>
      </c>
      <c r="U2810" s="1">
        <v>46073.996215277781</v>
      </c>
      <c r="V2810" t="s">
        <v>54</v>
      </c>
      <c r="W2810" t="s">
        <v>55</v>
      </c>
      <c r="X2810" t="s">
        <v>134</v>
      </c>
      <c r="Y2810" t="s">
        <v>11001</v>
      </c>
      <c r="Z2810" t="s">
        <v>5594</v>
      </c>
      <c r="AA2810" t="s">
        <v>54</v>
      </c>
      <c r="AB2810" t="s">
        <v>709</v>
      </c>
      <c r="AC2810" t="s">
        <v>85</v>
      </c>
      <c r="AD2810" t="s">
        <v>1189</v>
      </c>
      <c r="AE2810" t="s">
        <v>2407</v>
      </c>
      <c r="AF2810" t="s">
        <v>2408</v>
      </c>
      <c r="AG2810" t="s">
        <v>5594</v>
      </c>
      <c r="AH2810">
        <v>14498</v>
      </c>
      <c r="AK2810">
        <v>6</v>
      </c>
      <c r="AL2810" t="s">
        <v>61</v>
      </c>
      <c r="AM2810" t="s">
        <v>11002</v>
      </c>
      <c r="AN2810" t="s">
        <v>11003</v>
      </c>
    </row>
    <row r="2811" spans="1:40" x14ac:dyDescent="0.35">
      <c r="A2811" t="s">
        <v>37</v>
      </c>
      <c r="B2811" t="s">
        <v>11004</v>
      </c>
      <c r="C2811" t="s">
        <v>39</v>
      </c>
      <c r="D2811" t="s">
        <v>853</v>
      </c>
      <c r="E2811" t="s">
        <v>3310</v>
      </c>
      <c r="F2811" s="1">
        <v>46070.122986111113</v>
      </c>
      <c r="G2811" t="s">
        <v>71</v>
      </c>
      <c r="H2811" t="s">
        <v>72</v>
      </c>
      <c r="I2811" t="s">
        <v>11005</v>
      </c>
      <c r="J2811" t="s">
        <v>1454</v>
      </c>
      <c r="K2811" t="s">
        <v>75</v>
      </c>
      <c r="M2811" t="s">
        <v>47</v>
      </c>
      <c r="O2811" t="s">
        <v>77</v>
      </c>
      <c r="P2811" t="s">
        <v>78</v>
      </c>
      <c r="Q2811" t="s">
        <v>50</v>
      </c>
      <c r="R2811" t="s">
        <v>79</v>
      </c>
      <c r="S2811" t="s">
        <v>80</v>
      </c>
      <c r="T2811" t="s">
        <v>81</v>
      </c>
      <c r="U2811" s="1">
        <v>46072.468321759261</v>
      </c>
      <c r="V2811" t="s">
        <v>54</v>
      </c>
      <c r="W2811" t="s">
        <v>55</v>
      </c>
      <c r="X2811" t="s">
        <v>134</v>
      </c>
      <c r="Y2811" t="s">
        <v>708</v>
      </c>
      <c r="Z2811" t="s">
        <v>5594</v>
      </c>
      <c r="AA2811" t="s">
        <v>54</v>
      </c>
      <c r="AB2811" t="s">
        <v>709</v>
      </c>
      <c r="AC2811" t="s">
        <v>85</v>
      </c>
      <c r="AD2811" t="s">
        <v>79</v>
      </c>
      <c r="AE2811" t="s">
        <v>80</v>
      </c>
      <c r="AF2811" t="s">
        <v>81</v>
      </c>
      <c r="AG2811" t="s">
        <v>5594</v>
      </c>
      <c r="AH2811">
        <v>11777</v>
      </c>
      <c r="AK2811">
        <v>1</v>
      </c>
      <c r="AL2811" t="s">
        <v>61</v>
      </c>
      <c r="AM2811" t="s">
        <v>3312</v>
      </c>
      <c r="AN2811" t="s">
        <v>3313</v>
      </c>
    </row>
    <row r="2812" spans="1:40" x14ac:dyDescent="0.35">
      <c r="A2812" t="s">
        <v>37</v>
      </c>
      <c r="B2812" t="s">
        <v>11006</v>
      </c>
      <c r="C2812" t="s">
        <v>102</v>
      </c>
      <c r="D2812" t="s">
        <v>103</v>
      </c>
      <c r="E2812" t="s">
        <v>104</v>
      </c>
      <c r="F2812" s="1">
        <v>46070.031805555554</v>
      </c>
      <c r="G2812" t="s">
        <v>105</v>
      </c>
      <c r="H2812" t="s">
        <v>106</v>
      </c>
      <c r="I2812" t="s">
        <v>11007</v>
      </c>
      <c r="J2812" t="s">
        <v>108</v>
      </c>
      <c r="K2812" t="s">
        <v>109</v>
      </c>
      <c r="M2812" t="s">
        <v>47</v>
      </c>
      <c r="O2812" t="s">
        <v>77</v>
      </c>
      <c r="P2812" t="s">
        <v>78</v>
      </c>
      <c r="Q2812" t="s">
        <v>110</v>
      </c>
      <c r="R2812" t="s">
        <v>111</v>
      </c>
      <c r="S2812" t="s">
        <v>51</v>
      </c>
      <c r="T2812" t="s">
        <v>1583</v>
      </c>
      <c r="U2812" s="1">
        <v>46072.039664351854</v>
      </c>
      <c r="V2812" t="s">
        <v>54</v>
      </c>
      <c r="W2812" t="s">
        <v>1584</v>
      </c>
      <c r="X2812" t="s">
        <v>113</v>
      </c>
      <c r="Y2812" t="s">
        <v>11008</v>
      </c>
      <c r="Z2812" t="s">
        <v>5594</v>
      </c>
      <c r="AA2812" t="s">
        <v>54</v>
      </c>
      <c r="AB2812" t="s">
        <v>115</v>
      </c>
      <c r="AC2812" t="s">
        <v>85</v>
      </c>
      <c r="AD2812" t="s">
        <v>116</v>
      </c>
      <c r="AE2812" t="s">
        <v>1586</v>
      </c>
      <c r="AF2812" t="s">
        <v>664</v>
      </c>
      <c r="AG2812" t="s">
        <v>5594</v>
      </c>
      <c r="AH2812">
        <v>5928</v>
      </c>
      <c r="AK2812">
        <v>1</v>
      </c>
      <c r="AL2812" t="s">
        <v>61</v>
      </c>
      <c r="AM2812" t="s">
        <v>119</v>
      </c>
      <c r="AN2812" t="s">
        <v>120</v>
      </c>
    </row>
    <row r="2813" spans="1:40" x14ac:dyDescent="0.35">
      <c r="A2813" t="s">
        <v>37</v>
      </c>
      <c r="B2813" t="s">
        <v>11009</v>
      </c>
      <c r="C2813" t="s">
        <v>102</v>
      </c>
      <c r="D2813" t="s">
        <v>103</v>
      </c>
      <c r="E2813" t="s">
        <v>104</v>
      </c>
      <c r="F2813" s="1">
        <v>46070.018275462964</v>
      </c>
      <c r="G2813" t="s">
        <v>105</v>
      </c>
      <c r="H2813" t="s">
        <v>106</v>
      </c>
      <c r="I2813" t="s">
        <v>11010</v>
      </c>
      <c r="J2813" t="s">
        <v>108</v>
      </c>
      <c r="K2813" t="s">
        <v>571</v>
      </c>
      <c r="M2813" t="s">
        <v>47</v>
      </c>
      <c r="O2813" t="s">
        <v>77</v>
      </c>
      <c r="P2813" t="s">
        <v>78</v>
      </c>
      <c r="Q2813" t="s">
        <v>110</v>
      </c>
      <c r="R2813" t="s">
        <v>111</v>
      </c>
      <c r="S2813" t="s">
        <v>51</v>
      </c>
      <c r="T2813" t="s">
        <v>112</v>
      </c>
      <c r="U2813" s="1">
        <v>46072.492106481484</v>
      </c>
      <c r="V2813" t="s">
        <v>54</v>
      </c>
      <c r="W2813" t="s">
        <v>55</v>
      </c>
      <c r="X2813" t="s">
        <v>113</v>
      </c>
      <c r="Y2813" t="s">
        <v>11011</v>
      </c>
      <c r="Z2813" t="s">
        <v>5594</v>
      </c>
      <c r="AA2813" t="s">
        <v>54</v>
      </c>
      <c r="AB2813" t="s">
        <v>115</v>
      </c>
      <c r="AC2813" t="s">
        <v>85</v>
      </c>
      <c r="AD2813" t="s">
        <v>116</v>
      </c>
      <c r="AE2813" t="s">
        <v>6270</v>
      </c>
      <c r="AF2813" t="s">
        <v>664</v>
      </c>
      <c r="AG2813" t="s">
        <v>5594</v>
      </c>
      <c r="AH2813">
        <v>5928</v>
      </c>
      <c r="AK2813">
        <v>1</v>
      </c>
      <c r="AL2813" t="s">
        <v>61</v>
      </c>
      <c r="AM2813" t="s">
        <v>119</v>
      </c>
      <c r="AN2813" t="s">
        <v>120</v>
      </c>
    </row>
    <row r="2814" spans="1:40" x14ac:dyDescent="0.35">
      <c r="A2814" t="s">
        <v>37</v>
      </c>
      <c r="B2814" t="s">
        <v>11012</v>
      </c>
      <c r="C2814" t="s">
        <v>102</v>
      </c>
      <c r="D2814" t="s">
        <v>799</v>
      </c>
      <c r="E2814" t="s">
        <v>2435</v>
      </c>
      <c r="F2814" s="1">
        <v>46069.974699074075</v>
      </c>
      <c r="G2814" t="s">
        <v>540</v>
      </c>
      <c r="H2814" t="s">
        <v>447</v>
      </c>
      <c r="I2814" t="s">
        <v>11013</v>
      </c>
      <c r="J2814" t="s">
        <v>404</v>
      </c>
      <c r="K2814" t="s">
        <v>405</v>
      </c>
      <c r="M2814" t="s">
        <v>47</v>
      </c>
      <c r="O2814" t="s">
        <v>237</v>
      </c>
      <c r="P2814" t="s">
        <v>238</v>
      </c>
      <c r="Q2814" t="s">
        <v>1102</v>
      </c>
      <c r="R2814" t="s">
        <v>51</v>
      </c>
      <c r="S2814" t="s">
        <v>52</v>
      </c>
      <c r="T2814" t="s">
        <v>240</v>
      </c>
      <c r="U2814" s="1">
        <v>46072.534189814818</v>
      </c>
      <c r="V2814" t="s">
        <v>54</v>
      </c>
      <c r="W2814" t="s">
        <v>55</v>
      </c>
      <c r="X2814" t="s">
        <v>211</v>
      </c>
      <c r="Y2814" t="s">
        <v>11014</v>
      </c>
      <c r="Z2814" t="s">
        <v>5594</v>
      </c>
      <c r="AA2814" t="s">
        <v>54</v>
      </c>
      <c r="AB2814" t="s">
        <v>213</v>
      </c>
      <c r="AC2814" t="s">
        <v>242</v>
      </c>
      <c r="AD2814" t="s">
        <v>52</v>
      </c>
      <c r="AE2814" t="s">
        <v>243</v>
      </c>
      <c r="AF2814" t="s">
        <v>244</v>
      </c>
      <c r="AG2814" t="s">
        <v>5594</v>
      </c>
      <c r="AH2814">
        <v>11321</v>
      </c>
      <c r="AK2814">
        <v>1</v>
      </c>
      <c r="AL2814" t="s">
        <v>61</v>
      </c>
      <c r="AM2814" t="s">
        <v>2439</v>
      </c>
      <c r="AN2814" t="s">
        <v>2440</v>
      </c>
    </row>
    <row r="2815" spans="1:40" x14ac:dyDescent="0.35">
      <c r="A2815" t="s">
        <v>37</v>
      </c>
      <c r="B2815" t="s">
        <v>11015</v>
      </c>
      <c r="C2815" t="s">
        <v>39</v>
      </c>
      <c r="D2815" t="s">
        <v>436</v>
      </c>
      <c r="E2815" t="s">
        <v>1316</v>
      </c>
      <c r="F2815" s="1">
        <v>46069.951782407406</v>
      </c>
      <c r="G2815" t="s">
        <v>355</v>
      </c>
      <c r="H2815" t="s">
        <v>356</v>
      </c>
      <c r="I2815" t="s">
        <v>11016</v>
      </c>
      <c r="J2815" t="s">
        <v>2333</v>
      </c>
      <c r="K2815" t="s">
        <v>1187</v>
      </c>
      <c r="M2815" t="s">
        <v>47</v>
      </c>
      <c r="O2815" t="s">
        <v>237</v>
      </c>
      <c r="P2815" t="s">
        <v>238</v>
      </c>
      <c r="Q2815" t="s">
        <v>50</v>
      </c>
      <c r="R2815" t="s">
        <v>51</v>
      </c>
      <c r="S2815" t="s">
        <v>52</v>
      </c>
      <c r="T2815" t="s">
        <v>773</v>
      </c>
      <c r="U2815" s="1">
        <v>46074.815127314818</v>
      </c>
      <c r="V2815" t="s">
        <v>54</v>
      </c>
      <c r="W2815" t="s">
        <v>55</v>
      </c>
      <c r="X2815" t="s">
        <v>134</v>
      </c>
      <c r="Y2815" t="s">
        <v>11017</v>
      </c>
      <c r="Z2815" t="s">
        <v>5594</v>
      </c>
      <c r="AA2815" t="s">
        <v>54</v>
      </c>
      <c r="AB2815" t="s">
        <v>11018</v>
      </c>
      <c r="AC2815" t="s">
        <v>242</v>
      </c>
      <c r="AD2815" t="s">
        <v>1189</v>
      </c>
      <c r="AE2815" t="s">
        <v>1190</v>
      </c>
      <c r="AF2815" t="s">
        <v>11019</v>
      </c>
      <c r="AG2815" t="s">
        <v>5594</v>
      </c>
      <c r="AH2815" t="s">
        <v>11020</v>
      </c>
      <c r="AK2815">
        <v>2</v>
      </c>
      <c r="AL2815" t="s">
        <v>61</v>
      </c>
      <c r="AM2815" t="s">
        <v>11018</v>
      </c>
      <c r="AN2815" t="s">
        <v>11021</v>
      </c>
    </row>
    <row r="2816" spans="1:40" x14ac:dyDescent="0.35">
      <c r="A2816" t="s">
        <v>37</v>
      </c>
      <c r="B2816" t="s">
        <v>11022</v>
      </c>
      <c r="C2816" t="s">
        <v>39</v>
      </c>
      <c r="D2816" t="s">
        <v>583</v>
      </c>
      <c r="E2816" t="s">
        <v>584</v>
      </c>
      <c r="F2816" s="1">
        <v>46069.930960648147</v>
      </c>
      <c r="G2816" t="s">
        <v>585</v>
      </c>
      <c r="H2816" t="s">
        <v>356</v>
      </c>
      <c r="I2816" t="s">
        <v>11023</v>
      </c>
      <c r="J2816" t="s">
        <v>2550</v>
      </c>
      <c r="K2816" t="s">
        <v>2551</v>
      </c>
      <c r="M2816" t="s">
        <v>47</v>
      </c>
      <c r="O2816" t="s">
        <v>77</v>
      </c>
      <c r="P2816" t="s">
        <v>78</v>
      </c>
      <c r="Q2816" t="s">
        <v>50</v>
      </c>
      <c r="R2816" t="s">
        <v>208</v>
      </c>
      <c r="S2816" t="s">
        <v>209</v>
      </c>
      <c r="T2816" t="s">
        <v>2859</v>
      </c>
      <c r="U2816" s="1">
        <v>46072.478159722225</v>
      </c>
      <c r="V2816" t="s">
        <v>54</v>
      </c>
      <c r="W2816" t="s">
        <v>55</v>
      </c>
      <c r="X2816" t="s">
        <v>134</v>
      </c>
      <c r="Y2816" t="s">
        <v>10689</v>
      </c>
      <c r="Z2816" t="s">
        <v>5594</v>
      </c>
      <c r="AA2816" t="s">
        <v>54</v>
      </c>
      <c r="AB2816" t="s">
        <v>3425</v>
      </c>
      <c r="AC2816" t="s">
        <v>85</v>
      </c>
      <c r="AD2816" t="s">
        <v>214</v>
      </c>
      <c r="AE2816" t="s">
        <v>2861</v>
      </c>
      <c r="AF2816" t="s">
        <v>3739</v>
      </c>
      <c r="AG2816" t="s">
        <v>5594</v>
      </c>
      <c r="AK2816">
        <v>3</v>
      </c>
      <c r="AL2816" t="s">
        <v>61</v>
      </c>
      <c r="AM2816" t="s">
        <v>593</v>
      </c>
      <c r="AN2816" t="s">
        <v>594</v>
      </c>
    </row>
    <row r="2817" spans="1:40" x14ac:dyDescent="0.35">
      <c r="A2817" t="s">
        <v>37</v>
      </c>
      <c r="B2817" t="s">
        <v>11024</v>
      </c>
      <c r="C2817" t="s">
        <v>656</v>
      </c>
      <c r="D2817" t="s">
        <v>11025</v>
      </c>
      <c r="E2817" t="s">
        <v>11026</v>
      </c>
      <c r="F2817" s="1">
        <v>46069.925011574072</v>
      </c>
      <c r="G2817" t="s">
        <v>826</v>
      </c>
      <c r="H2817" t="s">
        <v>356</v>
      </c>
      <c r="I2817" t="s">
        <v>11027</v>
      </c>
      <c r="J2817" t="s">
        <v>1926</v>
      </c>
      <c r="K2817" t="s">
        <v>1927</v>
      </c>
      <c r="M2817" t="s">
        <v>76</v>
      </c>
      <c r="O2817" t="s">
        <v>77</v>
      </c>
      <c r="P2817" t="s">
        <v>78</v>
      </c>
      <c r="Q2817" t="s">
        <v>50</v>
      </c>
      <c r="R2817" t="s">
        <v>1927</v>
      </c>
      <c r="S2817" t="s">
        <v>11028</v>
      </c>
      <c r="T2817" t="s">
        <v>967</v>
      </c>
      <c r="U2817" s="1">
        <v>46076.38962962963</v>
      </c>
      <c r="V2817" t="s">
        <v>54</v>
      </c>
      <c r="W2817" t="s">
        <v>55</v>
      </c>
      <c r="X2817" t="s">
        <v>134</v>
      </c>
      <c r="Y2817" t="s">
        <v>11029</v>
      </c>
      <c r="Z2817" t="s">
        <v>58</v>
      </c>
      <c r="AA2817" t="s">
        <v>54</v>
      </c>
      <c r="AB2817" t="s">
        <v>3425</v>
      </c>
      <c r="AC2817" t="s">
        <v>85</v>
      </c>
      <c r="AD2817" t="s">
        <v>1189</v>
      </c>
      <c r="AE2817" t="s">
        <v>2407</v>
      </c>
      <c r="AF2817" t="s">
        <v>2408</v>
      </c>
      <c r="AG2817" t="s">
        <v>58</v>
      </c>
      <c r="AH2817">
        <v>15337</v>
      </c>
      <c r="AK2817">
        <v>0</v>
      </c>
      <c r="AL2817" t="s">
        <v>61</v>
      </c>
      <c r="AM2817" t="s">
        <v>11030</v>
      </c>
      <c r="AN2817" t="s">
        <v>11031</v>
      </c>
    </row>
    <row r="2818" spans="1:40" x14ac:dyDescent="0.35">
      <c r="A2818" t="s">
        <v>37</v>
      </c>
      <c r="B2818" t="s">
        <v>11032</v>
      </c>
      <c r="C2818" t="s">
        <v>39</v>
      </c>
      <c r="D2818" t="s">
        <v>513</v>
      </c>
      <c r="E2818" t="s">
        <v>11033</v>
      </c>
      <c r="F2818" s="1">
        <v>46069.875717592593</v>
      </c>
      <c r="G2818" t="s">
        <v>170</v>
      </c>
      <c r="H2818" t="s">
        <v>92</v>
      </c>
      <c r="I2818" t="s">
        <v>11034</v>
      </c>
      <c r="J2818" t="s">
        <v>1823</v>
      </c>
      <c r="K2818" t="s">
        <v>1824</v>
      </c>
      <c r="M2818" t="s">
        <v>47</v>
      </c>
      <c r="O2818" t="s">
        <v>237</v>
      </c>
      <c r="P2818" t="s">
        <v>238</v>
      </c>
      <c r="Q2818" t="s">
        <v>50</v>
      </c>
      <c r="R2818" t="s">
        <v>51</v>
      </c>
      <c r="S2818" t="s">
        <v>52</v>
      </c>
      <c r="T2818" t="s">
        <v>240</v>
      </c>
      <c r="U2818" s="1">
        <v>46073.543842592589</v>
      </c>
      <c r="V2818" t="s">
        <v>54</v>
      </c>
      <c r="W2818" t="s">
        <v>55</v>
      </c>
      <c r="X2818" t="s">
        <v>134</v>
      </c>
      <c r="Y2818" t="s">
        <v>11035</v>
      </c>
      <c r="Z2818" t="s">
        <v>5594</v>
      </c>
      <c r="AA2818" t="s">
        <v>54</v>
      </c>
      <c r="AB2818" t="s">
        <v>3425</v>
      </c>
      <c r="AC2818" t="s">
        <v>242</v>
      </c>
      <c r="AD2818" t="s">
        <v>52</v>
      </c>
      <c r="AE2818" t="s">
        <v>243</v>
      </c>
      <c r="AF2818" t="s">
        <v>244</v>
      </c>
      <c r="AG2818" t="s">
        <v>5594</v>
      </c>
      <c r="AH2818" t="s">
        <v>11036</v>
      </c>
      <c r="AK2818">
        <v>1</v>
      </c>
      <c r="AL2818" t="s">
        <v>61</v>
      </c>
      <c r="AM2818" t="s">
        <v>7808</v>
      </c>
      <c r="AN2818" t="s">
        <v>11037</v>
      </c>
    </row>
    <row r="2819" spans="1:40" x14ac:dyDescent="0.35">
      <c r="A2819" t="s">
        <v>37</v>
      </c>
      <c r="B2819" t="s">
        <v>11038</v>
      </c>
      <c r="C2819" t="s">
        <v>102</v>
      </c>
      <c r="D2819" t="s">
        <v>533</v>
      </c>
      <c r="E2819" t="s">
        <v>11039</v>
      </c>
      <c r="F2819" s="1">
        <v>46069.87400462963</v>
      </c>
      <c r="G2819" t="s">
        <v>464</v>
      </c>
      <c r="H2819" t="s">
        <v>287</v>
      </c>
      <c r="I2819" t="s">
        <v>11040</v>
      </c>
      <c r="J2819" t="s">
        <v>435</v>
      </c>
      <c r="K2819" t="s">
        <v>436</v>
      </c>
      <c r="M2819" t="s">
        <v>47</v>
      </c>
      <c r="O2819" t="s">
        <v>237</v>
      </c>
      <c r="P2819" t="s">
        <v>238</v>
      </c>
      <c r="Q2819" t="s">
        <v>50</v>
      </c>
      <c r="R2819" t="s">
        <v>51</v>
      </c>
      <c r="S2819" t="s">
        <v>52</v>
      </c>
      <c r="T2819" t="s">
        <v>240</v>
      </c>
      <c r="U2819" s="1">
        <v>46072.412835648145</v>
      </c>
      <c r="V2819" t="s">
        <v>54</v>
      </c>
      <c r="W2819" t="s">
        <v>55</v>
      </c>
      <c r="X2819" t="s">
        <v>134</v>
      </c>
      <c r="Y2819" t="s">
        <v>11041</v>
      </c>
      <c r="Z2819" t="s">
        <v>5594</v>
      </c>
      <c r="AA2819" t="s">
        <v>54</v>
      </c>
      <c r="AB2819" t="s">
        <v>3425</v>
      </c>
      <c r="AC2819" t="s">
        <v>242</v>
      </c>
      <c r="AD2819" t="s">
        <v>52</v>
      </c>
      <c r="AE2819" t="s">
        <v>243</v>
      </c>
      <c r="AF2819" t="s">
        <v>2533</v>
      </c>
      <c r="AG2819" t="s">
        <v>5594</v>
      </c>
      <c r="AH2819" t="s">
        <v>11042</v>
      </c>
      <c r="AK2819">
        <v>0</v>
      </c>
      <c r="AL2819" t="s">
        <v>61</v>
      </c>
      <c r="AM2819" t="s">
        <v>11043</v>
      </c>
      <c r="AN2819" t="s">
        <v>11044</v>
      </c>
    </row>
    <row r="2820" spans="1:40" x14ac:dyDescent="0.35">
      <c r="A2820" t="s">
        <v>37</v>
      </c>
      <c r="B2820" t="s">
        <v>11045</v>
      </c>
      <c r="C2820" t="s">
        <v>656</v>
      </c>
      <c r="D2820" t="s">
        <v>2268</v>
      </c>
      <c r="E2820" t="s">
        <v>2269</v>
      </c>
      <c r="F2820" s="1">
        <v>46069.869467592594</v>
      </c>
      <c r="G2820" t="s">
        <v>355</v>
      </c>
      <c r="H2820" t="s">
        <v>356</v>
      </c>
      <c r="I2820" t="s">
        <v>11046</v>
      </c>
      <c r="J2820" t="s">
        <v>206</v>
      </c>
      <c r="K2820" t="s">
        <v>207</v>
      </c>
      <c r="M2820" t="s">
        <v>47</v>
      </c>
      <c r="O2820" t="s">
        <v>77</v>
      </c>
      <c r="P2820" t="s">
        <v>78</v>
      </c>
      <c r="Q2820" t="s">
        <v>50</v>
      </c>
      <c r="R2820" t="s">
        <v>1189</v>
      </c>
      <c r="S2820" t="s">
        <v>1190</v>
      </c>
      <c r="T2820" t="s">
        <v>999</v>
      </c>
      <c r="U2820" s="1">
        <v>46072.74690972222</v>
      </c>
      <c r="V2820" t="s">
        <v>54</v>
      </c>
      <c r="W2820" t="s">
        <v>55</v>
      </c>
      <c r="X2820" t="s">
        <v>134</v>
      </c>
      <c r="Y2820" t="s">
        <v>11047</v>
      </c>
      <c r="Z2820" t="s">
        <v>5594</v>
      </c>
      <c r="AA2820" t="s">
        <v>54</v>
      </c>
      <c r="AB2820" t="s">
        <v>3425</v>
      </c>
      <c r="AC2820" t="s">
        <v>85</v>
      </c>
      <c r="AD2820" t="s">
        <v>662</v>
      </c>
      <c r="AE2820" t="s">
        <v>2335</v>
      </c>
      <c r="AF2820" t="s">
        <v>2336</v>
      </c>
      <c r="AG2820" t="s">
        <v>5594</v>
      </c>
      <c r="AH2820">
        <v>15060</v>
      </c>
      <c r="AK2820">
        <v>6</v>
      </c>
      <c r="AL2820" t="s">
        <v>61</v>
      </c>
      <c r="AM2820" t="s">
        <v>2273</v>
      </c>
      <c r="AN2820" t="s">
        <v>2274</v>
      </c>
    </row>
    <row r="2821" spans="1:40" x14ac:dyDescent="0.35">
      <c r="A2821" t="s">
        <v>37</v>
      </c>
      <c r="B2821" t="s">
        <v>11048</v>
      </c>
      <c r="C2821" t="s">
        <v>39</v>
      </c>
      <c r="D2821" t="s">
        <v>11049</v>
      </c>
      <c r="E2821" t="s">
        <v>10288</v>
      </c>
      <c r="F2821" s="1">
        <v>46069.856550925928</v>
      </c>
      <c r="G2821" t="s">
        <v>170</v>
      </c>
      <c r="H2821" t="s">
        <v>92</v>
      </c>
      <c r="I2821" t="s">
        <v>11050</v>
      </c>
      <c r="J2821" t="s">
        <v>1186</v>
      </c>
      <c r="K2821" t="s">
        <v>1187</v>
      </c>
      <c r="M2821" t="s">
        <v>47</v>
      </c>
      <c r="O2821" t="s">
        <v>77</v>
      </c>
      <c r="P2821" t="s">
        <v>78</v>
      </c>
      <c r="Q2821" t="s">
        <v>50</v>
      </c>
      <c r="R2821" t="s">
        <v>79</v>
      </c>
      <c r="S2821" t="s">
        <v>172</v>
      </c>
      <c r="T2821" t="s">
        <v>4510</v>
      </c>
      <c r="U2821" s="1">
        <v>46072.344259259262</v>
      </c>
      <c r="V2821" t="s">
        <v>54</v>
      </c>
      <c r="W2821" t="s">
        <v>55</v>
      </c>
      <c r="X2821" t="s">
        <v>134</v>
      </c>
      <c r="Y2821" t="s">
        <v>11051</v>
      </c>
      <c r="Z2821" t="s">
        <v>5594</v>
      </c>
      <c r="AA2821" t="s">
        <v>54</v>
      </c>
      <c r="AB2821" t="s">
        <v>3425</v>
      </c>
      <c r="AC2821" t="s">
        <v>85</v>
      </c>
      <c r="AD2821" t="s">
        <v>1189</v>
      </c>
      <c r="AE2821" t="s">
        <v>1190</v>
      </c>
      <c r="AF2821" t="s">
        <v>4512</v>
      </c>
      <c r="AG2821" t="s">
        <v>5594</v>
      </c>
      <c r="AH2821" t="s">
        <v>11052</v>
      </c>
      <c r="AK2821">
        <v>3</v>
      </c>
      <c r="AL2821" t="s">
        <v>61</v>
      </c>
      <c r="AM2821" t="s">
        <v>11053</v>
      </c>
      <c r="AN2821" t="s">
        <v>11054</v>
      </c>
    </row>
    <row r="2822" spans="1:40" x14ac:dyDescent="0.35">
      <c r="A2822" t="s">
        <v>37</v>
      </c>
      <c r="B2822" t="s">
        <v>11055</v>
      </c>
      <c r="C2822" t="s">
        <v>39</v>
      </c>
      <c r="D2822" t="s">
        <v>513</v>
      </c>
      <c r="E2822" t="s">
        <v>7706</v>
      </c>
      <c r="F2822" s="1">
        <v>46069.821550925924</v>
      </c>
      <c r="G2822" t="s">
        <v>170</v>
      </c>
      <c r="H2822" t="s">
        <v>92</v>
      </c>
      <c r="I2822" t="s">
        <v>11056</v>
      </c>
      <c r="J2822" t="s">
        <v>9472</v>
      </c>
      <c r="K2822" t="s">
        <v>588</v>
      </c>
      <c r="M2822" t="s">
        <v>47</v>
      </c>
      <c r="O2822" t="s">
        <v>77</v>
      </c>
      <c r="P2822" t="s">
        <v>78</v>
      </c>
      <c r="Q2822" t="s">
        <v>50</v>
      </c>
      <c r="R2822" t="s">
        <v>1993</v>
      </c>
      <c r="S2822" t="s">
        <v>11057</v>
      </c>
      <c r="T2822" t="s">
        <v>11058</v>
      </c>
      <c r="U2822" s="1">
        <v>46073.140590277777</v>
      </c>
      <c r="V2822" t="s">
        <v>54</v>
      </c>
      <c r="W2822" t="s">
        <v>55</v>
      </c>
      <c r="X2822" t="s">
        <v>134</v>
      </c>
      <c r="Y2822" t="s">
        <v>11059</v>
      </c>
      <c r="Z2822" t="s">
        <v>5594</v>
      </c>
      <c r="AA2822" t="s">
        <v>54</v>
      </c>
      <c r="AB2822" t="s">
        <v>176</v>
      </c>
      <c r="AC2822" t="s">
        <v>85</v>
      </c>
      <c r="AD2822" t="s">
        <v>1993</v>
      </c>
      <c r="AE2822" t="s">
        <v>11060</v>
      </c>
      <c r="AF2822" t="s">
        <v>11061</v>
      </c>
      <c r="AG2822" t="s">
        <v>5594</v>
      </c>
      <c r="AH2822">
        <v>15242</v>
      </c>
      <c r="AK2822">
        <v>0</v>
      </c>
      <c r="AL2822" t="s">
        <v>61</v>
      </c>
      <c r="AM2822" t="s">
        <v>7707</v>
      </c>
      <c r="AN2822" t="s">
        <v>7708</v>
      </c>
    </row>
    <row r="2823" spans="1:40" x14ac:dyDescent="0.35">
      <c r="A2823" t="s">
        <v>37</v>
      </c>
      <c r="B2823" t="s">
        <v>11062</v>
      </c>
      <c r="C2823" t="s">
        <v>102</v>
      </c>
      <c r="D2823" t="s">
        <v>11063</v>
      </c>
      <c r="E2823" t="s">
        <v>11064</v>
      </c>
      <c r="F2823" s="1">
        <v>46069.814363425925</v>
      </c>
      <c r="G2823" t="s">
        <v>250</v>
      </c>
      <c r="H2823" t="s">
        <v>106</v>
      </c>
      <c r="I2823" t="s">
        <v>11065</v>
      </c>
      <c r="J2823" t="s">
        <v>1015</v>
      </c>
      <c r="K2823" t="s">
        <v>75</v>
      </c>
      <c r="M2823" t="s">
        <v>76</v>
      </c>
      <c r="O2823" t="s">
        <v>237</v>
      </c>
      <c r="P2823" t="s">
        <v>238</v>
      </c>
      <c r="R2823" t="s">
        <v>305</v>
      </c>
      <c r="S2823" t="s">
        <v>306</v>
      </c>
      <c r="T2823" t="s">
        <v>307</v>
      </c>
      <c r="U2823" s="1">
        <v>46077.546249999999</v>
      </c>
      <c r="V2823" t="s">
        <v>54</v>
      </c>
      <c r="W2823" t="s">
        <v>55</v>
      </c>
      <c r="X2823" t="s">
        <v>211</v>
      </c>
      <c r="Y2823" t="s">
        <v>9933</v>
      </c>
      <c r="Z2823" t="s">
        <v>58</v>
      </c>
      <c r="AA2823" t="s">
        <v>54</v>
      </c>
      <c r="AB2823" t="s">
        <v>213</v>
      </c>
      <c r="AC2823" t="s">
        <v>242</v>
      </c>
      <c r="AD2823" t="s">
        <v>79</v>
      </c>
      <c r="AE2823" t="s">
        <v>4503</v>
      </c>
      <c r="AF2823" t="s">
        <v>11066</v>
      </c>
      <c r="AG2823" t="s">
        <v>58</v>
      </c>
      <c r="AH2823">
        <v>14849</v>
      </c>
      <c r="AK2823">
        <v>4</v>
      </c>
      <c r="AL2823" t="s">
        <v>61</v>
      </c>
      <c r="AM2823" t="s">
        <v>11067</v>
      </c>
      <c r="AN2823" t="s">
        <v>11068</v>
      </c>
    </row>
    <row r="2824" spans="1:40" x14ac:dyDescent="0.35">
      <c r="A2824" t="s">
        <v>37</v>
      </c>
      <c r="B2824" t="s">
        <v>11069</v>
      </c>
      <c r="C2824" t="s">
        <v>39</v>
      </c>
      <c r="D2824" t="s">
        <v>11070</v>
      </c>
      <c r="E2824" t="s">
        <v>11071</v>
      </c>
      <c r="F2824" s="1">
        <v>46069.810856481483</v>
      </c>
      <c r="G2824" t="s">
        <v>327</v>
      </c>
      <c r="H2824" t="s">
        <v>72</v>
      </c>
      <c r="I2824" t="s">
        <v>11072</v>
      </c>
      <c r="J2824" t="s">
        <v>9282</v>
      </c>
      <c r="K2824" t="s">
        <v>9283</v>
      </c>
      <c r="M2824" t="s">
        <v>47</v>
      </c>
      <c r="O2824" t="s">
        <v>77</v>
      </c>
      <c r="P2824" t="s">
        <v>78</v>
      </c>
      <c r="Q2824" t="s">
        <v>50</v>
      </c>
      <c r="R2824" t="s">
        <v>51</v>
      </c>
      <c r="S2824" t="s">
        <v>52</v>
      </c>
      <c r="T2824" t="s">
        <v>240</v>
      </c>
      <c r="U2824" s="1">
        <v>46073.612291666665</v>
      </c>
      <c r="V2824" t="s">
        <v>54</v>
      </c>
      <c r="W2824" t="s">
        <v>55</v>
      </c>
      <c r="X2824" t="s">
        <v>134</v>
      </c>
      <c r="Y2824" t="s">
        <v>9908</v>
      </c>
      <c r="Z2824" t="s">
        <v>5594</v>
      </c>
      <c r="AA2824" t="s">
        <v>54</v>
      </c>
      <c r="AB2824" t="s">
        <v>3425</v>
      </c>
      <c r="AC2824" t="s">
        <v>85</v>
      </c>
      <c r="AD2824" t="s">
        <v>79</v>
      </c>
      <c r="AE2824" t="s">
        <v>558</v>
      </c>
      <c r="AF2824" t="s">
        <v>1110</v>
      </c>
      <c r="AG2824" t="s">
        <v>5594</v>
      </c>
      <c r="AH2824">
        <v>15939</v>
      </c>
      <c r="AK2824">
        <v>0</v>
      </c>
      <c r="AL2824" t="s">
        <v>61</v>
      </c>
      <c r="AM2824" t="s">
        <v>11073</v>
      </c>
      <c r="AN2824" t="s">
        <v>11074</v>
      </c>
    </row>
    <row r="2825" spans="1:40" x14ac:dyDescent="0.35">
      <c r="A2825" t="s">
        <v>37</v>
      </c>
      <c r="B2825" t="s">
        <v>11075</v>
      </c>
      <c r="C2825" t="s">
        <v>39</v>
      </c>
      <c r="D2825" t="s">
        <v>11076</v>
      </c>
      <c r="E2825" t="s">
        <v>11077</v>
      </c>
      <c r="F2825" s="1">
        <v>46069.808738425927</v>
      </c>
      <c r="G2825" t="s">
        <v>170</v>
      </c>
      <c r="H2825" t="s">
        <v>92</v>
      </c>
      <c r="I2825" t="s">
        <v>11078</v>
      </c>
      <c r="J2825" t="s">
        <v>9282</v>
      </c>
      <c r="K2825" t="s">
        <v>9283</v>
      </c>
      <c r="M2825" t="s">
        <v>47</v>
      </c>
      <c r="O2825" t="s">
        <v>77</v>
      </c>
      <c r="P2825" t="s">
        <v>78</v>
      </c>
      <c r="Q2825" t="s">
        <v>50</v>
      </c>
      <c r="R2825" t="s">
        <v>51</v>
      </c>
      <c r="S2825" t="s">
        <v>52</v>
      </c>
      <c r="T2825" t="s">
        <v>240</v>
      </c>
      <c r="U2825" s="1">
        <v>46073.612002314818</v>
      </c>
      <c r="V2825" t="s">
        <v>54</v>
      </c>
      <c r="W2825" t="s">
        <v>55</v>
      </c>
      <c r="X2825" t="s">
        <v>134</v>
      </c>
      <c r="Y2825" t="s">
        <v>9908</v>
      </c>
      <c r="Z2825" t="s">
        <v>5594</v>
      </c>
      <c r="AA2825" t="s">
        <v>54</v>
      </c>
      <c r="AB2825" t="s">
        <v>3425</v>
      </c>
      <c r="AC2825" t="s">
        <v>85</v>
      </c>
      <c r="AD2825" t="s">
        <v>79</v>
      </c>
      <c r="AE2825" t="s">
        <v>558</v>
      </c>
      <c r="AF2825" t="s">
        <v>1110</v>
      </c>
      <c r="AG2825" t="s">
        <v>5594</v>
      </c>
      <c r="AH2825" t="s">
        <v>11079</v>
      </c>
      <c r="AK2825">
        <v>0</v>
      </c>
      <c r="AL2825" t="s">
        <v>61</v>
      </c>
      <c r="AM2825" t="s">
        <v>11080</v>
      </c>
      <c r="AN2825" t="s">
        <v>11081</v>
      </c>
    </row>
    <row r="2826" spans="1:40" x14ac:dyDescent="0.35">
      <c r="A2826" t="s">
        <v>37</v>
      </c>
      <c r="B2826" t="s">
        <v>11082</v>
      </c>
      <c r="C2826" t="s">
        <v>39</v>
      </c>
      <c r="D2826" t="s">
        <v>2707</v>
      </c>
      <c r="E2826" t="s">
        <v>469</v>
      </c>
      <c r="F2826" s="1">
        <v>46069.768159722225</v>
      </c>
      <c r="G2826" t="s">
        <v>170</v>
      </c>
      <c r="H2826" t="s">
        <v>92</v>
      </c>
      <c r="I2826" t="s">
        <v>11083</v>
      </c>
      <c r="J2826" t="s">
        <v>11084</v>
      </c>
      <c r="K2826" t="s">
        <v>588</v>
      </c>
      <c r="M2826" t="s">
        <v>47</v>
      </c>
      <c r="O2826" t="s">
        <v>77</v>
      </c>
      <c r="P2826" t="s">
        <v>78</v>
      </c>
      <c r="Q2826" t="s">
        <v>50</v>
      </c>
      <c r="R2826" t="s">
        <v>79</v>
      </c>
      <c r="S2826" t="s">
        <v>1339</v>
      </c>
      <c r="T2826" t="s">
        <v>11085</v>
      </c>
      <c r="U2826" s="1">
        <v>46072.63548611111</v>
      </c>
      <c r="V2826" t="s">
        <v>54</v>
      </c>
      <c r="W2826" t="s">
        <v>55</v>
      </c>
      <c r="X2826" t="s">
        <v>134</v>
      </c>
      <c r="Y2826" t="s">
        <v>11086</v>
      </c>
      <c r="Z2826" t="s">
        <v>5594</v>
      </c>
      <c r="AA2826" t="s">
        <v>54</v>
      </c>
      <c r="AB2826" t="s">
        <v>176</v>
      </c>
      <c r="AC2826" t="s">
        <v>85</v>
      </c>
      <c r="AD2826" t="s">
        <v>79</v>
      </c>
      <c r="AE2826" t="s">
        <v>1339</v>
      </c>
      <c r="AF2826" t="s">
        <v>11087</v>
      </c>
      <c r="AG2826" t="s">
        <v>5594</v>
      </c>
      <c r="AH2826">
        <v>15162</v>
      </c>
      <c r="AK2826">
        <v>0</v>
      </c>
      <c r="AL2826" t="s">
        <v>61</v>
      </c>
      <c r="AM2826" t="s">
        <v>2711</v>
      </c>
      <c r="AN2826" t="s">
        <v>2712</v>
      </c>
    </row>
    <row r="2827" spans="1:40" x14ac:dyDescent="0.35">
      <c r="A2827" t="s">
        <v>37</v>
      </c>
      <c r="B2827" t="s">
        <v>11088</v>
      </c>
      <c r="C2827" t="s">
        <v>39</v>
      </c>
      <c r="D2827" t="s">
        <v>5734</v>
      </c>
      <c r="E2827" t="s">
        <v>2850</v>
      </c>
      <c r="F2827" s="1">
        <v>46069.751203703701</v>
      </c>
      <c r="G2827" t="s">
        <v>250</v>
      </c>
      <c r="H2827" t="s">
        <v>106</v>
      </c>
      <c r="I2827" t="s">
        <v>205</v>
      </c>
      <c r="J2827" t="s">
        <v>1692</v>
      </c>
      <c r="K2827" t="s">
        <v>207</v>
      </c>
      <c r="M2827" t="s">
        <v>47</v>
      </c>
      <c r="O2827" t="s">
        <v>77</v>
      </c>
      <c r="P2827" t="s">
        <v>78</v>
      </c>
      <c r="Q2827" t="s">
        <v>10382</v>
      </c>
      <c r="R2827" t="s">
        <v>305</v>
      </c>
      <c r="S2827" t="s">
        <v>306</v>
      </c>
      <c r="T2827" t="s">
        <v>307</v>
      </c>
      <c r="U2827" s="1">
        <v>46074.434791666667</v>
      </c>
      <c r="V2827" t="s">
        <v>54</v>
      </c>
      <c r="W2827" t="s">
        <v>55</v>
      </c>
      <c r="X2827" t="s">
        <v>211</v>
      </c>
      <c r="Y2827" t="s">
        <v>2045</v>
      </c>
      <c r="Z2827" t="s">
        <v>5594</v>
      </c>
      <c r="AA2827" t="s">
        <v>54</v>
      </c>
      <c r="AB2827" t="s">
        <v>213</v>
      </c>
      <c r="AC2827" t="s">
        <v>85</v>
      </c>
      <c r="AD2827" t="s">
        <v>214</v>
      </c>
      <c r="AE2827" t="s">
        <v>215</v>
      </c>
      <c r="AF2827" t="s">
        <v>161</v>
      </c>
      <c r="AG2827" t="s">
        <v>5594</v>
      </c>
      <c r="AH2827">
        <v>4691</v>
      </c>
      <c r="AK2827">
        <v>1</v>
      </c>
      <c r="AL2827" t="s">
        <v>61</v>
      </c>
      <c r="AM2827" t="s">
        <v>11089</v>
      </c>
      <c r="AN2827" t="s">
        <v>11090</v>
      </c>
    </row>
    <row r="2828" spans="1:40" x14ac:dyDescent="0.35">
      <c r="A2828" t="s">
        <v>37</v>
      </c>
      <c r="B2828" t="s">
        <v>11091</v>
      </c>
      <c r="C2828" t="s">
        <v>102</v>
      </c>
      <c r="D2828" t="s">
        <v>69</v>
      </c>
      <c r="E2828" t="s">
        <v>70</v>
      </c>
      <c r="F2828" s="1">
        <v>46069.658368055556</v>
      </c>
      <c r="G2828" t="s">
        <v>71</v>
      </c>
      <c r="H2828" t="s">
        <v>72</v>
      </c>
      <c r="I2828" t="s">
        <v>11092</v>
      </c>
      <c r="J2828" t="s">
        <v>8127</v>
      </c>
      <c r="K2828" t="s">
        <v>1627</v>
      </c>
      <c r="M2828" t="s">
        <v>131</v>
      </c>
      <c r="O2828" t="s">
        <v>237</v>
      </c>
      <c r="P2828" t="s">
        <v>238</v>
      </c>
      <c r="R2828" t="s">
        <v>2670</v>
      </c>
      <c r="S2828" t="s">
        <v>10996</v>
      </c>
      <c r="T2828" t="s">
        <v>10997</v>
      </c>
      <c r="U2828" s="1">
        <v>46078.481203703705</v>
      </c>
      <c r="V2828" t="s">
        <v>54</v>
      </c>
      <c r="W2828" t="s">
        <v>55</v>
      </c>
      <c r="X2828" t="s">
        <v>82</v>
      </c>
      <c r="Y2828" t="s">
        <v>11093</v>
      </c>
      <c r="Z2828" t="s">
        <v>58</v>
      </c>
      <c r="AA2828" t="s">
        <v>54</v>
      </c>
      <c r="AB2828" t="s">
        <v>645</v>
      </c>
      <c r="AC2828" t="s">
        <v>242</v>
      </c>
      <c r="AD2828" t="s">
        <v>2670</v>
      </c>
      <c r="AE2828" t="s">
        <v>8130</v>
      </c>
      <c r="AF2828" t="s">
        <v>8131</v>
      </c>
      <c r="AG2828" t="s">
        <v>58</v>
      </c>
      <c r="AH2828">
        <v>15896</v>
      </c>
      <c r="AK2828">
        <v>6</v>
      </c>
      <c r="AL2828" t="s">
        <v>61</v>
      </c>
      <c r="AM2828" t="s">
        <v>86</v>
      </c>
      <c r="AN2828" t="s">
        <v>87</v>
      </c>
    </row>
    <row r="2829" spans="1:40" x14ac:dyDescent="0.35">
      <c r="A2829" t="s">
        <v>37</v>
      </c>
      <c r="B2829" t="s">
        <v>11094</v>
      </c>
      <c r="C2829" t="s">
        <v>39</v>
      </c>
      <c r="D2829" t="s">
        <v>10723</v>
      </c>
      <c r="E2829" t="s">
        <v>10724</v>
      </c>
      <c r="F2829" s="1">
        <v>46069.628819444442</v>
      </c>
      <c r="G2829" t="s">
        <v>402</v>
      </c>
      <c r="H2829" t="s">
        <v>72</v>
      </c>
      <c r="I2829" t="s">
        <v>11095</v>
      </c>
      <c r="J2829" t="s">
        <v>2772</v>
      </c>
      <c r="K2829" t="s">
        <v>10726</v>
      </c>
      <c r="M2829" t="s">
        <v>131</v>
      </c>
      <c r="O2829" t="s">
        <v>77</v>
      </c>
      <c r="P2829" t="s">
        <v>78</v>
      </c>
      <c r="Q2829" t="s">
        <v>50</v>
      </c>
      <c r="R2829" t="s">
        <v>51</v>
      </c>
      <c r="S2829" t="s">
        <v>52</v>
      </c>
      <c r="T2829" t="s">
        <v>240</v>
      </c>
      <c r="U2829" s="1">
        <v>46077.43309027778</v>
      </c>
      <c r="V2829" t="s">
        <v>54</v>
      </c>
      <c r="W2829" t="s">
        <v>55</v>
      </c>
      <c r="X2829" t="s">
        <v>56</v>
      </c>
      <c r="Y2829" t="s">
        <v>11096</v>
      </c>
      <c r="Z2829" t="s">
        <v>58</v>
      </c>
      <c r="AA2829" t="s">
        <v>54</v>
      </c>
      <c r="AB2829" t="s">
        <v>2775</v>
      </c>
      <c r="AC2829" t="s">
        <v>85</v>
      </c>
      <c r="AD2829" t="s">
        <v>52</v>
      </c>
      <c r="AE2829" t="s">
        <v>243</v>
      </c>
      <c r="AF2829" t="s">
        <v>244</v>
      </c>
      <c r="AG2829" t="s">
        <v>58</v>
      </c>
      <c r="AH2829">
        <v>12740</v>
      </c>
      <c r="AK2829">
        <v>0</v>
      </c>
      <c r="AL2829" t="s">
        <v>61</v>
      </c>
      <c r="AM2829" t="s">
        <v>10728</v>
      </c>
      <c r="AN2829" t="s">
        <v>10729</v>
      </c>
    </row>
    <row r="2830" spans="1:40" x14ac:dyDescent="0.35">
      <c r="A2830" t="s">
        <v>37</v>
      </c>
      <c r="B2830" t="s">
        <v>11097</v>
      </c>
      <c r="C2830" t="s">
        <v>39</v>
      </c>
      <c r="D2830" t="s">
        <v>1751</v>
      </c>
      <c r="E2830" t="s">
        <v>1316</v>
      </c>
      <c r="F2830" s="1">
        <v>46069.598402777781</v>
      </c>
      <c r="G2830" t="s">
        <v>1752</v>
      </c>
      <c r="H2830" t="s">
        <v>447</v>
      </c>
      <c r="I2830" t="s">
        <v>11098</v>
      </c>
      <c r="J2830" t="s">
        <v>1754</v>
      </c>
      <c r="K2830" t="s">
        <v>1755</v>
      </c>
      <c r="M2830" t="s">
        <v>47</v>
      </c>
      <c r="O2830" t="s">
        <v>77</v>
      </c>
      <c r="P2830" t="s">
        <v>78</v>
      </c>
      <c r="Q2830" t="s">
        <v>50</v>
      </c>
      <c r="R2830" t="s">
        <v>51</v>
      </c>
      <c r="S2830" t="s">
        <v>52</v>
      </c>
      <c r="T2830" t="s">
        <v>773</v>
      </c>
      <c r="U2830" s="1">
        <v>46074.903217592589</v>
      </c>
      <c r="V2830" t="s">
        <v>54</v>
      </c>
      <c r="W2830" t="s">
        <v>55</v>
      </c>
      <c r="X2830" t="s">
        <v>134</v>
      </c>
      <c r="Y2830" t="s">
        <v>11099</v>
      </c>
      <c r="Z2830" t="s">
        <v>5594</v>
      </c>
      <c r="AA2830" t="s">
        <v>54</v>
      </c>
      <c r="AB2830" t="s">
        <v>1757</v>
      </c>
      <c r="AC2830" t="s">
        <v>85</v>
      </c>
      <c r="AD2830" t="s">
        <v>52</v>
      </c>
      <c r="AE2830" t="s">
        <v>243</v>
      </c>
      <c r="AF2830" t="s">
        <v>409</v>
      </c>
      <c r="AG2830" t="s">
        <v>5594</v>
      </c>
      <c r="AK2830">
        <v>1</v>
      </c>
      <c r="AL2830" t="s">
        <v>61</v>
      </c>
      <c r="AM2830" t="s">
        <v>1757</v>
      </c>
      <c r="AN2830" t="s">
        <v>1758</v>
      </c>
    </row>
    <row r="2831" spans="1:40" x14ac:dyDescent="0.35">
      <c r="A2831" t="s">
        <v>37</v>
      </c>
      <c r="B2831" t="s">
        <v>11100</v>
      </c>
      <c r="C2831" t="s">
        <v>39</v>
      </c>
      <c r="D2831" t="s">
        <v>2230</v>
      </c>
      <c r="E2831" t="s">
        <v>6174</v>
      </c>
      <c r="F2831" s="1">
        <v>46069.58016203704</v>
      </c>
      <c r="G2831" t="s">
        <v>304</v>
      </c>
      <c r="H2831" t="s">
        <v>106</v>
      </c>
      <c r="I2831" t="s">
        <v>11101</v>
      </c>
      <c r="J2831" t="s">
        <v>10019</v>
      </c>
      <c r="K2831" t="s">
        <v>75</v>
      </c>
      <c r="M2831" t="s">
        <v>76</v>
      </c>
      <c r="O2831" t="s">
        <v>77</v>
      </c>
      <c r="P2831" t="s">
        <v>78</v>
      </c>
      <c r="Q2831" t="s">
        <v>50</v>
      </c>
      <c r="R2831" t="s">
        <v>305</v>
      </c>
      <c r="S2831" t="s">
        <v>306</v>
      </c>
      <c r="T2831" t="s">
        <v>307</v>
      </c>
      <c r="U2831" s="1">
        <v>46077.537129629629</v>
      </c>
      <c r="V2831" t="s">
        <v>54</v>
      </c>
      <c r="W2831" t="s">
        <v>55</v>
      </c>
      <c r="X2831" t="s">
        <v>211</v>
      </c>
      <c r="Y2831" t="s">
        <v>11102</v>
      </c>
      <c r="Z2831" t="s">
        <v>58</v>
      </c>
      <c r="AA2831" t="s">
        <v>54</v>
      </c>
      <c r="AB2831" t="s">
        <v>213</v>
      </c>
      <c r="AC2831" t="s">
        <v>85</v>
      </c>
      <c r="AD2831" t="s">
        <v>79</v>
      </c>
      <c r="AE2831" t="s">
        <v>642</v>
      </c>
      <c r="AF2831" t="s">
        <v>643</v>
      </c>
      <c r="AG2831" t="s">
        <v>58</v>
      </c>
      <c r="AH2831">
        <v>13304</v>
      </c>
      <c r="AK2831">
        <v>8</v>
      </c>
      <c r="AL2831" t="s">
        <v>61</v>
      </c>
      <c r="AM2831" t="s">
        <v>11103</v>
      </c>
      <c r="AN2831" t="s">
        <v>11104</v>
      </c>
    </row>
    <row r="2832" spans="1:40" x14ac:dyDescent="0.35">
      <c r="A2832" t="s">
        <v>37</v>
      </c>
      <c r="B2832" t="s">
        <v>11105</v>
      </c>
      <c r="C2832" t="s">
        <v>39</v>
      </c>
      <c r="D2832" t="s">
        <v>11106</v>
      </c>
      <c r="E2832" t="s">
        <v>11107</v>
      </c>
      <c r="F2832" s="1">
        <v>46069.578425925924</v>
      </c>
      <c r="G2832" t="s">
        <v>286</v>
      </c>
      <c r="H2832" t="s">
        <v>287</v>
      </c>
      <c r="I2832" t="s">
        <v>1446</v>
      </c>
      <c r="J2832" t="s">
        <v>2333</v>
      </c>
      <c r="K2832" t="s">
        <v>1187</v>
      </c>
      <c r="M2832" t="s">
        <v>47</v>
      </c>
      <c r="O2832" t="s">
        <v>77</v>
      </c>
      <c r="P2832" t="s">
        <v>78</v>
      </c>
      <c r="Q2832" t="s">
        <v>50</v>
      </c>
      <c r="R2832" t="s">
        <v>305</v>
      </c>
      <c r="S2832" t="s">
        <v>306</v>
      </c>
      <c r="T2832" t="s">
        <v>307</v>
      </c>
      <c r="U2832" s="1">
        <v>46073.434247685182</v>
      </c>
      <c r="V2832" t="s">
        <v>54</v>
      </c>
      <c r="W2832" t="s">
        <v>55</v>
      </c>
      <c r="X2832" t="s">
        <v>211</v>
      </c>
      <c r="Y2832" t="s">
        <v>11108</v>
      </c>
      <c r="Z2832" t="s">
        <v>5594</v>
      </c>
      <c r="AA2832" t="s">
        <v>54</v>
      </c>
      <c r="AB2832" t="s">
        <v>213</v>
      </c>
      <c r="AC2832" t="s">
        <v>85</v>
      </c>
      <c r="AD2832" t="s">
        <v>1189</v>
      </c>
      <c r="AE2832" t="s">
        <v>3436</v>
      </c>
      <c r="AF2832" t="s">
        <v>3437</v>
      </c>
      <c r="AG2832" t="s">
        <v>5594</v>
      </c>
      <c r="AH2832" t="s">
        <v>11109</v>
      </c>
      <c r="AK2832">
        <v>6</v>
      </c>
      <c r="AL2832" t="s">
        <v>61</v>
      </c>
      <c r="AM2832" t="s">
        <v>11110</v>
      </c>
      <c r="AN2832" t="s">
        <v>11111</v>
      </c>
    </row>
    <row r="2833" spans="1:40" x14ac:dyDescent="0.35">
      <c r="A2833" t="s">
        <v>37</v>
      </c>
      <c r="B2833" t="s">
        <v>11112</v>
      </c>
      <c r="C2833" t="s">
        <v>39</v>
      </c>
      <c r="D2833" t="s">
        <v>11113</v>
      </c>
      <c r="E2833" t="s">
        <v>11114</v>
      </c>
      <c r="F2833" s="1">
        <v>46069.577141203707</v>
      </c>
      <c r="G2833" t="s">
        <v>42</v>
      </c>
      <c r="H2833" t="s">
        <v>43</v>
      </c>
      <c r="I2833" t="s">
        <v>205</v>
      </c>
      <c r="J2833" t="s">
        <v>1692</v>
      </c>
      <c r="K2833" t="s">
        <v>207</v>
      </c>
      <c r="M2833" t="s">
        <v>47</v>
      </c>
      <c r="O2833" t="s">
        <v>77</v>
      </c>
      <c r="P2833" t="s">
        <v>78</v>
      </c>
      <c r="Q2833" t="s">
        <v>50</v>
      </c>
      <c r="R2833" t="s">
        <v>305</v>
      </c>
      <c r="S2833" t="s">
        <v>306</v>
      </c>
      <c r="T2833" t="s">
        <v>307</v>
      </c>
      <c r="U2833" s="1">
        <v>46073.123865740738</v>
      </c>
      <c r="V2833" t="s">
        <v>54</v>
      </c>
      <c r="W2833" t="s">
        <v>55</v>
      </c>
      <c r="X2833" t="s">
        <v>211</v>
      </c>
      <c r="Y2833" t="s">
        <v>11115</v>
      </c>
      <c r="Z2833" t="s">
        <v>5594</v>
      </c>
      <c r="AA2833" t="s">
        <v>54</v>
      </c>
      <c r="AB2833" t="s">
        <v>213</v>
      </c>
      <c r="AC2833" t="s">
        <v>85</v>
      </c>
      <c r="AD2833" t="s">
        <v>214</v>
      </c>
      <c r="AE2833" t="s">
        <v>215</v>
      </c>
      <c r="AF2833" t="s">
        <v>2083</v>
      </c>
      <c r="AG2833" t="s">
        <v>5594</v>
      </c>
      <c r="AH2833" t="s">
        <v>11116</v>
      </c>
      <c r="AK2833">
        <v>3</v>
      </c>
      <c r="AL2833" t="s">
        <v>61</v>
      </c>
      <c r="AM2833" t="s">
        <v>11117</v>
      </c>
      <c r="AN2833" t="s">
        <v>11118</v>
      </c>
    </row>
    <row r="2834" spans="1:40" x14ac:dyDescent="0.35">
      <c r="A2834" t="s">
        <v>37</v>
      </c>
      <c r="B2834" t="s">
        <v>11119</v>
      </c>
      <c r="C2834" t="s">
        <v>39</v>
      </c>
      <c r="D2834" t="s">
        <v>799</v>
      </c>
      <c r="E2834" t="s">
        <v>303</v>
      </c>
      <c r="F2834" s="1">
        <v>46069.563831018517</v>
      </c>
      <c r="G2834" t="s">
        <v>370</v>
      </c>
      <c r="H2834" t="s">
        <v>371</v>
      </c>
      <c r="I2834" t="s">
        <v>1185</v>
      </c>
      <c r="J2834" t="s">
        <v>2333</v>
      </c>
      <c r="K2834" t="s">
        <v>1187</v>
      </c>
      <c r="M2834" t="s">
        <v>47</v>
      </c>
      <c r="O2834" t="s">
        <v>77</v>
      </c>
      <c r="P2834" t="s">
        <v>78</v>
      </c>
      <c r="Q2834" t="s">
        <v>50</v>
      </c>
      <c r="R2834" t="s">
        <v>305</v>
      </c>
      <c r="S2834" t="s">
        <v>306</v>
      </c>
      <c r="T2834" t="s">
        <v>307</v>
      </c>
      <c r="U2834" s="1">
        <v>46074.75508101852</v>
      </c>
      <c r="V2834" t="s">
        <v>54</v>
      </c>
      <c r="W2834" t="s">
        <v>55</v>
      </c>
      <c r="X2834" t="s">
        <v>211</v>
      </c>
      <c r="Y2834" t="s">
        <v>11120</v>
      </c>
      <c r="Z2834" t="s">
        <v>5594</v>
      </c>
      <c r="AA2834" t="s">
        <v>54</v>
      </c>
      <c r="AB2834" t="s">
        <v>213</v>
      </c>
      <c r="AC2834" t="s">
        <v>85</v>
      </c>
      <c r="AD2834" t="s">
        <v>1189</v>
      </c>
      <c r="AE2834" t="s">
        <v>1190</v>
      </c>
      <c r="AF2834" t="s">
        <v>11019</v>
      </c>
      <c r="AG2834" t="s">
        <v>5594</v>
      </c>
      <c r="AH2834">
        <v>15782</v>
      </c>
      <c r="AK2834">
        <v>3</v>
      </c>
      <c r="AL2834" t="s">
        <v>61</v>
      </c>
      <c r="AM2834" t="s">
        <v>9758</v>
      </c>
      <c r="AN2834" t="s">
        <v>9759</v>
      </c>
    </row>
    <row r="2835" spans="1:40" x14ac:dyDescent="0.35">
      <c r="A2835" t="s">
        <v>37</v>
      </c>
      <c r="B2835" t="s">
        <v>11121</v>
      </c>
      <c r="C2835" t="s">
        <v>39</v>
      </c>
      <c r="D2835" t="s">
        <v>2667</v>
      </c>
      <c r="E2835" t="s">
        <v>2668</v>
      </c>
      <c r="F2835" s="1">
        <v>46069.562719907408</v>
      </c>
      <c r="G2835" t="s">
        <v>71</v>
      </c>
      <c r="H2835" t="s">
        <v>72</v>
      </c>
      <c r="I2835" t="s">
        <v>11122</v>
      </c>
      <c r="J2835" t="s">
        <v>1626</v>
      </c>
      <c r="K2835" t="s">
        <v>1627</v>
      </c>
      <c r="M2835" t="s">
        <v>47</v>
      </c>
      <c r="O2835" t="s">
        <v>77</v>
      </c>
      <c r="P2835" t="s">
        <v>78</v>
      </c>
      <c r="Q2835" t="s">
        <v>1027</v>
      </c>
      <c r="R2835" t="s">
        <v>79</v>
      </c>
      <c r="S2835" t="s">
        <v>952</v>
      </c>
      <c r="T2835" t="s">
        <v>953</v>
      </c>
      <c r="U2835" s="1">
        <v>46073.550543981481</v>
      </c>
      <c r="V2835" t="s">
        <v>54</v>
      </c>
      <c r="W2835" t="s">
        <v>55</v>
      </c>
      <c r="X2835" t="s">
        <v>134</v>
      </c>
      <c r="Y2835" t="s">
        <v>11123</v>
      </c>
      <c r="Z2835" t="s">
        <v>5594</v>
      </c>
      <c r="AA2835" t="s">
        <v>54</v>
      </c>
      <c r="AB2835" t="s">
        <v>84</v>
      </c>
      <c r="AC2835" t="s">
        <v>85</v>
      </c>
      <c r="AD2835" t="s">
        <v>79</v>
      </c>
      <c r="AE2835" t="s">
        <v>952</v>
      </c>
      <c r="AF2835" t="s">
        <v>1630</v>
      </c>
      <c r="AG2835" t="s">
        <v>5594</v>
      </c>
      <c r="AH2835">
        <v>7126</v>
      </c>
      <c r="AK2835">
        <v>9</v>
      </c>
      <c r="AL2835" t="s">
        <v>61</v>
      </c>
      <c r="AM2835" t="s">
        <v>2674</v>
      </c>
      <c r="AN2835" t="s">
        <v>2675</v>
      </c>
    </row>
    <row r="2836" spans="1:40" x14ac:dyDescent="0.35">
      <c r="A2836" t="s">
        <v>37</v>
      </c>
      <c r="B2836" t="s">
        <v>11124</v>
      </c>
      <c r="C2836" t="s">
        <v>39</v>
      </c>
      <c r="D2836" t="s">
        <v>1751</v>
      </c>
      <c r="E2836" t="s">
        <v>1316</v>
      </c>
      <c r="F2836" s="1">
        <v>46069.556990740741</v>
      </c>
      <c r="G2836" t="s">
        <v>1752</v>
      </c>
      <c r="H2836" t="s">
        <v>447</v>
      </c>
      <c r="I2836" t="s">
        <v>3293</v>
      </c>
      <c r="J2836" t="s">
        <v>1754</v>
      </c>
      <c r="K2836" t="s">
        <v>1755</v>
      </c>
      <c r="M2836" t="s">
        <v>47</v>
      </c>
      <c r="O2836" t="s">
        <v>77</v>
      </c>
      <c r="P2836" t="s">
        <v>78</v>
      </c>
      <c r="Q2836" t="s">
        <v>50</v>
      </c>
      <c r="R2836" t="s">
        <v>51</v>
      </c>
      <c r="S2836" t="s">
        <v>52</v>
      </c>
      <c r="T2836" t="s">
        <v>773</v>
      </c>
      <c r="U2836" s="1">
        <v>46074.901747685188</v>
      </c>
      <c r="V2836" t="s">
        <v>54</v>
      </c>
      <c r="W2836" t="s">
        <v>55</v>
      </c>
      <c r="X2836" t="s">
        <v>134</v>
      </c>
      <c r="Y2836" t="s">
        <v>5257</v>
      </c>
      <c r="Z2836" t="s">
        <v>5594</v>
      </c>
      <c r="AA2836" t="s">
        <v>54</v>
      </c>
      <c r="AB2836" t="s">
        <v>1757</v>
      </c>
      <c r="AC2836" t="s">
        <v>85</v>
      </c>
      <c r="AD2836" t="s">
        <v>52</v>
      </c>
      <c r="AE2836" t="s">
        <v>243</v>
      </c>
      <c r="AF2836" t="s">
        <v>244</v>
      </c>
      <c r="AG2836" t="s">
        <v>5594</v>
      </c>
      <c r="AK2836">
        <v>1</v>
      </c>
      <c r="AL2836" t="s">
        <v>61</v>
      </c>
      <c r="AM2836" t="s">
        <v>1757</v>
      </c>
      <c r="AN2836" t="s">
        <v>1758</v>
      </c>
    </row>
    <row r="2837" spans="1:40" x14ac:dyDescent="0.35">
      <c r="A2837" t="s">
        <v>37</v>
      </c>
      <c r="B2837" t="s">
        <v>11125</v>
      </c>
      <c r="C2837" t="s">
        <v>102</v>
      </c>
      <c r="D2837" t="s">
        <v>617</v>
      </c>
      <c r="E2837" t="s">
        <v>618</v>
      </c>
      <c r="F2837" s="1">
        <v>46069.551006944443</v>
      </c>
      <c r="G2837" t="s">
        <v>286</v>
      </c>
      <c r="H2837" t="s">
        <v>287</v>
      </c>
      <c r="I2837" t="s">
        <v>11126</v>
      </c>
      <c r="J2837" t="s">
        <v>620</v>
      </c>
      <c r="K2837" t="s">
        <v>130</v>
      </c>
      <c r="M2837" t="s">
        <v>47</v>
      </c>
      <c r="O2837" t="s">
        <v>77</v>
      </c>
      <c r="P2837" t="s">
        <v>78</v>
      </c>
      <c r="Q2837" t="s">
        <v>50</v>
      </c>
      <c r="R2837" t="s">
        <v>132</v>
      </c>
      <c r="S2837" t="s">
        <v>133</v>
      </c>
      <c r="T2837" t="s">
        <v>133</v>
      </c>
      <c r="U2837" s="1">
        <v>46072.407094907408</v>
      </c>
      <c r="V2837" t="s">
        <v>54</v>
      </c>
      <c r="W2837" t="s">
        <v>55</v>
      </c>
      <c r="X2837" t="s">
        <v>134</v>
      </c>
      <c r="Y2837" t="s">
        <v>11127</v>
      </c>
      <c r="Z2837" t="s">
        <v>5594</v>
      </c>
      <c r="AA2837" t="s">
        <v>54</v>
      </c>
      <c r="AB2837" t="s">
        <v>622</v>
      </c>
      <c r="AC2837" t="s">
        <v>85</v>
      </c>
      <c r="AD2837" t="s">
        <v>132</v>
      </c>
      <c r="AE2837" t="s">
        <v>133</v>
      </c>
      <c r="AF2837" t="s">
        <v>133</v>
      </c>
      <c r="AG2837" t="s">
        <v>5594</v>
      </c>
      <c r="AH2837" t="s">
        <v>623</v>
      </c>
      <c r="AK2837">
        <v>1</v>
      </c>
      <c r="AL2837" t="s">
        <v>61</v>
      </c>
      <c r="AM2837" t="s">
        <v>622</v>
      </c>
      <c r="AN2837" t="s">
        <v>624</v>
      </c>
    </row>
    <row r="2838" spans="1:40" x14ac:dyDescent="0.35">
      <c r="A2838" t="s">
        <v>37</v>
      </c>
      <c r="B2838" t="s">
        <v>11128</v>
      </c>
      <c r="C2838" t="s">
        <v>102</v>
      </c>
      <c r="D2838" t="s">
        <v>1698</v>
      </c>
      <c r="E2838" t="s">
        <v>584</v>
      </c>
      <c r="F2838" s="1">
        <v>46069.544930555552</v>
      </c>
      <c r="G2838" t="s">
        <v>105</v>
      </c>
      <c r="H2838" t="s">
        <v>106</v>
      </c>
      <c r="I2838" t="s">
        <v>11129</v>
      </c>
      <c r="J2838" t="s">
        <v>108</v>
      </c>
      <c r="K2838" t="s">
        <v>109</v>
      </c>
      <c r="M2838" t="s">
        <v>76</v>
      </c>
      <c r="O2838" t="s">
        <v>77</v>
      </c>
      <c r="P2838" t="s">
        <v>78</v>
      </c>
      <c r="Q2838" t="s">
        <v>50</v>
      </c>
      <c r="R2838" t="s">
        <v>111</v>
      </c>
      <c r="S2838" t="s">
        <v>51</v>
      </c>
      <c r="T2838" t="s">
        <v>112</v>
      </c>
      <c r="U2838" s="1">
        <v>46077.991261574076</v>
      </c>
      <c r="V2838" t="s">
        <v>54</v>
      </c>
      <c r="W2838" t="s">
        <v>1584</v>
      </c>
      <c r="X2838" t="s">
        <v>134</v>
      </c>
      <c r="Y2838" t="s">
        <v>10226</v>
      </c>
      <c r="Z2838" t="s">
        <v>58</v>
      </c>
      <c r="AA2838" t="s">
        <v>54</v>
      </c>
      <c r="AB2838" t="s">
        <v>1701</v>
      </c>
      <c r="AC2838" t="s">
        <v>85</v>
      </c>
      <c r="AD2838" t="s">
        <v>116</v>
      </c>
      <c r="AE2838" t="s">
        <v>117</v>
      </c>
      <c r="AF2838" t="s">
        <v>5119</v>
      </c>
      <c r="AG2838" t="s">
        <v>58</v>
      </c>
      <c r="AK2838">
        <v>1</v>
      </c>
      <c r="AL2838" t="s">
        <v>61</v>
      </c>
      <c r="AM2838" t="s">
        <v>1701</v>
      </c>
      <c r="AN2838" t="s">
        <v>1702</v>
      </c>
    </row>
    <row r="2839" spans="1:40" x14ac:dyDescent="0.35">
      <c r="A2839" t="s">
        <v>37</v>
      </c>
      <c r="B2839" t="s">
        <v>11130</v>
      </c>
      <c r="C2839" t="s">
        <v>102</v>
      </c>
      <c r="D2839" t="s">
        <v>617</v>
      </c>
      <c r="E2839" t="s">
        <v>618</v>
      </c>
      <c r="F2839" s="1">
        <v>46069.544398148151</v>
      </c>
      <c r="G2839" t="s">
        <v>286</v>
      </c>
      <c r="H2839" t="s">
        <v>287</v>
      </c>
      <c r="I2839" t="s">
        <v>11131</v>
      </c>
      <c r="J2839" t="s">
        <v>620</v>
      </c>
      <c r="K2839" t="s">
        <v>130</v>
      </c>
      <c r="M2839" t="s">
        <v>47</v>
      </c>
      <c r="O2839" t="s">
        <v>77</v>
      </c>
      <c r="P2839" t="s">
        <v>78</v>
      </c>
      <c r="Q2839" t="s">
        <v>50</v>
      </c>
      <c r="R2839" t="s">
        <v>132</v>
      </c>
      <c r="S2839" t="s">
        <v>133</v>
      </c>
      <c r="T2839" t="s">
        <v>133</v>
      </c>
      <c r="U2839" s="1">
        <v>46072.408263888887</v>
      </c>
      <c r="V2839" t="s">
        <v>54</v>
      </c>
      <c r="W2839" t="s">
        <v>55</v>
      </c>
      <c r="X2839" t="s">
        <v>134</v>
      </c>
      <c r="Y2839" t="s">
        <v>11132</v>
      </c>
      <c r="Z2839" t="s">
        <v>5594</v>
      </c>
      <c r="AA2839" t="s">
        <v>54</v>
      </c>
      <c r="AB2839" t="s">
        <v>622</v>
      </c>
      <c r="AC2839" t="s">
        <v>85</v>
      </c>
      <c r="AD2839" t="s">
        <v>132</v>
      </c>
      <c r="AE2839" t="s">
        <v>133</v>
      </c>
      <c r="AF2839" t="s">
        <v>133</v>
      </c>
      <c r="AG2839" t="s">
        <v>5594</v>
      </c>
      <c r="AH2839" t="s">
        <v>623</v>
      </c>
      <c r="AK2839">
        <v>1</v>
      </c>
      <c r="AL2839" t="s">
        <v>61</v>
      </c>
      <c r="AM2839" t="s">
        <v>622</v>
      </c>
      <c r="AN2839" t="s">
        <v>624</v>
      </c>
    </row>
    <row r="2840" spans="1:40" x14ac:dyDescent="0.35">
      <c r="A2840" t="s">
        <v>37</v>
      </c>
      <c r="B2840" t="s">
        <v>11133</v>
      </c>
      <c r="C2840" t="s">
        <v>39</v>
      </c>
      <c r="D2840" t="s">
        <v>11134</v>
      </c>
      <c r="E2840" t="s">
        <v>1216</v>
      </c>
      <c r="F2840" s="1">
        <v>46069.510023148148</v>
      </c>
      <c r="G2840" t="s">
        <v>432</v>
      </c>
      <c r="H2840" t="s">
        <v>433</v>
      </c>
      <c r="I2840" t="s">
        <v>9191</v>
      </c>
      <c r="J2840" t="s">
        <v>4338</v>
      </c>
      <c r="K2840" t="s">
        <v>405</v>
      </c>
      <c r="M2840" t="s">
        <v>47</v>
      </c>
      <c r="O2840" t="s">
        <v>77</v>
      </c>
      <c r="P2840" t="s">
        <v>78</v>
      </c>
      <c r="R2840" t="s">
        <v>51</v>
      </c>
      <c r="S2840" t="s">
        <v>52</v>
      </c>
      <c r="T2840" t="s">
        <v>240</v>
      </c>
      <c r="U2840" s="1">
        <v>46073.411574074074</v>
      </c>
      <c r="V2840" t="s">
        <v>54</v>
      </c>
      <c r="W2840" t="s">
        <v>55</v>
      </c>
      <c r="X2840" t="s">
        <v>134</v>
      </c>
      <c r="Y2840" t="s">
        <v>11135</v>
      </c>
      <c r="Z2840" t="s">
        <v>5594</v>
      </c>
      <c r="AA2840" t="s">
        <v>54</v>
      </c>
      <c r="AB2840" t="s">
        <v>612</v>
      </c>
      <c r="AC2840" t="s">
        <v>85</v>
      </c>
      <c r="AD2840" t="s">
        <v>52</v>
      </c>
      <c r="AE2840" t="s">
        <v>243</v>
      </c>
      <c r="AF2840" t="s">
        <v>2533</v>
      </c>
      <c r="AG2840" t="s">
        <v>5594</v>
      </c>
      <c r="AH2840">
        <v>14928</v>
      </c>
      <c r="AK2840">
        <v>2</v>
      </c>
      <c r="AL2840" t="s">
        <v>61</v>
      </c>
      <c r="AM2840" t="s">
        <v>11136</v>
      </c>
      <c r="AN2840" t="s">
        <v>11137</v>
      </c>
    </row>
    <row r="2841" spans="1:40" x14ac:dyDescent="0.35">
      <c r="A2841" t="s">
        <v>37</v>
      </c>
      <c r="B2841" t="s">
        <v>11138</v>
      </c>
      <c r="C2841" t="s">
        <v>39</v>
      </c>
      <c r="D2841" t="s">
        <v>11139</v>
      </c>
      <c r="E2841" t="s">
        <v>11140</v>
      </c>
      <c r="F2841" s="1">
        <v>46069.508171296293</v>
      </c>
      <c r="G2841" t="s">
        <v>913</v>
      </c>
      <c r="H2841" t="s">
        <v>72</v>
      </c>
      <c r="I2841" t="s">
        <v>11141</v>
      </c>
      <c r="J2841" t="s">
        <v>1833</v>
      </c>
      <c r="K2841" t="s">
        <v>1834</v>
      </c>
      <c r="M2841" t="s">
        <v>76</v>
      </c>
      <c r="O2841" t="s">
        <v>77</v>
      </c>
      <c r="P2841" t="s">
        <v>78</v>
      </c>
      <c r="Q2841" t="s">
        <v>50</v>
      </c>
      <c r="R2841" t="s">
        <v>51</v>
      </c>
      <c r="S2841" t="s">
        <v>52</v>
      </c>
      <c r="T2841" t="s">
        <v>240</v>
      </c>
      <c r="U2841" s="1">
        <v>46078.950659722221</v>
      </c>
      <c r="V2841" t="s">
        <v>54</v>
      </c>
      <c r="W2841" t="s">
        <v>55</v>
      </c>
      <c r="X2841" t="s">
        <v>134</v>
      </c>
      <c r="Y2841" t="s">
        <v>5160</v>
      </c>
      <c r="Z2841" t="s">
        <v>58</v>
      </c>
      <c r="AA2841" t="s">
        <v>54</v>
      </c>
      <c r="AB2841" t="s">
        <v>1836</v>
      </c>
      <c r="AC2841" t="s">
        <v>85</v>
      </c>
      <c r="AD2841" t="s">
        <v>52</v>
      </c>
      <c r="AE2841" t="s">
        <v>243</v>
      </c>
      <c r="AF2841" t="s">
        <v>244</v>
      </c>
      <c r="AG2841" t="s">
        <v>58</v>
      </c>
      <c r="AH2841" t="s">
        <v>11142</v>
      </c>
      <c r="AK2841">
        <v>0</v>
      </c>
      <c r="AL2841" t="s">
        <v>61</v>
      </c>
      <c r="AM2841" t="s">
        <v>11143</v>
      </c>
      <c r="AN2841" t="s">
        <v>11144</v>
      </c>
    </row>
    <row r="2842" spans="1:40" x14ac:dyDescent="0.35">
      <c r="A2842" t="s">
        <v>37</v>
      </c>
      <c r="B2842" t="s">
        <v>11145</v>
      </c>
      <c r="C2842" t="s">
        <v>102</v>
      </c>
      <c r="D2842" t="s">
        <v>651</v>
      </c>
      <c r="E2842" t="s">
        <v>8706</v>
      </c>
      <c r="F2842" s="1">
        <v>46069.506979166668</v>
      </c>
      <c r="G2842" t="s">
        <v>597</v>
      </c>
      <c r="H2842" t="s">
        <v>287</v>
      </c>
      <c r="I2842" t="s">
        <v>11146</v>
      </c>
      <c r="J2842" t="s">
        <v>4244</v>
      </c>
      <c r="K2842" t="s">
        <v>951</v>
      </c>
      <c r="M2842" t="s">
        <v>131</v>
      </c>
      <c r="O2842" t="s">
        <v>237</v>
      </c>
      <c r="P2842" t="s">
        <v>238</v>
      </c>
      <c r="R2842" t="s">
        <v>79</v>
      </c>
      <c r="S2842" t="s">
        <v>955</v>
      </c>
      <c r="T2842" t="s">
        <v>2460</v>
      </c>
      <c r="U2842" s="1">
        <v>46076.638321759259</v>
      </c>
      <c r="V2842" t="s">
        <v>54</v>
      </c>
      <c r="W2842" t="s">
        <v>55</v>
      </c>
      <c r="X2842" t="s">
        <v>82</v>
      </c>
      <c r="Y2842" t="s">
        <v>11147</v>
      </c>
      <c r="Z2842" t="s">
        <v>58</v>
      </c>
      <c r="AA2842" t="s">
        <v>54</v>
      </c>
      <c r="AB2842" t="s">
        <v>727</v>
      </c>
      <c r="AC2842" t="s">
        <v>242</v>
      </c>
      <c r="AD2842" t="s">
        <v>79</v>
      </c>
      <c r="AE2842" t="s">
        <v>1339</v>
      </c>
      <c r="AF2842" t="s">
        <v>11148</v>
      </c>
      <c r="AG2842" t="s">
        <v>58</v>
      </c>
      <c r="AH2842">
        <v>14968</v>
      </c>
      <c r="AJ2842">
        <v>191682</v>
      </c>
      <c r="AK2842">
        <v>5</v>
      </c>
      <c r="AL2842" t="s">
        <v>61</v>
      </c>
      <c r="AM2842" t="s">
        <v>11149</v>
      </c>
      <c r="AN2842" t="s">
        <v>11150</v>
      </c>
    </row>
    <row r="2843" spans="1:40" x14ac:dyDescent="0.35">
      <c r="A2843" t="s">
        <v>37</v>
      </c>
      <c r="B2843" t="s">
        <v>11151</v>
      </c>
      <c r="C2843" t="s">
        <v>39</v>
      </c>
      <c r="D2843" t="s">
        <v>469</v>
      </c>
      <c r="E2843" t="s">
        <v>2798</v>
      </c>
      <c r="F2843" s="1">
        <v>46069.504374999997</v>
      </c>
      <c r="G2843" t="s">
        <v>497</v>
      </c>
      <c r="H2843" t="s">
        <v>72</v>
      </c>
      <c r="I2843" t="s">
        <v>11152</v>
      </c>
      <c r="J2843" t="s">
        <v>4338</v>
      </c>
      <c r="K2843" t="s">
        <v>405</v>
      </c>
      <c r="M2843" t="s">
        <v>47</v>
      </c>
      <c r="O2843" t="s">
        <v>77</v>
      </c>
      <c r="P2843" t="s">
        <v>78</v>
      </c>
      <c r="R2843" t="s">
        <v>51</v>
      </c>
      <c r="S2843" t="s">
        <v>52</v>
      </c>
      <c r="T2843" t="s">
        <v>240</v>
      </c>
      <c r="U2843" s="1">
        <v>46073.410462962966</v>
      </c>
      <c r="V2843" t="s">
        <v>54</v>
      </c>
      <c r="W2843" t="s">
        <v>55</v>
      </c>
      <c r="X2843" t="s">
        <v>134</v>
      </c>
      <c r="Y2843" t="s">
        <v>11153</v>
      </c>
      <c r="Z2843" t="s">
        <v>5594</v>
      </c>
      <c r="AA2843" t="s">
        <v>54</v>
      </c>
      <c r="AB2843" t="s">
        <v>612</v>
      </c>
      <c r="AC2843" t="s">
        <v>85</v>
      </c>
      <c r="AD2843" t="s">
        <v>52</v>
      </c>
      <c r="AE2843" t="s">
        <v>243</v>
      </c>
      <c r="AF2843" t="s">
        <v>244</v>
      </c>
      <c r="AG2843" t="s">
        <v>5594</v>
      </c>
      <c r="AH2843" t="s">
        <v>2803</v>
      </c>
      <c r="AK2843">
        <v>1</v>
      </c>
      <c r="AL2843" t="s">
        <v>61</v>
      </c>
      <c r="AM2843" t="s">
        <v>2804</v>
      </c>
      <c r="AN2843" t="s">
        <v>2805</v>
      </c>
    </row>
    <row r="2844" spans="1:40" x14ac:dyDescent="0.35">
      <c r="A2844" t="s">
        <v>37</v>
      </c>
      <c r="B2844" t="s">
        <v>11154</v>
      </c>
      <c r="C2844" t="s">
        <v>39</v>
      </c>
      <c r="D2844" t="s">
        <v>11155</v>
      </c>
      <c r="E2844" t="s">
        <v>11156</v>
      </c>
      <c r="F2844" s="1">
        <v>46069.502847222226</v>
      </c>
      <c r="G2844" t="s">
        <v>355</v>
      </c>
      <c r="H2844" t="s">
        <v>356</v>
      </c>
      <c r="I2844" t="s">
        <v>11157</v>
      </c>
      <c r="J2844" t="s">
        <v>394</v>
      </c>
      <c r="K2844" t="s">
        <v>75</v>
      </c>
      <c r="M2844" t="s">
        <v>76</v>
      </c>
      <c r="O2844" t="s">
        <v>77</v>
      </c>
      <c r="P2844" t="s">
        <v>78</v>
      </c>
      <c r="Q2844" t="s">
        <v>50</v>
      </c>
      <c r="R2844" t="s">
        <v>79</v>
      </c>
      <c r="S2844" t="s">
        <v>172</v>
      </c>
      <c r="T2844" t="s">
        <v>840</v>
      </c>
      <c r="U2844" s="1">
        <v>46077.514826388891</v>
      </c>
      <c r="V2844" t="s">
        <v>54</v>
      </c>
      <c r="W2844" t="s">
        <v>55</v>
      </c>
      <c r="X2844" t="s">
        <v>134</v>
      </c>
      <c r="Y2844" t="s">
        <v>11158</v>
      </c>
      <c r="Z2844" t="s">
        <v>58</v>
      </c>
      <c r="AA2844" t="s">
        <v>54</v>
      </c>
      <c r="AB2844" t="s">
        <v>84</v>
      </c>
      <c r="AC2844" t="s">
        <v>85</v>
      </c>
      <c r="AD2844" t="s">
        <v>79</v>
      </c>
      <c r="AE2844" t="s">
        <v>172</v>
      </c>
      <c r="AF2844" t="s">
        <v>728</v>
      </c>
      <c r="AG2844" t="s">
        <v>58</v>
      </c>
      <c r="AH2844" t="s">
        <v>11159</v>
      </c>
      <c r="AK2844">
        <v>5</v>
      </c>
      <c r="AL2844" t="s">
        <v>61</v>
      </c>
      <c r="AM2844" t="s">
        <v>11160</v>
      </c>
      <c r="AN2844" t="s">
        <v>11161</v>
      </c>
    </row>
    <row r="2845" spans="1:40" x14ac:dyDescent="0.35">
      <c r="A2845" t="s">
        <v>37</v>
      </c>
      <c r="B2845" t="s">
        <v>11162</v>
      </c>
      <c r="C2845" t="s">
        <v>39</v>
      </c>
      <c r="D2845" t="s">
        <v>11163</v>
      </c>
      <c r="E2845" t="s">
        <v>11164</v>
      </c>
      <c r="F2845" s="1">
        <v>46069.500451388885</v>
      </c>
      <c r="G2845" t="s">
        <v>42</v>
      </c>
      <c r="H2845" t="s">
        <v>43</v>
      </c>
      <c r="I2845" t="s">
        <v>1446</v>
      </c>
      <c r="J2845" t="s">
        <v>695</v>
      </c>
      <c r="K2845" t="s">
        <v>75</v>
      </c>
      <c r="M2845" t="s">
        <v>131</v>
      </c>
      <c r="O2845" t="s">
        <v>77</v>
      </c>
      <c r="P2845" t="s">
        <v>78</v>
      </c>
      <c r="Q2845" t="s">
        <v>50</v>
      </c>
      <c r="R2845" t="s">
        <v>305</v>
      </c>
      <c r="S2845" t="s">
        <v>306</v>
      </c>
      <c r="T2845" t="s">
        <v>307</v>
      </c>
      <c r="U2845" s="1">
        <v>46077.431122685186</v>
      </c>
      <c r="V2845" t="s">
        <v>54</v>
      </c>
      <c r="W2845" t="s">
        <v>55</v>
      </c>
      <c r="X2845" t="s">
        <v>211</v>
      </c>
      <c r="Y2845" t="s">
        <v>11165</v>
      </c>
      <c r="Z2845" t="s">
        <v>58</v>
      </c>
      <c r="AA2845" t="s">
        <v>54</v>
      </c>
      <c r="AB2845" t="s">
        <v>213</v>
      </c>
      <c r="AC2845" t="s">
        <v>85</v>
      </c>
      <c r="AD2845" t="s">
        <v>79</v>
      </c>
      <c r="AE2845" t="s">
        <v>1016</v>
      </c>
      <c r="AF2845" t="s">
        <v>1456</v>
      </c>
      <c r="AG2845" t="s">
        <v>58</v>
      </c>
      <c r="AH2845" t="s">
        <v>11166</v>
      </c>
      <c r="AK2845">
        <v>4</v>
      </c>
      <c r="AL2845" t="s">
        <v>61</v>
      </c>
      <c r="AM2845" t="s">
        <v>11167</v>
      </c>
      <c r="AN2845" t="s">
        <v>11168</v>
      </c>
    </row>
    <row r="2846" spans="1:40" x14ac:dyDescent="0.35">
      <c r="A2846" t="s">
        <v>37</v>
      </c>
      <c r="B2846" t="s">
        <v>11169</v>
      </c>
      <c r="C2846" t="s">
        <v>39</v>
      </c>
      <c r="D2846" t="s">
        <v>8203</v>
      </c>
      <c r="E2846" t="s">
        <v>8204</v>
      </c>
      <c r="F2846" s="1">
        <v>46069.499699074076</v>
      </c>
      <c r="G2846" t="s">
        <v>355</v>
      </c>
      <c r="H2846" t="s">
        <v>356</v>
      </c>
      <c r="I2846" t="s">
        <v>11170</v>
      </c>
      <c r="J2846" t="s">
        <v>950</v>
      </c>
      <c r="K2846" t="s">
        <v>951</v>
      </c>
      <c r="M2846" t="s">
        <v>47</v>
      </c>
      <c r="O2846" t="s">
        <v>77</v>
      </c>
      <c r="P2846" t="s">
        <v>78</v>
      </c>
      <c r="Q2846" t="s">
        <v>1370</v>
      </c>
      <c r="R2846" t="s">
        <v>2670</v>
      </c>
      <c r="S2846" t="s">
        <v>8206</v>
      </c>
      <c r="T2846" t="s">
        <v>8207</v>
      </c>
      <c r="U2846" s="1">
        <v>46072.433298611111</v>
      </c>
      <c r="V2846" t="s">
        <v>54</v>
      </c>
      <c r="W2846" t="s">
        <v>55</v>
      </c>
      <c r="X2846" t="s">
        <v>134</v>
      </c>
      <c r="Y2846" t="e">
        <f>- toner has been replaced successfully.</f>
        <v>#NAME?</v>
      </c>
      <c r="Z2846" t="s">
        <v>5594</v>
      </c>
      <c r="AA2846" t="s">
        <v>54</v>
      </c>
      <c r="AB2846" t="s">
        <v>8209</v>
      </c>
      <c r="AC2846" t="s">
        <v>85</v>
      </c>
      <c r="AD2846" t="s">
        <v>2670</v>
      </c>
      <c r="AE2846" t="s">
        <v>8206</v>
      </c>
      <c r="AF2846" t="s">
        <v>8207</v>
      </c>
      <c r="AG2846" t="s">
        <v>5594</v>
      </c>
      <c r="AJ2846">
        <v>191670</v>
      </c>
      <c r="AK2846">
        <v>6</v>
      </c>
      <c r="AL2846" t="s">
        <v>61</v>
      </c>
      <c r="AM2846" t="s">
        <v>8209</v>
      </c>
      <c r="AN2846" t="s">
        <v>8210</v>
      </c>
    </row>
    <row r="2847" spans="1:40" x14ac:dyDescent="0.35">
      <c r="A2847" t="s">
        <v>37</v>
      </c>
      <c r="B2847" t="s">
        <v>11171</v>
      </c>
      <c r="C2847" t="s">
        <v>102</v>
      </c>
      <c r="D2847" t="s">
        <v>11172</v>
      </c>
      <c r="E2847" t="s">
        <v>303</v>
      </c>
      <c r="F2847" s="1">
        <v>46069.493460648147</v>
      </c>
      <c r="G2847" t="s">
        <v>597</v>
      </c>
      <c r="H2847" t="s">
        <v>287</v>
      </c>
      <c r="I2847" t="s">
        <v>4398</v>
      </c>
      <c r="J2847" t="s">
        <v>1692</v>
      </c>
      <c r="K2847" t="s">
        <v>207</v>
      </c>
      <c r="M2847" t="s">
        <v>47</v>
      </c>
      <c r="O2847" t="s">
        <v>237</v>
      </c>
      <c r="P2847" t="s">
        <v>238</v>
      </c>
      <c r="Q2847" t="s">
        <v>50</v>
      </c>
      <c r="R2847" t="s">
        <v>79</v>
      </c>
      <c r="S2847" t="s">
        <v>967</v>
      </c>
      <c r="T2847" t="s">
        <v>4400</v>
      </c>
      <c r="U2847" s="1">
        <v>46074.653229166666</v>
      </c>
      <c r="V2847" t="s">
        <v>54</v>
      </c>
      <c r="W2847" t="s">
        <v>55</v>
      </c>
      <c r="X2847" t="s">
        <v>82</v>
      </c>
      <c r="Y2847" t="s">
        <v>11173</v>
      </c>
      <c r="Z2847" t="s">
        <v>5594</v>
      </c>
      <c r="AA2847" t="s">
        <v>54</v>
      </c>
      <c r="AB2847" t="s">
        <v>396</v>
      </c>
      <c r="AC2847" t="s">
        <v>242</v>
      </c>
      <c r="AD2847" t="s">
        <v>214</v>
      </c>
      <c r="AE2847" t="s">
        <v>215</v>
      </c>
      <c r="AF2847" t="s">
        <v>161</v>
      </c>
      <c r="AG2847" t="s">
        <v>5594</v>
      </c>
      <c r="AH2847">
        <v>15894</v>
      </c>
      <c r="AK2847">
        <v>2</v>
      </c>
      <c r="AL2847" t="s">
        <v>61</v>
      </c>
      <c r="AM2847" t="s">
        <v>11174</v>
      </c>
      <c r="AN2847" t="s">
        <v>11175</v>
      </c>
    </row>
    <row r="2848" spans="1:40" x14ac:dyDescent="0.35">
      <c r="A2848" t="s">
        <v>37</v>
      </c>
      <c r="B2848" t="s">
        <v>11176</v>
      </c>
      <c r="C2848" t="s">
        <v>102</v>
      </c>
      <c r="D2848" t="s">
        <v>4311</v>
      </c>
      <c r="E2848" t="s">
        <v>11177</v>
      </c>
      <c r="F2848" s="1">
        <v>46069.484513888892</v>
      </c>
      <c r="G2848" t="s">
        <v>497</v>
      </c>
      <c r="H2848" t="s">
        <v>72</v>
      </c>
      <c r="I2848" t="s">
        <v>11178</v>
      </c>
      <c r="J2848" t="s">
        <v>2406</v>
      </c>
      <c r="K2848" t="s">
        <v>1187</v>
      </c>
      <c r="M2848" t="s">
        <v>47</v>
      </c>
      <c r="O2848" t="s">
        <v>237</v>
      </c>
      <c r="P2848" t="s">
        <v>238</v>
      </c>
      <c r="Q2848" t="s">
        <v>465</v>
      </c>
      <c r="R2848" t="s">
        <v>79</v>
      </c>
      <c r="S2848" t="s">
        <v>558</v>
      </c>
      <c r="T2848" t="s">
        <v>11179</v>
      </c>
      <c r="U2848" s="1">
        <v>46072.657673611109</v>
      </c>
      <c r="V2848" t="s">
        <v>54</v>
      </c>
      <c r="W2848" t="s">
        <v>55</v>
      </c>
      <c r="X2848" t="s">
        <v>82</v>
      </c>
      <c r="Y2848" t="s">
        <v>11180</v>
      </c>
      <c r="Z2848" t="s">
        <v>5594</v>
      </c>
      <c r="AA2848" t="s">
        <v>54</v>
      </c>
      <c r="AB2848" t="s">
        <v>396</v>
      </c>
      <c r="AC2848" t="s">
        <v>242</v>
      </c>
      <c r="AD2848" t="s">
        <v>1189</v>
      </c>
      <c r="AE2848" t="s">
        <v>5346</v>
      </c>
      <c r="AF2848" t="s">
        <v>11181</v>
      </c>
      <c r="AG2848" t="s">
        <v>5594</v>
      </c>
      <c r="AH2848">
        <v>6438</v>
      </c>
      <c r="AK2848">
        <v>4</v>
      </c>
      <c r="AL2848" t="s">
        <v>61</v>
      </c>
      <c r="AM2848" t="s">
        <v>11182</v>
      </c>
      <c r="AN2848" t="s">
        <v>11183</v>
      </c>
    </row>
    <row r="2849" spans="1:40" x14ac:dyDescent="0.35">
      <c r="A2849" t="s">
        <v>37</v>
      </c>
      <c r="B2849" t="s">
        <v>11184</v>
      </c>
      <c r="C2849" t="s">
        <v>102</v>
      </c>
      <c r="D2849" t="s">
        <v>11185</v>
      </c>
      <c r="E2849" t="s">
        <v>1115</v>
      </c>
      <c r="F2849" s="1">
        <v>46069.480231481481</v>
      </c>
      <c r="G2849" t="s">
        <v>2053</v>
      </c>
      <c r="H2849" t="s">
        <v>106</v>
      </c>
      <c r="I2849" t="s">
        <v>11186</v>
      </c>
      <c r="J2849" t="s">
        <v>435</v>
      </c>
      <c r="K2849" t="s">
        <v>436</v>
      </c>
      <c r="M2849" t="s">
        <v>47</v>
      </c>
      <c r="O2849" t="s">
        <v>237</v>
      </c>
      <c r="P2849" t="s">
        <v>238</v>
      </c>
      <c r="Q2849" t="s">
        <v>2169</v>
      </c>
      <c r="R2849" t="s">
        <v>51</v>
      </c>
      <c r="S2849" t="s">
        <v>52</v>
      </c>
      <c r="T2849" t="s">
        <v>240</v>
      </c>
      <c r="U2849" s="1">
        <v>46072.540879629632</v>
      </c>
      <c r="V2849" t="s">
        <v>54</v>
      </c>
      <c r="W2849" t="s">
        <v>55</v>
      </c>
      <c r="X2849" t="s">
        <v>211</v>
      </c>
      <c r="Y2849" t="s">
        <v>11187</v>
      </c>
      <c r="Z2849" t="s">
        <v>5594</v>
      </c>
      <c r="AA2849" t="s">
        <v>54</v>
      </c>
      <c r="AB2849" t="s">
        <v>213</v>
      </c>
      <c r="AC2849" t="s">
        <v>242</v>
      </c>
      <c r="AD2849" t="s">
        <v>52</v>
      </c>
      <c r="AE2849" t="s">
        <v>243</v>
      </c>
      <c r="AF2849" t="s">
        <v>2533</v>
      </c>
      <c r="AG2849" t="s">
        <v>5594</v>
      </c>
      <c r="AH2849">
        <v>11489</v>
      </c>
      <c r="AK2849">
        <v>2</v>
      </c>
      <c r="AL2849" t="s">
        <v>61</v>
      </c>
      <c r="AM2849" t="s">
        <v>11188</v>
      </c>
      <c r="AN2849" t="s">
        <v>11189</v>
      </c>
    </row>
    <row r="2850" spans="1:40" x14ac:dyDescent="0.35">
      <c r="A2850" t="s">
        <v>37</v>
      </c>
      <c r="B2850" t="s">
        <v>11190</v>
      </c>
      <c r="C2850" t="s">
        <v>39</v>
      </c>
      <c r="D2850" t="s">
        <v>11191</v>
      </c>
      <c r="E2850" t="s">
        <v>11192</v>
      </c>
      <c r="F2850" s="1">
        <v>46069.47320601852</v>
      </c>
      <c r="G2850" t="s">
        <v>355</v>
      </c>
      <c r="H2850" t="s">
        <v>356</v>
      </c>
      <c r="I2850" t="s">
        <v>11193</v>
      </c>
      <c r="J2850" t="s">
        <v>11194</v>
      </c>
      <c r="K2850" t="s">
        <v>1627</v>
      </c>
      <c r="M2850" t="s">
        <v>131</v>
      </c>
      <c r="O2850" t="s">
        <v>77</v>
      </c>
      <c r="P2850" t="s">
        <v>78</v>
      </c>
      <c r="Q2850" t="s">
        <v>50</v>
      </c>
      <c r="R2850" t="s">
        <v>79</v>
      </c>
      <c r="S2850" t="s">
        <v>952</v>
      </c>
      <c r="T2850" t="s">
        <v>1628</v>
      </c>
      <c r="U2850" s="1">
        <v>46077.561481481483</v>
      </c>
      <c r="V2850" t="s">
        <v>54</v>
      </c>
      <c r="W2850" t="s">
        <v>55</v>
      </c>
      <c r="X2850" t="s">
        <v>134</v>
      </c>
      <c r="Y2850" t="s">
        <v>11195</v>
      </c>
      <c r="Z2850" t="s">
        <v>58</v>
      </c>
      <c r="AA2850" t="s">
        <v>54</v>
      </c>
      <c r="AB2850" t="s">
        <v>612</v>
      </c>
      <c r="AC2850" t="s">
        <v>85</v>
      </c>
      <c r="AD2850" t="s">
        <v>79</v>
      </c>
      <c r="AE2850" t="s">
        <v>952</v>
      </c>
      <c r="AF2850" t="s">
        <v>1630</v>
      </c>
      <c r="AG2850" t="s">
        <v>58</v>
      </c>
      <c r="AH2850" t="s">
        <v>11196</v>
      </c>
      <c r="AK2850">
        <v>1</v>
      </c>
      <c r="AL2850" t="s">
        <v>61</v>
      </c>
      <c r="AM2850" t="s">
        <v>11197</v>
      </c>
      <c r="AN2850" t="s">
        <v>11198</v>
      </c>
    </row>
    <row r="2851" spans="1:40" x14ac:dyDescent="0.35">
      <c r="A2851" t="s">
        <v>37</v>
      </c>
      <c r="B2851" t="s">
        <v>11199</v>
      </c>
      <c r="C2851" t="s">
        <v>39</v>
      </c>
      <c r="D2851" t="s">
        <v>7445</v>
      </c>
      <c r="E2851" t="s">
        <v>1316</v>
      </c>
      <c r="F2851" s="1">
        <v>46069.467418981483</v>
      </c>
      <c r="G2851" t="s">
        <v>286</v>
      </c>
      <c r="H2851" t="s">
        <v>287</v>
      </c>
      <c r="I2851" t="s">
        <v>11200</v>
      </c>
      <c r="J2851" t="s">
        <v>8674</v>
      </c>
      <c r="K2851" t="s">
        <v>7448</v>
      </c>
      <c r="M2851" t="s">
        <v>47</v>
      </c>
      <c r="O2851" t="s">
        <v>77</v>
      </c>
      <c r="P2851" t="s">
        <v>78</v>
      </c>
      <c r="Q2851" t="s">
        <v>50</v>
      </c>
      <c r="R2851" t="s">
        <v>51</v>
      </c>
      <c r="S2851" t="s">
        <v>52</v>
      </c>
      <c r="T2851" t="s">
        <v>240</v>
      </c>
      <c r="U2851" s="1">
        <v>46072.61210648148</v>
      </c>
      <c r="V2851" t="s">
        <v>54</v>
      </c>
      <c r="W2851" t="s">
        <v>55</v>
      </c>
      <c r="X2851" t="s">
        <v>113</v>
      </c>
      <c r="Y2851" t="s">
        <v>7449</v>
      </c>
      <c r="Z2851" t="s">
        <v>5594</v>
      </c>
      <c r="AA2851" t="s">
        <v>54</v>
      </c>
      <c r="AB2851" t="s">
        <v>8676</v>
      </c>
      <c r="AC2851" t="s">
        <v>85</v>
      </c>
      <c r="AD2851" t="s">
        <v>52</v>
      </c>
      <c r="AE2851" t="s">
        <v>243</v>
      </c>
      <c r="AF2851" t="s">
        <v>244</v>
      </c>
      <c r="AG2851" t="s">
        <v>5594</v>
      </c>
      <c r="AK2851">
        <v>0</v>
      </c>
      <c r="AL2851" t="s">
        <v>61</v>
      </c>
      <c r="AM2851" t="s">
        <v>7451</v>
      </c>
      <c r="AN2851" t="s">
        <v>7452</v>
      </c>
    </row>
    <row r="2852" spans="1:40" x14ac:dyDescent="0.35">
      <c r="A2852" t="s">
        <v>37</v>
      </c>
      <c r="B2852" t="s">
        <v>11201</v>
      </c>
      <c r="C2852" t="s">
        <v>39</v>
      </c>
      <c r="D2852" t="s">
        <v>7445</v>
      </c>
      <c r="E2852" t="s">
        <v>1316</v>
      </c>
      <c r="F2852" s="1">
        <v>46069.465937499997</v>
      </c>
      <c r="G2852" t="s">
        <v>286</v>
      </c>
      <c r="H2852" t="s">
        <v>287</v>
      </c>
      <c r="I2852" t="s">
        <v>11202</v>
      </c>
      <c r="J2852" t="s">
        <v>8674</v>
      </c>
      <c r="K2852" t="s">
        <v>7448</v>
      </c>
      <c r="M2852" t="s">
        <v>47</v>
      </c>
      <c r="O2852" t="s">
        <v>77</v>
      </c>
      <c r="P2852" t="s">
        <v>78</v>
      </c>
      <c r="Q2852" t="s">
        <v>50</v>
      </c>
      <c r="R2852" t="s">
        <v>51</v>
      </c>
      <c r="S2852" t="s">
        <v>52</v>
      </c>
      <c r="T2852" t="s">
        <v>240</v>
      </c>
      <c r="U2852" s="1">
        <v>46072.61141203704</v>
      </c>
      <c r="V2852" t="s">
        <v>54</v>
      </c>
      <c r="W2852" t="s">
        <v>55</v>
      </c>
      <c r="X2852" t="s">
        <v>113</v>
      </c>
      <c r="Y2852" t="s">
        <v>8700</v>
      </c>
      <c r="Z2852" t="s">
        <v>5594</v>
      </c>
      <c r="AA2852" t="s">
        <v>54</v>
      </c>
      <c r="AB2852" t="s">
        <v>8676</v>
      </c>
      <c r="AC2852" t="s">
        <v>85</v>
      </c>
      <c r="AD2852" t="s">
        <v>52</v>
      </c>
      <c r="AE2852" t="s">
        <v>243</v>
      </c>
      <c r="AF2852" t="s">
        <v>244</v>
      </c>
      <c r="AG2852" t="s">
        <v>5594</v>
      </c>
      <c r="AK2852">
        <v>0</v>
      </c>
      <c r="AL2852" t="s">
        <v>61</v>
      </c>
      <c r="AM2852" t="s">
        <v>7451</v>
      </c>
      <c r="AN2852" t="s">
        <v>7452</v>
      </c>
    </row>
    <row r="2853" spans="1:40" x14ac:dyDescent="0.35">
      <c r="A2853" t="s">
        <v>37</v>
      </c>
      <c r="B2853" t="s">
        <v>11203</v>
      </c>
      <c r="C2853" t="s">
        <v>39</v>
      </c>
      <c r="D2853" t="s">
        <v>7445</v>
      </c>
      <c r="E2853" t="s">
        <v>1316</v>
      </c>
      <c r="F2853" s="1">
        <v>46069.464942129627</v>
      </c>
      <c r="G2853" t="s">
        <v>286</v>
      </c>
      <c r="H2853" t="s">
        <v>287</v>
      </c>
      <c r="I2853" t="s">
        <v>11204</v>
      </c>
      <c r="J2853" t="s">
        <v>8674</v>
      </c>
      <c r="K2853" t="s">
        <v>7448</v>
      </c>
      <c r="M2853" t="s">
        <v>47</v>
      </c>
      <c r="O2853" t="s">
        <v>77</v>
      </c>
      <c r="P2853" t="s">
        <v>78</v>
      </c>
      <c r="Q2853" t="s">
        <v>50</v>
      </c>
      <c r="R2853" t="s">
        <v>51</v>
      </c>
      <c r="S2853" t="s">
        <v>52</v>
      </c>
      <c r="T2853" t="s">
        <v>240</v>
      </c>
      <c r="U2853" s="1">
        <v>46072.611168981479</v>
      </c>
      <c r="V2853" t="s">
        <v>54</v>
      </c>
      <c r="W2853" t="s">
        <v>55</v>
      </c>
      <c r="X2853" t="s">
        <v>113</v>
      </c>
      <c r="Y2853" t="s">
        <v>7449</v>
      </c>
      <c r="Z2853" t="s">
        <v>5594</v>
      </c>
      <c r="AA2853" t="s">
        <v>54</v>
      </c>
      <c r="AB2853" t="s">
        <v>8676</v>
      </c>
      <c r="AC2853" t="s">
        <v>85</v>
      </c>
      <c r="AD2853" t="s">
        <v>52</v>
      </c>
      <c r="AE2853" t="s">
        <v>243</v>
      </c>
      <c r="AF2853" t="s">
        <v>244</v>
      </c>
      <c r="AG2853" t="s">
        <v>5594</v>
      </c>
      <c r="AK2853">
        <v>0</v>
      </c>
      <c r="AL2853" t="s">
        <v>61</v>
      </c>
      <c r="AM2853" t="s">
        <v>7451</v>
      </c>
      <c r="AN2853" t="s">
        <v>7452</v>
      </c>
    </row>
    <row r="2854" spans="1:40" x14ac:dyDescent="0.35">
      <c r="A2854" t="s">
        <v>37</v>
      </c>
      <c r="B2854" t="s">
        <v>11205</v>
      </c>
      <c r="C2854" t="s">
        <v>39</v>
      </c>
      <c r="D2854" t="s">
        <v>1751</v>
      </c>
      <c r="E2854" t="s">
        <v>1316</v>
      </c>
      <c r="F2854" s="1">
        <v>46069.463206018518</v>
      </c>
      <c r="G2854" t="s">
        <v>1752</v>
      </c>
      <c r="H2854" t="s">
        <v>447</v>
      </c>
      <c r="I2854" t="s">
        <v>11206</v>
      </c>
      <c r="J2854" t="s">
        <v>1754</v>
      </c>
      <c r="K2854" t="s">
        <v>1755</v>
      </c>
      <c r="M2854" t="s">
        <v>47</v>
      </c>
      <c r="O2854" t="s">
        <v>77</v>
      </c>
      <c r="P2854" t="s">
        <v>78</v>
      </c>
      <c r="Q2854" t="s">
        <v>50</v>
      </c>
      <c r="R2854" t="s">
        <v>51</v>
      </c>
      <c r="S2854" t="s">
        <v>52</v>
      </c>
      <c r="T2854" t="s">
        <v>773</v>
      </c>
      <c r="U2854" s="1">
        <v>46074.900752314818</v>
      </c>
      <c r="V2854" t="s">
        <v>54</v>
      </c>
      <c r="W2854" t="s">
        <v>55</v>
      </c>
      <c r="X2854" t="s">
        <v>134</v>
      </c>
      <c r="Y2854" t="s">
        <v>1756</v>
      </c>
      <c r="Z2854" t="s">
        <v>5594</v>
      </c>
      <c r="AA2854" t="s">
        <v>54</v>
      </c>
      <c r="AB2854" t="s">
        <v>1757</v>
      </c>
      <c r="AC2854" t="s">
        <v>85</v>
      </c>
      <c r="AD2854" t="s">
        <v>52</v>
      </c>
      <c r="AE2854" t="s">
        <v>243</v>
      </c>
      <c r="AF2854" t="s">
        <v>244</v>
      </c>
      <c r="AG2854" t="s">
        <v>5594</v>
      </c>
      <c r="AK2854">
        <v>1</v>
      </c>
      <c r="AL2854" t="s">
        <v>61</v>
      </c>
      <c r="AM2854" t="s">
        <v>1757</v>
      </c>
      <c r="AN2854" t="s">
        <v>1758</v>
      </c>
    </row>
    <row r="2855" spans="1:40" x14ac:dyDescent="0.35">
      <c r="A2855" t="s">
        <v>37</v>
      </c>
      <c r="B2855" t="s">
        <v>11207</v>
      </c>
      <c r="C2855" t="s">
        <v>39</v>
      </c>
      <c r="D2855" t="s">
        <v>7445</v>
      </c>
      <c r="E2855" t="s">
        <v>1316</v>
      </c>
      <c r="F2855" s="1">
        <v>46069.460879629631</v>
      </c>
      <c r="G2855" t="s">
        <v>286</v>
      </c>
      <c r="H2855" t="s">
        <v>287</v>
      </c>
      <c r="I2855" t="s">
        <v>11208</v>
      </c>
      <c r="J2855" t="s">
        <v>8674</v>
      </c>
      <c r="K2855" t="s">
        <v>7448</v>
      </c>
      <c r="M2855" t="s">
        <v>47</v>
      </c>
      <c r="O2855" t="s">
        <v>77</v>
      </c>
      <c r="P2855" t="s">
        <v>78</v>
      </c>
      <c r="Q2855" t="s">
        <v>50</v>
      </c>
      <c r="R2855" t="s">
        <v>51</v>
      </c>
      <c r="S2855" t="s">
        <v>52</v>
      </c>
      <c r="T2855" t="s">
        <v>240</v>
      </c>
      <c r="U2855" s="1">
        <v>46072.611006944448</v>
      </c>
      <c r="V2855" t="s">
        <v>54</v>
      </c>
      <c r="W2855" t="s">
        <v>55</v>
      </c>
      <c r="X2855" t="s">
        <v>113</v>
      </c>
      <c r="Y2855" t="s">
        <v>8675</v>
      </c>
      <c r="Z2855" t="s">
        <v>5594</v>
      </c>
      <c r="AA2855" t="s">
        <v>54</v>
      </c>
      <c r="AB2855" t="s">
        <v>8676</v>
      </c>
      <c r="AC2855" t="s">
        <v>85</v>
      </c>
      <c r="AD2855" t="s">
        <v>52</v>
      </c>
      <c r="AE2855" t="s">
        <v>243</v>
      </c>
      <c r="AF2855" t="s">
        <v>244</v>
      </c>
      <c r="AG2855" t="s">
        <v>5594</v>
      </c>
      <c r="AK2855">
        <v>0</v>
      </c>
      <c r="AL2855" t="s">
        <v>61</v>
      </c>
      <c r="AM2855" t="s">
        <v>7451</v>
      </c>
      <c r="AN2855" t="s">
        <v>7452</v>
      </c>
    </row>
    <row r="2856" spans="1:40" x14ac:dyDescent="0.35">
      <c r="A2856" t="s">
        <v>37</v>
      </c>
      <c r="B2856" t="s">
        <v>11209</v>
      </c>
      <c r="C2856" t="s">
        <v>39</v>
      </c>
      <c r="D2856" t="s">
        <v>3274</v>
      </c>
      <c r="E2856" t="s">
        <v>469</v>
      </c>
      <c r="F2856" s="1">
        <v>46069.459675925929</v>
      </c>
      <c r="G2856" t="s">
        <v>273</v>
      </c>
      <c r="H2856" t="s">
        <v>233</v>
      </c>
      <c r="I2856" t="s">
        <v>3275</v>
      </c>
      <c r="J2856" t="s">
        <v>1833</v>
      </c>
      <c r="K2856" t="s">
        <v>1834</v>
      </c>
      <c r="M2856" t="s">
        <v>76</v>
      </c>
      <c r="O2856" t="s">
        <v>77</v>
      </c>
      <c r="P2856" t="s">
        <v>78</v>
      </c>
      <c r="Q2856" t="s">
        <v>50</v>
      </c>
      <c r="R2856" t="s">
        <v>51</v>
      </c>
      <c r="S2856" t="s">
        <v>52</v>
      </c>
      <c r="T2856" t="s">
        <v>240</v>
      </c>
      <c r="U2856" s="1">
        <v>46078.955914351849</v>
      </c>
      <c r="V2856" t="s">
        <v>54</v>
      </c>
      <c r="W2856" t="s">
        <v>55</v>
      </c>
      <c r="X2856" t="s">
        <v>134</v>
      </c>
      <c r="Y2856" t="s">
        <v>11210</v>
      </c>
      <c r="Z2856" t="s">
        <v>58</v>
      </c>
      <c r="AA2856" t="s">
        <v>54</v>
      </c>
      <c r="AB2856" t="s">
        <v>1836</v>
      </c>
      <c r="AC2856" t="s">
        <v>85</v>
      </c>
      <c r="AD2856" t="s">
        <v>52</v>
      </c>
      <c r="AE2856" t="s">
        <v>438</v>
      </c>
      <c r="AF2856" t="s">
        <v>2204</v>
      </c>
      <c r="AG2856" t="s">
        <v>58</v>
      </c>
      <c r="AH2856">
        <v>12296</v>
      </c>
      <c r="AK2856">
        <v>0</v>
      </c>
      <c r="AL2856" t="s">
        <v>61</v>
      </c>
      <c r="AM2856" t="s">
        <v>3276</v>
      </c>
      <c r="AN2856" t="s">
        <v>3277</v>
      </c>
    </row>
    <row r="2857" spans="1:40" x14ac:dyDescent="0.35">
      <c r="A2857" t="s">
        <v>37</v>
      </c>
      <c r="B2857" t="s">
        <v>11211</v>
      </c>
      <c r="C2857" t="s">
        <v>39</v>
      </c>
      <c r="D2857" t="s">
        <v>7445</v>
      </c>
      <c r="E2857" t="s">
        <v>1316</v>
      </c>
      <c r="F2857" s="1">
        <v>46069.45821759259</v>
      </c>
      <c r="G2857" t="s">
        <v>286</v>
      </c>
      <c r="H2857" t="s">
        <v>287</v>
      </c>
      <c r="I2857" t="s">
        <v>11212</v>
      </c>
      <c r="J2857" t="s">
        <v>8674</v>
      </c>
      <c r="K2857" t="s">
        <v>7448</v>
      </c>
      <c r="M2857" t="s">
        <v>47</v>
      </c>
      <c r="O2857" t="s">
        <v>77</v>
      </c>
      <c r="P2857" t="s">
        <v>78</v>
      </c>
      <c r="Q2857" t="s">
        <v>50</v>
      </c>
      <c r="R2857" t="s">
        <v>51</v>
      </c>
      <c r="S2857" t="s">
        <v>52</v>
      </c>
      <c r="T2857" t="s">
        <v>240</v>
      </c>
      <c r="U2857" s="1">
        <v>46072.61041666667</v>
      </c>
      <c r="V2857" t="s">
        <v>54</v>
      </c>
      <c r="W2857" t="s">
        <v>55</v>
      </c>
      <c r="X2857" t="s">
        <v>113</v>
      </c>
      <c r="Y2857" t="s">
        <v>7449</v>
      </c>
      <c r="Z2857" t="s">
        <v>5594</v>
      </c>
      <c r="AA2857" t="s">
        <v>54</v>
      </c>
      <c r="AB2857" t="s">
        <v>8676</v>
      </c>
      <c r="AC2857" t="s">
        <v>85</v>
      </c>
      <c r="AD2857" t="s">
        <v>52</v>
      </c>
      <c r="AE2857" t="s">
        <v>243</v>
      </c>
      <c r="AF2857" t="s">
        <v>244</v>
      </c>
      <c r="AG2857" t="s">
        <v>5594</v>
      </c>
      <c r="AK2857">
        <v>0</v>
      </c>
      <c r="AL2857" t="s">
        <v>61</v>
      </c>
      <c r="AM2857" t="s">
        <v>7451</v>
      </c>
      <c r="AN2857" t="s">
        <v>7452</v>
      </c>
    </row>
    <row r="2858" spans="1:40" x14ac:dyDescent="0.35">
      <c r="A2858" t="s">
        <v>37</v>
      </c>
      <c r="B2858" t="s">
        <v>11213</v>
      </c>
      <c r="C2858" t="s">
        <v>39</v>
      </c>
      <c r="D2858" t="s">
        <v>4518</v>
      </c>
      <c r="E2858" t="s">
        <v>4519</v>
      </c>
      <c r="F2858" s="1">
        <v>46069.456250000003</v>
      </c>
      <c r="G2858" t="s">
        <v>42</v>
      </c>
      <c r="H2858" t="s">
        <v>43</v>
      </c>
      <c r="I2858" t="s">
        <v>1185</v>
      </c>
      <c r="J2858" t="s">
        <v>2333</v>
      </c>
      <c r="K2858" t="s">
        <v>1187</v>
      </c>
      <c r="M2858" t="s">
        <v>47</v>
      </c>
      <c r="O2858" t="s">
        <v>77</v>
      </c>
      <c r="P2858" t="s">
        <v>78</v>
      </c>
      <c r="Q2858" t="s">
        <v>50</v>
      </c>
      <c r="R2858" t="s">
        <v>305</v>
      </c>
      <c r="S2858" t="s">
        <v>306</v>
      </c>
      <c r="T2858" t="s">
        <v>307</v>
      </c>
      <c r="U2858" s="1">
        <v>46074.74454861111</v>
      </c>
      <c r="V2858" t="s">
        <v>54</v>
      </c>
      <c r="W2858" t="s">
        <v>55</v>
      </c>
      <c r="X2858" t="s">
        <v>211</v>
      </c>
      <c r="Y2858" t="s">
        <v>11214</v>
      </c>
      <c r="Z2858" t="s">
        <v>5594</v>
      </c>
      <c r="AA2858" t="s">
        <v>54</v>
      </c>
      <c r="AB2858" t="s">
        <v>213</v>
      </c>
      <c r="AC2858" t="s">
        <v>85</v>
      </c>
      <c r="AD2858" t="s">
        <v>1189</v>
      </c>
      <c r="AE2858" t="s">
        <v>1190</v>
      </c>
      <c r="AF2858" t="s">
        <v>1191</v>
      </c>
      <c r="AG2858" t="s">
        <v>5594</v>
      </c>
      <c r="AH2858" t="s">
        <v>4521</v>
      </c>
      <c r="AK2858">
        <v>5</v>
      </c>
      <c r="AL2858" t="s">
        <v>61</v>
      </c>
      <c r="AM2858" t="s">
        <v>4522</v>
      </c>
      <c r="AN2858" t="s">
        <v>4523</v>
      </c>
    </row>
    <row r="2859" spans="1:40" x14ac:dyDescent="0.35">
      <c r="A2859" t="s">
        <v>37</v>
      </c>
      <c r="B2859" t="s">
        <v>11215</v>
      </c>
      <c r="C2859" t="s">
        <v>39</v>
      </c>
      <c r="D2859" t="s">
        <v>7445</v>
      </c>
      <c r="E2859" t="s">
        <v>1316</v>
      </c>
      <c r="F2859" s="1">
        <v>46069.45548611111</v>
      </c>
      <c r="G2859" t="s">
        <v>286</v>
      </c>
      <c r="H2859" t="s">
        <v>287</v>
      </c>
      <c r="I2859" t="s">
        <v>11216</v>
      </c>
      <c r="J2859" t="s">
        <v>8674</v>
      </c>
      <c r="K2859" t="s">
        <v>7448</v>
      </c>
      <c r="M2859" t="s">
        <v>47</v>
      </c>
      <c r="O2859" t="s">
        <v>77</v>
      </c>
      <c r="P2859" t="s">
        <v>78</v>
      </c>
      <c r="Q2859" t="s">
        <v>50</v>
      </c>
      <c r="R2859" t="s">
        <v>51</v>
      </c>
      <c r="S2859" t="s">
        <v>52</v>
      </c>
      <c r="T2859" t="s">
        <v>240</v>
      </c>
      <c r="U2859" s="1">
        <v>46072.610231481478</v>
      </c>
      <c r="V2859" t="s">
        <v>54</v>
      </c>
      <c r="W2859" t="s">
        <v>55</v>
      </c>
      <c r="X2859" t="s">
        <v>113</v>
      </c>
      <c r="Y2859" t="s">
        <v>10014</v>
      </c>
      <c r="Z2859" t="s">
        <v>5594</v>
      </c>
      <c r="AA2859" t="s">
        <v>54</v>
      </c>
      <c r="AB2859" t="s">
        <v>8676</v>
      </c>
      <c r="AC2859" t="s">
        <v>85</v>
      </c>
      <c r="AD2859" t="s">
        <v>51</v>
      </c>
      <c r="AE2859" t="s">
        <v>834</v>
      </c>
      <c r="AF2859" t="s">
        <v>834</v>
      </c>
      <c r="AG2859" t="s">
        <v>5594</v>
      </c>
      <c r="AK2859">
        <v>0</v>
      </c>
      <c r="AL2859" t="s">
        <v>61</v>
      </c>
      <c r="AM2859" t="s">
        <v>7451</v>
      </c>
      <c r="AN2859" t="s">
        <v>7452</v>
      </c>
    </row>
    <row r="2860" spans="1:40" x14ac:dyDescent="0.35">
      <c r="A2860" t="s">
        <v>37</v>
      </c>
      <c r="B2860" t="s">
        <v>11217</v>
      </c>
      <c r="C2860" t="s">
        <v>39</v>
      </c>
      <c r="D2860" t="s">
        <v>1751</v>
      </c>
      <c r="E2860" t="s">
        <v>1316</v>
      </c>
      <c r="F2860" s="1">
        <v>46069.454768518517</v>
      </c>
      <c r="G2860" t="s">
        <v>1752</v>
      </c>
      <c r="H2860" t="s">
        <v>447</v>
      </c>
      <c r="I2860" t="s">
        <v>11218</v>
      </c>
      <c r="J2860" t="s">
        <v>1754</v>
      </c>
      <c r="K2860" t="s">
        <v>1755</v>
      </c>
      <c r="M2860" t="s">
        <v>47</v>
      </c>
      <c r="O2860" t="s">
        <v>77</v>
      </c>
      <c r="P2860" t="s">
        <v>78</v>
      </c>
      <c r="Q2860" t="s">
        <v>50</v>
      </c>
      <c r="R2860" t="s">
        <v>51</v>
      </c>
      <c r="S2860" t="s">
        <v>52</v>
      </c>
      <c r="T2860" t="s">
        <v>773</v>
      </c>
      <c r="U2860" s="1">
        <v>46074.899930555555</v>
      </c>
      <c r="V2860" t="s">
        <v>54</v>
      </c>
      <c r="W2860" t="s">
        <v>55</v>
      </c>
      <c r="X2860" t="s">
        <v>134</v>
      </c>
      <c r="Y2860" t="s">
        <v>11219</v>
      </c>
      <c r="Z2860" t="s">
        <v>5594</v>
      </c>
      <c r="AA2860" t="s">
        <v>54</v>
      </c>
      <c r="AB2860" t="s">
        <v>1757</v>
      </c>
      <c r="AC2860" t="s">
        <v>85</v>
      </c>
      <c r="AD2860" t="s">
        <v>52</v>
      </c>
      <c r="AE2860" t="s">
        <v>438</v>
      </c>
      <c r="AF2860" t="s">
        <v>2204</v>
      </c>
      <c r="AG2860" t="s">
        <v>5594</v>
      </c>
      <c r="AK2860">
        <v>1</v>
      </c>
      <c r="AL2860" t="s">
        <v>61</v>
      </c>
      <c r="AM2860" t="s">
        <v>1757</v>
      </c>
      <c r="AN2860" t="s">
        <v>1758</v>
      </c>
    </row>
    <row r="2861" spans="1:40" x14ac:dyDescent="0.35">
      <c r="A2861" t="s">
        <v>37</v>
      </c>
      <c r="B2861" t="s">
        <v>11220</v>
      </c>
      <c r="C2861" t="s">
        <v>39</v>
      </c>
      <c r="D2861" t="s">
        <v>89</v>
      </c>
      <c r="E2861" t="s">
        <v>513</v>
      </c>
      <c r="F2861" s="1">
        <v>46069.454444444447</v>
      </c>
      <c r="G2861" t="s">
        <v>3050</v>
      </c>
      <c r="H2861" t="s">
        <v>233</v>
      </c>
      <c r="I2861" t="s">
        <v>11221</v>
      </c>
      <c r="J2861" t="s">
        <v>2182</v>
      </c>
      <c r="K2861" t="s">
        <v>11222</v>
      </c>
      <c r="M2861" t="s">
        <v>131</v>
      </c>
      <c r="O2861" t="s">
        <v>237</v>
      </c>
      <c r="P2861" t="s">
        <v>238</v>
      </c>
      <c r="Q2861" t="s">
        <v>50</v>
      </c>
      <c r="R2861" t="s">
        <v>51</v>
      </c>
      <c r="S2861" t="s">
        <v>52</v>
      </c>
      <c r="T2861" t="s">
        <v>240</v>
      </c>
      <c r="U2861" s="1">
        <v>46076.478634259256</v>
      </c>
      <c r="V2861" t="s">
        <v>54</v>
      </c>
      <c r="W2861" t="s">
        <v>55</v>
      </c>
      <c r="X2861" t="s">
        <v>211</v>
      </c>
      <c r="Y2861" t="s">
        <v>11223</v>
      </c>
      <c r="Z2861" t="s">
        <v>58</v>
      </c>
      <c r="AA2861" t="s">
        <v>54</v>
      </c>
      <c r="AB2861" t="s">
        <v>213</v>
      </c>
      <c r="AC2861" t="s">
        <v>242</v>
      </c>
      <c r="AD2861" t="s">
        <v>52</v>
      </c>
      <c r="AE2861" t="s">
        <v>243</v>
      </c>
      <c r="AF2861" t="s">
        <v>1470</v>
      </c>
      <c r="AG2861" t="s">
        <v>58</v>
      </c>
      <c r="AH2861">
        <v>15926</v>
      </c>
      <c r="AK2861">
        <v>1</v>
      </c>
      <c r="AL2861" t="s">
        <v>61</v>
      </c>
      <c r="AM2861" t="s">
        <v>3052</v>
      </c>
      <c r="AN2861" t="s">
        <v>3053</v>
      </c>
    </row>
    <row r="2862" spans="1:40" x14ac:dyDescent="0.35">
      <c r="A2862" t="s">
        <v>37</v>
      </c>
      <c r="B2862" t="s">
        <v>11224</v>
      </c>
      <c r="C2862" t="s">
        <v>39</v>
      </c>
      <c r="D2862" t="s">
        <v>11225</v>
      </c>
      <c r="E2862" t="s">
        <v>11226</v>
      </c>
      <c r="F2862" s="1">
        <v>46069.454039351855</v>
      </c>
      <c r="G2862" t="s">
        <v>913</v>
      </c>
      <c r="H2862" t="s">
        <v>72</v>
      </c>
      <c r="I2862" t="s">
        <v>11227</v>
      </c>
      <c r="J2862" t="s">
        <v>1833</v>
      </c>
      <c r="K2862" t="s">
        <v>1834</v>
      </c>
      <c r="M2862" t="s">
        <v>76</v>
      </c>
      <c r="O2862" t="s">
        <v>77</v>
      </c>
      <c r="P2862" t="s">
        <v>78</v>
      </c>
      <c r="Q2862" t="s">
        <v>50</v>
      </c>
      <c r="R2862" t="s">
        <v>51</v>
      </c>
      <c r="S2862" t="s">
        <v>52</v>
      </c>
      <c r="T2862" t="s">
        <v>240</v>
      </c>
      <c r="U2862" s="1">
        <v>46078.961793981478</v>
      </c>
      <c r="V2862" t="s">
        <v>54</v>
      </c>
      <c r="W2862" t="s">
        <v>55</v>
      </c>
      <c r="X2862" t="s">
        <v>134</v>
      </c>
      <c r="Y2862" t="s">
        <v>1835</v>
      </c>
      <c r="Z2862" t="s">
        <v>58</v>
      </c>
      <c r="AA2862" t="s">
        <v>54</v>
      </c>
      <c r="AB2862" t="s">
        <v>1836</v>
      </c>
      <c r="AC2862" t="s">
        <v>85</v>
      </c>
      <c r="AD2862" t="s">
        <v>52</v>
      </c>
      <c r="AE2862" t="s">
        <v>243</v>
      </c>
      <c r="AF2862" t="s">
        <v>1470</v>
      </c>
      <c r="AG2862" t="s">
        <v>58</v>
      </c>
      <c r="AH2862" t="s">
        <v>11228</v>
      </c>
      <c r="AK2862">
        <v>0</v>
      </c>
      <c r="AL2862" t="s">
        <v>61</v>
      </c>
      <c r="AM2862" t="s">
        <v>11229</v>
      </c>
      <c r="AN2862" t="s">
        <v>11230</v>
      </c>
    </row>
    <row r="2863" spans="1:40" x14ac:dyDescent="0.35">
      <c r="A2863" t="s">
        <v>37</v>
      </c>
      <c r="B2863" t="s">
        <v>11231</v>
      </c>
      <c r="C2863" t="s">
        <v>39</v>
      </c>
      <c r="D2863" t="s">
        <v>11232</v>
      </c>
      <c r="E2863" t="s">
        <v>11233</v>
      </c>
      <c r="F2863" s="1">
        <v>46069.456608796296</v>
      </c>
      <c r="G2863" t="s">
        <v>1094</v>
      </c>
      <c r="H2863" t="s">
        <v>447</v>
      </c>
      <c r="I2863" t="s">
        <v>11234</v>
      </c>
      <c r="J2863" t="s">
        <v>5027</v>
      </c>
      <c r="K2863" t="s">
        <v>951</v>
      </c>
      <c r="M2863" t="s">
        <v>47</v>
      </c>
      <c r="O2863" t="s">
        <v>77</v>
      </c>
      <c r="P2863" t="s">
        <v>78</v>
      </c>
      <c r="Q2863" t="s">
        <v>50</v>
      </c>
      <c r="R2863" t="s">
        <v>79</v>
      </c>
      <c r="S2863" t="s">
        <v>642</v>
      </c>
      <c r="T2863" t="s">
        <v>5069</v>
      </c>
      <c r="U2863" s="1">
        <v>46072.549293981479</v>
      </c>
      <c r="V2863" t="s">
        <v>54</v>
      </c>
      <c r="W2863" t="s">
        <v>55</v>
      </c>
      <c r="X2863" t="s">
        <v>82</v>
      </c>
      <c r="Y2863" t="s">
        <v>11235</v>
      </c>
      <c r="Z2863" t="s">
        <v>5594</v>
      </c>
      <c r="AA2863" t="s">
        <v>54</v>
      </c>
      <c r="AB2863" t="s">
        <v>2721</v>
      </c>
      <c r="AC2863" t="s">
        <v>85</v>
      </c>
      <c r="AD2863" t="s">
        <v>79</v>
      </c>
      <c r="AE2863" t="s">
        <v>642</v>
      </c>
      <c r="AF2863" t="s">
        <v>5069</v>
      </c>
      <c r="AG2863" t="s">
        <v>5594</v>
      </c>
      <c r="AH2863">
        <v>14697</v>
      </c>
      <c r="AJ2863">
        <v>191675</v>
      </c>
      <c r="AK2863">
        <v>6</v>
      </c>
      <c r="AL2863" t="s">
        <v>61</v>
      </c>
      <c r="AM2863" t="s">
        <v>11236</v>
      </c>
      <c r="AN2863" t="s">
        <v>11237</v>
      </c>
    </row>
    <row r="2864" spans="1:40" x14ac:dyDescent="0.35">
      <c r="A2864" t="s">
        <v>37</v>
      </c>
      <c r="B2864" t="s">
        <v>11238</v>
      </c>
      <c r="C2864" t="s">
        <v>39</v>
      </c>
      <c r="D2864" t="s">
        <v>1751</v>
      </c>
      <c r="E2864" t="s">
        <v>1316</v>
      </c>
      <c r="F2864" s="1">
        <v>46069.453275462962</v>
      </c>
      <c r="G2864" t="s">
        <v>1752</v>
      </c>
      <c r="H2864" t="s">
        <v>447</v>
      </c>
      <c r="I2864" t="s">
        <v>11239</v>
      </c>
      <c r="J2864" t="s">
        <v>1754</v>
      </c>
      <c r="K2864" t="s">
        <v>1755</v>
      </c>
      <c r="M2864" t="s">
        <v>47</v>
      </c>
      <c r="O2864" t="s">
        <v>77</v>
      </c>
      <c r="P2864" t="s">
        <v>78</v>
      </c>
      <c r="Q2864" t="s">
        <v>50</v>
      </c>
      <c r="R2864" t="s">
        <v>51</v>
      </c>
      <c r="S2864" t="s">
        <v>52</v>
      </c>
      <c r="T2864" t="s">
        <v>773</v>
      </c>
      <c r="U2864" s="1">
        <v>46074.898564814815</v>
      </c>
      <c r="V2864" t="s">
        <v>54</v>
      </c>
      <c r="W2864" t="s">
        <v>55</v>
      </c>
      <c r="X2864" t="s">
        <v>134</v>
      </c>
      <c r="Y2864" t="s">
        <v>1756</v>
      </c>
      <c r="Z2864" t="s">
        <v>5594</v>
      </c>
      <c r="AA2864" t="s">
        <v>54</v>
      </c>
      <c r="AB2864" t="s">
        <v>1757</v>
      </c>
      <c r="AC2864" t="s">
        <v>85</v>
      </c>
      <c r="AD2864" t="s">
        <v>52</v>
      </c>
      <c r="AE2864" t="s">
        <v>243</v>
      </c>
      <c r="AF2864" t="s">
        <v>244</v>
      </c>
      <c r="AG2864" t="s">
        <v>5594</v>
      </c>
      <c r="AK2864">
        <v>1</v>
      </c>
      <c r="AL2864" t="s">
        <v>61</v>
      </c>
      <c r="AM2864" t="s">
        <v>1757</v>
      </c>
      <c r="AN2864" t="s">
        <v>1758</v>
      </c>
    </row>
    <row r="2865" spans="1:40" x14ac:dyDescent="0.35">
      <c r="A2865" t="s">
        <v>37</v>
      </c>
      <c r="B2865" t="s">
        <v>11240</v>
      </c>
      <c r="C2865" t="s">
        <v>39</v>
      </c>
      <c r="D2865" t="s">
        <v>1751</v>
      </c>
      <c r="E2865" t="s">
        <v>1316</v>
      </c>
      <c r="F2865" s="1">
        <v>46069.451840277776</v>
      </c>
      <c r="G2865" t="s">
        <v>1752</v>
      </c>
      <c r="H2865" t="s">
        <v>447</v>
      </c>
      <c r="I2865" t="s">
        <v>11241</v>
      </c>
      <c r="J2865" t="s">
        <v>1754</v>
      </c>
      <c r="K2865" t="s">
        <v>1755</v>
      </c>
      <c r="M2865" t="s">
        <v>47</v>
      </c>
      <c r="O2865" t="s">
        <v>77</v>
      </c>
      <c r="P2865" t="s">
        <v>78</v>
      </c>
      <c r="Q2865" t="s">
        <v>50</v>
      </c>
      <c r="R2865" t="s">
        <v>51</v>
      </c>
      <c r="S2865" t="s">
        <v>52</v>
      </c>
      <c r="T2865" t="s">
        <v>773</v>
      </c>
      <c r="U2865" s="1">
        <v>46074.895798611113</v>
      </c>
      <c r="V2865" t="s">
        <v>54</v>
      </c>
      <c r="W2865" t="s">
        <v>55</v>
      </c>
      <c r="X2865" t="s">
        <v>134</v>
      </c>
      <c r="Y2865" t="s">
        <v>9918</v>
      </c>
      <c r="Z2865" t="s">
        <v>5594</v>
      </c>
      <c r="AA2865" t="s">
        <v>54</v>
      </c>
      <c r="AB2865" t="s">
        <v>1757</v>
      </c>
      <c r="AC2865" t="s">
        <v>85</v>
      </c>
      <c r="AD2865" t="s">
        <v>52</v>
      </c>
      <c r="AE2865" t="s">
        <v>243</v>
      </c>
      <c r="AF2865" t="s">
        <v>244</v>
      </c>
      <c r="AG2865" t="s">
        <v>5594</v>
      </c>
      <c r="AK2865">
        <v>1</v>
      </c>
      <c r="AL2865" t="s">
        <v>61</v>
      </c>
      <c r="AM2865" t="s">
        <v>1757</v>
      </c>
      <c r="AN2865" t="s">
        <v>1758</v>
      </c>
    </row>
    <row r="2866" spans="1:40" x14ac:dyDescent="0.35">
      <c r="A2866" t="s">
        <v>37</v>
      </c>
      <c r="B2866" t="s">
        <v>11242</v>
      </c>
      <c r="C2866" t="s">
        <v>39</v>
      </c>
      <c r="D2866" t="s">
        <v>7445</v>
      </c>
      <c r="E2866" t="s">
        <v>1316</v>
      </c>
      <c r="F2866" s="1">
        <v>46069.450590277775</v>
      </c>
      <c r="G2866" t="s">
        <v>286</v>
      </c>
      <c r="H2866" t="s">
        <v>287</v>
      </c>
      <c r="I2866" t="s">
        <v>11243</v>
      </c>
      <c r="J2866" t="s">
        <v>8674</v>
      </c>
      <c r="K2866" t="s">
        <v>7448</v>
      </c>
      <c r="M2866" t="s">
        <v>47</v>
      </c>
      <c r="O2866" t="s">
        <v>77</v>
      </c>
      <c r="P2866" t="s">
        <v>78</v>
      </c>
      <c r="Q2866" t="s">
        <v>50</v>
      </c>
      <c r="R2866" t="s">
        <v>51</v>
      </c>
      <c r="S2866" t="s">
        <v>52</v>
      </c>
      <c r="T2866" t="s">
        <v>240</v>
      </c>
      <c r="U2866" s="1">
        <v>46072.61005787037</v>
      </c>
      <c r="V2866" t="s">
        <v>54</v>
      </c>
      <c r="W2866" t="s">
        <v>55</v>
      </c>
      <c r="X2866" t="s">
        <v>113</v>
      </c>
      <c r="Y2866" t="s">
        <v>10014</v>
      </c>
      <c r="Z2866" t="s">
        <v>5594</v>
      </c>
      <c r="AA2866" t="s">
        <v>54</v>
      </c>
      <c r="AB2866" t="s">
        <v>8676</v>
      </c>
      <c r="AC2866" t="s">
        <v>85</v>
      </c>
      <c r="AD2866" t="s">
        <v>52</v>
      </c>
      <c r="AE2866" t="s">
        <v>243</v>
      </c>
      <c r="AF2866" t="s">
        <v>244</v>
      </c>
      <c r="AG2866" t="s">
        <v>5594</v>
      </c>
      <c r="AK2866">
        <v>0</v>
      </c>
      <c r="AL2866" t="s">
        <v>61</v>
      </c>
      <c r="AM2866" t="s">
        <v>7451</v>
      </c>
      <c r="AN2866" t="s">
        <v>7452</v>
      </c>
    </row>
    <row r="2867" spans="1:40" x14ac:dyDescent="0.35">
      <c r="A2867" t="s">
        <v>37</v>
      </c>
      <c r="B2867" t="s">
        <v>11244</v>
      </c>
      <c r="C2867" t="s">
        <v>39</v>
      </c>
      <c r="D2867" t="s">
        <v>583</v>
      </c>
      <c r="E2867" t="s">
        <v>584</v>
      </c>
      <c r="F2867" s="1">
        <v>46069.450682870367</v>
      </c>
      <c r="G2867" t="s">
        <v>585</v>
      </c>
      <c r="H2867" t="s">
        <v>356</v>
      </c>
      <c r="I2867" t="s">
        <v>11245</v>
      </c>
      <c r="J2867" t="s">
        <v>2550</v>
      </c>
      <c r="K2867" t="s">
        <v>2551</v>
      </c>
      <c r="M2867" t="s">
        <v>47</v>
      </c>
      <c r="O2867" t="s">
        <v>77</v>
      </c>
      <c r="P2867" t="s">
        <v>78</v>
      </c>
      <c r="Q2867" t="s">
        <v>50</v>
      </c>
      <c r="R2867" t="s">
        <v>208</v>
      </c>
      <c r="S2867" t="s">
        <v>209</v>
      </c>
      <c r="T2867" t="s">
        <v>2859</v>
      </c>
      <c r="U2867" s="1">
        <v>46072.461562500001</v>
      </c>
      <c r="V2867" t="s">
        <v>54</v>
      </c>
      <c r="W2867" t="s">
        <v>55</v>
      </c>
      <c r="X2867" t="s">
        <v>134</v>
      </c>
      <c r="Y2867" t="s">
        <v>11246</v>
      </c>
      <c r="Z2867" t="s">
        <v>5594</v>
      </c>
      <c r="AA2867" t="s">
        <v>54</v>
      </c>
      <c r="AB2867" t="s">
        <v>408</v>
      </c>
      <c r="AC2867" t="s">
        <v>85</v>
      </c>
      <c r="AD2867" t="s">
        <v>214</v>
      </c>
      <c r="AE2867" t="s">
        <v>2861</v>
      </c>
      <c r="AF2867" t="s">
        <v>3739</v>
      </c>
      <c r="AG2867" t="s">
        <v>5594</v>
      </c>
      <c r="AK2867">
        <v>3</v>
      </c>
      <c r="AL2867" t="s">
        <v>61</v>
      </c>
      <c r="AM2867" t="s">
        <v>593</v>
      </c>
      <c r="AN2867" t="s">
        <v>594</v>
      </c>
    </row>
    <row r="2868" spans="1:40" x14ac:dyDescent="0.35">
      <c r="A2868" t="s">
        <v>37</v>
      </c>
      <c r="B2868" t="s">
        <v>11247</v>
      </c>
      <c r="C2868" t="s">
        <v>39</v>
      </c>
      <c r="D2868" t="s">
        <v>7445</v>
      </c>
      <c r="E2868" t="s">
        <v>1316</v>
      </c>
      <c r="F2868" s="1">
        <v>46069.449178240742</v>
      </c>
      <c r="G2868" t="s">
        <v>286</v>
      </c>
      <c r="H2868" t="s">
        <v>287</v>
      </c>
      <c r="I2868" t="s">
        <v>11248</v>
      </c>
      <c r="J2868" t="s">
        <v>8674</v>
      </c>
      <c r="K2868" t="s">
        <v>7448</v>
      </c>
      <c r="M2868" t="s">
        <v>47</v>
      </c>
      <c r="O2868" t="s">
        <v>77</v>
      </c>
      <c r="P2868" t="s">
        <v>78</v>
      </c>
      <c r="Q2868" t="s">
        <v>50</v>
      </c>
      <c r="R2868" t="s">
        <v>51</v>
      </c>
      <c r="S2868" t="s">
        <v>52</v>
      </c>
      <c r="T2868" t="s">
        <v>240</v>
      </c>
      <c r="U2868" s="1">
        <v>46072.609930555554</v>
      </c>
      <c r="V2868" t="s">
        <v>54</v>
      </c>
      <c r="W2868" t="s">
        <v>55</v>
      </c>
      <c r="X2868" t="s">
        <v>113</v>
      </c>
      <c r="Y2868" t="s">
        <v>7449</v>
      </c>
      <c r="Z2868" t="s">
        <v>5594</v>
      </c>
      <c r="AA2868" t="s">
        <v>54</v>
      </c>
      <c r="AB2868" t="s">
        <v>8676</v>
      </c>
      <c r="AC2868" t="s">
        <v>85</v>
      </c>
      <c r="AD2868" t="s">
        <v>52</v>
      </c>
      <c r="AE2868" t="s">
        <v>243</v>
      </c>
      <c r="AF2868" t="s">
        <v>244</v>
      </c>
      <c r="AG2868" t="s">
        <v>5594</v>
      </c>
      <c r="AK2868">
        <v>0</v>
      </c>
      <c r="AL2868" t="s">
        <v>61</v>
      </c>
      <c r="AM2868" t="s">
        <v>7451</v>
      </c>
      <c r="AN2868" t="s">
        <v>7452</v>
      </c>
    </row>
    <row r="2869" spans="1:40" x14ac:dyDescent="0.35">
      <c r="A2869" t="s">
        <v>37</v>
      </c>
      <c r="B2869" t="s">
        <v>11249</v>
      </c>
      <c r="C2869" t="s">
        <v>39</v>
      </c>
      <c r="D2869" t="s">
        <v>7445</v>
      </c>
      <c r="E2869" t="s">
        <v>1316</v>
      </c>
      <c r="F2869" s="1">
        <v>46069.44835648148</v>
      </c>
      <c r="G2869" t="s">
        <v>286</v>
      </c>
      <c r="H2869" t="s">
        <v>287</v>
      </c>
      <c r="I2869" t="s">
        <v>11250</v>
      </c>
      <c r="J2869" t="s">
        <v>8674</v>
      </c>
      <c r="K2869" t="s">
        <v>7448</v>
      </c>
      <c r="M2869" t="s">
        <v>47</v>
      </c>
      <c r="O2869" t="s">
        <v>77</v>
      </c>
      <c r="P2869" t="s">
        <v>78</v>
      </c>
      <c r="Q2869" t="s">
        <v>50</v>
      </c>
      <c r="R2869" t="s">
        <v>51</v>
      </c>
      <c r="S2869" t="s">
        <v>52</v>
      </c>
      <c r="T2869" t="s">
        <v>240</v>
      </c>
      <c r="U2869" s="1">
        <v>46072.609756944446</v>
      </c>
      <c r="V2869" t="s">
        <v>54</v>
      </c>
      <c r="W2869" t="s">
        <v>55</v>
      </c>
      <c r="X2869" t="s">
        <v>113</v>
      </c>
      <c r="Y2869" t="s">
        <v>7449</v>
      </c>
      <c r="Z2869" t="s">
        <v>5594</v>
      </c>
      <c r="AA2869" t="s">
        <v>54</v>
      </c>
      <c r="AB2869" t="s">
        <v>8676</v>
      </c>
      <c r="AC2869" t="s">
        <v>85</v>
      </c>
      <c r="AD2869" t="s">
        <v>52</v>
      </c>
      <c r="AE2869" t="s">
        <v>243</v>
      </c>
      <c r="AF2869" t="s">
        <v>244</v>
      </c>
      <c r="AG2869" t="s">
        <v>5594</v>
      </c>
      <c r="AK2869">
        <v>0</v>
      </c>
      <c r="AL2869" t="s">
        <v>61</v>
      </c>
      <c r="AM2869" t="s">
        <v>7451</v>
      </c>
      <c r="AN2869" t="s">
        <v>7452</v>
      </c>
    </row>
    <row r="2870" spans="1:40" x14ac:dyDescent="0.35">
      <c r="A2870" t="s">
        <v>37</v>
      </c>
      <c r="B2870" t="s">
        <v>11251</v>
      </c>
      <c r="C2870" t="s">
        <v>656</v>
      </c>
      <c r="D2870" t="s">
        <v>1963</v>
      </c>
      <c r="E2870" t="s">
        <v>1151</v>
      </c>
      <c r="F2870" s="1">
        <v>46069.448113425926</v>
      </c>
      <c r="G2870" t="s">
        <v>355</v>
      </c>
      <c r="H2870" t="s">
        <v>356</v>
      </c>
      <c r="I2870" t="s">
        <v>11252</v>
      </c>
      <c r="J2870" t="s">
        <v>2987</v>
      </c>
      <c r="K2870" t="s">
        <v>2988</v>
      </c>
      <c r="M2870" t="s">
        <v>76</v>
      </c>
      <c r="O2870" t="s">
        <v>77</v>
      </c>
      <c r="P2870" t="s">
        <v>78</v>
      </c>
      <c r="Q2870" t="s">
        <v>50</v>
      </c>
      <c r="R2870" t="s">
        <v>2989</v>
      </c>
      <c r="S2870" t="s">
        <v>2990</v>
      </c>
      <c r="T2870" t="s">
        <v>11253</v>
      </c>
      <c r="U2870" s="1">
        <v>46076.410624999997</v>
      </c>
      <c r="V2870" t="s">
        <v>54</v>
      </c>
      <c r="W2870" t="s">
        <v>55</v>
      </c>
      <c r="X2870" t="s">
        <v>134</v>
      </c>
      <c r="Y2870" t="s">
        <v>11254</v>
      </c>
      <c r="Z2870" t="s">
        <v>58</v>
      </c>
      <c r="AA2870" t="s">
        <v>54</v>
      </c>
      <c r="AB2870" t="s">
        <v>408</v>
      </c>
      <c r="AC2870" t="s">
        <v>85</v>
      </c>
      <c r="AD2870" t="s">
        <v>2989</v>
      </c>
      <c r="AE2870" t="s">
        <v>2990</v>
      </c>
      <c r="AF2870" t="s">
        <v>11253</v>
      </c>
      <c r="AG2870" t="s">
        <v>58</v>
      </c>
      <c r="AH2870" t="s">
        <v>1965</v>
      </c>
      <c r="AK2870">
        <v>1</v>
      </c>
      <c r="AL2870" t="s">
        <v>61</v>
      </c>
      <c r="AM2870" t="s">
        <v>1966</v>
      </c>
      <c r="AN2870" t="s">
        <v>1967</v>
      </c>
    </row>
    <row r="2871" spans="1:40" x14ac:dyDescent="0.35">
      <c r="A2871" t="s">
        <v>37</v>
      </c>
      <c r="B2871" t="s">
        <v>11255</v>
      </c>
      <c r="C2871" t="s">
        <v>39</v>
      </c>
      <c r="D2871" t="s">
        <v>1751</v>
      </c>
      <c r="E2871" t="s">
        <v>1316</v>
      </c>
      <c r="F2871" s="1">
        <v>46069.446898148148</v>
      </c>
      <c r="G2871" t="s">
        <v>1752</v>
      </c>
      <c r="H2871" t="s">
        <v>447</v>
      </c>
      <c r="I2871" t="s">
        <v>11256</v>
      </c>
      <c r="J2871" t="s">
        <v>1754</v>
      </c>
      <c r="K2871" t="s">
        <v>1755</v>
      </c>
      <c r="M2871" t="s">
        <v>47</v>
      </c>
      <c r="O2871" t="s">
        <v>77</v>
      </c>
      <c r="P2871" t="s">
        <v>78</v>
      </c>
      <c r="Q2871" t="s">
        <v>50</v>
      </c>
      <c r="R2871" t="s">
        <v>51</v>
      </c>
      <c r="S2871" t="s">
        <v>52</v>
      </c>
      <c r="T2871" t="s">
        <v>773</v>
      </c>
      <c r="U2871" s="1">
        <v>46074.894849537035</v>
      </c>
      <c r="V2871" t="s">
        <v>54</v>
      </c>
      <c r="W2871" t="s">
        <v>55</v>
      </c>
      <c r="X2871" t="s">
        <v>134</v>
      </c>
      <c r="Y2871" t="s">
        <v>11257</v>
      </c>
      <c r="Z2871" t="s">
        <v>5594</v>
      </c>
      <c r="AA2871" t="s">
        <v>54</v>
      </c>
      <c r="AB2871" t="s">
        <v>1757</v>
      </c>
      <c r="AC2871" t="s">
        <v>85</v>
      </c>
      <c r="AD2871" t="s">
        <v>52</v>
      </c>
      <c r="AE2871" t="s">
        <v>243</v>
      </c>
      <c r="AF2871" t="s">
        <v>409</v>
      </c>
      <c r="AG2871" t="s">
        <v>5594</v>
      </c>
      <c r="AK2871">
        <v>1</v>
      </c>
      <c r="AL2871" t="s">
        <v>61</v>
      </c>
      <c r="AM2871" t="s">
        <v>1757</v>
      </c>
      <c r="AN2871" t="s">
        <v>1758</v>
      </c>
    </row>
    <row r="2872" spans="1:40" x14ac:dyDescent="0.35">
      <c r="A2872" t="s">
        <v>37</v>
      </c>
      <c r="B2872" t="s">
        <v>11258</v>
      </c>
      <c r="C2872" t="s">
        <v>39</v>
      </c>
      <c r="D2872" t="s">
        <v>7445</v>
      </c>
      <c r="E2872" t="s">
        <v>1316</v>
      </c>
      <c r="F2872" s="1">
        <v>46069.446481481478</v>
      </c>
      <c r="G2872" t="s">
        <v>286</v>
      </c>
      <c r="H2872" t="s">
        <v>287</v>
      </c>
      <c r="I2872" t="s">
        <v>11259</v>
      </c>
      <c r="J2872" t="s">
        <v>8674</v>
      </c>
      <c r="K2872" t="s">
        <v>7448</v>
      </c>
      <c r="M2872" t="s">
        <v>47</v>
      </c>
      <c r="O2872" t="s">
        <v>77</v>
      </c>
      <c r="P2872" t="s">
        <v>78</v>
      </c>
      <c r="Q2872" t="s">
        <v>50</v>
      </c>
      <c r="R2872" t="s">
        <v>51</v>
      </c>
      <c r="S2872" t="s">
        <v>52</v>
      </c>
      <c r="T2872" t="s">
        <v>240</v>
      </c>
      <c r="U2872" s="1">
        <v>46072.609629629631</v>
      </c>
      <c r="V2872" t="s">
        <v>54</v>
      </c>
      <c r="W2872" t="s">
        <v>55</v>
      </c>
      <c r="X2872" t="s">
        <v>113</v>
      </c>
      <c r="Y2872" t="s">
        <v>7449</v>
      </c>
      <c r="Z2872" t="s">
        <v>5594</v>
      </c>
      <c r="AA2872" t="s">
        <v>54</v>
      </c>
      <c r="AB2872" t="s">
        <v>8676</v>
      </c>
      <c r="AC2872" t="s">
        <v>85</v>
      </c>
      <c r="AD2872" t="s">
        <v>52</v>
      </c>
      <c r="AE2872" t="s">
        <v>243</v>
      </c>
      <c r="AF2872" t="s">
        <v>244</v>
      </c>
      <c r="AG2872" t="s">
        <v>5594</v>
      </c>
      <c r="AK2872">
        <v>1</v>
      </c>
      <c r="AL2872" t="s">
        <v>61</v>
      </c>
      <c r="AM2872" t="s">
        <v>7451</v>
      </c>
      <c r="AN2872" t="s">
        <v>7452</v>
      </c>
    </row>
    <row r="2873" spans="1:40" x14ac:dyDescent="0.35">
      <c r="A2873" t="s">
        <v>37</v>
      </c>
      <c r="B2873" t="s">
        <v>11260</v>
      </c>
      <c r="C2873" t="s">
        <v>39</v>
      </c>
      <c r="D2873" t="s">
        <v>7445</v>
      </c>
      <c r="E2873" t="s">
        <v>1316</v>
      </c>
      <c r="F2873" s="1">
        <v>46069.445277777777</v>
      </c>
      <c r="G2873" t="s">
        <v>286</v>
      </c>
      <c r="H2873" t="s">
        <v>287</v>
      </c>
      <c r="I2873" t="s">
        <v>11261</v>
      </c>
      <c r="J2873" t="s">
        <v>8674</v>
      </c>
      <c r="K2873" t="s">
        <v>7448</v>
      </c>
      <c r="M2873" t="s">
        <v>47</v>
      </c>
      <c r="O2873" t="s">
        <v>77</v>
      </c>
      <c r="P2873" t="s">
        <v>78</v>
      </c>
      <c r="Q2873" t="s">
        <v>50</v>
      </c>
      <c r="R2873" t="s">
        <v>51</v>
      </c>
      <c r="S2873" t="s">
        <v>52</v>
      </c>
      <c r="T2873" t="s">
        <v>240</v>
      </c>
      <c r="U2873" s="1">
        <v>46072.609432870369</v>
      </c>
      <c r="V2873" t="s">
        <v>54</v>
      </c>
      <c r="W2873" t="s">
        <v>55</v>
      </c>
      <c r="X2873" t="s">
        <v>113</v>
      </c>
      <c r="Y2873" t="s">
        <v>8700</v>
      </c>
      <c r="Z2873" t="s">
        <v>5594</v>
      </c>
      <c r="AA2873" t="s">
        <v>54</v>
      </c>
      <c r="AB2873" t="s">
        <v>8676</v>
      </c>
      <c r="AC2873" t="s">
        <v>85</v>
      </c>
      <c r="AD2873" t="s">
        <v>52</v>
      </c>
      <c r="AE2873" t="s">
        <v>243</v>
      </c>
      <c r="AF2873" t="s">
        <v>244</v>
      </c>
      <c r="AG2873" t="s">
        <v>5594</v>
      </c>
      <c r="AK2873">
        <v>0</v>
      </c>
      <c r="AL2873" t="s">
        <v>61</v>
      </c>
      <c r="AM2873" t="s">
        <v>7451</v>
      </c>
      <c r="AN2873" t="s">
        <v>7452</v>
      </c>
    </row>
    <row r="2874" spans="1:40" x14ac:dyDescent="0.35">
      <c r="A2874" t="s">
        <v>37</v>
      </c>
      <c r="B2874" t="s">
        <v>11262</v>
      </c>
      <c r="C2874" t="s">
        <v>39</v>
      </c>
      <c r="D2874" t="s">
        <v>7445</v>
      </c>
      <c r="E2874" t="s">
        <v>1316</v>
      </c>
      <c r="F2874" s="1">
        <v>46069.441562499997</v>
      </c>
      <c r="G2874" t="s">
        <v>286</v>
      </c>
      <c r="H2874" t="s">
        <v>287</v>
      </c>
      <c r="I2874" t="s">
        <v>11263</v>
      </c>
      <c r="J2874" t="s">
        <v>8674</v>
      </c>
      <c r="K2874" t="s">
        <v>7448</v>
      </c>
      <c r="M2874" t="s">
        <v>47</v>
      </c>
      <c r="O2874" t="s">
        <v>77</v>
      </c>
      <c r="P2874" t="s">
        <v>78</v>
      </c>
      <c r="Q2874" t="s">
        <v>50</v>
      </c>
      <c r="R2874" t="s">
        <v>51</v>
      </c>
      <c r="S2874" t="s">
        <v>52</v>
      </c>
      <c r="T2874" t="s">
        <v>240</v>
      </c>
      <c r="U2874" s="1">
        <v>46072.609293981484</v>
      </c>
      <c r="V2874" t="s">
        <v>54</v>
      </c>
      <c r="W2874" t="s">
        <v>55</v>
      </c>
      <c r="X2874" t="s">
        <v>113</v>
      </c>
      <c r="Y2874" t="s">
        <v>11264</v>
      </c>
      <c r="Z2874" t="s">
        <v>5594</v>
      </c>
      <c r="AA2874" t="s">
        <v>54</v>
      </c>
      <c r="AB2874" t="s">
        <v>8676</v>
      </c>
      <c r="AC2874" t="s">
        <v>85</v>
      </c>
      <c r="AD2874" t="s">
        <v>52</v>
      </c>
      <c r="AE2874" t="s">
        <v>243</v>
      </c>
      <c r="AF2874" t="s">
        <v>244</v>
      </c>
      <c r="AG2874" t="s">
        <v>5594</v>
      </c>
      <c r="AK2874">
        <v>0</v>
      </c>
      <c r="AL2874" t="s">
        <v>61</v>
      </c>
      <c r="AM2874" t="s">
        <v>7451</v>
      </c>
      <c r="AN2874" t="s">
        <v>7452</v>
      </c>
    </row>
    <row r="2875" spans="1:40" x14ac:dyDescent="0.35">
      <c r="A2875" t="s">
        <v>37</v>
      </c>
      <c r="B2875" t="s">
        <v>11265</v>
      </c>
      <c r="C2875" t="s">
        <v>39</v>
      </c>
      <c r="D2875" t="s">
        <v>1121</v>
      </c>
      <c r="E2875" t="s">
        <v>3071</v>
      </c>
      <c r="F2875" s="1">
        <v>46069.440393518518</v>
      </c>
      <c r="G2875" t="s">
        <v>446</v>
      </c>
      <c r="H2875" t="s">
        <v>447</v>
      </c>
      <c r="I2875" t="s">
        <v>2999</v>
      </c>
      <c r="J2875" t="s">
        <v>2333</v>
      </c>
      <c r="K2875" t="s">
        <v>1187</v>
      </c>
      <c r="M2875" t="s">
        <v>76</v>
      </c>
      <c r="O2875" t="s">
        <v>77</v>
      </c>
      <c r="P2875" t="s">
        <v>78</v>
      </c>
      <c r="Q2875" t="s">
        <v>50</v>
      </c>
      <c r="R2875" t="s">
        <v>305</v>
      </c>
      <c r="S2875" t="s">
        <v>306</v>
      </c>
      <c r="T2875" t="s">
        <v>307</v>
      </c>
      <c r="U2875" s="1">
        <v>46077.512546296297</v>
      </c>
      <c r="V2875" t="s">
        <v>54</v>
      </c>
      <c r="W2875" t="s">
        <v>55</v>
      </c>
      <c r="X2875" t="s">
        <v>211</v>
      </c>
      <c r="Y2875" t="s">
        <v>11266</v>
      </c>
      <c r="Z2875" t="s">
        <v>58</v>
      </c>
      <c r="AA2875" t="s">
        <v>54</v>
      </c>
      <c r="AB2875" t="s">
        <v>213</v>
      </c>
      <c r="AC2875" t="s">
        <v>85</v>
      </c>
      <c r="AD2875" t="s">
        <v>1189</v>
      </c>
      <c r="AE2875" t="s">
        <v>1190</v>
      </c>
      <c r="AF2875" t="s">
        <v>3001</v>
      </c>
      <c r="AG2875" t="s">
        <v>58</v>
      </c>
      <c r="AH2875">
        <v>13958</v>
      </c>
      <c r="AK2875">
        <v>5</v>
      </c>
      <c r="AL2875" t="s">
        <v>61</v>
      </c>
      <c r="AM2875" t="s">
        <v>11267</v>
      </c>
      <c r="AN2875" t="s">
        <v>11268</v>
      </c>
    </row>
    <row r="2876" spans="1:40" x14ac:dyDescent="0.35">
      <c r="A2876" t="s">
        <v>37</v>
      </c>
      <c r="B2876" t="s">
        <v>11269</v>
      </c>
      <c r="C2876" t="s">
        <v>39</v>
      </c>
      <c r="D2876" t="s">
        <v>7445</v>
      </c>
      <c r="E2876" t="s">
        <v>1316</v>
      </c>
      <c r="F2876" s="1">
        <v>46069.440347222226</v>
      </c>
      <c r="G2876" t="s">
        <v>286</v>
      </c>
      <c r="H2876" t="s">
        <v>287</v>
      </c>
      <c r="I2876" t="s">
        <v>11270</v>
      </c>
      <c r="J2876" t="s">
        <v>8674</v>
      </c>
      <c r="K2876" t="s">
        <v>7448</v>
      </c>
      <c r="M2876" t="s">
        <v>47</v>
      </c>
      <c r="O2876" t="s">
        <v>77</v>
      </c>
      <c r="P2876" t="s">
        <v>78</v>
      </c>
      <c r="Q2876" t="s">
        <v>50</v>
      </c>
      <c r="R2876" t="s">
        <v>51</v>
      </c>
      <c r="S2876" t="s">
        <v>52</v>
      </c>
      <c r="T2876" t="s">
        <v>240</v>
      </c>
      <c r="U2876" s="1">
        <v>46072.609178240738</v>
      </c>
      <c r="V2876" t="s">
        <v>54</v>
      </c>
      <c r="W2876" t="s">
        <v>55</v>
      </c>
      <c r="X2876" t="s">
        <v>113</v>
      </c>
      <c r="Y2876" t="s">
        <v>8700</v>
      </c>
      <c r="Z2876" t="s">
        <v>5594</v>
      </c>
      <c r="AA2876" t="s">
        <v>54</v>
      </c>
      <c r="AB2876" t="s">
        <v>8676</v>
      </c>
      <c r="AC2876" t="s">
        <v>85</v>
      </c>
      <c r="AD2876" t="s">
        <v>52</v>
      </c>
      <c r="AE2876" t="s">
        <v>243</v>
      </c>
      <c r="AF2876" t="s">
        <v>244</v>
      </c>
      <c r="AG2876" t="s">
        <v>5594</v>
      </c>
      <c r="AK2876">
        <v>0</v>
      </c>
      <c r="AL2876" t="s">
        <v>61</v>
      </c>
      <c r="AM2876" t="s">
        <v>7451</v>
      </c>
      <c r="AN2876" t="s">
        <v>7452</v>
      </c>
    </row>
    <row r="2877" spans="1:40" x14ac:dyDescent="0.35">
      <c r="A2877" t="s">
        <v>37</v>
      </c>
      <c r="B2877" t="s">
        <v>11271</v>
      </c>
      <c r="C2877" t="s">
        <v>39</v>
      </c>
      <c r="D2877" t="s">
        <v>7445</v>
      </c>
      <c r="E2877" t="s">
        <v>1316</v>
      </c>
      <c r="F2877" s="1">
        <v>46069.439502314817</v>
      </c>
      <c r="G2877" t="s">
        <v>286</v>
      </c>
      <c r="H2877" t="s">
        <v>287</v>
      </c>
      <c r="I2877" t="s">
        <v>11272</v>
      </c>
      <c r="J2877" t="s">
        <v>8674</v>
      </c>
      <c r="K2877" t="s">
        <v>7448</v>
      </c>
      <c r="M2877" t="s">
        <v>47</v>
      </c>
      <c r="O2877" t="s">
        <v>77</v>
      </c>
      <c r="P2877" t="s">
        <v>78</v>
      </c>
      <c r="Q2877" t="s">
        <v>50</v>
      </c>
      <c r="R2877" t="s">
        <v>51</v>
      </c>
      <c r="S2877" t="s">
        <v>52</v>
      </c>
      <c r="T2877" t="s">
        <v>240</v>
      </c>
      <c r="U2877" s="1">
        <v>46072.609039351853</v>
      </c>
      <c r="V2877" t="s">
        <v>54</v>
      </c>
      <c r="W2877" t="s">
        <v>55</v>
      </c>
      <c r="X2877" t="s">
        <v>113</v>
      </c>
      <c r="Y2877" t="s">
        <v>9161</v>
      </c>
      <c r="Z2877" t="s">
        <v>5594</v>
      </c>
      <c r="AA2877" t="s">
        <v>54</v>
      </c>
      <c r="AB2877" t="s">
        <v>8676</v>
      </c>
      <c r="AC2877" t="s">
        <v>85</v>
      </c>
      <c r="AD2877" t="s">
        <v>52</v>
      </c>
      <c r="AE2877" t="s">
        <v>243</v>
      </c>
      <c r="AF2877" t="s">
        <v>244</v>
      </c>
      <c r="AG2877" t="s">
        <v>5594</v>
      </c>
      <c r="AK2877">
        <v>0</v>
      </c>
      <c r="AL2877" t="s">
        <v>61</v>
      </c>
      <c r="AM2877" t="s">
        <v>7451</v>
      </c>
      <c r="AN2877" t="s">
        <v>7452</v>
      </c>
    </row>
    <row r="2878" spans="1:40" x14ac:dyDescent="0.35">
      <c r="A2878" t="s">
        <v>37</v>
      </c>
      <c r="B2878" t="s">
        <v>11273</v>
      </c>
      <c r="C2878" t="s">
        <v>39</v>
      </c>
      <c r="D2878" t="s">
        <v>7445</v>
      </c>
      <c r="E2878" t="s">
        <v>1316</v>
      </c>
      <c r="F2878" s="1">
        <v>46069.438888888886</v>
      </c>
      <c r="G2878" t="s">
        <v>286</v>
      </c>
      <c r="H2878" t="s">
        <v>287</v>
      </c>
      <c r="I2878" t="s">
        <v>11274</v>
      </c>
      <c r="J2878" t="s">
        <v>8674</v>
      </c>
      <c r="K2878" t="s">
        <v>7448</v>
      </c>
      <c r="M2878" t="s">
        <v>47</v>
      </c>
      <c r="O2878" t="s">
        <v>77</v>
      </c>
      <c r="P2878" t="s">
        <v>78</v>
      </c>
      <c r="Q2878" t="s">
        <v>50</v>
      </c>
      <c r="R2878" t="s">
        <v>51</v>
      </c>
      <c r="S2878" t="s">
        <v>52</v>
      </c>
      <c r="T2878" t="s">
        <v>240</v>
      </c>
      <c r="U2878" s="1">
        <v>46072.608888888892</v>
      </c>
      <c r="V2878" t="s">
        <v>54</v>
      </c>
      <c r="W2878" t="s">
        <v>55</v>
      </c>
      <c r="X2878" t="s">
        <v>113</v>
      </c>
      <c r="Y2878" t="s">
        <v>7449</v>
      </c>
      <c r="Z2878" t="s">
        <v>5594</v>
      </c>
      <c r="AA2878" t="s">
        <v>54</v>
      </c>
      <c r="AB2878" t="s">
        <v>8676</v>
      </c>
      <c r="AC2878" t="s">
        <v>85</v>
      </c>
      <c r="AD2878" t="s">
        <v>52</v>
      </c>
      <c r="AE2878" t="s">
        <v>243</v>
      </c>
      <c r="AF2878" t="s">
        <v>244</v>
      </c>
      <c r="AG2878" t="s">
        <v>5594</v>
      </c>
      <c r="AK2878">
        <v>0</v>
      </c>
      <c r="AL2878" t="s">
        <v>61</v>
      </c>
      <c r="AM2878" t="s">
        <v>7451</v>
      </c>
      <c r="AN2878" t="s">
        <v>7452</v>
      </c>
    </row>
    <row r="2879" spans="1:40" x14ac:dyDescent="0.35">
      <c r="A2879" t="s">
        <v>37</v>
      </c>
      <c r="B2879" t="s">
        <v>11275</v>
      </c>
      <c r="C2879" t="s">
        <v>39</v>
      </c>
      <c r="D2879" t="s">
        <v>7445</v>
      </c>
      <c r="E2879" t="s">
        <v>1316</v>
      </c>
      <c r="F2879" s="1">
        <v>46069.436597222222</v>
      </c>
      <c r="G2879" t="s">
        <v>286</v>
      </c>
      <c r="H2879" t="s">
        <v>287</v>
      </c>
      <c r="I2879" t="s">
        <v>10819</v>
      </c>
      <c r="J2879" t="s">
        <v>8674</v>
      </c>
      <c r="K2879" t="s">
        <v>7448</v>
      </c>
      <c r="M2879" t="s">
        <v>47</v>
      </c>
      <c r="O2879" t="s">
        <v>77</v>
      </c>
      <c r="P2879" t="s">
        <v>78</v>
      </c>
      <c r="Q2879" t="s">
        <v>50</v>
      </c>
      <c r="R2879" t="s">
        <v>51</v>
      </c>
      <c r="S2879" t="s">
        <v>52</v>
      </c>
      <c r="T2879" t="s">
        <v>240</v>
      </c>
      <c r="U2879" s="1">
        <v>46072.608668981484</v>
      </c>
      <c r="V2879" t="s">
        <v>54</v>
      </c>
      <c r="W2879" t="s">
        <v>55</v>
      </c>
      <c r="X2879" t="s">
        <v>113</v>
      </c>
      <c r="Y2879" t="s">
        <v>8700</v>
      </c>
      <c r="Z2879" t="s">
        <v>5594</v>
      </c>
      <c r="AA2879" t="s">
        <v>54</v>
      </c>
      <c r="AB2879" t="s">
        <v>8676</v>
      </c>
      <c r="AC2879" t="s">
        <v>85</v>
      </c>
      <c r="AD2879" t="s">
        <v>52</v>
      </c>
      <c r="AE2879" t="s">
        <v>243</v>
      </c>
      <c r="AF2879" t="s">
        <v>244</v>
      </c>
      <c r="AG2879" t="s">
        <v>5594</v>
      </c>
      <c r="AK2879">
        <v>0</v>
      </c>
      <c r="AL2879" t="s">
        <v>61</v>
      </c>
      <c r="AM2879" t="s">
        <v>7451</v>
      </c>
      <c r="AN2879" t="s">
        <v>7452</v>
      </c>
    </row>
    <row r="2880" spans="1:40" x14ac:dyDescent="0.35">
      <c r="A2880" t="s">
        <v>37</v>
      </c>
      <c r="B2880" t="s">
        <v>11276</v>
      </c>
      <c r="C2880" t="s">
        <v>39</v>
      </c>
      <c r="D2880" t="s">
        <v>747</v>
      </c>
      <c r="E2880" t="s">
        <v>10594</v>
      </c>
      <c r="F2880" s="1">
        <v>46069.434953703705</v>
      </c>
      <c r="G2880" t="s">
        <v>42</v>
      </c>
      <c r="H2880" t="s">
        <v>43</v>
      </c>
      <c r="I2880" t="s">
        <v>10595</v>
      </c>
      <c r="J2880" t="s">
        <v>1833</v>
      </c>
      <c r="K2880" t="s">
        <v>1834</v>
      </c>
      <c r="M2880" t="s">
        <v>76</v>
      </c>
      <c r="O2880" t="s">
        <v>77</v>
      </c>
      <c r="P2880" t="s">
        <v>78</v>
      </c>
      <c r="Q2880" t="s">
        <v>3204</v>
      </c>
      <c r="R2880" t="s">
        <v>51</v>
      </c>
      <c r="S2880" t="s">
        <v>52</v>
      </c>
      <c r="T2880" t="s">
        <v>240</v>
      </c>
      <c r="U2880" s="1">
        <v>46078.943993055553</v>
      </c>
      <c r="V2880" t="s">
        <v>54</v>
      </c>
      <c r="W2880" t="s">
        <v>55</v>
      </c>
      <c r="X2880" t="s">
        <v>134</v>
      </c>
      <c r="Y2880" t="s">
        <v>1835</v>
      </c>
      <c r="Z2880" t="s">
        <v>58</v>
      </c>
      <c r="AA2880" t="s">
        <v>54</v>
      </c>
      <c r="AB2880" t="s">
        <v>1836</v>
      </c>
      <c r="AC2880" t="s">
        <v>85</v>
      </c>
      <c r="AD2880" t="s">
        <v>52</v>
      </c>
      <c r="AE2880" t="s">
        <v>243</v>
      </c>
      <c r="AF2880" t="s">
        <v>1470</v>
      </c>
      <c r="AG2880" t="s">
        <v>58</v>
      </c>
      <c r="AH2880">
        <v>5863</v>
      </c>
      <c r="AK2880">
        <v>0</v>
      </c>
      <c r="AL2880" t="s">
        <v>61</v>
      </c>
      <c r="AM2880" t="s">
        <v>10596</v>
      </c>
      <c r="AN2880" t="s">
        <v>10597</v>
      </c>
    </row>
    <row r="2881" spans="1:40" x14ac:dyDescent="0.35">
      <c r="A2881" t="s">
        <v>37</v>
      </c>
      <c r="B2881" t="s">
        <v>11277</v>
      </c>
      <c r="C2881" t="s">
        <v>39</v>
      </c>
      <c r="D2881" t="s">
        <v>7445</v>
      </c>
      <c r="E2881" t="s">
        <v>1316</v>
      </c>
      <c r="F2881" s="1">
        <v>46069.434398148151</v>
      </c>
      <c r="G2881" t="s">
        <v>286</v>
      </c>
      <c r="H2881" t="s">
        <v>287</v>
      </c>
      <c r="I2881" t="s">
        <v>11278</v>
      </c>
      <c r="J2881" t="s">
        <v>8674</v>
      </c>
      <c r="K2881" t="s">
        <v>7448</v>
      </c>
      <c r="M2881" t="s">
        <v>47</v>
      </c>
      <c r="O2881" t="s">
        <v>77</v>
      </c>
      <c r="P2881" t="s">
        <v>78</v>
      </c>
      <c r="Q2881" t="s">
        <v>50</v>
      </c>
      <c r="R2881" t="s">
        <v>51</v>
      </c>
      <c r="S2881" t="s">
        <v>52</v>
      </c>
      <c r="T2881" t="s">
        <v>240</v>
      </c>
      <c r="U2881" s="1">
        <v>46072.60837962963</v>
      </c>
      <c r="V2881" t="s">
        <v>54</v>
      </c>
      <c r="W2881" t="s">
        <v>55</v>
      </c>
      <c r="X2881" t="s">
        <v>113</v>
      </c>
      <c r="Y2881" t="s">
        <v>8700</v>
      </c>
      <c r="Z2881" t="s">
        <v>5594</v>
      </c>
      <c r="AA2881" t="s">
        <v>54</v>
      </c>
      <c r="AB2881" t="s">
        <v>8676</v>
      </c>
      <c r="AC2881" t="s">
        <v>85</v>
      </c>
      <c r="AD2881" t="s">
        <v>52</v>
      </c>
      <c r="AE2881" t="s">
        <v>243</v>
      </c>
      <c r="AF2881" t="s">
        <v>244</v>
      </c>
      <c r="AG2881" t="s">
        <v>5594</v>
      </c>
      <c r="AK2881">
        <v>0</v>
      </c>
      <c r="AL2881" t="s">
        <v>61</v>
      </c>
      <c r="AM2881" t="s">
        <v>7451</v>
      </c>
      <c r="AN2881" t="s">
        <v>7452</v>
      </c>
    </row>
    <row r="2882" spans="1:40" x14ac:dyDescent="0.35">
      <c r="A2882" t="s">
        <v>37</v>
      </c>
      <c r="B2882" t="s">
        <v>11279</v>
      </c>
      <c r="C2882" t="s">
        <v>39</v>
      </c>
      <c r="D2882" t="s">
        <v>7445</v>
      </c>
      <c r="E2882" t="s">
        <v>1316</v>
      </c>
      <c r="F2882" s="1">
        <v>46069.433136574073</v>
      </c>
      <c r="G2882" t="s">
        <v>286</v>
      </c>
      <c r="H2882" t="s">
        <v>287</v>
      </c>
      <c r="I2882" t="s">
        <v>11280</v>
      </c>
      <c r="J2882" t="s">
        <v>8674</v>
      </c>
      <c r="K2882" t="s">
        <v>7448</v>
      </c>
      <c r="M2882" t="s">
        <v>47</v>
      </c>
      <c r="O2882" t="s">
        <v>77</v>
      </c>
      <c r="P2882" t="s">
        <v>78</v>
      </c>
      <c r="Q2882" t="s">
        <v>50</v>
      </c>
      <c r="R2882" t="s">
        <v>51</v>
      </c>
      <c r="S2882" t="s">
        <v>52</v>
      </c>
      <c r="T2882" t="s">
        <v>240</v>
      </c>
      <c r="U2882" s="1">
        <v>46072.608194444445</v>
      </c>
      <c r="V2882" t="s">
        <v>54</v>
      </c>
      <c r="W2882" t="s">
        <v>55</v>
      </c>
      <c r="X2882" t="s">
        <v>113</v>
      </c>
      <c r="Y2882" t="s">
        <v>7449</v>
      </c>
      <c r="Z2882" t="s">
        <v>5594</v>
      </c>
      <c r="AA2882" t="s">
        <v>54</v>
      </c>
      <c r="AB2882" t="s">
        <v>8676</v>
      </c>
      <c r="AC2882" t="s">
        <v>85</v>
      </c>
      <c r="AD2882" t="s">
        <v>52</v>
      </c>
      <c r="AE2882" t="s">
        <v>243</v>
      </c>
      <c r="AF2882" t="s">
        <v>244</v>
      </c>
      <c r="AG2882" t="s">
        <v>5594</v>
      </c>
      <c r="AK2882">
        <v>0</v>
      </c>
      <c r="AL2882" t="s">
        <v>61</v>
      </c>
      <c r="AM2882" t="s">
        <v>7451</v>
      </c>
      <c r="AN2882" t="s">
        <v>7452</v>
      </c>
    </row>
    <row r="2883" spans="1:40" x14ac:dyDescent="0.35">
      <c r="A2883" t="s">
        <v>37</v>
      </c>
      <c r="B2883" t="s">
        <v>11281</v>
      </c>
      <c r="C2883" t="s">
        <v>39</v>
      </c>
      <c r="D2883" t="s">
        <v>7445</v>
      </c>
      <c r="E2883" t="s">
        <v>1316</v>
      </c>
      <c r="F2883" s="1">
        <v>46069.430578703701</v>
      </c>
      <c r="G2883" t="s">
        <v>286</v>
      </c>
      <c r="H2883" t="s">
        <v>287</v>
      </c>
      <c r="I2883" t="s">
        <v>11282</v>
      </c>
      <c r="J2883" t="s">
        <v>8674</v>
      </c>
      <c r="K2883" t="s">
        <v>7448</v>
      </c>
      <c r="M2883" t="s">
        <v>47</v>
      </c>
      <c r="O2883" t="s">
        <v>77</v>
      </c>
      <c r="P2883" t="s">
        <v>78</v>
      </c>
      <c r="Q2883" t="s">
        <v>50</v>
      </c>
      <c r="R2883" t="s">
        <v>51</v>
      </c>
      <c r="S2883" t="s">
        <v>52</v>
      </c>
      <c r="T2883" t="s">
        <v>240</v>
      </c>
      <c r="U2883" s="1">
        <v>46072.60800925926</v>
      </c>
      <c r="V2883" t="s">
        <v>54</v>
      </c>
      <c r="W2883" t="s">
        <v>55</v>
      </c>
      <c r="X2883" t="s">
        <v>113</v>
      </c>
      <c r="Y2883" t="s">
        <v>7449</v>
      </c>
      <c r="Z2883" t="s">
        <v>5594</v>
      </c>
      <c r="AA2883" t="s">
        <v>54</v>
      </c>
      <c r="AB2883" t="s">
        <v>8676</v>
      </c>
      <c r="AC2883" t="s">
        <v>85</v>
      </c>
      <c r="AD2883" t="s">
        <v>52</v>
      </c>
      <c r="AE2883" t="s">
        <v>243</v>
      </c>
      <c r="AF2883" t="s">
        <v>244</v>
      </c>
      <c r="AG2883" t="s">
        <v>5594</v>
      </c>
      <c r="AK2883">
        <v>0</v>
      </c>
      <c r="AL2883" t="s">
        <v>61</v>
      </c>
      <c r="AM2883" t="s">
        <v>7451</v>
      </c>
      <c r="AN2883" t="s">
        <v>7452</v>
      </c>
    </row>
    <row r="2884" spans="1:40" x14ac:dyDescent="0.35">
      <c r="A2884" t="s">
        <v>37</v>
      </c>
      <c r="B2884" t="s">
        <v>11283</v>
      </c>
      <c r="C2884" t="s">
        <v>39</v>
      </c>
      <c r="D2884" t="s">
        <v>7445</v>
      </c>
      <c r="E2884" t="s">
        <v>1316</v>
      </c>
      <c r="F2884" s="1">
        <v>46069.424456018518</v>
      </c>
      <c r="G2884" t="s">
        <v>286</v>
      </c>
      <c r="H2884" t="s">
        <v>287</v>
      </c>
      <c r="I2884" t="s">
        <v>11284</v>
      </c>
      <c r="J2884" t="s">
        <v>8674</v>
      </c>
      <c r="K2884" t="s">
        <v>7448</v>
      </c>
      <c r="M2884" t="s">
        <v>47</v>
      </c>
      <c r="O2884" t="s">
        <v>77</v>
      </c>
      <c r="P2884" t="s">
        <v>78</v>
      </c>
      <c r="Q2884" t="s">
        <v>50</v>
      </c>
      <c r="R2884" t="s">
        <v>51</v>
      </c>
      <c r="S2884" t="s">
        <v>52</v>
      </c>
      <c r="T2884" t="s">
        <v>240</v>
      </c>
      <c r="U2884" s="1">
        <v>46072.607870370368</v>
      </c>
      <c r="V2884" t="s">
        <v>54</v>
      </c>
      <c r="W2884" t="s">
        <v>55</v>
      </c>
      <c r="X2884" t="s">
        <v>113</v>
      </c>
      <c r="Y2884" t="s">
        <v>8968</v>
      </c>
      <c r="Z2884" t="s">
        <v>5594</v>
      </c>
      <c r="AA2884" t="s">
        <v>54</v>
      </c>
      <c r="AB2884" t="s">
        <v>8676</v>
      </c>
      <c r="AC2884" t="s">
        <v>85</v>
      </c>
      <c r="AD2884" t="s">
        <v>52</v>
      </c>
      <c r="AE2884" t="s">
        <v>243</v>
      </c>
      <c r="AF2884" t="s">
        <v>244</v>
      </c>
      <c r="AG2884" t="s">
        <v>5594</v>
      </c>
      <c r="AK2884">
        <v>0</v>
      </c>
      <c r="AL2884" t="s">
        <v>61</v>
      </c>
      <c r="AM2884" t="s">
        <v>7451</v>
      </c>
      <c r="AN2884" t="s">
        <v>7452</v>
      </c>
    </row>
    <row r="2885" spans="1:40" x14ac:dyDescent="0.35">
      <c r="A2885" t="s">
        <v>37</v>
      </c>
      <c r="B2885" t="s">
        <v>11285</v>
      </c>
      <c r="C2885" t="s">
        <v>39</v>
      </c>
      <c r="D2885" t="s">
        <v>7445</v>
      </c>
      <c r="E2885" t="s">
        <v>1316</v>
      </c>
      <c r="F2885" s="1">
        <v>46069.418287037035</v>
      </c>
      <c r="G2885" t="s">
        <v>286</v>
      </c>
      <c r="H2885" t="s">
        <v>287</v>
      </c>
      <c r="I2885" t="s">
        <v>11286</v>
      </c>
      <c r="J2885" t="s">
        <v>8674</v>
      </c>
      <c r="K2885" t="s">
        <v>7448</v>
      </c>
      <c r="M2885" t="s">
        <v>47</v>
      </c>
      <c r="O2885" t="s">
        <v>77</v>
      </c>
      <c r="P2885" t="s">
        <v>78</v>
      </c>
      <c r="Q2885" t="s">
        <v>50</v>
      </c>
      <c r="R2885" t="s">
        <v>51</v>
      </c>
      <c r="S2885" t="s">
        <v>52</v>
      </c>
      <c r="T2885" t="s">
        <v>240</v>
      </c>
      <c r="U2885" s="1">
        <v>46072.60769675926</v>
      </c>
      <c r="V2885" t="s">
        <v>54</v>
      </c>
      <c r="W2885" t="s">
        <v>55</v>
      </c>
      <c r="X2885" t="s">
        <v>113</v>
      </c>
      <c r="Y2885" t="s">
        <v>8700</v>
      </c>
      <c r="Z2885" t="s">
        <v>5594</v>
      </c>
      <c r="AA2885" t="s">
        <v>54</v>
      </c>
      <c r="AB2885" t="s">
        <v>8676</v>
      </c>
      <c r="AC2885" t="s">
        <v>85</v>
      </c>
      <c r="AD2885" t="s">
        <v>52</v>
      </c>
      <c r="AE2885" t="s">
        <v>243</v>
      </c>
      <c r="AF2885" t="s">
        <v>244</v>
      </c>
      <c r="AG2885" t="s">
        <v>5594</v>
      </c>
      <c r="AK2885">
        <v>0</v>
      </c>
      <c r="AL2885" t="s">
        <v>61</v>
      </c>
      <c r="AM2885" t="s">
        <v>7451</v>
      </c>
      <c r="AN2885" t="s">
        <v>7452</v>
      </c>
    </row>
    <row r="2886" spans="1:40" x14ac:dyDescent="0.35">
      <c r="A2886" t="s">
        <v>37</v>
      </c>
      <c r="B2886" t="s">
        <v>11287</v>
      </c>
      <c r="C2886" t="s">
        <v>39</v>
      </c>
      <c r="D2886" t="s">
        <v>7445</v>
      </c>
      <c r="E2886" t="s">
        <v>1316</v>
      </c>
      <c r="F2886" s="1">
        <v>46069.416921296295</v>
      </c>
      <c r="G2886" t="s">
        <v>286</v>
      </c>
      <c r="H2886" t="s">
        <v>287</v>
      </c>
      <c r="I2886" t="s">
        <v>11288</v>
      </c>
      <c r="J2886" t="s">
        <v>8674</v>
      </c>
      <c r="K2886" t="s">
        <v>7448</v>
      </c>
      <c r="M2886" t="s">
        <v>47</v>
      </c>
      <c r="O2886" t="s">
        <v>77</v>
      </c>
      <c r="P2886" t="s">
        <v>78</v>
      </c>
      <c r="Q2886" t="s">
        <v>50</v>
      </c>
      <c r="R2886" t="s">
        <v>51</v>
      </c>
      <c r="S2886" t="s">
        <v>52</v>
      </c>
      <c r="T2886" t="s">
        <v>240</v>
      </c>
      <c r="U2886" s="1">
        <v>46072.607534722221</v>
      </c>
      <c r="V2886" t="s">
        <v>54</v>
      </c>
      <c r="W2886" t="s">
        <v>55</v>
      </c>
      <c r="X2886" t="s">
        <v>113</v>
      </c>
      <c r="Y2886" t="s">
        <v>8700</v>
      </c>
      <c r="Z2886" t="s">
        <v>5594</v>
      </c>
      <c r="AA2886" t="s">
        <v>54</v>
      </c>
      <c r="AB2886" t="s">
        <v>8676</v>
      </c>
      <c r="AC2886" t="s">
        <v>85</v>
      </c>
      <c r="AD2886" t="s">
        <v>52</v>
      </c>
      <c r="AE2886" t="s">
        <v>243</v>
      </c>
      <c r="AF2886" t="s">
        <v>244</v>
      </c>
      <c r="AG2886" t="s">
        <v>5594</v>
      </c>
      <c r="AK2886">
        <v>0</v>
      </c>
      <c r="AL2886" t="s">
        <v>61</v>
      </c>
      <c r="AM2886" t="s">
        <v>7451</v>
      </c>
      <c r="AN2886" t="s">
        <v>7452</v>
      </c>
    </row>
    <row r="2887" spans="1:40" x14ac:dyDescent="0.35">
      <c r="A2887" t="s">
        <v>37</v>
      </c>
      <c r="B2887" t="s">
        <v>11289</v>
      </c>
      <c r="C2887" t="s">
        <v>39</v>
      </c>
      <c r="D2887" t="s">
        <v>7445</v>
      </c>
      <c r="E2887" t="s">
        <v>1316</v>
      </c>
      <c r="F2887" s="1">
        <v>46069.415046296293</v>
      </c>
      <c r="G2887" t="s">
        <v>286</v>
      </c>
      <c r="H2887" t="s">
        <v>287</v>
      </c>
      <c r="I2887" t="s">
        <v>11290</v>
      </c>
      <c r="J2887" t="s">
        <v>8674</v>
      </c>
      <c r="K2887" t="s">
        <v>7448</v>
      </c>
      <c r="M2887" t="s">
        <v>47</v>
      </c>
      <c r="O2887" t="s">
        <v>77</v>
      </c>
      <c r="P2887" t="s">
        <v>78</v>
      </c>
      <c r="Q2887" t="s">
        <v>50</v>
      </c>
      <c r="R2887" t="s">
        <v>51</v>
      </c>
      <c r="S2887" t="s">
        <v>52</v>
      </c>
      <c r="T2887" t="s">
        <v>240</v>
      </c>
      <c r="U2887" s="1">
        <v>46072.607395833336</v>
      </c>
      <c r="V2887" t="s">
        <v>54</v>
      </c>
      <c r="W2887" t="s">
        <v>55</v>
      </c>
      <c r="X2887" t="s">
        <v>113</v>
      </c>
      <c r="Y2887" t="s">
        <v>8321</v>
      </c>
      <c r="Z2887" t="s">
        <v>5594</v>
      </c>
      <c r="AA2887" t="s">
        <v>54</v>
      </c>
      <c r="AB2887" t="s">
        <v>8676</v>
      </c>
      <c r="AC2887" t="s">
        <v>85</v>
      </c>
      <c r="AD2887" t="s">
        <v>52</v>
      </c>
      <c r="AE2887" t="s">
        <v>243</v>
      </c>
      <c r="AF2887" t="s">
        <v>244</v>
      </c>
      <c r="AG2887" t="s">
        <v>5594</v>
      </c>
      <c r="AK2887">
        <v>0</v>
      </c>
      <c r="AL2887" t="s">
        <v>61</v>
      </c>
      <c r="AM2887" t="s">
        <v>7451</v>
      </c>
      <c r="AN2887" t="s">
        <v>7452</v>
      </c>
    </row>
    <row r="2888" spans="1:40" x14ac:dyDescent="0.35">
      <c r="A2888" t="s">
        <v>37</v>
      </c>
      <c r="B2888" t="s">
        <v>11291</v>
      </c>
      <c r="C2888" t="s">
        <v>39</v>
      </c>
      <c r="D2888" t="s">
        <v>391</v>
      </c>
      <c r="E2888" t="s">
        <v>11292</v>
      </c>
      <c r="F2888" s="1">
        <v>46069.413831018515</v>
      </c>
      <c r="G2888" t="s">
        <v>250</v>
      </c>
      <c r="H2888" t="s">
        <v>106</v>
      </c>
      <c r="I2888" t="s">
        <v>11293</v>
      </c>
      <c r="J2888" t="s">
        <v>4338</v>
      </c>
      <c r="K2888" t="s">
        <v>7479</v>
      </c>
      <c r="M2888" t="s">
        <v>76</v>
      </c>
      <c r="O2888" t="s">
        <v>237</v>
      </c>
      <c r="P2888" t="s">
        <v>238</v>
      </c>
      <c r="Q2888" t="s">
        <v>11294</v>
      </c>
      <c r="R2888" t="s">
        <v>51</v>
      </c>
      <c r="S2888" t="s">
        <v>52</v>
      </c>
      <c r="T2888" t="s">
        <v>240</v>
      </c>
      <c r="U2888" s="1">
        <v>46077.382199074076</v>
      </c>
      <c r="V2888" t="s">
        <v>54</v>
      </c>
      <c r="W2888" t="s">
        <v>55</v>
      </c>
      <c r="X2888" t="s">
        <v>211</v>
      </c>
      <c r="Y2888" t="s">
        <v>11295</v>
      </c>
      <c r="Z2888" t="s">
        <v>58</v>
      </c>
      <c r="AA2888" t="s">
        <v>54</v>
      </c>
      <c r="AB2888" t="s">
        <v>213</v>
      </c>
      <c r="AC2888" t="s">
        <v>242</v>
      </c>
      <c r="AD2888" t="s">
        <v>52</v>
      </c>
      <c r="AE2888" t="s">
        <v>243</v>
      </c>
      <c r="AF2888" t="s">
        <v>244</v>
      </c>
      <c r="AG2888" t="s">
        <v>58</v>
      </c>
      <c r="AH2888">
        <v>279</v>
      </c>
      <c r="AK2888">
        <v>1</v>
      </c>
      <c r="AL2888" t="s">
        <v>61</v>
      </c>
      <c r="AM2888" t="s">
        <v>11296</v>
      </c>
      <c r="AN2888" t="s">
        <v>11297</v>
      </c>
    </row>
    <row r="2889" spans="1:40" x14ac:dyDescent="0.35">
      <c r="A2889" t="s">
        <v>37</v>
      </c>
      <c r="B2889" t="s">
        <v>11298</v>
      </c>
      <c r="C2889" t="s">
        <v>102</v>
      </c>
      <c r="D2889" t="s">
        <v>7445</v>
      </c>
      <c r="E2889" t="s">
        <v>1316</v>
      </c>
      <c r="F2889" s="1">
        <v>46069.413888888892</v>
      </c>
      <c r="G2889" t="s">
        <v>286</v>
      </c>
      <c r="H2889" t="s">
        <v>287</v>
      </c>
      <c r="I2889" t="s">
        <v>11299</v>
      </c>
      <c r="J2889" t="s">
        <v>8674</v>
      </c>
      <c r="K2889" t="s">
        <v>7448</v>
      </c>
      <c r="M2889" t="s">
        <v>47</v>
      </c>
      <c r="O2889" t="s">
        <v>77</v>
      </c>
      <c r="P2889" t="s">
        <v>78</v>
      </c>
      <c r="Q2889" t="s">
        <v>50</v>
      </c>
      <c r="R2889" t="s">
        <v>51</v>
      </c>
      <c r="S2889" t="s">
        <v>52</v>
      </c>
      <c r="T2889" t="s">
        <v>240</v>
      </c>
      <c r="U2889" s="1">
        <v>46072.607268518521</v>
      </c>
      <c r="V2889" t="s">
        <v>54</v>
      </c>
      <c r="W2889" t="s">
        <v>55</v>
      </c>
      <c r="X2889" t="s">
        <v>113</v>
      </c>
      <c r="Y2889" t="s">
        <v>10014</v>
      </c>
      <c r="Z2889" t="s">
        <v>5594</v>
      </c>
      <c r="AA2889" t="s">
        <v>54</v>
      </c>
      <c r="AB2889" t="s">
        <v>8676</v>
      </c>
      <c r="AC2889" t="s">
        <v>85</v>
      </c>
      <c r="AD2889" t="s">
        <v>51</v>
      </c>
      <c r="AE2889" t="s">
        <v>834</v>
      </c>
      <c r="AF2889" t="s">
        <v>834</v>
      </c>
      <c r="AG2889" t="s">
        <v>5594</v>
      </c>
      <c r="AK2889">
        <v>0</v>
      </c>
      <c r="AL2889" t="s">
        <v>61</v>
      </c>
      <c r="AM2889" t="s">
        <v>7451</v>
      </c>
      <c r="AN2889" t="s">
        <v>7452</v>
      </c>
    </row>
    <row r="2890" spans="1:40" x14ac:dyDescent="0.35">
      <c r="A2890" t="s">
        <v>37</v>
      </c>
      <c r="B2890" t="s">
        <v>11300</v>
      </c>
      <c r="C2890" t="s">
        <v>39</v>
      </c>
      <c r="D2890" t="s">
        <v>7445</v>
      </c>
      <c r="E2890" t="s">
        <v>1316</v>
      </c>
      <c r="F2890" s="1">
        <v>46069.412557870368</v>
      </c>
      <c r="G2890" t="s">
        <v>286</v>
      </c>
      <c r="H2890" t="s">
        <v>287</v>
      </c>
      <c r="I2890" t="s">
        <v>11301</v>
      </c>
      <c r="J2890" t="s">
        <v>8674</v>
      </c>
      <c r="K2890" t="s">
        <v>7448</v>
      </c>
      <c r="M2890" t="s">
        <v>47</v>
      </c>
      <c r="O2890" t="s">
        <v>77</v>
      </c>
      <c r="P2890" t="s">
        <v>78</v>
      </c>
      <c r="Q2890" t="s">
        <v>50</v>
      </c>
      <c r="R2890" t="s">
        <v>51</v>
      </c>
      <c r="S2890" t="s">
        <v>52</v>
      </c>
      <c r="T2890" t="s">
        <v>240</v>
      </c>
      <c r="U2890" s="1">
        <v>46072.607129629629</v>
      </c>
      <c r="V2890" t="s">
        <v>54</v>
      </c>
      <c r="W2890" t="s">
        <v>55</v>
      </c>
      <c r="X2890" t="s">
        <v>113</v>
      </c>
      <c r="Y2890" t="s">
        <v>10014</v>
      </c>
      <c r="Z2890" t="s">
        <v>5594</v>
      </c>
      <c r="AA2890" t="s">
        <v>54</v>
      </c>
      <c r="AB2890" t="s">
        <v>8676</v>
      </c>
      <c r="AC2890" t="s">
        <v>85</v>
      </c>
      <c r="AD2890" t="s">
        <v>52</v>
      </c>
      <c r="AE2890" t="s">
        <v>243</v>
      </c>
      <c r="AF2890" t="s">
        <v>244</v>
      </c>
      <c r="AG2890" t="s">
        <v>5594</v>
      </c>
      <c r="AK2890">
        <v>0</v>
      </c>
      <c r="AL2890" t="s">
        <v>61</v>
      </c>
      <c r="AM2890" t="s">
        <v>7451</v>
      </c>
      <c r="AN2890" t="s">
        <v>7452</v>
      </c>
    </row>
    <row r="2891" spans="1:40" x14ac:dyDescent="0.35">
      <c r="A2891" t="s">
        <v>37</v>
      </c>
      <c r="B2891" t="s">
        <v>11302</v>
      </c>
      <c r="C2891" t="s">
        <v>102</v>
      </c>
      <c r="D2891" t="s">
        <v>676</v>
      </c>
      <c r="E2891" t="s">
        <v>677</v>
      </c>
      <c r="F2891" s="1">
        <v>46069.410243055558</v>
      </c>
      <c r="G2891" t="s">
        <v>71</v>
      </c>
      <c r="H2891" t="s">
        <v>72</v>
      </c>
      <c r="I2891" t="s">
        <v>337</v>
      </c>
      <c r="J2891" t="s">
        <v>679</v>
      </c>
      <c r="K2891" t="s">
        <v>130</v>
      </c>
      <c r="M2891" t="s">
        <v>131</v>
      </c>
      <c r="O2891" t="s">
        <v>77</v>
      </c>
      <c r="P2891" t="s">
        <v>78</v>
      </c>
      <c r="Q2891" t="s">
        <v>50</v>
      </c>
      <c r="R2891" t="s">
        <v>51</v>
      </c>
      <c r="S2891" t="s">
        <v>195</v>
      </c>
      <c r="T2891" t="s">
        <v>680</v>
      </c>
      <c r="U2891" s="1">
        <v>46076.449270833335</v>
      </c>
      <c r="V2891" t="s">
        <v>54</v>
      </c>
      <c r="W2891" t="s">
        <v>55</v>
      </c>
      <c r="X2891" t="s">
        <v>134</v>
      </c>
      <c r="Y2891" t="s">
        <v>11303</v>
      </c>
      <c r="Z2891" t="s">
        <v>58</v>
      </c>
      <c r="AA2891" t="s">
        <v>54</v>
      </c>
      <c r="AB2891" t="s">
        <v>682</v>
      </c>
      <c r="AC2891" t="s">
        <v>85</v>
      </c>
      <c r="AD2891" t="s">
        <v>51</v>
      </c>
      <c r="AE2891" t="s">
        <v>195</v>
      </c>
      <c r="AF2891" t="s">
        <v>680</v>
      </c>
      <c r="AG2891" t="s">
        <v>58</v>
      </c>
      <c r="AH2891" t="s">
        <v>683</v>
      </c>
      <c r="AK2891">
        <v>1</v>
      </c>
      <c r="AL2891" t="s">
        <v>61</v>
      </c>
      <c r="AM2891" t="s">
        <v>682</v>
      </c>
      <c r="AN2891" t="s">
        <v>684</v>
      </c>
    </row>
    <row r="2892" spans="1:40" x14ac:dyDescent="0.35">
      <c r="A2892" t="s">
        <v>37</v>
      </c>
      <c r="B2892" t="s">
        <v>11304</v>
      </c>
      <c r="C2892" t="s">
        <v>39</v>
      </c>
      <c r="D2892" t="s">
        <v>4900</v>
      </c>
      <c r="E2892" t="s">
        <v>4901</v>
      </c>
      <c r="F2892" s="1">
        <v>46069.40556712963</v>
      </c>
      <c r="G2892" t="s">
        <v>204</v>
      </c>
      <c r="H2892" t="s">
        <v>92</v>
      </c>
      <c r="I2892" t="s">
        <v>11305</v>
      </c>
      <c r="J2892" t="s">
        <v>404</v>
      </c>
      <c r="K2892" t="s">
        <v>405</v>
      </c>
      <c r="M2892" t="s">
        <v>76</v>
      </c>
      <c r="O2892" t="s">
        <v>237</v>
      </c>
      <c r="P2892" t="s">
        <v>238</v>
      </c>
      <c r="Q2892" t="s">
        <v>50</v>
      </c>
      <c r="R2892" t="s">
        <v>51</v>
      </c>
      <c r="S2892" t="s">
        <v>52</v>
      </c>
      <c r="T2892" t="s">
        <v>240</v>
      </c>
      <c r="U2892" s="1">
        <v>46076.378761574073</v>
      </c>
      <c r="V2892" t="s">
        <v>54</v>
      </c>
      <c r="W2892" t="s">
        <v>55</v>
      </c>
      <c r="X2892" t="s">
        <v>211</v>
      </c>
      <c r="Y2892" t="s">
        <v>11306</v>
      </c>
      <c r="Z2892" t="s">
        <v>58</v>
      </c>
      <c r="AA2892" t="s">
        <v>54</v>
      </c>
      <c r="AB2892" t="s">
        <v>213</v>
      </c>
      <c r="AC2892" t="s">
        <v>242</v>
      </c>
      <c r="AD2892" t="s">
        <v>52</v>
      </c>
      <c r="AE2892" t="s">
        <v>243</v>
      </c>
      <c r="AF2892" t="s">
        <v>2913</v>
      </c>
      <c r="AG2892" t="s">
        <v>58</v>
      </c>
      <c r="AH2892">
        <v>15221</v>
      </c>
      <c r="AK2892">
        <v>1</v>
      </c>
      <c r="AL2892" t="s">
        <v>61</v>
      </c>
      <c r="AM2892" t="s">
        <v>4903</v>
      </c>
      <c r="AN2892" t="s">
        <v>4904</v>
      </c>
    </row>
    <row r="2893" spans="1:40" x14ac:dyDescent="0.35">
      <c r="A2893" t="s">
        <v>37</v>
      </c>
      <c r="B2893" t="s">
        <v>11307</v>
      </c>
      <c r="C2893" t="s">
        <v>39</v>
      </c>
      <c r="D2893" t="s">
        <v>11308</v>
      </c>
      <c r="E2893" t="s">
        <v>11309</v>
      </c>
      <c r="F2893" s="1">
        <v>46069.405497685184</v>
      </c>
      <c r="G2893" t="s">
        <v>170</v>
      </c>
      <c r="H2893" t="s">
        <v>92</v>
      </c>
      <c r="I2893" t="s">
        <v>11310</v>
      </c>
      <c r="J2893" t="s">
        <v>2333</v>
      </c>
      <c r="K2893" t="s">
        <v>1187</v>
      </c>
      <c r="M2893" t="s">
        <v>47</v>
      </c>
      <c r="O2893" t="s">
        <v>77</v>
      </c>
      <c r="P2893" t="s">
        <v>78</v>
      </c>
      <c r="Q2893" t="s">
        <v>50</v>
      </c>
      <c r="R2893" t="s">
        <v>305</v>
      </c>
      <c r="S2893" t="s">
        <v>306</v>
      </c>
      <c r="T2893" t="s">
        <v>307</v>
      </c>
      <c r="U2893" s="1">
        <v>46073.994837962964</v>
      </c>
      <c r="V2893" t="s">
        <v>54</v>
      </c>
      <c r="W2893" t="s">
        <v>55</v>
      </c>
      <c r="X2893" t="s">
        <v>211</v>
      </c>
      <c r="Y2893" t="s">
        <v>11311</v>
      </c>
      <c r="Z2893" t="s">
        <v>5594</v>
      </c>
      <c r="AA2893" t="s">
        <v>54</v>
      </c>
      <c r="AB2893" t="s">
        <v>213</v>
      </c>
      <c r="AC2893" t="s">
        <v>85</v>
      </c>
      <c r="AD2893" t="s">
        <v>1189</v>
      </c>
      <c r="AE2893" t="s">
        <v>5346</v>
      </c>
      <c r="AF2893" t="s">
        <v>5347</v>
      </c>
      <c r="AG2893" t="s">
        <v>5594</v>
      </c>
      <c r="AH2893" t="s">
        <v>11312</v>
      </c>
      <c r="AK2893">
        <v>2</v>
      </c>
      <c r="AL2893" t="s">
        <v>61</v>
      </c>
      <c r="AM2893" t="s">
        <v>11313</v>
      </c>
      <c r="AN2893" t="s">
        <v>11314</v>
      </c>
    </row>
    <row r="2894" spans="1:40" x14ac:dyDescent="0.35">
      <c r="A2894" t="s">
        <v>37</v>
      </c>
      <c r="B2894" t="s">
        <v>11315</v>
      </c>
      <c r="C2894" t="s">
        <v>39</v>
      </c>
      <c r="D2894" t="s">
        <v>230</v>
      </c>
      <c r="E2894" t="s">
        <v>1146</v>
      </c>
      <c r="F2894" s="1">
        <v>46069.403055555558</v>
      </c>
      <c r="G2894" t="s">
        <v>170</v>
      </c>
      <c r="H2894" t="s">
        <v>92</v>
      </c>
      <c r="I2894" t="s">
        <v>1185</v>
      </c>
      <c r="J2894" t="s">
        <v>1186</v>
      </c>
      <c r="K2894" t="s">
        <v>1187</v>
      </c>
      <c r="M2894" t="s">
        <v>47</v>
      </c>
      <c r="O2894" t="s">
        <v>77</v>
      </c>
      <c r="P2894" t="s">
        <v>78</v>
      </c>
      <c r="Q2894" t="s">
        <v>50</v>
      </c>
      <c r="R2894" t="s">
        <v>305</v>
      </c>
      <c r="S2894" t="s">
        <v>306</v>
      </c>
      <c r="T2894" t="s">
        <v>307</v>
      </c>
      <c r="U2894" s="1">
        <v>46072.332025462965</v>
      </c>
      <c r="V2894" t="s">
        <v>54</v>
      </c>
      <c r="W2894" t="s">
        <v>55</v>
      </c>
      <c r="X2894" t="s">
        <v>211</v>
      </c>
      <c r="Y2894" t="s">
        <v>1188</v>
      </c>
      <c r="Z2894" t="s">
        <v>5594</v>
      </c>
      <c r="AA2894" t="s">
        <v>54</v>
      </c>
      <c r="AB2894" t="s">
        <v>213</v>
      </c>
      <c r="AC2894" t="s">
        <v>85</v>
      </c>
      <c r="AD2894" t="s">
        <v>1189</v>
      </c>
      <c r="AE2894" t="s">
        <v>1190</v>
      </c>
      <c r="AF2894" t="s">
        <v>1191</v>
      </c>
      <c r="AG2894" t="s">
        <v>5594</v>
      </c>
      <c r="AH2894" t="s">
        <v>10665</v>
      </c>
      <c r="AK2894">
        <v>8</v>
      </c>
      <c r="AL2894" t="s">
        <v>61</v>
      </c>
      <c r="AM2894" t="s">
        <v>10666</v>
      </c>
      <c r="AN2894" t="s">
        <v>10667</v>
      </c>
    </row>
    <row r="2895" spans="1:40" x14ac:dyDescent="0.35">
      <c r="A2895" t="s">
        <v>37</v>
      </c>
      <c r="B2895" t="s">
        <v>11316</v>
      </c>
      <c r="C2895" t="s">
        <v>39</v>
      </c>
      <c r="D2895" t="s">
        <v>230</v>
      </c>
      <c r="E2895" t="s">
        <v>1146</v>
      </c>
      <c r="F2895" s="1">
        <v>46069.401504629626</v>
      </c>
      <c r="G2895" t="s">
        <v>170</v>
      </c>
      <c r="H2895" t="s">
        <v>92</v>
      </c>
      <c r="I2895" t="s">
        <v>1185</v>
      </c>
      <c r="J2895" t="s">
        <v>11084</v>
      </c>
      <c r="K2895" t="s">
        <v>588</v>
      </c>
      <c r="M2895" t="s">
        <v>11317</v>
      </c>
      <c r="O2895" t="s">
        <v>77</v>
      </c>
      <c r="P2895" t="s">
        <v>78</v>
      </c>
      <c r="Q2895" t="s">
        <v>50</v>
      </c>
      <c r="R2895" t="s">
        <v>305</v>
      </c>
      <c r="S2895" t="s">
        <v>306</v>
      </c>
      <c r="T2895" t="s">
        <v>307</v>
      </c>
      <c r="U2895" s="1">
        <v>46078.604039351849</v>
      </c>
      <c r="V2895" t="s">
        <v>54</v>
      </c>
      <c r="W2895" t="s">
        <v>55</v>
      </c>
      <c r="X2895" t="s">
        <v>211</v>
      </c>
      <c r="Y2895" t="s">
        <v>11318</v>
      </c>
      <c r="Z2895" t="s">
        <v>58</v>
      </c>
      <c r="AA2895" t="s">
        <v>54</v>
      </c>
      <c r="AB2895" t="s">
        <v>213</v>
      </c>
      <c r="AC2895" t="s">
        <v>85</v>
      </c>
      <c r="AD2895" t="s">
        <v>4822</v>
      </c>
      <c r="AE2895" t="s">
        <v>8337</v>
      </c>
      <c r="AF2895" t="s">
        <v>11319</v>
      </c>
      <c r="AG2895" t="s">
        <v>58</v>
      </c>
      <c r="AH2895" t="s">
        <v>10665</v>
      </c>
      <c r="AK2895">
        <v>7</v>
      </c>
      <c r="AL2895" t="s">
        <v>61</v>
      </c>
      <c r="AM2895" t="s">
        <v>10666</v>
      </c>
      <c r="AN2895" t="s">
        <v>10667</v>
      </c>
    </row>
    <row r="2896" spans="1:40" x14ac:dyDescent="0.35">
      <c r="A2896" t="s">
        <v>37</v>
      </c>
      <c r="B2896" t="s">
        <v>11320</v>
      </c>
      <c r="C2896" t="s">
        <v>39</v>
      </c>
      <c r="D2896" t="s">
        <v>747</v>
      </c>
      <c r="E2896" t="s">
        <v>1146</v>
      </c>
      <c r="F2896" s="1">
        <v>46069.399988425925</v>
      </c>
      <c r="G2896" t="s">
        <v>913</v>
      </c>
      <c r="H2896" t="s">
        <v>72</v>
      </c>
      <c r="I2896" t="s">
        <v>11321</v>
      </c>
      <c r="J2896" t="s">
        <v>1833</v>
      </c>
      <c r="K2896" t="s">
        <v>1834</v>
      </c>
      <c r="M2896" t="s">
        <v>76</v>
      </c>
      <c r="O2896" t="s">
        <v>77</v>
      </c>
      <c r="P2896" t="s">
        <v>78</v>
      </c>
      <c r="Q2896" t="s">
        <v>50</v>
      </c>
      <c r="R2896" t="s">
        <v>51</v>
      </c>
      <c r="S2896" t="s">
        <v>52</v>
      </c>
      <c r="T2896" t="s">
        <v>240</v>
      </c>
      <c r="U2896" s="1">
        <v>46078.957997685182</v>
      </c>
      <c r="V2896" t="s">
        <v>54</v>
      </c>
      <c r="W2896" t="s">
        <v>55</v>
      </c>
      <c r="X2896" t="s">
        <v>134</v>
      </c>
      <c r="Y2896" t="s">
        <v>5160</v>
      </c>
      <c r="Z2896" t="s">
        <v>58</v>
      </c>
      <c r="AA2896" t="s">
        <v>54</v>
      </c>
      <c r="AB2896" t="s">
        <v>1836</v>
      </c>
      <c r="AC2896" t="s">
        <v>85</v>
      </c>
      <c r="AD2896" t="s">
        <v>52</v>
      </c>
      <c r="AE2896" t="s">
        <v>243</v>
      </c>
      <c r="AF2896" t="s">
        <v>244</v>
      </c>
      <c r="AG2896" t="s">
        <v>58</v>
      </c>
      <c r="AH2896">
        <v>15461</v>
      </c>
      <c r="AK2896">
        <v>0</v>
      </c>
      <c r="AL2896" t="s">
        <v>61</v>
      </c>
      <c r="AM2896" t="s">
        <v>11322</v>
      </c>
      <c r="AN2896" t="s">
        <v>11323</v>
      </c>
    </row>
    <row r="2897" spans="1:40" x14ac:dyDescent="0.35">
      <c r="A2897" t="s">
        <v>37</v>
      </c>
      <c r="B2897" t="s">
        <v>11324</v>
      </c>
      <c r="C2897" t="s">
        <v>102</v>
      </c>
      <c r="D2897" t="s">
        <v>1982</v>
      </c>
      <c r="E2897" t="s">
        <v>11325</v>
      </c>
      <c r="F2897" s="1">
        <v>46069.423229166663</v>
      </c>
      <c r="G2897" t="s">
        <v>204</v>
      </c>
      <c r="H2897" t="s">
        <v>92</v>
      </c>
      <c r="I2897" t="s">
        <v>11326</v>
      </c>
      <c r="J2897" t="s">
        <v>5588</v>
      </c>
      <c r="K2897" t="s">
        <v>951</v>
      </c>
      <c r="M2897" t="s">
        <v>47</v>
      </c>
      <c r="O2897" t="s">
        <v>237</v>
      </c>
      <c r="P2897" t="s">
        <v>238</v>
      </c>
      <c r="Q2897" t="s">
        <v>3204</v>
      </c>
      <c r="R2897" t="s">
        <v>79</v>
      </c>
      <c r="S2897" t="s">
        <v>642</v>
      </c>
      <c r="T2897" t="s">
        <v>643</v>
      </c>
      <c r="U2897" s="1">
        <v>46072.574884259258</v>
      </c>
      <c r="V2897" t="s">
        <v>54</v>
      </c>
      <c r="W2897" t="s">
        <v>55</v>
      </c>
      <c r="X2897" t="s">
        <v>82</v>
      </c>
      <c r="Y2897" t="s">
        <v>11327</v>
      </c>
      <c r="Z2897" t="s">
        <v>5594</v>
      </c>
      <c r="AA2897" t="s">
        <v>54</v>
      </c>
      <c r="AB2897" t="s">
        <v>698</v>
      </c>
      <c r="AC2897" t="s">
        <v>242</v>
      </c>
      <c r="AD2897" t="s">
        <v>79</v>
      </c>
      <c r="AE2897" t="s">
        <v>1339</v>
      </c>
      <c r="AF2897" t="s">
        <v>1340</v>
      </c>
      <c r="AG2897" t="s">
        <v>5594</v>
      </c>
      <c r="AH2897">
        <v>10618</v>
      </c>
      <c r="AK2897">
        <v>3</v>
      </c>
      <c r="AL2897" t="s">
        <v>61</v>
      </c>
      <c r="AM2897" t="s">
        <v>11328</v>
      </c>
      <c r="AN2897" t="s">
        <v>11329</v>
      </c>
    </row>
    <row r="2898" spans="1:40" x14ac:dyDescent="0.35">
      <c r="A2898" t="s">
        <v>37</v>
      </c>
      <c r="B2898" t="s">
        <v>11330</v>
      </c>
      <c r="C2898" t="s">
        <v>39</v>
      </c>
      <c r="D2898" t="s">
        <v>11331</v>
      </c>
      <c r="E2898" t="s">
        <v>11332</v>
      </c>
      <c r="F2898" s="1">
        <v>46069.393333333333</v>
      </c>
      <c r="G2898" t="s">
        <v>105</v>
      </c>
      <c r="H2898" t="s">
        <v>106</v>
      </c>
      <c r="I2898" t="s">
        <v>8741</v>
      </c>
      <c r="J2898" t="s">
        <v>1186</v>
      </c>
      <c r="K2898" t="s">
        <v>1187</v>
      </c>
      <c r="M2898" t="s">
        <v>47</v>
      </c>
      <c r="O2898" t="s">
        <v>77</v>
      </c>
      <c r="P2898" t="s">
        <v>78</v>
      </c>
      <c r="Q2898" t="s">
        <v>50</v>
      </c>
      <c r="R2898" t="s">
        <v>305</v>
      </c>
      <c r="S2898" t="s">
        <v>306</v>
      </c>
      <c r="T2898" t="s">
        <v>307</v>
      </c>
      <c r="U2898" s="1">
        <v>46072.459143518521</v>
      </c>
      <c r="V2898" t="s">
        <v>54</v>
      </c>
      <c r="W2898" t="s">
        <v>55</v>
      </c>
      <c r="X2898" t="s">
        <v>211</v>
      </c>
      <c r="Y2898" t="s">
        <v>11333</v>
      </c>
      <c r="Z2898" t="s">
        <v>5594</v>
      </c>
      <c r="AA2898" t="s">
        <v>54</v>
      </c>
      <c r="AB2898" t="s">
        <v>213</v>
      </c>
      <c r="AC2898" t="s">
        <v>85</v>
      </c>
      <c r="AD2898" t="s">
        <v>1189</v>
      </c>
      <c r="AE2898" t="s">
        <v>3746</v>
      </c>
      <c r="AF2898" t="s">
        <v>8743</v>
      </c>
      <c r="AG2898" t="s">
        <v>5594</v>
      </c>
      <c r="AH2898" t="s">
        <v>11334</v>
      </c>
      <c r="AK2898">
        <v>4</v>
      </c>
      <c r="AL2898" t="s">
        <v>61</v>
      </c>
      <c r="AM2898" t="s">
        <v>11335</v>
      </c>
      <c r="AN2898" t="s">
        <v>11336</v>
      </c>
    </row>
    <row r="2899" spans="1:40" x14ac:dyDescent="0.35">
      <c r="A2899" t="s">
        <v>37</v>
      </c>
      <c r="B2899" t="s">
        <v>11337</v>
      </c>
      <c r="C2899" t="s">
        <v>102</v>
      </c>
      <c r="D2899" t="s">
        <v>469</v>
      </c>
      <c r="E2899" t="s">
        <v>11338</v>
      </c>
      <c r="F2899" s="1">
        <v>46069.386192129627</v>
      </c>
      <c r="G2899" t="s">
        <v>3396</v>
      </c>
      <c r="H2899" t="s">
        <v>106</v>
      </c>
      <c r="I2899" t="s">
        <v>11339</v>
      </c>
      <c r="J2899" t="s">
        <v>5583</v>
      </c>
      <c r="K2899" t="s">
        <v>951</v>
      </c>
      <c r="M2899" t="s">
        <v>76</v>
      </c>
      <c r="O2899" t="s">
        <v>237</v>
      </c>
      <c r="P2899" t="s">
        <v>238</v>
      </c>
      <c r="R2899" t="s">
        <v>305</v>
      </c>
      <c r="S2899" t="s">
        <v>306</v>
      </c>
      <c r="T2899" t="s">
        <v>307</v>
      </c>
      <c r="U2899" s="1">
        <v>46076.536215277774</v>
      </c>
      <c r="V2899" t="s">
        <v>54</v>
      </c>
      <c r="W2899" t="s">
        <v>55</v>
      </c>
      <c r="X2899" t="s">
        <v>211</v>
      </c>
      <c r="Y2899" t="s">
        <v>11340</v>
      </c>
      <c r="Z2899" t="s">
        <v>58</v>
      </c>
      <c r="AA2899" t="s">
        <v>54</v>
      </c>
      <c r="AB2899" t="s">
        <v>213</v>
      </c>
      <c r="AC2899" t="s">
        <v>242</v>
      </c>
      <c r="AD2899" t="s">
        <v>79</v>
      </c>
      <c r="AE2899" t="s">
        <v>642</v>
      </c>
      <c r="AF2899" t="s">
        <v>2719</v>
      </c>
      <c r="AG2899" t="s">
        <v>58</v>
      </c>
      <c r="AH2899">
        <v>15004</v>
      </c>
      <c r="AK2899">
        <v>6</v>
      </c>
      <c r="AL2899" t="s">
        <v>61</v>
      </c>
      <c r="AM2899" t="s">
        <v>11341</v>
      </c>
      <c r="AN2899" t="s">
        <v>11342</v>
      </c>
    </row>
    <row r="2900" spans="1:40" x14ac:dyDescent="0.35">
      <c r="A2900" t="s">
        <v>37</v>
      </c>
      <c r="B2900" t="s">
        <v>11343</v>
      </c>
      <c r="C2900" t="s">
        <v>39</v>
      </c>
      <c r="D2900" t="s">
        <v>7204</v>
      </c>
      <c r="E2900" t="s">
        <v>4431</v>
      </c>
      <c r="F2900" s="1">
        <v>46069.365057870367</v>
      </c>
      <c r="G2900" t="s">
        <v>170</v>
      </c>
      <c r="H2900" t="s">
        <v>92</v>
      </c>
      <c r="I2900" t="s">
        <v>205</v>
      </c>
      <c r="J2900" t="s">
        <v>1692</v>
      </c>
      <c r="K2900" t="s">
        <v>207</v>
      </c>
      <c r="M2900" t="s">
        <v>47</v>
      </c>
      <c r="O2900" t="s">
        <v>77</v>
      </c>
      <c r="P2900" t="s">
        <v>78</v>
      </c>
      <c r="Q2900" t="s">
        <v>50</v>
      </c>
      <c r="R2900" t="s">
        <v>305</v>
      </c>
      <c r="S2900" t="s">
        <v>306</v>
      </c>
      <c r="T2900" t="s">
        <v>307</v>
      </c>
      <c r="U2900" s="1">
        <v>46074.645381944443</v>
      </c>
      <c r="V2900" t="s">
        <v>54</v>
      </c>
      <c r="W2900" t="s">
        <v>55</v>
      </c>
      <c r="X2900" t="s">
        <v>211</v>
      </c>
      <c r="Y2900" t="s">
        <v>8919</v>
      </c>
      <c r="Z2900" t="s">
        <v>5594</v>
      </c>
      <c r="AA2900" t="s">
        <v>54</v>
      </c>
      <c r="AB2900" t="s">
        <v>213</v>
      </c>
      <c r="AC2900" t="s">
        <v>85</v>
      </c>
      <c r="AD2900" t="s">
        <v>214</v>
      </c>
      <c r="AE2900" t="s">
        <v>215</v>
      </c>
      <c r="AF2900" t="s">
        <v>161</v>
      </c>
      <c r="AG2900" t="s">
        <v>5594</v>
      </c>
      <c r="AH2900">
        <v>13289</v>
      </c>
      <c r="AK2900">
        <v>4</v>
      </c>
      <c r="AL2900" t="s">
        <v>61</v>
      </c>
      <c r="AM2900" t="s">
        <v>7206</v>
      </c>
      <c r="AN2900" t="s">
        <v>7207</v>
      </c>
    </row>
    <row r="2901" spans="1:40" x14ac:dyDescent="0.35">
      <c r="A2901" t="s">
        <v>37</v>
      </c>
      <c r="B2901" t="s">
        <v>11344</v>
      </c>
      <c r="C2901" t="s">
        <v>39</v>
      </c>
      <c r="D2901" t="s">
        <v>1751</v>
      </c>
      <c r="E2901" t="s">
        <v>1316</v>
      </c>
      <c r="F2901" s="1">
        <v>46069.350057870368</v>
      </c>
      <c r="G2901" t="s">
        <v>1752</v>
      </c>
      <c r="H2901" t="s">
        <v>447</v>
      </c>
      <c r="I2901" t="s">
        <v>11345</v>
      </c>
      <c r="J2901" t="s">
        <v>3377</v>
      </c>
      <c r="K2901" t="s">
        <v>1755</v>
      </c>
      <c r="M2901" t="s">
        <v>47</v>
      </c>
      <c r="O2901" t="s">
        <v>77</v>
      </c>
      <c r="P2901" t="s">
        <v>78</v>
      </c>
      <c r="Q2901" t="s">
        <v>50</v>
      </c>
      <c r="R2901" t="s">
        <v>51</v>
      </c>
      <c r="S2901" t="s">
        <v>52</v>
      </c>
      <c r="T2901" t="s">
        <v>773</v>
      </c>
      <c r="U2901" s="1">
        <v>46074.955613425926</v>
      </c>
      <c r="V2901" t="s">
        <v>54</v>
      </c>
      <c r="W2901" t="s">
        <v>55</v>
      </c>
      <c r="X2901" t="s">
        <v>134</v>
      </c>
      <c r="Y2901" t="s">
        <v>11346</v>
      </c>
      <c r="Z2901" t="s">
        <v>5594</v>
      </c>
      <c r="AA2901" t="s">
        <v>54</v>
      </c>
      <c r="AB2901" t="s">
        <v>1757</v>
      </c>
      <c r="AC2901" t="s">
        <v>85</v>
      </c>
      <c r="AD2901" t="s">
        <v>52</v>
      </c>
      <c r="AE2901" t="s">
        <v>243</v>
      </c>
      <c r="AF2901" t="s">
        <v>409</v>
      </c>
      <c r="AG2901" t="s">
        <v>5594</v>
      </c>
      <c r="AK2901">
        <v>1</v>
      </c>
      <c r="AL2901" t="s">
        <v>61</v>
      </c>
      <c r="AM2901" t="s">
        <v>1757</v>
      </c>
      <c r="AN2901" t="s">
        <v>1758</v>
      </c>
    </row>
    <row r="2902" spans="1:40" x14ac:dyDescent="0.35">
      <c r="A2902" t="s">
        <v>37</v>
      </c>
      <c r="B2902" t="s">
        <v>11347</v>
      </c>
      <c r="C2902" t="s">
        <v>39</v>
      </c>
      <c r="D2902" t="s">
        <v>11348</v>
      </c>
      <c r="E2902" t="s">
        <v>11349</v>
      </c>
      <c r="F2902" s="1">
        <v>46069.33866898148</v>
      </c>
      <c r="G2902" t="s">
        <v>286</v>
      </c>
      <c r="H2902" t="s">
        <v>287</v>
      </c>
      <c r="I2902" t="s">
        <v>10018</v>
      </c>
      <c r="J2902" t="s">
        <v>10019</v>
      </c>
      <c r="K2902" t="s">
        <v>75</v>
      </c>
      <c r="M2902" t="s">
        <v>47</v>
      </c>
      <c r="O2902" t="s">
        <v>77</v>
      </c>
      <c r="P2902" t="s">
        <v>78</v>
      </c>
      <c r="Q2902" t="s">
        <v>50</v>
      </c>
      <c r="R2902" t="s">
        <v>305</v>
      </c>
      <c r="S2902" t="s">
        <v>306</v>
      </c>
      <c r="T2902" t="s">
        <v>307</v>
      </c>
      <c r="U2902" s="1">
        <v>46073.361250000002</v>
      </c>
      <c r="V2902" t="s">
        <v>54</v>
      </c>
      <c r="W2902" t="s">
        <v>55</v>
      </c>
      <c r="X2902" t="s">
        <v>211</v>
      </c>
      <c r="Y2902" t="s">
        <v>11350</v>
      </c>
      <c r="Z2902" t="s">
        <v>5594</v>
      </c>
      <c r="AA2902" t="s">
        <v>54</v>
      </c>
      <c r="AB2902" t="s">
        <v>213</v>
      </c>
      <c r="AC2902" t="s">
        <v>85</v>
      </c>
      <c r="AD2902" t="s">
        <v>79</v>
      </c>
      <c r="AE2902" t="s">
        <v>642</v>
      </c>
      <c r="AF2902" t="s">
        <v>643</v>
      </c>
      <c r="AG2902" t="s">
        <v>5594</v>
      </c>
      <c r="AH2902">
        <v>15971</v>
      </c>
      <c r="AI2902" t="s">
        <v>11351</v>
      </c>
      <c r="AK2902">
        <v>9</v>
      </c>
      <c r="AL2902" t="s">
        <v>61</v>
      </c>
      <c r="AM2902" t="s">
        <v>11352</v>
      </c>
      <c r="AN2902" t="s">
        <v>11353</v>
      </c>
    </row>
    <row r="2903" spans="1:40" x14ac:dyDescent="0.35">
      <c r="A2903" t="s">
        <v>37</v>
      </c>
      <c r="B2903" t="s">
        <v>11354</v>
      </c>
      <c r="C2903" t="s">
        <v>39</v>
      </c>
      <c r="D2903" t="s">
        <v>2044</v>
      </c>
      <c r="E2903" t="s">
        <v>303</v>
      </c>
      <c r="F2903" s="1">
        <v>46069.338067129633</v>
      </c>
      <c r="G2903" t="s">
        <v>232</v>
      </c>
      <c r="H2903" t="s">
        <v>233</v>
      </c>
      <c r="I2903" t="s">
        <v>1185</v>
      </c>
      <c r="J2903" t="s">
        <v>2333</v>
      </c>
      <c r="K2903" t="s">
        <v>1187</v>
      </c>
      <c r="M2903" t="s">
        <v>47</v>
      </c>
      <c r="O2903" t="s">
        <v>77</v>
      </c>
      <c r="P2903" t="s">
        <v>78</v>
      </c>
      <c r="Q2903" t="s">
        <v>50</v>
      </c>
      <c r="R2903" t="s">
        <v>305</v>
      </c>
      <c r="S2903" t="s">
        <v>306</v>
      </c>
      <c r="T2903" t="s">
        <v>307</v>
      </c>
      <c r="U2903" s="1">
        <v>46072.480266203704</v>
      </c>
      <c r="V2903" t="s">
        <v>54</v>
      </c>
      <c r="W2903" t="s">
        <v>55</v>
      </c>
      <c r="X2903" t="s">
        <v>211</v>
      </c>
      <c r="Y2903" t="s">
        <v>11355</v>
      </c>
      <c r="Z2903" t="s">
        <v>5594</v>
      </c>
      <c r="AA2903" t="s">
        <v>54</v>
      </c>
      <c r="AB2903" t="s">
        <v>213</v>
      </c>
      <c r="AC2903" t="s">
        <v>85</v>
      </c>
      <c r="AD2903" t="s">
        <v>1189</v>
      </c>
      <c r="AE2903" t="s">
        <v>1190</v>
      </c>
      <c r="AF2903" t="s">
        <v>1191</v>
      </c>
      <c r="AG2903" t="s">
        <v>5594</v>
      </c>
      <c r="AH2903">
        <v>15313</v>
      </c>
      <c r="AK2903">
        <v>8</v>
      </c>
      <c r="AL2903" t="s">
        <v>61</v>
      </c>
      <c r="AM2903" t="s">
        <v>2046</v>
      </c>
      <c r="AN2903" t="s">
        <v>2047</v>
      </c>
    </row>
    <row r="2904" spans="1:40" x14ac:dyDescent="0.35">
      <c r="A2904" t="s">
        <v>37</v>
      </c>
      <c r="B2904" t="s">
        <v>11356</v>
      </c>
      <c r="C2904" t="s">
        <v>102</v>
      </c>
      <c r="D2904" t="s">
        <v>127</v>
      </c>
      <c r="E2904" t="s">
        <v>127</v>
      </c>
      <c r="F2904" s="1">
        <v>46069.329918981479</v>
      </c>
      <c r="G2904" t="s">
        <v>250</v>
      </c>
      <c r="H2904" t="s">
        <v>106</v>
      </c>
      <c r="I2904" t="s">
        <v>11357</v>
      </c>
      <c r="J2904" t="s">
        <v>11358</v>
      </c>
      <c r="K2904" t="s">
        <v>11359</v>
      </c>
      <c r="M2904" t="s">
        <v>47</v>
      </c>
      <c r="O2904" t="s">
        <v>237</v>
      </c>
      <c r="P2904" t="s">
        <v>238</v>
      </c>
      <c r="Q2904" t="s">
        <v>10382</v>
      </c>
      <c r="R2904" t="s">
        <v>305</v>
      </c>
      <c r="S2904" t="s">
        <v>306</v>
      </c>
      <c r="T2904" t="s">
        <v>307</v>
      </c>
      <c r="U2904" s="1">
        <v>46072.419374999998</v>
      </c>
      <c r="V2904" t="s">
        <v>54</v>
      </c>
      <c r="W2904" t="s">
        <v>55</v>
      </c>
      <c r="X2904" t="s">
        <v>211</v>
      </c>
      <c r="Y2904" t="s">
        <v>11360</v>
      </c>
      <c r="Z2904" t="s">
        <v>5594</v>
      </c>
      <c r="AA2904" t="s">
        <v>54</v>
      </c>
      <c r="AB2904" t="s">
        <v>213</v>
      </c>
      <c r="AC2904" t="s">
        <v>242</v>
      </c>
      <c r="AD2904" t="s">
        <v>51</v>
      </c>
      <c r="AE2904" t="s">
        <v>819</v>
      </c>
      <c r="AF2904" t="s">
        <v>11361</v>
      </c>
      <c r="AG2904" t="s">
        <v>5594</v>
      </c>
      <c r="AH2904">
        <v>520</v>
      </c>
      <c r="AK2904">
        <v>2</v>
      </c>
      <c r="AL2904" t="s">
        <v>61</v>
      </c>
      <c r="AM2904" t="s">
        <v>11362</v>
      </c>
      <c r="AN2904" t="s">
        <v>11363</v>
      </c>
    </row>
    <row r="2905" spans="1:40" x14ac:dyDescent="0.35">
      <c r="A2905" t="s">
        <v>37</v>
      </c>
      <c r="B2905" t="s">
        <v>11364</v>
      </c>
      <c r="C2905" t="s">
        <v>102</v>
      </c>
      <c r="D2905" t="s">
        <v>2038</v>
      </c>
      <c r="E2905" t="s">
        <v>11365</v>
      </c>
      <c r="F2905" s="1">
        <v>46069.315196759257</v>
      </c>
      <c r="G2905" t="s">
        <v>3396</v>
      </c>
      <c r="H2905" t="s">
        <v>106</v>
      </c>
      <c r="I2905" t="s">
        <v>11366</v>
      </c>
      <c r="J2905" t="s">
        <v>8141</v>
      </c>
      <c r="K2905" t="s">
        <v>951</v>
      </c>
      <c r="M2905" t="s">
        <v>47</v>
      </c>
      <c r="O2905" t="s">
        <v>237</v>
      </c>
      <c r="P2905" t="s">
        <v>238</v>
      </c>
      <c r="Q2905" t="s">
        <v>50</v>
      </c>
      <c r="R2905" t="s">
        <v>79</v>
      </c>
      <c r="S2905" t="s">
        <v>4503</v>
      </c>
      <c r="T2905" t="s">
        <v>11367</v>
      </c>
      <c r="U2905" s="1">
        <v>46073.370312500003</v>
      </c>
      <c r="V2905" t="s">
        <v>54</v>
      </c>
      <c r="W2905" t="s">
        <v>55</v>
      </c>
      <c r="X2905" t="s">
        <v>82</v>
      </c>
      <c r="Y2905" t="s">
        <v>11368</v>
      </c>
      <c r="Z2905" t="s">
        <v>5594</v>
      </c>
      <c r="AA2905" t="s">
        <v>54</v>
      </c>
      <c r="AB2905" t="s">
        <v>709</v>
      </c>
      <c r="AC2905" t="s">
        <v>242</v>
      </c>
      <c r="AD2905" t="s">
        <v>79</v>
      </c>
      <c r="AE2905" t="s">
        <v>4503</v>
      </c>
      <c r="AF2905" t="s">
        <v>11369</v>
      </c>
      <c r="AG2905" t="s">
        <v>5594</v>
      </c>
      <c r="AH2905">
        <v>3187</v>
      </c>
      <c r="AK2905">
        <v>3</v>
      </c>
      <c r="AL2905" t="s">
        <v>61</v>
      </c>
      <c r="AM2905" t="s">
        <v>11370</v>
      </c>
      <c r="AN2905" t="s">
        <v>11371</v>
      </c>
    </row>
    <row r="2906" spans="1:40" x14ac:dyDescent="0.35">
      <c r="A2906" t="s">
        <v>37</v>
      </c>
      <c r="B2906" t="s">
        <v>11372</v>
      </c>
      <c r="C2906" t="s">
        <v>102</v>
      </c>
      <c r="D2906" t="s">
        <v>5968</v>
      </c>
      <c r="E2906" t="s">
        <v>5934</v>
      </c>
      <c r="F2906" s="1">
        <v>46069.203587962962</v>
      </c>
      <c r="G2906" t="s">
        <v>3396</v>
      </c>
      <c r="H2906" t="s">
        <v>106</v>
      </c>
      <c r="I2906" t="s">
        <v>11373</v>
      </c>
      <c r="J2906" t="s">
        <v>11374</v>
      </c>
      <c r="K2906" t="s">
        <v>2551</v>
      </c>
      <c r="M2906" t="s">
        <v>47</v>
      </c>
      <c r="O2906" t="s">
        <v>237</v>
      </c>
      <c r="P2906" t="s">
        <v>238</v>
      </c>
      <c r="Q2906" t="s">
        <v>50</v>
      </c>
      <c r="R2906" t="s">
        <v>79</v>
      </c>
      <c r="S2906" t="s">
        <v>4503</v>
      </c>
      <c r="T2906" t="s">
        <v>11367</v>
      </c>
      <c r="U2906" s="1">
        <v>46073.486076388886</v>
      </c>
      <c r="V2906" t="s">
        <v>54</v>
      </c>
      <c r="W2906" t="s">
        <v>55</v>
      </c>
      <c r="X2906" t="s">
        <v>82</v>
      </c>
      <c r="Y2906" t="s">
        <v>11375</v>
      </c>
      <c r="Z2906" t="s">
        <v>5594</v>
      </c>
      <c r="AA2906" t="s">
        <v>54</v>
      </c>
      <c r="AB2906" t="s">
        <v>709</v>
      </c>
      <c r="AC2906" t="s">
        <v>242</v>
      </c>
      <c r="AD2906" t="s">
        <v>79</v>
      </c>
      <c r="AE2906" t="s">
        <v>4503</v>
      </c>
      <c r="AF2906" t="s">
        <v>11369</v>
      </c>
      <c r="AG2906" t="s">
        <v>5594</v>
      </c>
      <c r="AH2906">
        <v>11272</v>
      </c>
      <c r="AK2906">
        <v>1</v>
      </c>
      <c r="AL2906" t="s">
        <v>61</v>
      </c>
      <c r="AM2906" t="s">
        <v>5969</v>
      </c>
      <c r="AN2906" t="s">
        <v>5970</v>
      </c>
    </row>
    <row r="2907" spans="1:40" x14ac:dyDescent="0.35">
      <c r="A2907" t="s">
        <v>37</v>
      </c>
      <c r="B2907" t="s">
        <v>11376</v>
      </c>
      <c r="C2907" t="s">
        <v>102</v>
      </c>
      <c r="D2907" t="s">
        <v>181</v>
      </c>
      <c r="E2907" t="s">
        <v>182</v>
      </c>
      <c r="F2907" s="1">
        <v>46069.180046296293</v>
      </c>
      <c r="G2907" t="s">
        <v>105</v>
      </c>
      <c r="H2907" t="s">
        <v>106</v>
      </c>
      <c r="I2907" t="s">
        <v>11377</v>
      </c>
      <c r="J2907" t="s">
        <v>108</v>
      </c>
      <c r="K2907" t="s">
        <v>571</v>
      </c>
      <c r="M2907" t="s">
        <v>76</v>
      </c>
      <c r="O2907" t="s">
        <v>77</v>
      </c>
      <c r="P2907" t="s">
        <v>78</v>
      </c>
      <c r="Q2907" t="s">
        <v>50</v>
      </c>
      <c r="R2907" t="s">
        <v>111</v>
      </c>
      <c r="S2907" t="s">
        <v>51</v>
      </c>
      <c r="T2907" t="s">
        <v>112</v>
      </c>
      <c r="U2907" s="1">
        <v>46076.486400462964</v>
      </c>
      <c r="V2907" t="s">
        <v>54</v>
      </c>
      <c r="W2907" t="s">
        <v>1584</v>
      </c>
      <c r="X2907" t="s">
        <v>56</v>
      </c>
      <c r="Y2907" t="s">
        <v>11011</v>
      </c>
      <c r="Z2907" t="s">
        <v>58</v>
      </c>
      <c r="AA2907" t="s">
        <v>54</v>
      </c>
      <c r="AB2907" t="s">
        <v>115</v>
      </c>
      <c r="AC2907" t="s">
        <v>85</v>
      </c>
      <c r="AD2907" t="s">
        <v>116</v>
      </c>
      <c r="AE2907" t="s">
        <v>6270</v>
      </c>
      <c r="AF2907" t="s">
        <v>664</v>
      </c>
      <c r="AG2907" t="s">
        <v>58</v>
      </c>
      <c r="AH2907" t="s">
        <v>185</v>
      </c>
      <c r="AK2907">
        <v>1</v>
      </c>
      <c r="AL2907" t="s">
        <v>61</v>
      </c>
      <c r="AM2907" t="s">
        <v>186</v>
      </c>
      <c r="AN2907" t="s">
        <v>187</v>
      </c>
    </row>
    <row r="2908" spans="1:40" x14ac:dyDescent="0.35">
      <c r="A2908" t="s">
        <v>37</v>
      </c>
      <c r="B2908" t="s">
        <v>11378</v>
      </c>
      <c r="C2908" t="s">
        <v>102</v>
      </c>
      <c r="D2908" t="s">
        <v>181</v>
      </c>
      <c r="E2908" t="s">
        <v>182</v>
      </c>
      <c r="F2908" s="1">
        <v>46069.178495370368</v>
      </c>
      <c r="G2908" t="s">
        <v>105</v>
      </c>
      <c r="H2908" t="s">
        <v>106</v>
      </c>
      <c r="I2908" t="s">
        <v>11379</v>
      </c>
      <c r="J2908" t="s">
        <v>108</v>
      </c>
      <c r="K2908" t="s">
        <v>109</v>
      </c>
      <c r="M2908" t="s">
        <v>76</v>
      </c>
      <c r="O2908" t="s">
        <v>77</v>
      </c>
      <c r="P2908" t="s">
        <v>78</v>
      </c>
      <c r="Q2908" t="s">
        <v>50</v>
      </c>
      <c r="R2908" t="s">
        <v>111</v>
      </c>
      <c r="S2908" t="s">
        <v>51</v>
      </c>
      <c r="T2908" t="s">
        <v>1583</v>
      </c>
      <c r="U2908" s="1">
        <v>46077.729375000003</v>
      </c>
      <c r="V2908" t="s">
        <v>54</v>
      </c>
      <c r="W2908" t="s">
        <v>1584</v>
      </c>
      <c r="X2908" t="s">
        <v>56</v>
      </c>
      <c r="Y2908" t="s">
        <v>11380</v>
      </c>
      <c r="Z2908" t="s">
        <v>58</v>
      </c>
      <c r="AA2908" t="s">
        <v>54</v>
      </c>
      <c r="AB2908" t="s">
        <v>115</v>
      </c>
      <c r="AC2908" t="s">
        <v>85</v>
      </c>
      <c r="AD2908" t="s">
        <v>116</v>
      </c>
      <c r="AE2908" t="s">
        <v>1586</v>
      </c>
      <c r="AF2908" t="s">
        <v>664</v>
      </c>
      <c r="AG2908" t="s">
        <v>58</v>
      </c>
      <c r="AH2908" t="s">
        <v>185</v>
      </c>
      <c r="AK2908">
        <v>1</v>
      </c>
      <c r="AL2908" t="s">
        <v>61</v>
      </c>
      <c r="AM2908" t="s">
        <v>186</v>
      </c>
      <c r="AN2908" t="s">
        <v>187</v>
      </c>
    </row>
    <row r="2909" spans="1:40" x14ac:dyDescent="0.35">
      <c r="A2909" t="s">
        <v>37</v>
      </c>
      <c r="B2909" t="s">
        <v>11381</v>
      </c>
      <c r="C2909" t="s">
        <v>656</v>
      </c>
      <c r="D2909" t="s">
        <v>583</v>
      </c>
      <c r="E2909" t="s">
        <v>584</v>
      </c>
      <c r="F2909" s="1">
        <v>46068.894490740742</v>
      </c>
      <c r="G2909" t="s">
        <v>585</v>
      </c>
      <c r="H2909" t="s">
        <v>356</v>
      </c>
      <c r="I2909" t="s">
        <v>11382</v>
      </c>
      <c r="J2909" t="s">
        <v>9587</v>
      </c>
      <c r="K2909" t="s">
        <v>46</v>
      </c>
      <c r="M2909" t="s">
        <v>47</v>
      </c>
      <c r="O2909" t="s">
        <v>77</v>
      </c>
      <c r="P2909" t="s">
        <v>78</v>
      </c>
      <c r="Q2909" t="s">
        <v>50</v>
      </c>
      <c r="R2909" t="s">
        <v>208</v>
      </c>
      <c r="S2909" t="s">
        <v>209</v>
      </c>
      <c r="T2909" t="s">
        <v>2859</v>
      </c>
      <c r="U2909" s="1">
        <v>46076.014837962961</v>
      </c>
      <c r="V2909" t="s">
        <v>54</v>
      </c>
      <c r="W2909" t="s">
        <v>55</v>
      </c>
      <c r="X2909" t="s">
        <v>134</v>
      </c>
      <c r="Y2909" t="s">
        <v>11383</v>
      </c>
      <c r="Z2909" t="s">
        <v>5594</v>
      </c>
      <c r="AA2909" t="s">
        <v>54</v>
      </c>
      <c r="AB2909" t="s">
        <v>3425</v>
      </c>
      <c r="AC2909" t="s">
        <v>85</v>
      </c>
      <c r="AD2909" t="s">
        <v>208</v>
      </c>
      <c r="AE2909" t="s">
        <v>209</v>
      </c>
      <c r="AF2909" t="s">
        <v>4048</v>
      </c>
      <c r="AG2909" t="s">
        <v>5594</v>
      </c>
      <c r="AK2909">
        <v>2</v>
      </c>
      <c r="AL2909" t="s">
        <v>61</v>
      </c>
      <c r="AM2909" t="s">
        <v>593</v>
      </c>
      <c r="AN2909" t="s">
        <v>594</v>
      </c>
    </row>
    <row r="2910" spans="1:40" x14ac:dyDescent="0.35">
      <c r="A2910" t="s">
        <v>37</v>
      </c>
      <c r="B2910" t="s">
        <v>11384</v>
      </c>
      <c r="C2910" t="s">
        <v>39</v>
      </c>
      <c r="D2910" t="s">
        <v>40</v>
      </c>
      <c r="E2910" t="s">
        <v>41</v>
      </c>
      <c r="F2910" s="1">
        <v>46068.840474537035</v>
      </c>
      <c r="G2910" t="s">
        <v>42</v>
      </c>
      <c r="H2910" t="s">
        <v>43</v>
      </c>
      <c r="I2910" t="s">
        <v>11385</v>
      </c>
      <c r="J2910" t="s">
        <v>45</v>
      </c>
      <c r="K2910" t="s">
        <v>46</v>
      </c>
      <c r="M2910" t="s">
        <v>47</v>
      </c>
      <c r="O2910" t="s">
        <v>48</v>
      </c>
      <c r="P2910" t="s">
        <v>49</v>
      </c>
      <c r="Q2910" t="s">
        <v>50</v>
      </c>
      <c r="R2910" t="s">
        <v>51</v>
      </c>
      <c r="S2910" t="s">
        <v>52</v>
      </c>
      <c r="T2910" t="s">
        <v>53</v>
      </c>
      <c r="U2910" s="1">
        <v>46073.406886574077</v>
      </c>
      <c r="V2910" t="s">
        <v>54</v>
      </c>
      <c r="W2910" t="s">
        <v>1584</v>
      </c>
      <c r="X2910" t="s">
        <v>56</v>
      </c>
      <c r="Y2910" t="s">
        <v>11386</v>
      </c>
      <c r="Z2910" t="s">
        <v>5594</v>
      </c>
      <c r="AA2910" t="s">
        <v>54</v>
      </c>
      <c r="AB2910" t="s">
        <v>59</v>
      </c>
      <c r="AC2910" t="s">
        <v>60</v>
      </c>
      <c r="AD2910" t="s">
        <v>51</v>
      </c>
      <c r="AE2910" t="s">
        <v>52</v>
      </c>
      <c r="AF2910" t="s">
        <v>53</v>
      </c>
      <c r="AG2910" t="s">
        <v>5594</v>
      </c>
      <c r="AK2910">
        <v>0</v>
      </c>
      <c r="AL2910" t="s">
        <v>61</v>
      </c>
      <c r="AM2910" t="s">
        <v>59</v>
      </c>
      <c r="AN2910" t="s">
        <v>62</v>
      </c>
    </row>
    <row r="2911" spans="1:40" x14ac:dyDescent="0.35">
      <c r="A2911" t="s">
        <v>37</v>
      </c>
      <c r="B2911" t="s">
        <v>11387</v>
      </c>
      <c r="C2911" t="s">
        <v>102</v>
      </c>
      <c r="D2911" t="s">
        <v>6285</v>
      </c>
      <c r="E2911" t="s">
        <v>6286</v>
      </c>
      <c r="F2911" s="1">
        <v>46068.838217592594</v>
      </c>
      <c r="G2911" t="s">
        <v>105</v>
      </c>
      <c r="H2911" t="s">
        <v>106</v>
      </c>
      <c r="I2911" t="s">
        <v>1567</v>
      </c>
      <c r="J2911" t="s">
        <v>108</v>
      </c>
      <c r="K2911" t="s">
        <v>571</v>
      </c>
      <c r="M2911" t="s">
        <v>47</v>
      </c>
      <c r="O2911" t="s">
        <v>77</v>
      </c>
      <c r="P2911" t="s">
        <v>78</v>
      </c>
      <c r="Q2911" t="s">
        <v>50</v>
      </c>
      <c r="R2911" t="s">
        <v>111</v>
      </c>
      <c r="S2911" t="s">
        <v>51</v>
      </c>
      <c r="T2911" t="s">
        <v>112</v>
      </c>
      <c r="U2911" s="1">
        <v>46073.587418981479</v>
      </c>
      <c r="V2911" t="s">
        <v>54</v>
      </c>
      <c r="W2911" t="s">
        <v>55</v>
      </c>
      <c r="X2911" t="s">
        <v>113</v>
      </c>
      <c r="Y2911" t="s">
        <v>11388</v>
      </c>
      <c r="Z2911" t="s">
        <v>5594</v>
      </c>
      <c r="AA2911" t="s">
        <v>54</v>
      </c>
      <c r="AB2911" t="s">
        <v>115</v>
      </c>
      <c r="AC2911" t="s">
        <v>85</v>
      </c>
      <c r="AD2911" t="s">
        <v>116</v>
      </c>
      <c r="AE2911" t="s">
        <v>1541</v>
      </c>
      <c r="AF2911" t="s">
        <v>161</v>
      </c>
      <c r="AG2911" t="s">
        <v>5594</v>
      </c>
      <c r="AH2911" t="s">
        <v>6288</v>
      </c>
      <c r="AK2911">
        <v>1</v>
      </c>
      <c r="AL2911" t="s">
        <v>61</v>
      </c>
      <c r="AM2911" t="s">
        <v>6289</v>
      </c>
      <c r="AN2911" t="s">
        <v>6290</v>
      </c>
    </row>
    <row r="2912" spans="1:40" x14ac:dyDescent="0.35">
      <c r="A2912" t="s">
        <v>37</v>
      </c>
      <c r="B2912" t="s">
        <v>11389</v>
      </c>
      <c r="C2912" t="s">
        <v>102</v>
      </c>
      <c r="D2912" t="s">
        <v>11390</v>
      </c>
      <c r="E2912" t="s">
        <v>303</v>
      </c>
      <c r="F2912" s="1">
        <v>46068.591932870368</v>
      </c>
      <c r="G2912" t="s">
        <v>71</v>
      </c>
      <c r="H2912" t="s">
        <v>72</v>
      </c>
      <c r="I2912" t="s">
        <v>11391</v>
      </c>
      <c r="J2912" t="s">
        <v>6620</v>
      </c>
      <c r="K2912" t="s">
        <v>951</v>
      </c>
      <c r="M2912" t="s">
        <v>76</v>
      </c>
      <c r="O2912" t="s">
        <v>237</v>
      </c>
      <c r="P2912" t="s">
        <v>238</v>
      </c>
      <c r="Q2912" t="s">
        <v>3204</v>
      </c>
      <c r="R2912" t="s">
        <v>79</v>
      </c>
      <c r="S2912" t="s">
        <v>1560</v>
      </c>
      <c r="T2912" t="s">
        <v>1561</v>
      </c>
      <c r="U2912" s="1">
        <v>46078.576006944444</v>
      </c>
      <c r="V2912" t="s">
        <v>54</v>
      </c>
      <c r="W2912" t="s">
        <v>55</v>
      </c>
      <c r="X2912" t="s">
        <v>82</v>
      </c>
      <c r="Y2912" t="s">
        <v>11392</v>
      </c>
      <c r="Z2912" t="s">
        <v>58</v>
      </c>
      <c r="AA2912" t="s">
        <v>54</v>
      </c>
      <c r="AB2912" t="s">
        <v>84</v>
      </c>
      <c r="AC2912" t="s">
        <v>242</v>
      </c>
      <c r="AD2912" t="s">
        <v>79</v>
      </c>
      <c r="AE2912" t="s">
        <v>2991</v>
      </c>
      <c r="AF2912" t="s">
        <v>11393</v>
      </c>
      <c r="AG2912" t="s">
        <v>58</v>
      </c>
      <c r="AH2912" t="s">
        <v>11394</v>
      </c>
      <c r="AJ2912">
        <v>191685</v>
      </c>
      <c r="AK2912">
        <v>10</v>
      </c>
      <c r="AL2912" t="s">
        <v>61</v>
      </c>
      <c r="AM2912" t="s">
        <v>11395</v>
      </c>
      <c r="AN2912" t="s">
        <v>11396</v>
      </c>
    </row>
    <row r="2913" spans="1:40" x14ac:dyDescent="0.35">
      <c r="A2913" t="s">
        <v>37</v>
      </c>
      <c r="B2913" t="s">
        <v>11397</v>
      </c>
      <c r="C2913" t="s">
        <v>102</v>
      </c>
      <c r="D2913" t="s">
        <v>1698</v>
      </c>
      <c r="E2913" t="s">
        <v>584</v>
      </c>
      <c r="F2913" s="1">
        <v>46068.579375000001</v>
      </c>
      <c r="G2913" t="s">
        <v>105</v>
      </c>
      <c r="H2913" t="s">
        <v>106</v>
      </c>
      <c r="I2913" t="s">
        <v>1745</v>
      </c>
      <c r="J2913" t="s">
        <v>108</v>
      </c>
      <c r="K2913" t="s">
        <v>109</v>
      </c>
      <c r="M2913" t="s">
        <v>47</v>
      </c>
      <c r="O2913" t="s">
        <v>77</v>
      </c>
      <c r="P2913" t="s">
        <v>78</v>
      </c>
      <c r="Q2913" t="s">
        <v>50</v>
      </c>
      <c r="R2913" t="s">
        <v>111</v>
      </c>
      <c r="S2913" t="s">
        <v>51</v>
      </c>
      <c r="T2913" t="s">
        <v>112</v>
      </c>
      <c r="U2913" s="1">
        <v>46072.366342592592</v>
      </c>
      <c r="V2913" t="s">
        <v>54</v>
      </c>
      <c r="W2913" t="s">
        <v>1584</v>
      </c>
      <c r="X2913" t="s">
        <v>134</v>
      </c>
      <c r="Y2913" t="s">
        <v>10575</v>
      </c>
      <c r="Z2913" t="s">
        <v>5594</v>
      </c>
      <c r="AA2913" t="s">
        <v>54</v>
      </c>
      <c r="AB2913" t="s">
        <v>1701</v>
      </c>
      <c r="AC2913" t="s">
        <v>85</v>
      </c>
      <c r="AD2913" t="s">
        <v>116</v>
      </c>
      <c r="AE2913" t="s">
        <v>117</v>
      </c>
      <c r="AF2913" t="s">
        <v>5697</v>
      </c>
      <c r="AG2913" t="s">
        <v>5594</v>
      </c>
      <c r="AK2913">
        <v>1</v>
      </c>
      <c r="AL2913" t="s">
        <v>61</v>
      </c>
      <c r="AM2913" t="s">
        <v>1701</v>
      </c>
      <c r="AN2913" t="s">
        <v>1702</v>
      </c>
    </row>
    <row r="2914" spans="1:40" x14ac:dyDescent="0.35">
      <c r="A2914" t="s">
        <v>37</v>
      </c>
      <c r="B2914" t="s">
        <v>11398</v>
      </c>
      <c r="C2914" t="s">
        <v>39</v>
      </c>
      <c r="D2914" t="s">
        <v>583</v>
      </c>
      <c r="E2914" t="s">
        <v>584</v>
      </c>
      <c r="F2914" s="1">
        <v>46068.436631944445</v>
      </c>
      <c r="G2914" t="s">
        <v>585</v>
      </c>
      <c r="H2914" t="s">
        <v>356</v>
      </c>
      <c r="I2914" t="s">
        <v>11399</v>
      </c>
      <c r="J2914" t="s">
        <v>11400</v>
      </c>
      <c r="K2914" t="s">
        <v>46</v>
      </c>
      <c r="M2914" t="s">
        <v>47</v>
      </c>
      <c r="O2914" t="s">
        <v>77</v>
      </c>
      <c r="P2914" t="s">
        <v>78</v>
      </c>
      <c r="Q2914" t="s">
        <v>50</v>
      </c>
      <c r="R2914" t="s">
        <v>208</v>
      </c>
      <c r="S2914" t="s">
        <v>209</v>
      </c>
      <c r="T2914" t="s">
        <v>2859</v>
      </c>
      <c r="U2914" s="1">
        <v>46076.010682870372</v>
      </c>
      <c r="V2914" t="s">
        <v>54</v>
      </c>
      <c r="W2914" t="s">
        <v>1584</v>
      </c>
      <c r="X2914" t="s">
        <v>134</v>
      </c>
      <c r="Y2914" t="s">
        <v>11401</v>
      </c>
      <c r="Z2914" t="s">
        <v>5594</v>
      </c>
      <c r="AA2914" t="s">
        <v>54</v>
      </c>
      <c r="AB2914" t="s">
        <v>84</v>
      </c>
      <c r="AC2914" t="s">
        <v>85</v>
      </c>
      <c r="AD2914" t="s">
        <v>208</v>
      </c>
      <c r="AE2914" t="s">
        <v>209</v>
      </c>
      <c r="AF2914" t="s">
        <v>4048</v>
      </c>
      <c r="AG2914" t="s">
        <v>5594</v>
      </c>
      <c r="AK2914">
        <v>1</v>
      </c>
      <c r="AL2914" t="s">
        <v>61</v>
      </c>
      <c r="AM2914" t="s">
        <v>593</v>
      </c>
      <c r="AN2914" t="s">
        <v>594</v>
      </c>
    </row>
    <row r="2915" spans="1:40" x14ac:dyDescent="0.35">
      <c r="A2915" t="s">
        <v>37</v>
      </c>
      <c r="B2915" t="s">
        <v>11402</v>
      </c>
      <c r="C2915" t="s">
        <v>102</v>
      </c>
      <c r="D2915" t="s">
        <v>181</v>
      </c>
      <c r="E2915" t="s">
        <v>182</v>
      </c>
      <c r="F2915" s="1">
        <v>46068.19903935185</v>
      </c>
      <c r="G2915" t="s">
        <v>105</v>
      </c>
      <c r="H2915" t="s">
        <v>106</v>
      </c>
      <c r="I2915" t="s">
        <v>11403</v>
      </c>
      <c r="J2915" t="s">
        <v>108</v>
      </c>
      <c r="K2915" t="s">
        <v>571</v>
      </c>
      <c r="M2915" t="s">
        <v>47</v>
      </c>
      <c r="O2915" t="s">
        <v>77</v>
      </c>
      <c r="P2915" t="s">
        <v>78</v>
      </c>
      <c r="Q2915" t="s">
        <v>50</v>
      </c>
      <c r="R2915" t="s">
        <v>111</v>
      </c>
      <c r="S2915" t="s">
        <v>51</v>
      </c>
      <c r="T2915" t="s">
        <v>112</v>
      </c>
      <c r="U2915" s="1">
        <v>46073.351354166669</v>
      </c>
      <c r="V2915" t="s">
        <v>54</v>
      </c>
      <c r="W2915" t="s">
        <v>55</v>
      </c>
      <c r="X2915" t="s">
        <v>56</v>
      </c>
      <c r="Y2915" t="s">
        <v>6431</v>
      </c>
      <c r="Z2915" t="s">
        <v>5594</v>
      </c>
      <c r="AA2915" t="s">
        <v>54</v>
      </c>
      <c r="AB2915" t="s">
        <v>115</v>
      </c>
      <c r="AC2915" t="s">
        <v>85</v>
      </c>
      <c r="AD2915" t="s">
        <v>116</v>
      </c>
      <c r="AE2915" t="s">
        <v>574</v>
      </c>
      <c r="AF2915" t="s">
        <v>664</v>
      </c>
      <c r="AG2915" t="s">
        <v>5594</v>
      </c>
      <c r="AH2915" t="s">
        <v>185</v>
      </c>
      <c r="AK2915">
        <v>1</v>
      </c>
      <c r="AL2915" t="s">
        <v>61</v>
      </c>
      <c r="AM2915" t="s">
        <v>186</v>
      </c>
      <c r="AN2915" t="s">
        <v>187</v>
      </c>
    </row>
    <row r="2916" spans="1:40" x14ac:dyDescent="0.35">
      <c r="A2916" t="s">
        <v>37</v>
      </c>
      <c r="B2916" t="s">
        <v>11404</v>
      </c>
      <c r="C2916" t="s">
        <v>102</v>
      </c>
      <c r="D2916" t="s">
        <v>1698</v>
      </c>
      <c r="E2916" t="s">
        <v>584</v>
      </c>
      <c r="F2916" s="1">
        <v>46068.107986111114</v>
      </c>
      <c r="G2916" t="s">
        <v>105</v>
      </c>
      <c r="H2916" t="s">
        <v>106</v>
      </c>
      <c r="I2916" t="s">
        <v>11405</v>
      </c>
      <c r="J2916" t="s">
        <v>108</v>
      </c>
      <c r="K2916" t="s">
        <v>109</v>
      </c>
      <c r="M2916" t="s">
        <v>47</v>
      </c>
      <c r="O2916" t="s">
        <v>77</v>
      </c>
      <c r="P2916" t="s">
        <v>78</v>
      </c>
      <c r="Q2916" t="s">
        <v>50</v>
      </c>
      <c r="R2916" t="s">
        <v>111</v>
      </c>
      <c r="S2916" t="s">
        <v>51</v>
      </c>
      <c r="T2916" t="s">
        <v>1583</v>
      </c>
      <c r="U2916" s="1">
        <v>46072.00608796296</v>
      </c>
      <c r="V2916" t="s">
        <v>54</v>
      </c>
      <c r="W2916" t="s">
        <v>1584</v>
      </c>
      <c r="X2916" t="s">
        <v>134</v>
      </c>
      <c r="Y2916" t="s">
        <v>11406</v>
      </c>
      <c r="Z2916" t="s">
        <v>5594</v>
      </c>
      <c r="AA2916" t="s">
        <v>54</v>
      </c>
      <c r="AB2916" t="s">
        <v>1701</v>
      </c>
      <c r="AC2916" t="s">
        <v>85</v>
      </c>
      <c r="AD2916" t="s">
        <v>116</v>
      </c>
      <c r="AE2916" t="s">
        <v>1586</v>
      </c>
      <c r="AF2916" t="s">
        <v>3110</v>
      </c>
      <c r="AG2916" t="s">
        <v>5594</v>
      </c>
      <c r="AK2916">
        <v>1</v>
      </c>
      <c r="AL2916" t="s">
        <v>61</v>
      </c>
      <c r="AM2916" t="s">
        <v>1701</v>
      </c>
      <c r="AN2916" t="s">
        <v>1702</v>
      </c>
    </row>
    <row r="2917" spans="1:40" x14ac:dyDescent="0.35">
      <c r="A2917" t="s">
        <v>37</v>
      </c>
      <c r="B2917" t="s">
        <v>11407</v>
      </c>
      <c r="C2917" t="s">
        <v>102</v>
      </c>
      <c r="D2917" t="s">
        <v>1698</v>
      </c>
      <c r="E2917" t="s">
        <v>584</v>
      </c>
      <c r="F2917" s="1">
        <v>46068.107986111114</v>
      </c>
      <c r="G2917" t="s">
        <v>105</v>
      </c>
      <c r="H2917" t="s">
        <v>106</v>
      </c>
      <c r="I2917" t="s">
        <v>11408</v>
      </c>
      <c r="J2917" t="s">
        <v>108</v>
      </c>
      <c r="K2917" t="s">
        <v>109</v>
      </c>
      <c r="M2917" t="s">
        <v>47</v>
      </c>
      <c r="O2917" t="s">
        <v>77</v>
      </c>
      <c r="P2917" t="s">
        <v>78</v>
      </c>
      <c r="Q2917" t="s">
        <v>50</v>
      </c>
      <c r="R2917" t="s">
        <v>111</v>
      </c>
      <c r="S2917" t="s">
        <v>51</v>
      </c>
      <c r="T2917" t="s">
        <v>1583</v>
      </c>
      <c r="U2917" s="1">
        <v>46072.005729166667</v>
      </c>
      <c r="V2917" t="s">
        <v>54</v>
      </c>
      <c r="W2917" t="s">
        <v>1584</v>
      </c>
      <c r="X2917" t="s">
        <v>134</v>
      </c>
      <c r="Y2917" t="s">
        <v>11409</v>
      </c>
      <c r="Z2917" t="s">
        <v>5594</v>
      </c>
      <c r="AA2917" t="s">
        <v>54</v>
      </c>
      <c r="AB2917" t="s">
        <v>1701</v>
      </c>
      <c r="AC2917" t="s">
        <v>85</v>
      </c>
      <c r="AD2917" t="s">
        <v>116</v>
      </c>
      <c r="AE2917" t="s">
        <v>1586</v>
      </c>
      <c r="AF2917" t="s">
        <v>3110</v>
      </c>
      <c r="AG2917" t="s">
        <v>5594</v>
      </c>
      <c r="AK2917">
        <v>1</v>
      </c>
      <c r="AL2917" t="s">
        <v>61</v>
      </c>
      <c r="AM2917" t="s">
        <v>1701</v>
      </c>
      <c r="AN2917" t="s">
        <v>1702</v>
      </c>
    </row>
    <row r="2918" spans="1:40" x14ac:dyDescent="0.35">
      <c r="A2918" t="s">
        <v>37</v>
      </c>
      <c r="B2918" t="s">
        <v>11410</v>
      </c>
      <c r="C2918" t="s">
        <v>39</v>
      </c>
      <c r="D2918" t="s">
        <v>391</v>
      </c>
      <c r="E2918" t="s">
        <v>147</v>
      </c>
      <c r="F2918" s="1">
        <v>46067.570023148146</v>
      </c>
      <c r="G2918" t="s">
        <v>204</v>
      </c>
      <c r="H2918" t="s">
        <v>92</v>
      </c>
      <c r="I2918" t="s">
        <v>1185</v>
      </c>
      <c r="J2918" t="s">
        <v>2406</v>
      </c>
      <c r="K2918" t="s">
        <v>1187</v>
      </c>
      <c r="M2918" t="s">
        <v>47</v>
      </c>
      <c r="O2918" t="s">
        <v>77</v>
      </c>
      <c r="P2918" t="s">
        <v>78</v>
      </c>
      <c r="Q2918" t="s">
        <v>2054</v>
      </c>
      <c r="R2918" t="s">
        <v>305</v>
      </c>
      <c r="S2918" t="s">
        <v>306</v>
      </c>
      <c r="T2918" t="s">
        <v>307</v>
      </c>
      <c r="U2918" s="1">
        <v>46073.453194444446</v>
      </c>
      <c r="V2918" t="s">
        <v>54</v>
      </c>
      <c r="W2918" t="s">
        <v>55</v>
      </c>
      <c r="X2918" t="s">
        <v>211</v>
      </c>
      <c r="Y2918" t="s">
        <v>11411</v>
      </c>
      <c r="Z2918" t="s">
        <v>5594</v>
      </c>
      <c r="AA2918" t="s">
        <v>54</v>
      </c>
      <c r="AB2918" t="s">
        <v>213</v>
      </c>
      <c r="AC2918" t="s">
        <v>85</v>
      </c>
      <c r="AD2918" t="s">
        <v>1189</v>
      </c>
      <c r="AE2918" t="s">
        <v>1190</v>
      </c>
      <c r="AF2918" t="s">
        <v>1191</v>
      </c>
      <c r="AG2918" t="s">
        <v>5594</v>
      </c>
      <c r="AH2918">
        <v>2850</v>
      </c>
      <c r="AK2918">
        <v>7</v>
      </c>
      <c r="AL2918" t="s">
        <v>61</v>
      </c>
      <c r="AM2918" t="s">
        <v>3933</v>
      </c>
      <c r="AN2918" t="s">
        <v>3934</v>
      </c>
    </row>
    <row r="2919" spans="1:40" x14ac:dyDescent="0.35">
      <c r="A2919" t="s">
        <v>37</v>
      </c>
      <c r="B2919" t="s">
        <v>11412</v>
      </c>
      <c r="C2919" t="s">
        <v>39</v>
      </c>
      <c r="D2919" t="s">
        <v>11413</v>
      </c>
      <c r="E2919" t="s">
        <v>11414</v>
      </c>
      <c r="F2919" s="1">
        <v>46067.332175925927</v>
      </c>
      <c r="G2919" t="s">
        <v>204</v>
      </c>
      <c r="H2919" t="s">
        <v>92</v>
      </c>
      <c r="I2919" t="s">
        <v>11415</v>
      </c>
      <c r="J2919" t="s">
        <v>2406</v>
      </c>
      <c r="K2919" t="s">
        <v>1187</v>
      </c>
      <c r="M2919" t="s">
        <v>47</v>
      </c>
      <c r="O2919" t="s">
        <v>77</v>
      </c>
      <c r="P2919" t="s">
        <v>78</v>
      </c>
      <c r="Q2919" t="s">
        <v>1218</v>
      </c>
      <c r="R2919" t="s">
        <v>79</v>
      </c>
      <c r="S2919" t="s">
        <v>1016</v>
      </c>
      <c r="T2919" t="s">
        <v>697</v>
      </c>
      <c r="U2919" s="1">
        <v>46073.400347222225</v>
      </c>
      <c r="V2919" t="s">
        <v>54</v>
      </c>
      <c r="W2919" t="s">
        <v>55</v>
      </c>
      <c r="X2919" t="s">
        <v>134</v>
      </c>
      <c r="Y2919" t="s">
        <v>11416</v>
      </c>
      <c r="Z2919" t="s">
        <v>5594</v>
      </c>
      <c r="AA2919" t="s">
        <v>54</v>
      </c>
      <c r="AB2919" t="s">
        <v>84</v>
      </c>
      <c r="AC2919" t="s">
        <v>85</v>
      </c>
      <c r="AD2919" t="s">
        <v>1189</v>
      </c>
      <c r="AE2919" t="s">
        <v>1190</v>
      </c>
      <c r="AF2919" t="s">
        <v>3058</v>
      </c>
      <c r="AG2919" t="s">
        <v>5594</v>
      </c>
      <c r="AH2919">
        <v>10235</v>
      </c>
      <c r="AK2919">
        <v>7</v>
      </c>
      <c r="AL2919" t="s">
        <v>61</v>
      </c>
      <c r="AM2919" t="s">
        <v>11417</v>
      </c>
      <c r="AN2919" t="s">
        <v>11418</v>
      </c>
    </row>
    <row r="2920" spans="1:40" x14ac:dyDescent="0.35">
      <c r="A2920" t="s">
        <v>37</v>
      </c>
      <c r="B2920" t="s">
        <v>11419</v>
      </c>
      <c r="C2920" t="s">
        <v>102</v>
      </c>
      <c r="D2920" t="s">
        <v>181</v>
      </c>
      <c r="E2920" t="s">
        <v>182</v>
      </c>
      <c r="F2920" s="1">
        <v>46067.166319444441</v>
      </c>
      <c r="G2920" t="s">
        <v>105</v>
      </c>
      <c r="H2920" t="s">
        <v>106</v>
      </c>
      <c r="I2920" t="s">
        <v>5106</v>
      </c>
      <c r="J2920" t="s">
        <v>108</v>
      </c>
      <c r="K2920" t="s">
        <v>109</v>
      </c>
      <c r="M2920" t="s">
        <v>47</v>
      </c>
      <c r="O2920" t="s">
        <v>77</v>
      </c>
      <c r="P2920" t="s">
        <v>78</v>
      </c>
      <c r="Q2920" t="s">
        <v>50</v>
      </c>
      <c r="R2920" t="s">
        <v>111</v>
      </c>
      <c r="S2920" t="s">
        <v>51</v>
      </c>
      <c r="T2920" t="s">
        <v>112</v>
      </c>
      <c r="U2920" s="1">
        <v>46072.612268518518</v>
      </c>
      <c r="V2920" t="s">
        <v>54</v>
      </c>
      <c r="W2920" t="s">
        <v>1584</v>
      </c>
      <c r="X2920" t="s">
        <v>56</v>
      </c>
      <c r="Y2920" t="s">
        <v>11420</v>
      </c>
      <c r="Z2920" t="s">
        <v>5594</v>
      </c>
      <c r="AA2920" t="s">
        <v>54</v>
      </c>
      <c r="AB2920" t="s">
        <v>115</v>
      </c>
      <c r="AC2920" t="s">
        <v>85</v>
      </c>
      <c r="AD2920" t="s">
        <v>116</v>
      </c>
      <c r="AE2920" t="s">
        <v>334</v>
      </c>
      <c r="AF2920" t="s">
        <v>664</v>
      </c>
      <c r="AG2920" t="s">
        <v>5594</v>
      </c>
      <c r="AH2920" t="s">
        <v>185</v>
      </c>
      <c r="AK2920">
        <v>1</v>
      </c>
      <c r="AL2920" t="s">
        <v>61</v>
      </c>
      <c r="AM2920" t="s">
        <v>186</v>
      </c>
      <c r="AN2920" t="s">
        <v>187</v>
      </c>
    </row>
    <row r="2921" spans="1:40" x14ac:dyDescent="0.35">
      <c r="A2921" t="s">
        <v>37</v>
      </c>
      <c r="B2921" t="s">
        <v>11421</v>
      </c>
      <c r="C2921" t="s">
        <v>102</v>
      </c>
      <c r="D2921" t="s">
        <v>181</v>
      </c>
      <c r="E2921" t="s">
        <v>182</v>
      </c>
      <c r="F2921" s="1">
        <v>46067.165208333332</v>
      </c>
      <c r="G2921" t="s">
        <v>105</v>
      </c>
      <c r="H2921" t="s">
        <v>106</v>
      </c>
      <c r="I2921" t="s">
        <v>7389</v>
      </c>
      <c r="J2921" t="s">
        <v>108</v>
      </c>
      <c r="K2921" t="s">
        <v>109</v>
      </c>
      <c r="M2921" t="s">
        <v>47</v>
      </c>
      <c r="O2921" t="s">
        <v>77</v>
      </c>
      <c r="P2921" t="s">
        <v>78</v>
      </c>
      <c r="Q2921" t="s">
        <v>50</v>
      </c>
      <c r="R2921" t="s">
        <v>111</v>
      </c>
      <c r="S2921" t="s">
        <v>51</v>
      </c>
      <c r="T2921" t="s">
        <v>112</v>
      </c>
      <c r="U2921" s="1">
        <v>46072.61209490741</v>
      </c>
      <c r="V2921" t="s">
        <v>54</v>
      </c>
      <c r="W2921" t="s">
        <v>1584</v>
      </c>
      <c r="X2921" t="s">
        <v>56</v>
      </c>
      <c r="Y2921" t="s">
        <v>11422</v>
      </c>
      <c r="Z2921" t="s">
        <v>5594</v>
      </c>
      <c r="AA2921" t="s">
        <v>54</v>
      </c>
      <c r="AB2921" t="s">
        <v>115</v>
      </c>
      <c r="AC2921" t="s">
        <v>85</v>
      </c>
      <c r="AD2921" t="s">
        <v>116</v>
      </c>
      <c r="AE2921" t="s">
        <v>117</v>
      </c>
      <c r="AF2921" t="s">
        <v>664</v>
      </c>
      <c r="AG2921" t="s">
        <v>5594</v>
      </c>
      <c r="AH2921" t="s">
        <v>185</v>
      </c>
      <c r="AK2921">
        <v>1</v>
      </c>
      <c r="AL2921" t="s">
        <v>61</v>
      </c>
      <c r="AM2921" t="s">
        <v>186</v>
      </c>
      <c r="AN2921" t="s">
        <v>187</v>
      </c>
    </row>
    <row r="2922" spans="1:40" x14ac:dyDescent="0.35">
      <c r="A2922" t="s">
        <v>37</v>
      </c>
      <c r="B2922" t="s">
        <v>11423</v>
      </c>
      <c r="C2922" t="s">
        <v>39</v>
      </c>
      <c r="D2922" t="s">
        <v>4122</v>
      </c>
      <c r="E2922" t="s">
        <v>11424</v>
      </c>
      <c r="F2922" s="1">
        <v>46067.11954861111</v>
      </c>
      <c r="G2922" t="s">
        <v>855</v>
      </c>
      <c r="H2922" t="s">
        <v>447</v>
      </c>
      <c r="I2922" t="s">
        <v>8995</v>
      </c>
      <c r="J2922" t="s">
        <v>2894</v>
      </c>
      <c r="K2922" t="s">
        <v>951</v>
      </c>
      <c r="M2922" t="s">
        <v>131</v>
      </c>
      <c r="O2922" t="s">
        <v>77</v>
      </c>
      <c r="P2922" t="s">
        <v>78</v>
      </c>
      <c r="Q2922" t="s">
        <v>50</v>
      </c>
      <c r="R2922" t="s">
        <v>79</v>
      </c>
      <c r="S2922" t="s">
        <v>8996</v>
      </c>
      <c r="T2922" t="s">
        <v>8996</v>
      </c>
      <c r="U2922" s="1">
        <v>46077.425671296296</v>
      </c>
      <c r="V2922" t="s">
        <v>54</v>
      </c>
      <c r="W2922" t="s">
        <v>55</v>
      </c>
      <c r="X2922" t="s">
        <v>134</v>
      </c>
      <c r="Y2922" t="s">
        <v>11425</v>
      </c>
      <c r="Z2922" t="s">
        <v>58</v>
      </c>
      <c r="AA2922" t="s">
        <v>54</v>
      </c>
      <c r="AB2922" t="s">
        <v>954</v>
      </c>
      <c r="AC2922" t="s">
        <v>85</v>
      </c>
      <c r="AD2922" t="s">
        <v>79</v>
      </c>
      <c r="AE2922" t="s">
        <v>11426</v>
      </c>
      <c r="AF2922" t="s">
        <v>11427</v>
      </c>
      <c r="AG2922" t="s">
        <v>58</v>
      </c>
      <c r="AH2922">
        <v>12696</v>
      </c>
      <c r="AJ2922">
        <v>12508</v>
      </c>
      <c r="AK2922">
        <v>9</v>
      </c>
      <c r="AL2922" t="s">
        <v>61</v>
      </c>
      <c r="AM2922" t="s">
        <v>11428</v>
      </c>
      <c r="AN2922" t="s">
        <v>11429</v>
      </c>
    </row>
    <row r="2923" spans="1:40" x14ac:dyDescent="0.35">
      <c r="A2923" t="s">
        <v>37</v>
      </c>
      <c r="B2923" t="s">
        <v>11430</v>
      </c>
      <c r="C2923" t="s">
        <v>39</v>
      </c>
      <c r="D2923" t="s">
        <v>469</v>
      </c>
      <c r="E2923" t="s">
        <v>11431</v>
      </c>
      <c r="F2923" s="1">
        <v>46067.101435185185</v>
      </c>
      <c r="G2923" t="s">
        <v>855</v>
      </c>
      <c r="H2923" t="s">
        <v>447</v>
      </c>
      <c r="I2923" t="s">
        <v>8995</v>
      </c>
      <c r="J2923" t="s">
        <v>2894</v>
      </c>
      <c r="K2923" t="s">
        <v>951</v>
      </c>
      <c r="M2923" t="s">
        <v>131</v>
      </c>
      <c r="O2923" t="s">
        <v>77</v>
      </c>
      <c r="P2923" t="s">
        <v>78</v>
      </c>
      <c r="Q2923" t="s">
        <v>456</v>
      </c>
      <c r="R2923" t="s">
        <v>79</v>
      </c>
      <c r="S2923" t="s">
        <v>8996</v>
      </c>
      <c r="T2923" t="s">
        <v>8996</v>
      </c>
      <c r="U2923" s="1">
        <v>46076.525763888887</v>
      </c>
      <c r="V2923" t="s">
        <v>54</v>
      </c>
      <c r="W2923" t="s">
        <v>55</v>
      </c>
      <c r="X2923" t="s">
        <v>134</v>
      </c>
      <c r="Y2923" t="s">
        <v>11432</v>
      </c>
      <c r="Z2923" t="s">
        <v>58</v>
      </c>
      <c r="AA2923" t="s">
        <v>54</v>
      </c>
      <c r="AB2923" t="s">
        <v>954</v>
      </c>
      <c r="AC2923" t="s">
        <v>85</v>
      </c>
      <c r="AD2923" t="s">
        <v>79</v>
      </c>
      <c r="AE2923" t="s">
        <v>11426</v>
      </c>
      <c r="AF2923" t="s">
        <v>11427</v>
      </c>
      <c r="AG2923" t="s">
        <v>58</v>
      </c>
      <c r="AH2923">
        <v>10564</v>
      </c>
      <c r="AJ2923">
        <v>12498</v>
      </c>
      <c r="AK2923">
        <v>11</v>
      </c>
      <c r="AL2923" t="s">
        <v>61</v>
      </c>
      <c r="AM2923" t="s">
        <v>11433</v>
      </c>
      <c r="AN2923" t="s">
        <v>11434</v>
      </c>
    </row>
    <row r="2924" spans="1:40" x14ac:dyDescent="0.35">
      <c r="A2924" t="s">
        <v>37</v>
      </c>
      <c r="B2924" t="s">
        <v>11435</v>
      </c>
      <c r="C2924" t="s">
        <v>656</v>
      </c>
      <c r="D2924" t="s">
        <v>11436</v>
      </c>
      <c r="E2924" t="s">
        <v>11437</v>
      </c>
      <c r="F2924" s="1">
        <v>46067.099259259259</v>
      </c>
      <c r="G2924" t="s">
        <v>355</v>
      </c>
      <c r="H2924" t="s">
        <v>356</v>
      </c>
      <c r="I2924" t="s">
        <v>11438</v>
      </c>
      <c r="J2924" t="s">
        <v>10769</v>
      </c>
      <c r="K2924" t="s">
        <v>2551</v>
      </c>
      <c r="M2924" t="s">
        <v>47</v>
      </c>
      <c r="O2924" t="s">
        <v>77</v>
      </c>
      <c r="P2924" t="s">
        <v>78</v>
      </c>
      <c r="Q2924" t="s">
        <v>50</v>
      </c>
      <c r="R2924" t="s">
        <v>662</v>
      </c>
      <c r="S2924" t="s">
        <v>209</v>
      </c>
      <c r="T2924" t="s">
        <v>8389</v>
      </c>
      <c r="U2924" s="1">
        <v>46074.628750000003</v>
      </c>
      <c r="V2924" t="s">
        <v>54</v>
      </c>
      <c r="W2924" t="s">
        <v>55</v>
      </c>
      <c r="X2924" t="s">
        <v>134</v>
      </c>
      <c r="Y2924" t="s">
        <v>11439</v>
      </c>
      <c r="Z2924" t="s">
        <v>5594</v>
      </c>
      <c r="AA2924" t="s">
        <v>54</v>
      </c>
      <c r="AB2924" t="s">
        <v>954</v>
      </c>
      <c r="AC2924" t="s">
        <v>85</v>
      </c>
      <c r="AD2924" t="s">
        <v>208</v>
      </c>
      <c r="AE2924" t="s">
        <v>209</v>
      </c>
      <c r="AF2924" t="s">
        <v>3776</v>
      </c>
      <c r="AG2924" t="s">
        <v>5594</v>
      </c>
      <c r="AH2924" t="s">
        <v>11440</v>
      </c>
      <c r="AK2924">
        <v>1</v>
      </c>
      <c r="AL2924" t="s">
        <v>61</v>
      </c>
      <c r="AM2924" t="s">
        <v>11441</v>
      </c>
      <c r="AN2924" t="s">
        <v>11442</v>
      </c>
    </row>
    <row r="2925" spans="1:40" x14ac:dyDescent="0.35">
      <c r="A2925" t="s">
        <v>37</v>
      </c>
      <c r="B2925" t="s">
        <v>11443</v>
      </c>
      <c r="C2925" t="s">
        <v>39</v>
      </c>
      <c r="D2925" t="s">
        <v>469</v>
      </c>
      <c r="E2925" t="s">
        <v>11444</v>
      </c>
      <c r="F2925" s="1">
        <v>46067.093622685185</v>
      </c>
      <c r="G2925" t="s">
        <v>734</v>
      </c>
      <c r="H2925" t="s">
        <v>356</v>
      </c>
      <c r="I2925" t="s">
        <v>11445</v>
      </c>
      <c r="J2925" t="s">
        <v>1518</v>
      </c>
      <c r="K2925" t="s">
        <v>75</v>
      </c>
      <c r="M2925" t="s">
        <v>76</v>
      </c>
      <c r="O2925" t="s">
        <v>77</v>
      </c>
      <c r="P2925" t="s">
        <v>78</v>
      </c>
      <c r="Q2925" t="s">
        <v>50</v>
      </c>
      <c r="R2925" t="s">
        <v>79</v>
      </c>
      <c r="S2925" t="s">
        <v>1556</v>
      </c>
      <c r="T2925" t="s">
        <v>1557</v>
      </c>
      <c r="U2925" s="1">
        <v>46076.47991898148</v>
      </c>
      <c r="V2925" t="s">
        <v>54</v>
      </c>
      <c r="W2925" t="s">
        <v>55</v>
      </c>
      <c r="X2925" t="s">
        <v>134</v>
      </c>
      <c r="Y2925" t="s">
        <v>11446</v>
      </c>
      <c r="Z2925" t="s">
        <v>58</v>
      </c>
      <c r="AA2925" t="s">
        <v>54</v>
      </c>
      <c r="AB2925" t="s">
        <v>954</v>
      </c>
      <c r="AC2925" t="s">
        <v>85</v>
      </c>
      <c r="AD2925" t="s">
        <v>79</v>
      </c>
      <c r="AE2925" t="s">
        <v>1556</v>
      </c>
      <c r="AF2925" t="s">
        <v>1557</v>
      </c>
      <c r="AG2925" t="s">
        <v>58</v>
      </c>
      <c r="AH2925" t="s">
        <v>11447</v>
      </c>
      <c r="AK2925">
        <v>2</v>
      </c>
      <c r="AL2925" t="s">
        <v>61</v>
      </c>
      <c r="AM2925" t="s">
        <v>11448</v>
      </c>
      <c r="AN2925" t="s">
        <v>11449</v>
      </c>
    </row>
    <row r="2926" spans="1:40" x14ac:dyDescent="0.35">
      <c r="A2926" t="s">
        <v>37</v>
      </c>
      <c r="B2926" t="s">
        <v>11450</v>
      </c>
      <c r="C2926" t="s">
        <v>656</v>
      </c>
      <c r="D2926" t="s">
        <v>583</v>
      </c>
      <c r="E2926" t="s">
        <v>584</v>
      </c>
      <c r="F2926" s="1">
        <v>46067.091053240743</v>
      </c>
      <c r="G2926" t="s">
        <v>585</v>
      </c>
      <c r="H2926" t="s">
        <v>356</v>
      </c>
      <c r="I2926" t="s">
        <v>11451</v>
      </c>
      <c r="J2926" t="s">
        <v>9587</v>
      </c>
      <c r="K2926" t="s">
        <v>46</v>
      </c>
      <c r="M2926" t="s">
        <v>47</v>
      </c>
      <c r="O2926" t="s">
        <v>77</v>
      </c>
      <c r="P2926" t="s">
        <v>78</v>
      </c>
      <c r="Q2926" t="s">
        <v>50</v>
      </c>
      <c r="R2926" t="s">
        <v>208</v>
      </c>
      <c r="S2926" t="s">
        <v>3119</v>
      </c>
      <c r="T2926" t="s">
        <v>2859</v>
      </c>
      <c r="U2926" s="1">
        <v>46076.008043981485</v>
      </c>
      <c r="V2926" t="s">
        <v>54</v>
      </c>
      <c r="W2926" t="s">
        <v>1584</v>
      </c>
      <c r="X2926" t="s">
        <v>134</v>
      </c>
      <c r="Y2926" t="s">
        <v>11452</v>
      </c>
      <c r="Z2926" t="s">
        <v>5594</v>
      </c>
      <c r="AA2926" t="s">
        <v>54</v>
      </c>
      <c r="AB2926" t="s">
        <v>954</v>
      </c>
      <c r="AC2926" t="s">
        <v>85</v>
      </c>
      <c r="AD2926" t="s">
        <v>208</v>
      </c>
      <c r="AE2926" t="s">
        <v>209</v>
      </c>
      <c r="AF2926" t="s">
        <v>4048</v>
      </c>
      <c r="AG2926" t="s">
        <v>5594</v>
      </c>
      <c r="AK2926">
        <v>3</v>
      </c>
      <c r="AL2926" t="s">
        <v>61</v>
      </c>
      <c r="AM2926" t="s">
        <v>593</v>
      </c>
      <c r="AN2926" t="s">
        <v>594</v>
      </c>
    </row>
    <row r="2927" spans="1:40" x14ac:dyDescent="0.35">
      <c r="A2927" t="s">
        <v>37</v>
      </c>
      <c r="B2927" t="s">
        <v>11453</v>
      </c>
      <c r="C2927" t="s">
        <v>102</v>
      </c>
      <c r="D2927" t="s">
        <v>11454</v>
      </c>
      <c r="E2927" t="s">
        <v>11455</v>
      </c>
      <c r="F2927" s="1">
        <v>46067.073761574073</v>
      </c>
      <c r="G2927" t="s">
        <v>327</v>
      </c>
      <c r="H2927" t="s">
        <v>72</v>
      </c>
      <c r="I2927" t="s">
        <v>11456</v>
      </c>
      <c r="J2927" t="s">
        <v>4244</v>
      </c>
      <c r="K2927" t="s">
        <v>951</v>
      </c>
      <c r="M2927" t="s">
        <v>47</v>
      </c>
      <c r="O2927" t="s">
        <v>1501</v>
      </c>
      <c r="P2927" t="s">
        <v>1502</v>
      </c>
      <c r="Q2927" t="s">
        <v>50</v>
      </c>
      <c r="R2927" t="s">
        <v>79</v>
      </c>
      <c r="S2927" t="s">
        <v>590</v>
      </c>
      <c r="T2927" t="s">
        <v>5987</v>
      </c>
      <c r="U2927" s="1">
        <v>46072.572291666664</v>
      </c>
      <c r="V2927" t="s">
        <v>54</v>
      </c>
      <c r="W2927" t="s">
        <v>55</v>
      </c>
      <c r="X2927" t="s">
        <v>134</v>
      </c>
      <c r="Y2927" t="s">
        <v>11457</v>
      </c>
      <c r="Z2927" t="s">
        <v>5594</v>
      </c>
      <c r="AA2927" t="s">
        <v>54</v>
      </c>
      <c r="AB2927" t="s">
        <v>954</v>
      </c>
      <c r="AC2927" t="s">
        <v>1504</v>
      </c>
      <c r="AD2927" t="s">
        <v>79</v>
      </c>
      <c r="AE2927" t="s">
        <v>590</v>
      </c>
      <c r="AF2927" t="s">
        <v>5987</v>
      </c>
      <c r="AG2927" t="s">
        <v>5594</v>
      </c>
      <c r="AH2927">
        <v>11902</v>
      </c>
      <c r="AK2927">
        <v>1</v>
      </c>
      <c r="AL2927" t="s">
        <v>61</v>
      </c>
      <c r="AM2927" t="s">
        <v>11458</v>
      </c>
      <c r="AN2927" t="s">
        <v>11459</v>
      </c>
    </row>
    <row r="2928" spans="1:40" x14ac:dyDescent="0.35">
      <c r="A2928" t="s">
        <v>37</v>
      </c>
      <c r="B2928" t="s">
        <v>11460</v>
      </c>
      <c r="C2928" t="s">
        <v>102</v>
      </c>
      <c r="D2928" t="s">
        <v>568</v>
      </c>
      <c r="E2928" t="s">
        <v>569</v>
      </c>
      <c r="F2928" s="1">
        <v>46066.669560185182</v>
      </c>
      <c r="G2928" t="s">
        <v>105</v>
      </c>
      <c r="H2928" t="s">
        <v>106</v>
      </c>
      <c r="I2928" t="s">
        <v>11461</v>
      </c>
      <c r="J2928" t="s">
        <v>11462</v>
      </c>
      <c r="K2928" t="s">
        <v>2345</v>
      </c>
      <c r="M2928" t="s">
        <v>131</v>
      </c>
      <c r="O2928" t="s">
        <v>77</v>
      </c>
      <c r="P2928" t="s">
        <v>78</v>
      </c>
      <c r="Q2928" t="s">
        <v>448</v>
      </c>
      <c r="R2928" t="s">
        <v>51</v>
      </c>
      <c r="S2928" t="s">
        <v>2563</v>
      </c>
      <c r="T2928" t="s">
        <v>2563</v>
      </c>
      <c r="U2928" s="1">
        <v>46076.498124999998</v>
      </c>
      <c r="V2928" t="s">
        <v>54</v>
      </c>
      <c r="W2928" t="s">
        <v>1584</v>
      </c>
      <c r="X2928" t="s">
        <v>134</v>
      </c>
      <c r="Y2928" t="s">
        <v>11463</v>
      </c>
      <c r="Z2928" t="s">
        <v>58</v>
      </c>
      <c r="AA2928" t="s">
        <v>54</v>
      </c>
      <c r="AB2928" t="s">
        <v>4447</v>
      </c>
      <c r="AC2928" t="s">
        <v>85</v>
      </c>
      <c r="AD2928" t="s">
        <v>51</v>
      </c>
      <c r="AE2928" t="s">
        <v>2563</v>
      </c>
      <c r="AF2928" t="s">
        <v>2563</v>
      </c>
      <c r="AG2928" t="s">
        <v>58</v>
      </c>
      <c r="AK2928">
        <v>0</v>
      </c>
      <c r="AL2928" t="s">
        <v>61</v>
      </c>
      <c r="AM2928" t="s">
        <v>576</v>
      </c>
      <c r="AN2928" t="s">
        <v>577</v>
      </c>
    </row>
    <row r="2929" spans="1:40" x14ac:dyDescent="0.35">
      <c r="A2929" t="s">
        <v>37</v>
      </c>
      <c r="B2929" t="s">
        <v>11464</v>
      </c>
      <c r="C2929" t="s">
        <v>102</v>
      </c>
      <c r="D2929" t="s">
        <v>568</v>
      </c>
      <c r="E2929" t="s">
        <v>569</v>
      </c>
      <c r="F2929" s="1">
        <v>46066.667256944442</v>
      </c>
      <c r="G2929" t="s">
        <v>105</v>
      </c>
      <c r="H2929" t="s">
        <v>106</v>
      </c>
      <c r="I2929" t="s">
        <v>11465</v>
      </c>
      <c r="J2929" t="s">
        <v>11462</v>
      </c>
      <c r="K2929" t="s">
        <v>2345</v>
      </c>
      <c r="M2929" t="s">
        <v>11466</v>
      </c>
      <c r="O2929" t="s">
        <v>77</v>
      </c>
      <c r="P2929" t="s">
        <v>78</v>
      </c>
      <c r="Q2929" t="s">
        <v>448</v>
      </c>
      <c r="R2929" t="s">
        <v>51</v>
      </c>
      <c r="S2929" t="s">
        <v>2563</v>
      </c>
      <c r="T2929" t="s">
        <v>2563</v>
      </c>
      <c r="U2929" s="1">
        <v>46076.503263888888</v>
      </c>
      <c r="V2929" t="s">
        <v>54</v>
      </c>
      <c r="W2929" t="s">
        <v>1584</v>
      </c>
      <c r="X2929" t="s">
        <v>134</v>
      </c>
      <c r="Y2929" t="s">
        <v>11467</v>
      </c>
      <c r="Z2929" t="s">
        <v>58</v>
      </c>
      <c r="AA2929" t="s">
        <v>54</v>
      </c>
      <c r="AB2929" t="s">
        <v>4447</v>
      </c>
      <c r="AC2929" t="s">
        <v>85</v>
      </c>
      <c r="AD2929" t="s">
        <v>51</v>
      </c>
      <c r="AE2929" t="s">
        <v>2563</v>
      </c>
      <c r="AF2929" t="s">
        <v>2563</v>
      </c>
      <c r="AG2929" t="s">
        <v>58</v>
      </c>
      <c r="AK2929">
        <v>0</v>
      </c>
      <c r="AL2929" t="s">
        <v>61</v>
      </c>
      <c r="AM2929" t="s">
        <v>576</v>
      </c>
      <c r="AN2929" t="s">
        <v>577</v>
      </c>
    </row>
    <row r="2930" spans="1:40" x14ac:dyDescent="0.35">
      <c r="A2930" t="s">
        <v>37</v>
      </c>
      <c r="B2930" t="s">
        <v>11468</v>
      </c>
      <c r="C2930" t="s">
        <v>102</v>
      </c>
      <c r="D2930" t="s">
        <v>568</v>
      </c>
      <c r="E2930" t="s">
        <v>569</v>
      </c>
      <c r="F2930" s="1">
        <v>46066.649583333332</v>
      </c>
      <c r="G2930" t="s">
        <v>105</v>
      </c>
      <c r="H2930" t="s">
        <v>106</v>
      </c>
      <c r="I2930" t="s">
        <v>11469</v>
      </c>
      <c r="J2930" t="s">
        <v>11462</v>
      </c>
      <c r="K2930" t="s">
        <v>2345</v>
      </c>
      <c r="M2930" t="s">
        <v>2682</v>
      </c>
      <c r="O2930" t="s">
        <v>77</v>
      </c>
      <c r="P2930" t="s">
        <v>78</v>
      </c>
      <c r="Q2930" t="s">
        <v>448</v>
      </c>
      <c r="R2930" t="s">
        <v>51</v>
      </c>
      <c r="S2930" t="s">
        <v>2563</v>
      </c>
      <c r="T2930" t="s">
        <v>2563</v>
      </c>
      <c r="U2930" s="1">
        <v>46076.508576388886</v>
      </c>
      <c r="V2930" t="s">
        <v>54</v>
      </c>
      <c r="W2930" t="s">
        <v>1584</v>
      </c>
      <c r="X2930" t="s">
        <v>134</v>
      </c>
      <c r="Y2930" t="s">
        <v>11470</v>
      </c>
      <c r="Z2930" t="s">
        <v>58</v>
      </c>
      <c r="AA2930" t="s">
        <v>54</v>
      </c>
      <c r="AB2930" t="s">
        <v>4447</v>
      </c>
      <c r="AC2930" t="s">
        <v>85</v>
      </c>
      <c r="AD2930" t="s">
        <v>51</v>
      </c>
      <c r="AE2930" t="s">
        <v>2563</v>
      </c>
      <c r="AF2930" t="s">
        <v>2563</v>
      </c>
      <c r="AG2930" t="s">
        <v>58</v>
      </c>
      <c r="AK2930">
        <v>0</v>
      </c>
      <c r="AL2930" t="s">
        <v>61</v>
      </c>
      <c r="AM2930" t="s">
        <v>576</v>
      </c>
      <c r="AN2930" t="s">
        <v>577</v>
      </c>
    </row>
    <row r="2931" spans="1:40" x14ac:dyDescent="0.35">
      <c r="A2931" t="s">
        <v>37</v>
      </c>
      <c r="B2931" t="s">
        <v>11471</v>
      </c>
      <c r="C2931" t="s">
        <v>39</v>
      </c>
      <c r="D2931" t="s">
        <v>11472</v>
      </c>
      <c r="E2931" t="s">
        <v>747</v>
      </c>
      <c r="F2931" s="1">
        <v>46066.603321759256</v>
      </c>
      <c r="G2931" t="s">
        <v>105</v>
      </c>
      <c r="H2931" t="s">
        <v>106</v>
      </c>
      <c r="I2931" t="s">
        <v>11473</v>
      </c>
      <c r="J2931" t="s">
        <v>4244</v>
      </c>
      <c r="K2931" t="s">
        <v>951</v>
      </c>
      <c r="M2931" t="s">
        <v>131</v>
      </c>
      <c r="O2931" t="s">
        <v>77</v>
      </c>
      <c r="P2931" t="s">
        <v>78</v>
      </c>
      <c r="Q2931" t="s">
        <v>541</v>
      </c>
      <c r="R2931" t="s">
        <v>79</v>
      </c>
      <c r="S2931" t="s">
        <v>2748</v>
      </c>
      <c r="T2931" t="s">
        <v>2746</v>
      </c>
      <c r="U2931" s="1">
        <v>46076.344780092593</v>
      </c>
      <c r="V2931" t="s">
        <v>54</v>
      </c>
      <c r="W2931" t="s">
        <v>55</v>
      </c>
      <c r="X2931" t="s">
        <v>134</v>
      </c>
      <c r="Y2931" t="s">
        <v>10052</v>
      </c>
      <c r="Z2931" t="s">
        <v>58</v>
      </c>
      <c r="AA2931" t="s">
        <v>54</v>
      </c>
      <c r="AB2931" t="s">
        <v>408</v>
      </c>
      <c r="AC2931" t="s">
        <v>85</v>
      </c>
      <c r="AD2931" t="s">
        <v>79</v>
      </c>
      <c r="AE2931" t="s">
        <v>10053</v>
      </c>
      <c r="AF2931" t="s">
        <v>10054</v>
      </c>
      <c r="AG2931" t="s">
        <v>58</v>
      </c>
      <c r="AH2931">
        <v>9847</v>
      </c>
      <c r="AJ2931">
        <v>191622</v>
      </c>
      <c r="AK2931">
        <v>7</v>
      </c>
      <c r="AL2931" t="s">
        <v>410</v>
      </c>
      <c r="AM2931" t="s">
        <v>11474</v>
      </c>
      <c r="AN2931" t="s">
        <v>11475</v>
      </c>
    </row>
    <row r="2932" spans="1:40" x14ac:dyDescent="0.35">
      <c r="A2932" t="s">
        <v>37</v>
      </c>
      <c r="B2932" t="s">
        <v>11476</v>
      </c>
      <c r="C2932" t="s">
        <v>39</v>
      </c>
      <c r="D2932" t="s">
        <v>1216</v>
      </c>
      <c r="E2932" t="s">
        <v>11477</v>
      </c>
      <c r="F2932" s="1">
        <v>46066.537291666667</v>
      </c>
      <c r="G2932" t="s">
        <v>91</v>
      </c>
      <c r="H2932" t="s">
        <v>92</v>
      </c>
      <c r="I2932" t="s">
        <v>205</v>
      </c>
      <c r="J2932" t="s">
        <v>7089</v>
      </c>
      <c r="K2932" t="s">
        <v>207</v>
      </c>
      <c r="M2932" t="s">
        <v>47</v>
      </c>
      <c r="O2932" t="s">
        <v>77</v>
      </c>
      <c r="P2932" t="s">
        <v>78</v>
      </c>
      <c r="Q2932" t="s">
        <v>50</v>
      </c>
      <c r="R2932" t="s">
        <v>305</v>
      </c>
      <c r="S2932" t="s">
        <v>306</v>
      </c>
      <c r="T2932" t="s">
        <v>307</v>
      </c>
      <c r="U2932" s="1">
        <v>46073.48228009259</v>
      </c>
      <c r="V2932" t="s">
        <v>54</v>
      </c>
      <c r="W2932" t="s">
        <v>55</v>
      </c>
      <c r="X2932" t="s">
        <v>211</v>
      </c>
      <c r="Y2932" t="s">
        <v>11478</v>
      </c>
      <c r="Z2932" t="s">
        <v>5594</v>
      </c>
      <c r="AA2932" t="s">
        <v>54</v>
      </c>
      <c r="AB2932" t="s">
        <v>213</v>
      </c>
      <c r="AC2932" t="s">
        <v>85</v>
      </c>
      <c r="AD2932" t="s">
        <v>214</v>
      </c>
      <c r="AE2932" t="s">
        <v>215</v>
      </c>
      <c r="AF2932" t="s">
        <v>2083</v>
      </c>
      <c r="AG2932" t="s">
        <v>5594</v>
      </c>
      <c r="AH2932">
        <v>15893</v>
      </c>
      <c r="AK2932">
        <v>4</v>
      </c>
      <c r="AL2932" t="s">
        <v>61</v>
      </c>
      <c r="AM2932" t="s">
        <v>11479</v>
      </c>
      <c r="AN2932" t="s">
        <v>11480</v>
      </c>
    </row>
    <row r="2933" spans="1:40" x14ac:dyDescent="0.35">
      <c r="A2933" t="s">
        <v>37</v>
      </c>
      <c r="B2933" t="s">
        <v>11481</v>
      </c>
      <c r="C2933" t="s">
        <v>39</v>
      </c>
      <c r="D2933" t="s">
        <v>469</v>
      </c>
      <c r="E2933" t="s">
        <v>127</v>
      </c>
      <c r="F2933" s="1">
        <v>46066.529826388891</v>
      </c>
      <c r="I2933" t="s">
        <v>205</v>
      </c>
      <c r="J2933" t="s">
        <v>741</v>
      </c>
      <c r="K2933" t="s">
        <v>207</v>
      </c>
      <c r="M2933" t="s">
        <v>47</v>
      </c>
      <c r="O2933" t="s">
        <v>77</v>
      </c>
      <c r="P2933" t="s">
        <v>78</v>
      </c>
      <c r="Q2933" t="s">
        <v>50</v>
      </c>
      <c r="R2933" t="s">
        <v>305</v>
      </c>
      <c r="S2933" t="s">
        <v>306</v>
      </c>
      <c r="T2933" t="s">
        <v>307</v>
      </c>
      <c r="U2933" s="1">
        <v>46072.358368055553</v>
      </c>
      <c r="V2933" t="s">
        <v>54</v>
      </c>
      <c r="W2933" t="s">
        <v>55</v>
      </c>
      <c r="X2933" t="s">
        <v>211</v>
      </c>
      <c r="Y2933" t="s">
        <v>9094</v>
      </c>
      <c r="Z2933" t="s">
        <v>5594</v>
      </c>
      <c r="AA2933" t="s">
        <v>54</v>
      </c>
      <c r="AB2933" t="s">
        <v>213</v>
      </c>
      <c r="AC2933" t="s">
        <v>85</v>
      </c>
      <c r="AD2933" t="s">
        <v>214</v>
      </c>
      <c r="AE2933" t="s">
        <v>215</v>
      </c>
      <c r="AF2933" t="s">
        <v>2083</v>
      </c>
      <c r="AG2933" t="s">
        <v>5594</v>
      </c>
      <c r="AH2933" t="s">
        <v>11482</v>
      </c>
      <c r="AK2933">
        <v>3</v>
      </c>
      <c r="AL2933" t="s">
        <v>61</v>
      </c>
      <c r="AM2933" t="s">
        <v>11483</v>
      </c>
      <c r="AN2933" t="s">
        <v>11484</v>
      </c>
    </row>
    <row r="2934" spans="1:40" x14ac:dyDescent="0.35">
      <c r="A2934" t="s">
        <v>37</v>
      </c>
      <c r="B2934" t="s">
        <v>11485</v>
      </c>
      <c r="C2934" t="s">
        <v>39</v>
      </c>
      <c r="D2934" t="s">
        <v>469</v>
      </c>
      <c r="E2934" t="s">
        <v>11486</v>
      </c>
      <c r="F2934" s="1">
        <v>46066.524756944447</v>
      </c>
      <c r="I2934" t="s">
        <v>205</v>
      </c>
      <c r="J2934" t="s">
        <v>206</v>
      </c>
      <c r="K2934" t="s">
        <v>207</v>
      </c>
      <c r="M2934" t="s">
        <v>131</v>
      </c>
      <c r="O2934" t="s">
        <v>77</v>
      </c>
      <c r="P2934" t="s">
        <v>78</v>
      </c>
      <c r="Q2934" t="s">
        <v>50</v>
      </c>
      <c r="R2934" t="s">
        <v>305</v>
      </c>
      <c r="S2934" t="s">
        <v>306</v>
      </c>
      <c r="T2934" t="s">
        <v>307</v>
      </c>
      <c r="U2934" s="1">
        <v>46076.25854166667</v>
      </c>
      <c r="V2934" t="s">
        <v>54</v>
      </c>
      <c r="W2934" t="s">
        <v>55</v>
      </c>
      <c r="X2934" t="s">
        <v>211</v>
      </c>
      <c r="Y2934" t="s">
        <v>11487</v>
      </c>
      <c r="Z2934" t="s">
        <v>58</v>
      </c>
      <c r="AA2934" t="s">
        <v>54</v>
      </c>
      <c r="AB2934" t="s">
        <v>213</v>
      </c>
      <c r="AC2934" t="s">
        <v>85</v>
      </c>
      <c r="AD2934" t="s">
        <v>214</v>
      </c>
      <c r="AE2934" t="s">
        <v>215</v>
      </c>
      <c r="AF2934" t="s">
        <v>2083</v>
      </c>
      <c r="AG2934" t="s">
        <v>58</v>
      </c>
      <c r="AH2934" t="s">
        <v>11488</v>
      </c>
      <c r="AK2934">
        <v>4</v>
      </c>
      <c r="AL2934" t="s">
        <v>61</v>
      </c>
      <c r="AM2934" t="s">
        <v>11489</v>
      </c>
      <c r="AN2934" t="s">
        <v>11490</v>
      </c>
    </row>
    <row r="2935" spans="1:40" x14ac:dyDescent="0.35">
      <c r="A2935" t="s">
        <v>37</v>
      </c>
      <c r="B2935" t="s">
        <v>11491</v>
      </c>
      <c r="C2935" t="s">
        <v>39</v>
      </c>
      <c r="D2935" t="s">
        <v>10130</v>
      </c>
      <c r="E2935" t="s">
        <v>11492</v>
      </c>
      <c r="F2935" s="1">
        <v>46066.519618055558</v>
      </c>
      <c r="G2935" t="s">
        <v>170</v>
      </c>
      <c r="H2935" t="s">
        <v>92</v>
      </c>
      <c r="I2935" t="s">
        <v>11493</v>
      </c>
      <c r="J2935" t="s">
        <v>2333</v>
      </c>
      <c r="K2935" t="s">
        <v>1187</v>
      </c>
      <c r="M2935" t="s">
        <v>76</v>
      </c>
      <c r="O2935" t="s">
        <v>77</v>
      </c>
      <c r="P2935" t="s">
        <v>78</v>
      </c>
      <c r="Q2935" t="s">
        <v>50</v>
      </c>
      <c r="R2935" t="s">
        <v>79</v>
      </c>
      <c r="S2935" t="s">
        <v>172</v>
      </c>
      <c r="T2935" t="s">
        <v>11494</v>
      </c>
      <c r="U2935" s="1">
        <v>46077.370694444442</v>
      </c>
      <c r="V2935" t="s">
        <v>54</v>
      </c>
      <c r="W2935" t="s">
        <v>55</v>
      </c>
      <c r="X2935" t="s">
        <v>134</v>
      </c>
      <c r="Y2935" t="s">
        <v>11495</v>
      </c>
      <c r="Z2935" t="s">
        <v>58</v>
      </c>
      <c r="AA2935" t="s">
        <v>54</v>
      </c>
      <c r="AB2935" t="s">
        <v>408</v>
      </c>
      <c r="AC2935" t="s">
        <v>85</v>
      </c>
      <c r="AD2935" t="s">
        <v>1189</v>
      </c>
      <c r="AE2935" t="s">
        <v>1190</v>
      </c>
      <c r="AF2935" t="s">
        <v>11019</v>
      </c>
      <c r="AG2935" t="s">
        <v>58</v>
      </c>
      <c r="AH2935" t="s">
        <v>11496</v>
      </c>
      <c r="AK2935">
        <v>5</v>
      </c>
      <c r="AL2935" t="s">
        <v>61</v>
      </c>
      <c r="AM2935" t="s">
        <v>11497</v>
      </c>
      <c r="AN2935" t="s">
        <v>11498</v>
      </c>
    </row>
    <row r="2936" spans="1:40" x14ac:dyDescent="0.35">
      <c r="A2936" t="s">
        <v>37</v>
      </c>
      <c r="B2936" t="s">
        <v>11499</v>
      </c>
      <c r="C2936" t="s">
        <v>39</v>
      </c>
      <c r="D2936" t="s">
        <v>7445</v>
      </c>
      <c r="E2936" t="s">
        <v>1316</v>
      </c>
      <c r="F2936" s="1">
        <v>46066.511087962965</v>
      </c>
      <c r="G2936" t="s">
        <v>286</v>
      </c>
      <c r="H2936" t="s">
        <v>287</v>
      </c>
      <c r="I2936" t="s">
        <v>11500</v>
      </c>
      <c r="J2936" t="s">
        <v>8674</v>
      </c>
      <c r="K2936" t="s">
        <v>7448</v>
      </c>
      <c r="M2936" t="s">
        <v>47</v>
      </c>
      <c r="O2936" t="s">
        <v>77</v>
      </c>
      <c r="P2936" t="s">
        <v>78</v>
      </c>
      <c r="Q2936" t="s">
        <v>50</v>
      </c>
      <c r="R2936" t="s">
        <v>51</v>
      </c>
      <c r="S2936" t="s">
        <v>52</v>
      </c>
      <c r="T2936" t="s">
        <v>240</v>
      </c>
      <c r="U2936" s="1">
        <v>46072.60701388889</v>
      </c>
      <c r="V2936" t="s">
        <v>54</v>
      </c>
      <c r="W2936" t="s">
        <v>55</v>
      </c>
      <c r="X2936" t="s">
        <v>113</v>
      </c>
      <c r="Y2936" t="s">
        <v>11501</v>
      </c>
      <c r="Z2936" t="s">
        <v>5594</v>
      </c>
      <c r="AA2936" t="s">
        <v>54</v>
      </c>
      <c r="AB2936" t="s">
        <v>8676</v>
      </c>
      <c r="AC2936" t="s">
        <v>85</v>
      </c>
      <c r="AD2936" t="s">
        <v>51</v>
      </c>
      <c r="AE2936" t="s">
        <v>834</v>
      </c>
      <c r="AF2936" t="s">
        <v>834</v>
      </c>
      <c r="AG2936" t="s">
        <v>5594</v>
      </c>
      <c r="AK2936">
        <v>0</v>
      </c>
      <c r="AL2936" t="s">
        <v>61</v>
      </c>
      <c r="AM2936" t="s">
        <v>7451</v>
      </c>
      <c r="AN2936" t="s">
        <v>7452</v>
      </c>
    </row>
    <row r="2937" spans="1:40" x14ac:dyDescent="0.35">
      <c r="A2937" t="s">
        <v>37</v>
      </c>
      <c r="B2937" t="s">
        <v>11502</v>
      </c>
      <c r="C2937" t="s">
        <v>39</v>
      </c>
      <c r="D2937" t="s">
        <v>7445</v>
      </c>
      <c r="E2937" t="s">
        <v>1316</v>
      </c>
      <c r="F2937" s="1">
        <v>46066.502824074072</v>
      </c>
      <c r="G2937" t="s">
        <v>286</v>
      </c>
      <c r="H2937" t="s">
        <v>287</v>
      </c>
      <c r="I2937" t="s">
        <v>11503</v>
      </c>
      <c r="J2937" t="s">
        <v>8674</v>
      </c>
      <c r="K2937" t="s">
        <v>7448</v>
      </c>
      <c r="M2937" t="s">
        <v>47</v>
      </c>
      <c r="O2937" t="s">
        <v>77</v>
      </c>
      <c r="P2937" t="s">
        <v>78</v>
      </c>
      <c r="Q2937" t="s">
        <v>50</v>
      </c>
      <c r="R2937" t="s">
        <v>51</v>
      </c>
      <c r="S2937" t="s">
        <v>52</v>
      </c>
      <c r="T2937" t="s">
        <v>240</v>
      </c>
      <c r="U2937" s="1">
        <v>46072.606828703705</v>
      </c>
      <c r="V2937" t="s">
        <v>54</v>
      </c>
      <c r="W2937" t="s">
        <v>55</v>
      </c>
      <c r="X2937" t="s">
        <v>113</v>
      </c>
      <c r="Y2937" t="s">
        <v>11504</v>
      </c>
      <c r="Z2937" t="s">
        <v>5594</v>
      </c>
      <c r="AA2937" t="s">
        <v>54</v>
      </c>
      <c r="AB2937" t="s">
        <v>8676</v>
      </c>
      <c r="AC2937" t="s">
        <v>85</v>
      </c>
      <c r="AD2937" t="s">
        <v>52</v>
      </c>
      <c r="AE2937" t="s">
        <v>243</v>
      </c>
      <c r="AF2937" t="s">
        <v>244</v>
      </c>
      <c r="AG2937" t="s">
        <v>5594</v>
      </c>
      <c r="AK2937">
        <v>0</v>
      </c>
      <c r="AL2937" t="s">
        <v>61</v>
      </c>
      <c r="AM2937" t="s">
        <v>7451</v>
      </c>
      <c r="AN2937" t="s">
        <v>7452</v>
      </c>
    </row>
    <row r="2938" spans="1:40" x14ac:dyDescent="0.35">
      <c r="A2938" t="s">
        <v>37</v>
      </c>
      <c r="B2938" t="s">
        <v>11505</v>
      </c>
      <c r="C2938" t="s">
        <v>39</v>
      </c>
      <c r="D2938" t="s">
        <v>2024</v>
      </c>
      <c r="E2938" t="s">
        <v>2024</v>
      </c>
      <c r="F2938" s="1">
        <v>46066.501087962963</v>
      </c>
      <c r="G2938" t="s">
        <v>4421</v>
      </c>
      <c r="H2938" t="s">
        <v>92</v>
      </c>
      <c r="I2938" t="s">
        <v>10856</v>
      </c>
      <c r="J2938" t="s">
        <v>11506</v>
      </c>
      <c r="K2938" t="s">
        <v>3950</v>
      </c>
      <c r="M2938" t="s">
        <v>47</v>
      </c>
      <c r="O2938" t="s">
        <v>77</v>
      </c>
      <c r="P2938" t="s">
        <v>78</v>
      </c>
      <c r="Q2938" t="s">
        <v>50</v>
      </c>
      <c r="R2938" t="s">
        <v>305</v>
      </c>
      <c r="S2938" t="s">
        <v>306</v>
      </c>
      <c r="T2938" t="s">
        <v>307</v>
      </c>
      <c r="U2938" s="1">
        <v>46072.391875000001</v>
      </c>
      <c r="V2938" t="s">
        <v>54</v>
      </c>
      <c r="W2938" t="s">
        <v>55</v>
      </c>
      <c r="X2938" t="s">
        <v>211</v>
      </c>
      <c r="Y2938" t="s">
        <v>11507</v>
      </c>
      <c r="Z2938" t="s">
        <v>5594</v>
      </c>
      <c r="AA2938" t="s">
        <v>54</v>
      </c>
      <c r="AB2938" t="s">
        <v>213</v>
      </c>
      <c r="AC2938" t="s">
        <v>85</v>
      </c>
      <c r="AD2938" t="s">
        <v>79</v>
      </c>
      <c r="AE2938" t="s">
        <v>952</v>
      </c>
      <c r="AF2938" t="s">
        <v>953</v>
      </c>
      <c r="AG2938" t="s">
        <v>5594</v>
      </c>
      <c r="AH2938">
        <v>12415</v>
      </c>
      <c r="AK2938">
        <v>6</v>
      </c>
      <c r="AL2938" t="s">
        <v>61</v>
      </c>
      <c r="AM2938" t="s">
        <v>5590</v>
      </c>
      <c r="AN2938" t="s">
        <v>5591</v>
      </c>
    </row>
    <row r="2939" spans="1:40" x14ac:dyDescent="0.35">
      <c r="A2939" t="s">
        <v>37</v>
      </c>
      <c r="B2939" t="s">
        <v>11508</v>
      </c>
      <c r="C2939" t="s">
        <v>39</v>
      </c>
      <c r="D2939" t="s">
        <v>7445</v>
      </c>
      <c r="E2939" t="s">
        <v>1316</v>
      </c>
      <c r="F2939" s="1">
        <v>46066.495752314811</v>
      </c>
      <c r="G2939" t="s">
        <v>286</v>
      </c>
      <c r="H2939" t="s">
        <v>287</v>
      </c>
      <c r="I2939" t="s">
        <v>11509</v>
      </c>
      <c r="J2939" t="s">
        <v>8674</v>
      </c>
      <c r="K2939" t="s">
        <v>7448</v>
      </c>
      <c r="M2939" t="s">
        <v>47</v>
      </c>
      <c r="O2939" t="s">
        <v>77</v>
      </c>
      <c r="P2939" t="s">
        <v>78</v>
      </c>
      <c r="Q2939" t="s">
        <v>50</v>
      </c>
      <c r="R2939" t="s">
        <v>51</v>
      </c>
      <c r="S2939" t="s">
        <v>52</v>
      </c>
      <c r="T2939" t="s">
        <v>240</v>
      </c>
      <c r="U2939" s="1">
        <v>46072.606689814813</v>
      </c>
      <c r="V2939" t="s">
        <v>54</v>
      </c>
      <c r="W2939" t="s">
        <v>55</v>
      </c>
      <c r="X2939" t="s">
        <v>113</v>
      </c>
      <c r="Y2939" t="s">
        <v>11501</v>
      </c>
      <c r="Z2939" t="s">
        <v>5594</v>
      </c>
      <c r="AA2939" t="s">
        <v>54</v>
      </c>
      <c r="AB2939" t="s">
        <v>8676</v>
      </c>
      <c r="AC2939" t="s">
        <v>85</v>
      </c>
      <c r="AD2939" t="s">
        <v>52</v>
      </c>
      <c r="AE2939" t="s">
        <v>243</v>
      </c>
      <c r="AF2939" t="s">
        <v>244</v>
      </c>
      <c r="AG2939" t="s">
        <v>5594</v>
      </c>
      <c r="AK2939">
        <v>0</v>
      </c>
      <c r="AL2939" t="s">
        <v>61</v>
      </c>
      <c r="AM2939" t="s">
        <v>7451</v>
      </c>
      <c r="AN2939" t="s">
        <v>7452</v>
      </c>
    </row>
    <row r="2940" spans="1:40" x14ac:dyDescent="0.35">
      <c r="A2940" t="s">
        <v>37</v>
      </c>
      <c r="B2940" t="s">
        <v>11510</v>
      </c>
      <c r="C2940" t="s">
        <v>39</v>
      </c>
      <c r="D2940" t="s">
        <v>11511</v>
      </c>
      <c r="E2940" t="s">
        <v>11512</v>
      </c>
      <c r="F2940" s="1">
        <v>46066.493321759262</v>
      </c>
      <c r="G2940" t="s">
        <v>304</v>
      </c>
      <c r="H2940" t="s">
        <v>106</v>
      </c>
      <c r="I2940" t="s">
        <v>11513</v>
      </c>
      <c r="J2940" t="s">
        <v>7483</v>
      </c>
      <c r="K2940" t="s">
        <v>436</v>
      </c>
      <c r="M2940" t="s">
        <v>47</v>
      </c>
      <c r="O2940" t="s">
        <v>237</v>
      </c>
      <c r="P2940" t="s">
        <v>238</v>
      </c>
      <c r="Q2940" t="s">
        <v>50</v>
      </c>
      <c r="R2940" t="s">
        <v>51</v>
      </c>
      <c r="S2940" t="s">
        <v>52</v>
      </c>
      <c r="T2940" t="s">
        <v>4080</v>
      </c>
      <c r="U2940" s="1">
        <v>46073.368043981478</v>
      </c>
      <c r="V2940" t="s">
        <v>54</v>
      </c>
      <c r="W2940" t="s">
        <v>55</v>
      </c>
      <c r="X2940" t="s">
        <v>82</v>
      </c>
      <c r="Y2940" t="s">
        <v>11514</v>
      </c>
      <c r="Z2940" t="s">
        <v>5594</v>
      </c>
      <c r="AA2940" t="s">
        <v>54</v>
      </c>
      <c r="AB2940" t="s">
        <v>2721</v>
      </c>
      <c r="AC2940" t="s">
        <v>242</v>
      </c>
      <c r="AD2940" t="s">
        <v>52</v>
      </c>
      <c r="AE2940" t="s">
        <v>438</v>
      </c>
      <c r="AF2940" t="s">
        <v>439</v>
      </c>
      <c r="AG2940" t="s">
        <v>5594</v>
      </c>
      <c r="AH2940">
        <v>13675</v>
      </c>
      <c r="AK2940">
        <v>2</v>
      </c>
      <c r="AL2940" t="s">
        <v>61</v>
      </c>
      <c r="AM2940" t="s">
        <v>11515</v>
      </c>
      <c r="AN2940" t="s">
        <v>11516</v>
      </c>
    </row>
    <row r="2941" spans="1:40" x14ac:dyDescent="0.35">
      <c r="A2941" t="s">
        <v>37</v>
      </c>
      <c r="B2941" t="s">
        <v>11517</v>
      </c>
      <c r="C2941" t="s">
        <v>39</v>
      </c>
      <c r="D2941" t="s">
        <v>7445</v>
      </c>
      <c r="E2941" t="s">
        <v>1316</v>
      </c>
      <c r="F2941" s="1">
        <v>46066.49077546296</v>
      </c>
      <c r="G2941" t="s">
        <v>286</v>
      </c>
      <c r="H2941" t="s">
        <v>287</v>
      </c>
      <c r="I2941" t="s">
        <v>11518</v>
      </c>
      <c r="J2941" t="s">
        <v>8674</v>
      </c>
      <c r="K2941" t="s">
        <v>7448</v>
      </c>
      <c r="M2941" t="s">
        <v>47</v>
      </c>
      <c r="O2941" t="s">
        <v>77</v>
      </c>
      <c r="P2941" t="s">
        <v>78</v>
      </c>
      <c r="Q2941" t="s">
        <v>50</v>
      </c>
      <c r="R2941" t="s">
        <v>51</v>
      </c>
      <c r="S2941" t="s">
        <v>52</v>
      </c>
      <c r="T2941" t="s">
        <v>240</v>
      </c>
      <c r="U2941" s="1">
        <v>46072.606539351851</v>
      </c>
      <c r="V2941" t="s">
        <v>54</v>
      </c>
      <c r="W2941" t="s">
        <v>55</v>
      </c>
      <c r="X2941" t="s">
        <v>113</v>
      </c>
      <c r="Y2941" t="s">
        <v>11519</v>
      </c>
      <c r="Z2941" t="s">
        <v>5594</v>
      </c>
      <c r="AA2941" t="s">
        <v>54</v>
      </c>
      <c r="AB2941" t="s">
        <v>8676</v>
      </c>
      <c r="AC2941" t="s">
        <v>85</v>
      </c>
      <c r="AD2941" t="s">
        <v>52</v>
      </c>
      <c r="AE2941" t="s">
        <v>243</v>
      </c>
      <c r="AF2941" t="s">
        <v>244</v>
      </c>
      <c r="AG2941" t="s">
        <v>5594</v>
      </c>
      <c r="AK2941">
        <v>0</v>
      </c>
      <c r="AL2941" t="s">
        <v>61</v>
      </c>
      <c r="AM2941" t="s">
        <v>7451</v>
      </c>
      <c r="AN2941" t="s">
        <v>7452</v>
      </c>
    </row>
    <row r="2942" spans="1:40" x14ac:dyDescent="0.35">
      <c r="A2942" t="s">
        <v>37</v>
      </c>
      <c r="B2942" t="s">
        <v>11520</v>
      </c>
      <c r="C2942" t="s">
        <v>39</v>
      </c>
      <c r="D2942" t="s">
        <v>7445</v>
      </c>
      <c r="E2942" t="s">
        <v>1316</v>
      </c>
      <c r="F2942" s="1">
        <v>46066.489918981482</v>
      </c>
      <c r="G2942" t="s">
        <v>286</v>
      </c>
      <c r="H2942" t="s">
        <v>287</v>
      </c>
      <c r="I2942" t="s">
        <v>11521</v>
      </c>
      <c r="J2942" t="s">
        <v>8674</v>
      </c>
      <c r="K2942" t="s">
        <v>7448</v>
      </c>
      <c r="M2942" t="s">
        <v>47</v>
      </c>
      <c r="O2942" t="s">
        <v>77</v>
      </c>
      <c r="P2942" t="s">
        <v>78</v>
      </c>
      <c r="Q2942" t="s">
        <v>50</v>
      </c>
      <c r="R2942" t="s">
        <v>51</v>
      </c>
      <c r="S2942" t="s">
        <v>52</v>
      </c>
      <c r="T2942" t="s">
        <v>240</v>
      </c>
      <c r="U2942" s="1">
        <v>46072.606377314813</v>
      </c>
      <c r="V2942" t="s">
        <v>54</v>
      </c>
      <c r="W2942" t="s">
        <v>55</v>
      </c>
      <c r="X2942" t="s">
        <v>113</v>
      </c>
      <c r="Y2942" t="s">
        <v>11519</v>
      </c>
      <c r="Z2942" t="s">
        <v>5594</v>
      </c>
      <c r="AA2942" t="s">
        <v>54</v>
      </c>
      <c r="AB2942" t="s">
        <v>8676</v>
      </c>
      <c r="AC2942" t="s">
        <v>85</v>
      </c>
      <c r="AD2942" t="s">
        <v>52</v>
      </c>
      <c r="AE2942" t="s">
        <v>243</v>
      </c>
      <c r="AF2942" t="s">
        <v>244</v>
      </c>
      <c r="AG2942" t="s">
        <v>5594</v>
      </c>
      <c r="AK2942">
        <v>0</v>
      </c>
      <c r="AL2942" t="s">
        <v>61</v>
      </c>
      <c r="AM2942" t="s">
        <v>7451</v>
      </c>
      <c r="AN2942" t="s">
        <v>7452</v>
      </c>
    </row>
    <row r="2943" spans="1:40" x14ac:dyDescent="0.35">
      <c r="A2943" t="s">
        <v>37</v>
      </c>
      <c r="B2943" t="s">
        <v>11522</v>
      </c>
      <c r="C2943" t="s">
        <v>39</v>
      </c>
      <c r="D2943" t="s">
        <v>7445</v>
      </c>
      <c r="E2943" t="s">
        <v>1316</v>
      </c>
      <c r="F2943" s="1">
        <v>46066.488657407404</v>
      </c>
      <c r="G2943" t="s">
        <v>286</v>
      </c>
      <c r="H2943" t="s">
        <v>287</v>
      </c>
      <c r="I2943" t="s">
        <v>11523</v>
      </c>
      <c r="J2943" t="s">
        <v>8674</v>
      </c>
      <c r="K2943" t="s">
        <v>7448</v>
      </c>
      <c r="M2943" t="s">
        <v>47</v>
      </c>
      <c r="O2943" t="s">
        <v>77</v>
      </c>
      <c r="P2943" t="s">
        <v>78</v>
      </c>
      <c r="Q2943" t="s">
        <v>50</v>
      </c>
      <c r="R2943" t="s">
        <v>51</v>
      </c>
      <c r="S2943" t="s">
        <v>52</v>
      </c>
      <c r="T2943" t="s">
        <v>240</v>
      </c>
      <c r="U2943" s="1">
        <v>46072.606226851851</v>
      </c>
      <c r="V2943" t="s">
        <v>54</v>
      </c>
      <c r="W2943" t="s">
        <v>55</v>
      </c>
      <c r="X2943" t="s">
        <v>113</v>
      </c>
      <c r="Y2943" t="s">
        <v>11501</v>
      </c>
      <c r="Z2943" t="s">
        <v>5594</v>
      </c>
      <c r="AA2943" t="s">
        <v>54</v>
      </c>
      <c r="AB2943" t="s">
        <v>8676</v>
      </c>
      <c r="AC2943" t="s">
        <v>85</v>
      </c>
      <c r="AD2943" t="s">
        <v>52</v>
      </c>
      <c r="AE2943" t="s">
        <v>243</v>
      </c>
      <c r="AF2943" t="s">
        <v>244</v>
      </c>
      <c r="AG2943" t="s">
        <v>5594</v>
      </c>
      <c r="AK2943">
        <v>0</v>
      </c>
      <c r="AL2943" t="s">
        <v>61</v>
      </c>
      <c r="AM2943" t="s">
        <v>7451</v>
      </c>
      <c r="AN2943" t="s">
        <v>7452</v>
      </c>
    </row>
    <row r="2944" spans="1:40" x14ac:dyDescent="0.35">
      <c r="A2944" t="s">
        <v>37</v>
      </c>
      <c r="B2944" t="s">
        <v>11524</v>
      </c>
      <c r="C2944" t="s">
        <v>39</v>
      </c>
      <c r="D2944" t="s">
        <v>7445</v>
      </c>
      <c r="E2944" t="s">
        <v>1316</v>
      </c>
      <c r="F2944" s="1">
        <v>46066.487187500003</v>
      </c>
      <c r="G2944" t="s">
        <v>286</v>
      </c>
      <c r="H2944" t="s">
        <v>287</v>
      </c>
      <c r="I2944" t="s">
        <v>11525</v>
      </c>
      <c r="J2944" t="s">
        <v>8674</v>
      </c>
      <c r="K2944" t="s">
        <v>7448</v>
      </c>
      <c r="M2944" t="s">
        <v>47</v>
      </c>
      <c r="O2944" t="s">
        <v>77</v>
      </c>
      <c r="P2944" t="s">
        <v>78</v>
      </c>
      <c r="Q2944" t="s">
        <v>50</v>
      </c>
      <c r="R2944" t="s">
        <v>51</v>
      </c>
      <c r="S2944" t="s">
        <v>52</v>
      </c>
      <c r="T2944" t="s">
        <v>240</v>
      </c>
      <c r="U2944" s="1">
        <v>46072.606053240743</v>
      </c>
      <c r="V2944" t="s">
        <v>54</v>
      </c>
      <c r="W2944" t="s">
        <v>55</v>
      </c>
      <c r="X2944" t="s">
        <v>113</v>
      </c>
      <c r="Y2944" t="s">
        <v>11526</v>
      </c>
      <c r="Z2944" t="s">
        <v>5594</v>
      </c>
      <c r="AA2944" t="s">
        <v>54</v>
      </c>
      <c r="AB2944" t="s">
        <v>8676</v>
      </c>
      <c r="AC2944" t="s">
        <v>85</v>
      </c>
      <c r="AD2944" t="s">
        <v>51</v>
      </c>
      <c r="AE2944" t="s">
        <v>834</v>
      </c>
      <c r="AF2944" t="s">
        <v>834</v>
      </c>
      <c r="AG2944" t="s">
        <v>5594</v>
      </c>
      <c r="AK2944">
        <v>0</v>
      </c>
      <c r="AL2944" t="s">
        <v>61</v>
      </c>
      <c r="AM2944" t="s">
        <v>7451</v>
      </c>
      <c r="AN2944" t="s">
        <v>7452</v>
      </c>
    </row>
    <row r="2945" spans="1:40" x14ac:dyDescent="0.35">
      <c r="A2945" t="s">
        <v>37</v>
      </c>
      <c r="B2945" t="s">
        <v>11527</v>
      </c>
      <c r="C2945" t="s">
        <v>39</v>
      </c>
      <c r="D2945" t="s">
        <v>4122</v>
      </c>
      <c r="E2945" t="s">
        <v>11424</v>
      </c>
      <c r="F2945" s="1">
        <v>46066.48641203704</v>
      </c>
      <c r="G2945" t="s">
        <v>855</v>
      </c>
      <c r="H2945" t="s">
        <v>447</v>
      </c>
      <c r="I2945" t="s">
        <v>11528</v>
      </c>
      <c r="J2945" t="s">
        <v>1555</v>
      </c>
      <c r="K2945" t="s">
        <v>951</v>
      </c>
      <c r="M2945" t="s">
        <v>76</v>
      </c>
      <c r="O2945" t="s">
        <v>77</v>
      </c>
      <c r="P2945" t="s">
        <v>78</v>
      </c>
      <c r="Q2945" t="s">
        <v>50</v>
      </c>
      <c r="R2945" t="s">
        <v>79</v>
      </c>
      <c r="S2945" t="s">
        <v>10026</v>
      </c>
      <c r="T2945" t="s">
        <v>10027</v>
      </c>
      <c r="U2945" s="1">
        <v>46076.349085648151</v>
      </c>
      <c r="V2945" t="s">
        <v>54</v>
      </c>
      <c r="W2945" t="s">
        <v>55</v>
      </c>
      <c r="X2945" t="s">
        <v>134</v>
      </c>
      <c r="Y2945" t="s">
        <v>11529</v>
      </c>
      <c r="Z2945" t="s">
        <v>58</v>
      </c>
      <c r="AA2945" t="s">
        <v>54</v>
      </c>
      <c r="AB2945" t="s">
        <v>408</v>
      </c>
      <c r="AC2945" t="s">
        <v>85</v>
      </c>
      <c r="AD2945" t="s">
        <v>79</v>
      </c>
      <c r="AE2945" t="s">
        <v>10026</v>
      </c>
      <c r="AF2945" t="s">
        <v>10027</v>
      </c>
      <c r="AG2945" t="s">
        <v>58</v>
      </c>
      <c r="AH2945">
        <v>12696</v>
      </c>
      <c r="AK2945">
        <v>6</v>
      </c>
      <c r="AL2945" t="s">
        <v>61</v>
      </c>
      <c r="AM2945" t="s">
        <v>11428</v>
      </c>
      <c r="AN2945" t="s">
        <v>11429</v>
      </c>
    </row>
    <row r="2946" spans="1:40" x14ac:dyDescent="0.35">
      <c r="A2946" t="s">
        <v>37</v>
      </c>
      <c r="B2946" t="s">
        <v>11530</v>
      </c>
      <c r="C2946" t="s">
        <v>39</v>
      </c>
      <c r="D2946" t="s">
        <v>7445</v>
      </c>
      <c r="E2946" t="s">
        <v>1316</v>
      </c>
      <c r="F2946" s="1">
        <v>46066.485983796294</v>
      </c>
      <c r="G2946" t="s">
        <v>286</v>
      </c>
      <c r="H2946" t="s">
        <v>287</v>
      </c>
      <c r="I2946" t="s">
        <v>11531</v>
      </c>
      <c r="J2946" t="s">
        <v>8674</v>
      </c>
      <c r="K2946" t="s">
        <v>7448</v>
      </c>
      <c r="M2946" t="s">
        <v>47</v>
      </c>
      <c r="O2946" t="s">
        <v>77</v>
      </c>
      <c r="P2946" t="s">
        <v>78</v>
      </c>
      <c r="Q2946" t="s">
        <v>50</v>
      </c>
      <c r="R2946" t="s">
        <v>51</v>
      </c>
      <c r="S2946" t="s">
        <v>52</v>
      </c>
      <c r="T2946" t="s">
        <v>240</v>
      </c>
      <c r="U2946" s="1">
        <v>46072.605682870373</v>
      </c>
      <c r="V2946" t="s">
        <v>54</v>
      </c>
      <c r="W2946" t="s">
        <v>55</v>
      </c>
      <c r="X2946" t="s">
        <v>113</v>
      </c>
      <c r="Y2946" t="s">
        <v>11501</v>
      </c>
      <c r="Z2946" t="s">
        <v>5594</v>
      </c>
      <c r="AA2946" t="s">
        <v>54</v>
      </c>
      <c r="AB2946" t="s">
        <v>8676</v>
      </c>
      <c r="AC2946" t="s">
        <v>85</v>
      </c>
      <c r="AD2946" t="s">
        <v>52</v>
      </c>
      <c r="AE2946" t="s">
        <v>243</v>
      </c>
      <c r="AF2946" t="s">
        <v>244</v>
      </c>
      <c r="AG2946" t="s">
        <v>5594</v>
      </c>
      <c r="AK2946">
        <v>0</v>
      </c>
      <c r="AL2946" t="s">
        <v>61</v>
      </c>
      <c r="AM2946" t="s">
        <v>7451</v>
      </c>
      <c r="AN2946" t="s">
        <v>7452</v>
      </c>
    </row>
    <row r="2947" spans="1:40" x14ac:dyDescent="0.35">
      <c r="A2947" t="s">
        <v>37</v>
      </c>
      <c r="B2947" t="s">
        <v>11532</v>
      </c>
      <c r="C2947" t="s">
        <v>39</v>
      </c>
      <c r="D2947" t="s">
        <v>2024</v>
      </c>
      <c r="E2947" t="s">
        <v>5025</v>
      </c>
      <c r="F2947" s="1">
        <v>46066.483715277776</v>
      </c>
      <c r="G2947" t="s">
        <v>3050</v>
      </c>
      <c r="H2947" t="s">
        <v>233</v>
      </c>
      <c r="I2947" t="s">
        <v>1446</v>
      </c>
      <c r="J2947" t="s">
        <v>5027</v>
      </c>
      <c r="K2947" t="s">
        <v>951</v>
      </c>
      <c r="M2947" t="s">
        <v>47</v>
      </c>
      <c r="O2947" t="s">
        <v>77</v>
      </c>
      <c r="P2947" t="s">
        <v>78</v>
      </c>
      <c r="Q2947" t="s">
        <v>50</v>
      </c>
      <c r="R2947" t="s">
        <v>79</v>
      </c>
      <c r="S2947" t="s">
        <v>1016</v>
      </c>
      <c r="T2947" t="s">
        <v>11533</v>
      </c>
      <c r="U2947" s="1">
        <v>46073.456689814811</v>
      </c>
      <c r="V2947" t="s">
        <v>54</v>
      </c>
      <c r="W2947" t="s">
        <v>55</v>
      </c>
      <c r="X2947" t="s">
        <v>211</v>
      </c>
      <c r="Y2947" t="s">
        <v>11534</v>
      </c>
      <c r="Z2947" t="s">
        <v>5594</v>
      </c>
      <c r="AA2947" t="s">
        <v>54</v>
      </c>
      <c r="AB2947" t="s">
        <v>213</v>
      </c>
      <c r="AC2947" t="s">
        <v>85</v>
      </c>
      <c r="AD2947" t="s">
        <v>79</v>
      </c>
      <c r="AE2947" t="s">
        <v>1016</v>
      </c>
      <c r="AF2947" t="s">
        <v>11535</v>
      </c>
      <c r="AG2947" t="s">
        <v>5594</v>
      </c>
      <c r="AH2947">
        <v>15975</v>
      </c>
      <c r="AK2947">
        <v>21</v>
      </c>
      <c r="AL2947" t="s">
        <v>61</v>
      </c>
      <c r="AM2947" t="s">
        <v>5030</v>
      </c>
      <c r="AN2947" t="s">
        <v>5031</v>
      </c>
    </row>
    <row r="2948" spans="1:40" x14ac:dyDescent="0.35">
      <c r="A2948" t="s">
        <v>37</v>
      </c>
      <c r="B2948" t="s">
        <v>11536</v>
      </c>
      <c r="C2948" t="s">
        <v>102</v>
      </c>
      <c r="D2948" t="s">
        <v>462</v>
      </c>
      <c r="E2948" t="s">
        <v>392</v>
      </c>
      <c r="F2948" s="1">
        <v>46066.477824074071</v>
      </c>
      <c r="G2948" t="s">
        <v>402</v>
      </c>
      <c r="H2948" t="s">
        <v>72</v>
      </c>
      <c r="I2948" t="s">
        <v>11537</v>
      </c>
      <c r="J2948" t="s">
        <v>9282</v>
      </c>
      <c r="K2948" t="s">
        <v>9283</v>
      </c>
      <c r="M2948" t="s">
        <v>47</v>
      </c>
      <c r="O2948" t="s">
        <v>237</v>
      </c>
      <c r="P2948" t="s">
        <v>238</v>
      </c>
      <c r="Q2948" t="s">
        <v>50</v>
      </c>
      <c r="R2948" t="s">
        <v>305</v>
      </c>
      <c r="S2948" t="s">
        <v>306</v>
      </c>
      <c r="T2948" t="s">
        <v>307</v>
      </c>
      <c r="U2948" s="1">
        <v>46073.610578703701</v>
      </c>
      <c r="V2948" t="s">
        <v>54</v>
      </c>
      <c r="W2948" t="s">
        <v>55</v>
      </c>
      <c r="X2948" t="s">
        <v>211</v>
      </c>
      <c r="Y2948" t="s">
        <v>10322</v>
      </c>
      <c r="Z2948" t="s">
        <v>5594</v>
      </c>
      <c r="AA2948" t="s">
        <v>54</v>
      </c>
      <c r="AB2948" t="s">
        <v>213</v>
      </c>
      <c r="AC2948" t="s">
        <v>242</v>
      </c>
      <c r="AD2948" t="s">
        <v>79</v>
      </c>
      <c r="AE2948" t="s">
        <v>558</v>
      </c>
      <c r="AF2948" t="s">
        <v>1110</v>
      </c>
      <c r="AG2948" t="s">
        <v>5594</v>
      </c>
      <c r="AH2948">
        <v>14638</v>
      </c>
      <c r="AK2948">
        <v>8</v>
      </c>
      <c r="AL2948" t="s">
        <v>61</v>
      </c>
      <c r="AM2948" t="s">
        <v>9395</v>
      </c>
      <c r="AN2948" t="s">
        <v>9396</v>
      </c>
    </row>
    <row r="2949" spans="1:40" x14ac:dyDescent="0.35">
      <c r="A2949" t="s">
        <v>37</v>
      </c>
      <c r="B2949" t="s">
        <v>11538</v>
      </c>
      <c r="C2949" t="s">
        <v>39</v>
      </c>
      <c r="D2949" t="s">
        <v>7445</v>
      </c>
      <c r="E2949" t="s">
        <v>1316</v>
      </c>
      <c r="F2949" s="1">
        <v>46066.458587962959</v>
      </c>
      <c r="G2949" t="s">
        <v>286</v>
      </c>
      <c r="H2949" t="s">
        <v>287</v>
      </c>
      <c r="I2949" t="s">
        <v>11539</v>
      </c>
      <c r="J2949" t="s">
        <v>8674</v>
      </c>
      <c r="K2949" t="s">
        <v>7448</v>
      </c>
      <c r="M2949" t="s">
        <v>47</v>
      </c>
      <c r="O2949" t="s">
        <v>77</v>
      </c>
      <c r="P2949" t="s">
        <v>78</v>
      </c>
      <c r="Q2949" t="s">
        <v>50</v>
      </c>
      <c r="R2949" t="s">
        <v>51</v>
      </c>
      <c r="S2949" t="s">
        <v>52</v>
      </c>
      <c r="T2949" t="s">
        <v>240</v>
      </c>
      <c r="U2949" s="1">
        <v>46072.605428240742</v>
      </c>
      <c r="V2949" t="s">
        <v>54</v>
      </c>
      <c r="W2949" t="s">
        <v>55</v>
      </c>
      <c r="X2949" t="s">
        <v>113</v>
      </c>
      <c r="Y2949" t="s">
        <v>11504</v>
      </c>
      <c r="Z2949" t="s">
        <v>5594</v>
      </c>
      <c r="AA2949" t="s">
        <v>54</v>
      </c>
      <c r="AB2949" t="s">
        <v>8676</v>
      </c>
      <c r="AC2949" t="s">
        <v>85</v>
      </c>
      <c r="AD2949" t="s">
        <v>52</v>
      </c>
      <c r="AE2949" t="s">
        <v>243</v>
      </c>
      <c r="AF2949" t="s">
        <v>244</v>
      </c>
      <c r="AG2949" t="s">
        <v>5594</v>
      </c>
      <c r="AK2949">
        <v>0</v>
      </c>
      <c r="AL2949" t="s">
        <v>61</v>
      </c>
      <c r="AM2949" t="s">
        <v>7451</v>
      </c>
      <c r="AN2949" t="s">
        <v>7452</v>
      </c>
    </row>
    <row r="2950" spans="1:40" x14ac:dyDescent="0.35">
      <c r="A2950" t="s">
        <v>37</v>
      </c>
      <c r="B2950" t="s">
        <v>11540</v>
      </c>
      <c r="C2950" t="s">
        <v>39</v>
      </c>
      <c r="D2950" t="s">
        <v>7445</v>
      </c>
      <c r="E2950" t="s">
        <v>1316</v>
      </c>
      <c r="F2950" s="1">
        <v>46066.456053240741</v>
      </c>
      <c r="G2950" t="s">
        <v>286</v>
      </c>
      <c r="H2950" t="s">
        <v>287</v>
      </c>
      <c r="I2950" t="s">
        <v>11541</v>
      </c>
      <c r="J2950" t="s">
        <v>8674</v>
      </c>
      <c r="K2950" t="s">
        <v>7448</v>
      </c>
      <c r="M2950" t="s">
        <v>47</v>
      </c>
      <c r="O2950" t="s">
        <v>77</v>
      </c>
      <c r="P2950" t="s">
        <v>78</v>
      </c>
      <c r="Q2950" t="s">
        <v>50</v>
      </c>
      <c r="R2950" t="s">
        <v>51</v>
      </c>
      <c r="S2950" t="s">
        <v>52</v>
      </c>
      <c r="T2950" t="s">
        <v>240</v>
      </c>
      <c r="U2950" s="1">
        <v>46072.60527777778</v>
      </c>
      <c r="V2950" t="s">
        <v>54</v>
      </c>
      <c r="W2950" t="s">
        <v>55</v>
      </c>
      <c r="X2950" t="s">
        <v>113</v>
      </c>
      <c r="Y2950" t="s">
        <v>11501</v>
      </c>
      <c r="Z2950" t="s">
        <v>5594</v>
      </c>
      <c r="AA2950" t="s">
        <v>54</v>
      </c>
      <c r="AB2950" t="s">
        <v>8676</v>
      </c>
      <c r="AC2950" t="s">
        <v>85</v>
      </c>
      <c r="AD2950" t="s">
        <v>51</v>
      </c>
      <c r="AE2950" t="s">
        <v>834</v>
      </c>
      <c r="AF2950" t="s">
        <v>834</v>
      </c>
      <c r="AG2950" t="s">
        <v>5594</v>
      </c>
      <c r="AK2950">
        <v>0</v>
      </c>
      <c r="AL2950" t="s">
        <v>61</v>
      </c>
      <c r="AM2950" t="s">
        <v>7451</v>
      </c>
      <c r="AN2950" t="s">
        <v>7452</v>
      </c>
    </row>
    <row r="2951" spans="1:40" x14ac:dyDescent="0.35">
      <c r="A2951" t="s">
        <v>37</v>
      </c>
      <c r="B2951" t="s">
        <v>11542</v>
      </c>
      <c r="C2951" t="s">
        <v>39</v>
      </c>
      <c r="D2951" t="s">
        <v>7445</v>
      </c>
      <c r="E2951" t="s">
        <v>1316</v>
      </c>
      <c r="F2951" s="1">
        <v>46066.453668981485</v>
      </c>
      <c r="G2951" t="s">
        <v>286</v>
      </c>
      <c r="H2951" t="s">
        <v>287</v>
      </c>
      <c r="I2951" t="s">
        <v>11263</v>
      </c>
      <c r="J2951" t="s">
        <v>8674</v>
      </c>
      <c r="K2951" t="s">
        <v>7448</v>
      </c>
      <c r="M2951" t="s">
        <v>47</v>
      </c>
      <c r="O2951" t="s">
        <v>77</v>
      </c>
      <c r="P2951" t="s">
        <v>78</v>
      </c>
      <c r="Q2951" t="s">
        <v>50</v>
      </c>
      <c r="R2951" t="s">
        <v>51</v>
      </c>
      <c r="S2951" t="s">
        <v>52</v>
      </c>
      <c r="T2951" t="s">
        <v>240</v>
      </c>
      <c r="U2951" s="1">
        <v>46072.605150462965</v>
      </c>
      <c r="V2951" t="s">
        <v>54</v>
      </c>
      <c r="W2951" t="s">
        <v>55</v>
      </c>
      <c r="X2951" t="s">
        <v>113</v>
      </c>
      <c r="Y2951" t="s">
        <v>11504</v>
      </c>
      <c r="Z2951" t="s">
        <v>5594</v>
      </c>
      <c r="AA2951" t="s">
        <v>54</v>
      </c>
      <c r="AB2951" t="s">
        <v>8676</v>
      </c>
      <c r="AC2951" t="s">
        <v>85</v>
      </c>
      <c r="AD2951" t="s">
        <v>52</v>
      </c>
      <c r="AE2951" t="s">
        <v>243</v>
      </c>
      <c r="AF2951" t="s">
        <v>244</v>
      </c>
      <c r="AG2951" t="s">
        <v>5594</v>
      </c>
      <c r="AK2951">
        <v>0</v>
      </c>
      <c r="AL2951" t="s">
        <v>61</v>
      </c>
      <c r="AM2951" t="s">
        <v>7451</v>
      </c>
      <c r="AN2951" t="s">
        <v>7452</v>
      </c>
    </row>
    <row r="2952" spans="1:40" x14ac:dyDescent="0.35">
      <c r="A2952" t="s">
        <v>37</v>
      </c>
      <c r="B2952" t="s">
        <v>11543</v>
      </c>
      <c r="C2952" t="s">
        <v>39</v>
      </c>
      <c r="D2952" t="s">
        <v>7445</v>
      </c>
      <c r="E2952" t="s">
        <v>1316</v>
      </c>
      <c r="F2952" s="1">
        <v>46066.452974537038</v>
      </c>
      <c r="G2952" t="s">
        <v>286</v>
      </c>
      <c r="H2952" t="s">
        <v>287</v>
      </c>
      <c r="I2952" t="s">
        <v>11544</v>
      </c>
      <c r="J2952" t="s">
        <v>8674</v>
      </c>
      <c r="K2952" t="s">
        <v>7448</v>
      </c>
      <c r="M2952" t="s">
        <v>47</v>
      </c>
      <c r="O2952" t="s">
        <v>77</v>
      </c>
      <c r="P2952" t="s">
        <v>78</v>
      </c>
      <c r="Q2952" t="s">
        <v>50</v>
      </c>
      <c r="R2952" t="s">
        <v>51</v>
      </c>
      <c r="S2952" t="s">
        <v>52</v>
      </c>
      <c r="T2952" t="s">
        <v>240</v>
      </c>
      <c r="U2952" s="1">
        <v>46072.605023148149</v>
      </c>
      <c r="V2952" t="s">
        <v>54</v>
      </c>
      <c r="W2952" t="s">
        <v>55</v>
      </c>
      <c r="X2952" t="s">
        <v>113</v>
      </c>
      <c r="Y2952" t="s">
        <v>11545</v>
      </c>
      <c r="Z2952" t="s">
        <v>5594</v>
      </c>
      <c r="AA2952" t="s">
        <v>54</v>
      </c>
      <c r="AB2952" t="s">
        <v>8676</v>
      </c>
      <c r="AC2952" t="s">
        <v>85</v>
      </c>
      <c r="AD2952" t="s">
        <v>52</v>
      </c>
      <c r="AE2952" t="s">
        <v>243</v>
      </c>
      <c r="AF2952" t="s">
        <v>244</v>
      </c>
      <c r="AG2952" t="s">
        <v>5594</v>
      </c>
      <c r="AK2952">
        <v>0</v>
      </c>
      <c r="AL2952" t="s">
        <v>61</v>
      </c>
      <c r="AM2952" t="s">
        <v>7451</v>
      </c>
      <c r="AN2952" t="s">
        <v>7452</v>
      </c>
    </row>
    <row r="2953" spans="1:40" x14ac:dyDescent="0.35">
      <c r="A2953" t="s">
        <v>37</v>
      </c>
      <c r="B2953" t="s">
        <v>11546</v>
      </c>
      <c r="C2953" t="s">
        <v>39</v>
      </c>
      <c r="D2953" t="s">
        <v>7445</v>
      </c>
      <c r="E2953" t="s">
        <v>1316</v>
      </c>
      <c r="F2953" s="1">
        <v>46066.452037037037</v>
      </c>
      <c r="G2953" t="s">
        <v>286</v>
      </c>
      <c r="H2953" t="s">
        <v>287</v>
      </c>
      <c r="I2953" t="s">
        <v>11547</v>
      </c>
      <c r="J2953" t="s">
        <v>8674</v>
      </c>
      <c r="K2953" t="s">
        <v>7448</v>
      </c>
      <c r="M2953" t="s">
        <v>47</v>
      </c>
      <c r="O2953" t="s">
        <v>77</v>
      </c>
      <c r="P2953" t="s">
        <v>78</v>
      </c>
      <c r="Q2953" t="s">
        <v>50</v>
      </c>
      <c r="R2953" t="s">
        <v>51</v>
      </c>
      <c r="S2953" t="s">
        <v>52</v>
      </c>
      <c r="T2953" t="s">
        <v>240</v>
      </c>
      <c r="U2953" s="1">
        <v>46072.604780092595</v>
      </c>
      <c r="V2953" t="s">
        <v>54</v>
      </c>
      <c r="W2953" t="s">
        <v>55</v>
      </c>
      <c r="X2953" t="s">
        <v>113</v>
      </c>
      <c r="Y2953" t="s">
        <v>11504</v>
      </c>
      <c r="Z2953" t="s">
        <v>5594</v>
      </c>
      <c r="AA2953" t="s">
        <v>54</v>
      </c>
      <c r="AB2953" t="s">
        <v>8676</v>
      </c>
      <c r="AC2953" t="s">
        <v>85</v>
      </c>
      <c r="AD2953" t="s">
        <v>52</v>
      </c>
      <c r="AE2953" t="s">
        <v>243</v>
      </c>
      <c r="AF2953" t="s">
        <v>244</v>
      </c>
      <c r="AG2953" t="s">
        <v>5594</v>
      </c>
      <c r="AK2953">
        <v>0</v>
      </c>
      <c r="AL2953" t="s">
        <v>61</v>
      </c>
      <c r="AM2953" t="s">
        <v>7451</v>
      </c>
      <c r="AN2953" t="s">
        <v>7452</v>
      </c>
    </row>
    <row r="2954" spans="1:40" x14ac:dyDescent="0.35">
      <c r="A2954" t="s">
        <v>37</v>
      </c>
      <c r="B2954" t="s">
        <v>11548</v>
      </c>
      <c r="C2954" t="s">
        <v>39</v>
      </c>
      <c r="D2954" t="s">
        <v>7445</v>
      </c>
      <c r="E2954" t="s">
        <v>1316</v>
      </c>
      <c r="F2954" s="1">
        <v>46066.450069444443</v>
      </c>
      <c r="G2954" t="s">
        <v>286</v>
      </c>
      <c r="H2954" t="s">
        <v>287</v>
      </c>
      <c r="I2954" t="s">
        <v>11549</v>
      </c>
      <c r="J2954" t="s">
        <v>8674</v>
      </c>
      <c r="K2954" t="s">
        <v>7448</v>
      </c>
      <c r="M2954" t="s">
        <v>47</v>
      </c>
      <c r="O2954" t="s">
        <v>77</v>
      </c>
      <c r="P2954" t="s">
        <v>78</v>
      </c>
      <c r="Q2954" t="s">
        <v>50</v>
      </c>
      <c r="R2954" t="s">
        <v>51</v>
      </c>
      <c r="S2954" t="s">
        <v>52</v>
      </c>
      <c r="T2954" t="s">
        <v>240</v>
      </c>
      <c r="U2954" s="1">
        <v>46072.604664351849</v>
      </c>
      <c r="V2954" t="s">
        <v>54</v>
      </c>
      <c r="W2954" t="s">
        <v>55</v>
      </c>
      <c r="X2954" t="s">
        <v>113</v>
      </c>
      <c r="Y2954" t="s">
        <v>11550</v>
      </c>
      <c r="Z2954" t="s">
        <v>5594</v>
      </c>
      <c r="AA2954" t="s">
        <v>54</v>
      </c>
      <c r="AB2954" t="s">
        <v>8676</v>
      </c>
      <c r="AC2954" t="s">
        <v>85</v>
      </c>
      <c r="AD2954" t="s">
        <v>52</v>
      </c>
      <c r="AE2954" t="s">
        <v>243</v>
      </c>
      <c r="AF2954" t="s">
        <v>244</v>
      </c>
      <c r="AG2954" t="s">
        <v>5594</v>
      </c>
      <c r="AK2954">
        <v>0</v>
      </c>
      <c r="AL2954" t="s">
        <v>61</v>
      </c>
      <c r="AM2954" t="s">
        <v>7451</v>
      </c>
      <c r="AN2954" t="s">
        <v>7452</v>
      </c>
    </row>
    <row r="2955" spans="1:40" x14ac:dyDescent="0.35">
      <c r="A2955" t="s">
        <v>37</v>
      </c>
      <c r="B2955" t="s">
        <v>11551</v>
      </c>
      <c r="C2955" t="s">
        <v>39</v>
      </c>
      <c r="D2955" t="s">
        <v>7445</v>
      </c>
      <c r="E2955" t="s">
        <v>1316</v>
      </c>
      <c r="F2955" s="1">
        <v>46066.446064814816</v>
      </c>
      <c r="G2955" t="s">
        <v>286</v>
      </c>
      <c r="H2955" t="s">
        <v>287</v>
      </c>
      <c r="I2955" t="s">
        <v>11552</v>
      </c>
      <c r="J2955" t="s">
        <v>8674</v>
      </c>
      <c r="K2955" t="s">
        <v>7448</v>
      </c>
      <c r="M2955" t="s">
        <v>47</v>
      </c>
      <c r="O2955" t="s">
        <v>77</v>
      </c>
      <c r="P2955" t="s">
        <v>78</v>
      </c>
      <c r="Q2955" t="s">
        <v>50</v>
      </c>
      <c r="R2955" t="s">
        <v>51</v>
      </c>
      <c r="S2955" t="s">
        <v>52</v>
      </c>
      <c r="T2955" t="s">
        <v>240</v>
      </c>
      <c r="U2955" s="1">
        <v>46072.604548611111</v>
      </c>
      <c r="V2955" t="s">
        <v>54</v>
      </c>
      <c r="W2955" t="s">
        <v>55</v>
      </c>
      <c r="X2955" t="s">
        <v>113</v>
      </c>
      <c r="Y2955" t="s">
        <v>11504</v>
      </c>
      <c r="Z2955" t="s">
        <v>5594</v>
      </c>
      <c r="AA2955" t="s">
        <v>54</v>
      </c>
      <c r="AB2955" t="s">
        <v>8676</v>
      </c>
      <c r="AC2955" t="s">
        <v>85</v>
      </c>
      <c r="AD2955" t="s">
        <v>52</v>
      </c>
      <c r="AE2955" t="s">
        <v>243</v>
      </c>
      <c r="AF2955" t="s">
        <v>244</v>
      </c>
      <c r="AG2955" t="s">
        <v>5594</v>
      </c>
      <c r="AK2955">
        <v>0</v>
      </c>
      <c r="AL2955" t="s">
        <v>61</v>
      </c>
      <c r="AM2955" t="s">
        <v>7451</v>
      </c>
      <c r="AN2955" t="s">
        <v>7452</v>
      </c>
    </row>
    <row r="2956" spans="1:40" x14ac:dyDescent="0.35">
      <c r="A2956" t="s">
        <v>37</v>
      </c>
      <c r="B2956" t="s">
        <v>11553</v>
      </c>
      <c r="C2956" t="s">
        <v>39</v>
      </c>
      <c r="D2956" t="s">
        <v>7445</v>
      </c>
      <c r="E2956" t="s">
        <v>1316</v>
      </c>
      <c r="F2956" s="1">
        <v>46066.445023148146</v>
      </c>
      <c r="G2956" t="s">
        <v>286</v>
      </c>
      <c r="H2956" t="s">
        <v>287</v>
      </c>
      <c r="I2956" t="s">
        <v>11554</v>
      </c>
      <c r="J2956" t="s">
        <v>8674</v>
      </c>
      <c r="K2956" t="s">
        <v>7448</v>
      </c>
      <c r="M2956" t="s">
        <v>47</v>
      </c>
      <c r="O2956" t="s">
        <v>77</v>
      </c>
      <c r="P2956" t="s">
        <v>78</v>
      </c>
      <c r="Q2956" t="s">
        <v>50</v>
      </c>
      <c r="R2956" t="s">
        <v>51</v>
      </c>
      <c r="S2956" t="s">
        <v>52</v>
      </c>
      <c r="T2956" t="s">
        <v>240</v>
      </c>
      <c r="U2956" s="1">
        <v>46072.604386574072</v>
      </c>
      <c r="V2956" t="s">
        <v>54</v>
      </c>
      <c r="W2956" t="s">
        <v>55</v>
      </c>
      <c r="X2956" t="s">
        <v>113</v>
      </c>
      <c r="Y2956" t="s">
        <v>11519</v>
      </c>
      <c r="Z2956" t="s">
        <v>5594</v>
      </c>
      <c r="AA2956" t="s">
        <v>54</v>
      </c>
      <c r="AB2956" t="s">
        <v>8676</v>
      </c>
      <c r="AC2956" t="s">
        <v>85</v>
      </c>
      <c r="AD2956" t="s">
        <v>52</v>
      </c>
      <c r="AE2956" t="s">
        <v>243</v>
      </c>
      <c r="AF2956" t="s">
        <v>244</v>
      </c>
      <c r="AG2956" t="s">
        <v>5594</v>
      </c>
      <c r="AK2956">
        <v>0</v>
      </c>
      <c r="AL2956" t="s">
        <v>61</v>
      </c>
      <c r="AM2956" t="s">
        <v>7451</v>
      </c>
      <c r="AN2956" t="s">
        <v>7452</v>
      </c>
    </row>
    <row r="2957" spans="1:40" x14ac:dyDescent="0.35">
      <c r="A2957" t="s">
        <v>37</v>
      </c>
      <c r="B2957" t="s">
        <v>11555</v>
      </c>
      <c r="C2957" t="s">
        <v>39</v>
      </c>
      <c r="D2957" t="s">
        <v>89</v>
      </c>
      <c r="E2957" t="s">
        <v>814</v>
      </c>
      <c r="F2957" s="1">
        <v>46076.081574074073</v>
      </c>
      <c r="G2957" t="s">
        <v>105</v>
      </c>
      <c r="H2957" t="s">
        <v>106</v>
      </c>
      <c r="I2957" t="s">
        <v>5564</v>
      </c>
      <c r="J2957" t="s">
        <v>2894</v>
      </c>
      <c r="K2957" t="s">
        <v>951</v>
      </c>
      <c r="M2957" t="s">
        <v>131</v>
      </c>
      <c r="O2957" t="s">
        <v>77</v>
      </c>
      <c r="P2957" t="s">
        <v>78</v>
      </c>
      <c r="Q2957" t="s">
        <v>50</v>
      </c>
      <c r="R2957" t="s">
        <v>79</v>
      </c>
      <c r="S2957" t="s">
        <v>1556</v>
      </c>
      <c r="T2957" t="s">
        <v>1557</v>
      </c>
      <c r="U2957" s="1">
        <v>46077.568368055552</v>
      </c>
      <c r="V2957" t="s">
        <v>54</v>
      </c>
      <c r="W2957" t="s">
        <v>55</v>
      </c>
      <c r="X2957" t="s">
        <v>134</v>
      </c>
      <c r="Y2957" t="s">
        <v>11556</v>
      </c>
      <c r="Z2957" t="s">
        <v>58</v>
      </c>
      <c r="AA2957" t="s">
        <v>54</v>
      </c>
      <c r="AB2957" t="s">
        <v>3425</v>
      </c>
      <c r="AC2957" t="s">
        <v>85</v>
      </c>
      <c r="AD2957" t="s">
        <v>79</v>
      </c>
      <c r="AE2957" t="s">
        <v>1556</v>
      </c>
      <c r="AF2957" t="s">
        <v>1557</v>
      </c>
      <c r="AG2957" t="s">
        <v>58</v>
      </c>
      <c r="AH2957">
        <v>12209</v>
      </c>
      <c r="AK2957">
        <v>1</v>
      </c>
      <c r="AL2957" t="s">
        <v>61</v>
      </c>
      <c r="AM2957" t="s">
        <v>11557</v>
      </c>
      <c r="AN2957" t="s">
        <v>11558</v>
      </c>
    </row>
    <row r="2958" spans="1:40" x14ac:dyDescent="0.35">
      <c r="A2958" t="s">
        <v>37</v>
      </c>
      <c r="B2958" t="s">
        <v>11559</v>
      </c>
      <c r="C2958" t="s">
        <v>39</v>
      </c>
      <c r="D2958" t="s">
        <v>6617</v>
      </c>
      <c r="E2958" t="s">
        <v>6618</v>
      </c>
      <c r="F2958" s="1">
        <v>46076.079780092594</v>
      </c>
      <c r="G2958" t="s">
        <v>71</v>
      </c>
      <c r="H2958" t="s">
        <v>72</v>
      </c>
      <c r="I2958" t="s">
        <v>5564</v>
      </c>
      <c r="J2958" t="s">
        <v>6620</v>
      </c>
      <c r="K2958" t="s">
        <v>951</v>
      </c>
      <c r="M2958" t="s">
        <v>76</v>
      </c>
      <c r="O2958" t="s">
        <v>77</v>
      </c>
      <c r="P2958" t="s">
        <v>78</v>
      </c>
      <c r="Q2958" t="s">
        <v>818</v>
      </c>
      <c r="R2958" t="s">
        <v>79</v>
      </c>
      <c r="S2958" t="s">
        <v>1556</v>
      </c>
      <c r="T2958" t="s">
        <v>1557</v>
      </c>
      <c r="U2958" s="1">
        <v>46076.374432870369</v>
      </c>
      <c r="V2958" t="s">
        <v>54</v>
      </c>
      <c r="W2958" t="s">
        <v>55</v>
      </c>
      <c r="X2958" t="s">
        <v>134</v>
      </c>
      <c r="Y2958" t="s">
        <v>11560</v>
      </c>
      <c r="Z2958" t="s">
        <v>58</v>
      </c>
      <c r="AA2958" t="s">
        <v>54</v>
      </c>
      <c r="AB2958" t="s">
        <v>3425</v>
      </c>
      <c r="AC2958" t="s">
        <v>85</v>
      </c>
      <c r="AD2958" t="s">
        <v>79</v>
      </c>
      <c r="AE2958" t="s">
        <v>1556</v>
      </c>
      <c r="AF2958" t="s">
        <v>1557</v>
      </c>
      <c r="AG2958" t="s">
        <v>58</v>
      </c>
      <c r="AH2958">
        <v>3297</v>
      </c>
      <c r="AK2958">
        <v>0</v>
      </c>
      <c r="AL2958" t="s">
        <v>61</v>
      </c>
      <c r="AM2958" t="s">
        <v>6622</v>
      </c>
      <c r="AN2958" t="s">
        <v>6623</v>
      </c>
    </row>
    <row r="2959" spans="1:40" x14ac:dyDescent="0.35">
      <c r="A2959" t="s">
        <v>37</v>
      </c>
      <c r="B2959" t="s">
        <v>11561</v>
      </c>
      <c r="C2959" t="s">
        <v>39</v>
      </c>
      <c r="D2959" t="s">
        <v>40</v>
      </c>
      <c r="E2959" t="s">
        <v>41</v>
      </c>
      <c r="F2959" s="1">
        <v>46076.077881944446</v>
      </c>
      <c r="G2959" t="s">
        <v>42</v>
      </c>
      <c r="H2959" t="s">
        <v>43</v>
      </c>
      <c r="I2959" t="s">
        <v>11562</v>
      </c>
      <c r="J2959" t="s">
        <v>45</v>
      </c>
      <c r="K2959" t="s">
        <v>46</v>
      </c>
      <c r="M2959" t="s">
        <v>47</v>
      </c>
      <c r="O2959" t="s">
        <v>48</v>
      </c>
      <c r="P2959" t="s">
        <v>49</v>
      </c>
      <c r="Q2959" t="s">
        <v>50</v>
      </c>
      <c r="R2959" t="s">
        <v>51</v>
      </c>
      <c r="S2959" t="s">
        <v>52</v>
      </c>
      <c r="T2959" t="s">
        <v>53</v>
      </c>
      <c r="U2959" s="1">
        <v>46076.078553240739</v>
      </c>
      <c r="V2959" t="s">
        <v>54</v>
      </c>
      <c r="W2959" t="s">
        <v>55</v>
      </c>
      <c r="X2959" t="s">
        <v>56</v>
      </c>
      <c r="Y2959" t="s">
        <v>57</v>
      </c>
      <c r="Z2959" t="s">
        <v>5594</v>
      </c>
      <c r="AA2959" t="s">
        <v>54</v>
      </c>
      <c r="AB2959" t="s">
        <v>59</v>
      </c>
      <c r="AC2959" t="s">
        <v>60</v>
      </c>
      <c r="AD2959" t="s">
        <v>51</v>
      </c>
      <c r="AE2959" t="s">
        <v>52</v>
      </c>
      <c r="AF2959" t="s">
        <v>53</v>
      </c>
      <c r="AG2959" t="s">
        <v>5594</v>
      </c>
      <c r="AK2959">
        <v>0</v>
      </c>
      <c r="AL2959" t="s">
        <v>61</v>
      </c>
      <c r="AM2959" t="s">
        <v>59</v>
      </c>
      <c r="AN2959" t="s">
        <v>62</v>
      </c>
    </row>
    <row r="2960" spans="1:40" x14ac:dyDescent="0.35">
      <c r="A2960" t="s">
        <v>37</v>
      </c>
      <c r="B2960" t="s">
        <v>11563</v>
      </c>
      <c r="C2960" t="s">
        <v>39</v>
      </c>
      <c r="D2960" t="s">
        <v>430</v>
      </c>
      <c r="E2960" t="s">
        <v>4764</v>
      </c>
      <c r="F2960" s="1">
        <v>46076.076006944444</v>
      </c>
      <c r="G2960" t="s">
        <v>597</v>
      </c>
      <c r="H2960" t="s">
        <v>287</v>
      </c>
      <c r="I2960" t="s">
        <v>11564</v>
      </c>
      <c r="J2960" t="s">
        <v>950</v>
      </c>
      <c r="K2960" t="s">
        <v>951</v>
      </c>
      <c r="M2960" t="s">
        <v>76</v>
      </c>
      <c r="O2960" t="s">
        <v>77</v>
      </c>
      <c r="P2960" t="s">
        <v>78</v>
      </c>
      <c r="Q2960" t="s">
        <v>50</v>
      </c>
      <c r="R2960" t="s">
        <v>79</v>
      </c>
      <c r="S2960" t="s">
        <v>1556</v>
      </c>
      <c r="T2960" t="s">
        <v>1557</v>
      </c>
      <c r="U2960" s="1">
        <v>46077.35670138889</v>
      </c>
      <c r="V2960" t="s">
        <v>54</v>
      </c>
      <c r="W2960" t="s">
        <v>55</v>
      </c>
      <c r="X2960" t="s">
        <v>134</v>
      </c>
      <c r="Y2960" t="s">
        <v>11565</v>
      </c>
      <c r="Z2960" t="s">
        <v>58</v>
      </c>
      <c r="AA2960" t="s">
        <v>54</v>
      </c>
      <c r="AB2960" t="s">
        <v>3425</v>
      </c>
      <c r="AC2960" t="s">
        <v>85</v>
      </c>
      <c r="AD2960" t="s">
        <v>79</v>
      </c>
      <c r="AE2960" t="s">
        <v>1556</v>
      </c>
      <c r="AF2960" t="s">
        <v>1557</v>
      </c>
      <c r="AG2960" t="s">
        <v>58</v>
      </c>
      <c r="AH2960" t="s">
        <v>5700</v>
      </c>
      <c r="AK2960">
        <v>1</v>
      </c>
      <c r="AL2960" t="s">
        <v>61</v>
      </c>
      <c r="AM2960" t="s">
        <v>5701</v>
      </c>
      <c r="AN2960" t="s">
        <v>5702</v>
      </c>
    </row>
    <row r="2961" spans="1:40" x14ac:dyDescent="0.35">
      <c r="A2961" t="s">
        <v>37</v>
      </c>
      <c r="B2961" t="s">
        <v>11566</v>
      </c>
      <c r="C2961" t="s">
        <v>39</v>
      </c>
      <c r="D2961" t="s">
        <v>325</v>
      </c>
      <c r="E2961" t="s">
        <v>948</v>
      </c>
      <c r="F2961" s="1">
        <v>46076.07309027778</v>
      </c>
      <c r="G2961" t="s">
        <v>250</v>
      </c>
      <c r="H2961" t="s">
        <v>106</v>
      </c>
      <c r="I2961" t="s">
        <v>11564</v>
      </c>
      <c r="J2961" t="s">
        <v>5583</v>
      </c>
      <c r="K2961" t="s">
        <v>951</v>
      </c>
      <c r="M2961" t="s">
        <v>76</v>
      </c>
      <c r="O2961" t="s">
        <v>77</v>
      </c>
      <c r="P2961" t="s">
        <v>78</v>
      </c>
      <c r="Q2961" t="s">
        <v>50</v>
      </c>
      <c r="R2961" t="s">
        <v>79</v>
      </c>
      <c r="S2961" t="s">
        <v>1556</v>
      </c>
      <c r="T2961" t="s">
        <v>1557</v>
      </c>
      <c r="U2961" s="1">
        <v>46077.695289351854</v>
      </c>
      <c r="V2961" t="s">
        <v>54</v>
      </c>
      <c r="W2961" t="s">
        <v>55</v>
      </c>
      <c r="X2961" t="s">
        <v>134</v>
      </c>
      <c r="Y2961" t="s">
        <v>11567</v>
      </c>
      <c r="Z2961" t="s">
        <v>58</v>
      </c>
      <c r="AA2961" t="s">
        <v>54</v>
      </c>
      <c r="AB2961" t="s">
        <v>3425</v>
      </c>
      <c r="AC2961" t="s">
        <v>85</v>
      </c>
      <c r="AD2961" t="s">
        <v>79</v>
      </c>
      <c r="AE2961" t="s">
        <v>1556</v>
      </c>
      <c r="AF2961" t="s">
        <v>1557</v>
      </c>
      <c r="AG2961" t="s">
        <v>58</v>
      </c>
      <c r="AH2961">
        <v>13242</v>
      </c>
      <c r="AK2961">
        <v>1</v>
      </c>
      <c r="AL2961" t="s">
        <v>61</v>
      </c>
      <c r="AM2961" t="s">
        <v>11568</v>
      </c>
      <c r="AN2961" t="s">
        <v>11569</v>
      </c>
    </row>
    <row r="2962" spans="1:40" x14ac:dyDescent="0.35">
      <c r="A2962" t="s">
        <v>37</v>
      </c>
      <c r="B2962" t="s">
        <v>11570</v>
      </c>
      <c r="C2962" t="s">
        <v>39</v>
      </c>
      <c r="D2962" t="s">
        <v>11571</v>
      </c>
      <c r="E2962" t="s">
        <v>11572</v>
      </c>
      <c r="F2962" s="1">
        <v>46076.068726851852</v>
      </c>
      <c r="G2962" t="s">
        <v>105</v>
      </c>
      <c r="H2962" t="s">
        <v>106</v>
      </c>
      <c r="I2962" t="s">
        <v>11573</v>
      </c>
      <c r="J2962" t="s">
        <v>4244</v>
      </c>
      <c r="K2962" t="s">
        <v>951</v>
      </c>
      <c r="M2962" t="s">
        <v>131</v>
      </c>
      <c r="O2962" t="s">
        <v>77</v>
      </c>
      <c r="P2962" t="s">
        <v>78</v>
      </c>
      <c r="Q2962" t="s">
        <v>50</v>
      </c>
      <c r="R2962" t="s">
        <v>79</v>
      </c>
      <c r="S2962" t="s">
        <v>1556</v>
      </c>
      <c r="T2962" t="s">
        <v>1557</v>
      </c>
      <c r="U2962" s="1">
        <v>46077.488240740742</v>
      </c>
      <c r="V2962" t="s">
        <v>54</v>
      </c>
      <c r="W2962" t="s">
        <v>55</v>
      </c>
      <c r="X2962" t="s">
        <v>134</v>
      </c>
      <c r="Y2962" t="s">
        <v>11574</v>
      </c>
      <c r="Z2962" t="s">
        <v>58</v>
      </c>
      <c r="AA2962" t="s">
        <v>54</v>
      </c>
      <c r="AB2962" t="s">
        <v>3425</v>
      </c>
      <c r="AC2962" t="s">
        <v>85</v>
      </c>
      <c r="AD2962" t="s">
        <v>79</v>
      </c>
      <c r="AE2962" t="s">
        <v>1556</v>
      </c>
      <c r="AF2962" t="s">
        <v>1557</v>
      </c>
      <c r="AG2962" t="s">
        <v>58</v>
      </c>
      <c r="AH2962" t="s">
        <v>11575</v>
      </c>
      <c r="AK2962">
        <v>1</v>
      </c>
      <c r="AL2962" t="s">
        <v>61</v>
      </c>
      <c r="AM2962" t="s">
        <v>11576</v>
      </c>
      <c r="AN2962" t="s">
        <v>11577</v>
      </c>
    </row>
    <row r="2963" spans="1:40" x14ac:dyDescent="0.35">
      <c r="A2963" t="s">
        <v>37</v>
      </c>
      <c r="B2963" t="s">
        <v>11578</v>
      </c>
      <c r="C2963" t="s">
        <v>39</v>
      </c>
      <c r="D2963" t="s">
        <v>40</v>
      </c>
      <c r="E2963" t="s">
        <v>41</v>
      </c>
      <c r="F2963" s="1">
        <v>46076.057118055556</v>
      </c>
      <c r="G2963" t="s">
        <v>42</v>
      </c>
      <c r="H2963" t="s">
        <v>43</v>
      </c>
      <c r="I2963" t="s">
        <v>11579</v>
      </c>
      <c r="J2963" t="s">
        <v>45</v>
      </c>
      <c r="K2963" t="s">
        <v>46</v>
      </c>
      <c r="M2963" t="s">
        <v>47</v>
      </c>
      <c r="O2963" t="s">
        <v>48</v>
      </c>
      <c r="P2963" t="s">
        <v>49</v>
      </c>
      <c r="Q2963" t="s">
        <v>50</v>
      </c>
      <c r="R2963" t="s">
        <v>51</v>
      </c>
      <c r="S2963" t="s">
        <v>52</v>
      </c>
      <c r="T2963" t="s">
        <v>53</v>
      </c>
      <c r="U2963" s="1">
        <v>46076.057905092595</v>
      </c>
      <c r="V2963" t="s">
        <v>54</v>
      </c>
      <c r="W2963" t="s">
        <v>55</v>
      </c>
      <c r="X2963" t="s">
        <v>56</v>
      </c>
      <c r="Y2963" t="s">
        <v>57</v>
      </c>
      <c r="Z2963" t="s">
        <v>5594</v>
      </c>
      <c r="AA2963" t="s">
        <v>54</v>
      </c>
      <c r="AB2963" t="s">
        <v>59</v>
      </c>
      <c r="AC2963" t="s">
        <v>60</v>
      </c>
      <c r="AD2963" t="s">
        <v>51</v>
      </c>
      <c r="AE2963" t="s">
        <v>52</v>
      </c>
      <c r="AF2963" t="s">
        <v>53</v>
      </c>
      <c r="AG2963" t="s">
        <v>5594</v>
      </c>
      <c r="AK2963">
        <v>0</v>
      </c>
      <c r="AL2963" t="s">
        <v>61</v>
      </c>
      <c r="AM2963" t="s">
        <v>59</v>
      </c>
      <c r="AN2963" t="s">
        <v>62</v>
      </c>
    </row>
    <row r="2964" spans="1:40" x14ac:dyDescent="0.35">
      <c r="A2964" t="s">
        <v>37</v>
      </c>
      <c r="B2964" t="s">
        <v>11580</v>
      </c>
      <c r="C2964" t="s">
        <v>102</v>
      </c>
      <c r="D2964" t="s">
        <v>3486</v>
      </c>
      <c r="E2964" t="s">
        <v>3487</v>
      </c>
      <c r="F2964" s="1">
        <v>46076.040682870371</v>
      </c>
      <c r="G2964" t="s">
        <v>105</v>
      </c>
      <c r="H2964" t="s">
        <v>106</v>
      </c>
      <c r="I2964" t="s">
        <v>11581</v>
      </c>
      <c r="J2964" t="s">
        <v>108</v>
      </c>
      <c r="K2964" t="s">
        <v>571</v>
      </c>
      <c r="M2964" t="s">
        <v>76</v>
      </c>
      <c r="O2964" t="s">
        <v>77</v>
      </c>
      <c r="P2964" t="s">
        <v>78</v>
      </c>
      <c r="Q2964" t="s">
        <v>50</v>
      </c>
      <c r="R2964" t="s">
        <v>111</v>
      </c>
      <c r="S2964" t="s">
        <v>51</v>
      </c>
      <c r="T2964" t="s">
        <v>112</v>
      </c>
      <c r="U2964" s="1">
        <v>46076.099918981483</v>
      </c>
      <c r="V2964" t="s">
        <v>54</v>
      </c>
      <c r="W2964" t="s">
        <v>55</v>
      </c>
      <c r="X2964" t="s">
        <v>113</v>
      </c>
      <c r="Y2964" t="s">
        <v>11582</v>
      </c>
      <c r="Z2964" t="s">
        <v>58</v>
      </c>
      <c r="AA2964" t="s">
        <v>54</v>
      </c>
      <c r="AB2964" t="s">
        <v>115</v>
      </c>
      <c r="AC2964" t="s">
        <v>85</v>
      </c>
      <c r="AD2964" t="s">
        <v>116</v>
      </c>
      <c r="AE2964" t="s">
        <v>1541</v>
      </c>
      <c r="AF2964" t="s">
        <v>144</v>
      </c>
      <c r="AG2964" t="s">
        <v>58</v>
      </c>
      <c r="AH2964" t="s">
        <v>3491</v>
      </c>
      <c r="AK2964">
        <v>1</v>
      </c>
      <c r="AL2964" t="s">
        <v>61</v>
      </c>
      <c r="AM2964" t="s">
        <v>3492</v>
      </c>
      <c r="AN2964" t="s">
        <v>3493</v>
      </c>
    </row>
    <row r="2965" spans="1:40" x14ac:dyDescent="0.35">
      <c r="A2965" t="s">
        <v>37</v>
      </c>
      <c r="B2965" t="s">
        <v>11583</v>
      </c>
      <c r="C2965" t="s">
        <v>656</v>
      </c>
      <c r="D2965" t="s">
        <v>7283</v>
      </c>
      <c r="E2965" t="s">
        <v>7284</v>
      </c>
      <c r="F2965" s="1">
        <v>46076.037824074076</v>
      </c>
      <c r="G2965" t="s">
        <v>355</v>
      </c>
      <c r="H2965" t="s">
        <v>356</v>
      </c>
      <c r="I2965" t="s">
        <v>11584</v>
      </c>
      <c r="J2965" t="s">
        <v>7286</v>
      </c>
      <c r="K2965" t="s">
        <v>7287</v>
      </c>
      <c r="M2965" t="s">
        <v>76</v>
      </c>
      <c r="O2965" t="s">
        <v>77</v>
      </c>
      <c r="P2965" t="s">
        <v>78</v>
      </c>
      <c r="Q2965" t="s">
        <v>7288</v>
      </c>
      <c r="R2965" t="s">
        <v>1321</v>
      </c>
      <c r="S2965" t="s">
        <v>1718</v>
      </c>
      <c r="T2965" t="s">
        <v>1323</v>
      </c>
      <c r="U2965" s="1">
        <v>46077.460196759261</v>
      </c>
      <c r="V2965" t="s">
        <v>54</v>
      </c>
      <c r="W2965" t="s">
        <v>55</v>
      </c>
      <c r="X2965" t="s">
        <v>134</v>
      </c>
      <c r="Y2965" t="s">
        <v>11585</v>
      </c>
      <c r="Z2965" t="s">
        <v>58</v>
      </c>
      <c r="AA2965" t="s">
        <v>54</v>
      </c>
      <c r="AB2965" t="s">
        <v>3425</v>
      </c>
      <c r="AC2965" t="s">
        <v>85</v>
      </c>
      <c r="AD2965" t="s">
        <v>7291</v>
      </c>
      <c r="AE2965" t="s">
        <v>7292</v>
      </c>
      <c r="AF2965" t="s">
        <v>7293</v>
      </c>
      <c r="AG2965" t="s">
        <v>58</v>
      </c>
      <c r="AH2965" t="s">
        <v>7294</v>
      </c>
      <c r="AK2965">
        <v>0</v>
      </c>
      <c r="AL2965" t="s">
        <v>61</v>
      </c>
      <c r="AM2965" t="s">
        <v>7295</v>
      </c>
      <c r="AN2965" t="s">
        <v>7296</v>
      </c>
    </row>
    <row r="2966" spans="1:40" x14ac:dyDescent="0.35">
      <c r="A2966" t="s">
        <v>37</v>
      </c>
      <c r="B2966" t="s">
        <v>11586</v>
      </c>
      <c r="C2966" t="s">
        <v>102</v>
      </c>
      <c r="D2966" t="s">
        <v>568</v>
      </c>
      <c r="E2966" t="s">
        <v>569</v>
      </c>
      <c r="F2966" s="1">
        <v>46076.022835648146</v>
      </c>
      <c r="G2966" t="s">
        <v>105</v>
      </c>
      <c r="H2966" t="s">
        <v>106</v>
      </c>
      <c r="I2966" t="s">
        <v>5596</v>
      </c>
      <c r="J2966" t="s">
        <v>5597</v>
      </c>
      <c r="K2966" t="s">
        <v>2345</v>
      </c>
      <c r="M2966" t="s">
        <v>47</v>
      </c>
      <c r="O2966" t="s">
        <v>237</v>
      </c>
      <c r="P2966" t="s">
        <v>238</v>
      </c>
      <c r="Q2966" t="s">
        <v>448</v>
      </c>
      <c r="R2966" t="s">
        <v>111</v>
      </c>
      <c r="S2966" t="s">
        <v>51</v>
      </c>
      <c r="T2966" t="s">
        <v>5598</v>
      </c>
      <c r="U2966" s="1">
        <v>46076.023263888892</v>
      </c>
      <c r="V2966" t="s">
        <v>54</v>
      </c>
      <c r="W2966" t="s">
        <v>55</v>
      </c>
      <c r="X2966" t="s">
        <v>56</v>
      </c>
      <c r="Y2966" t="s">
        <v>5599</v>
      </c>
      <c r="Z2966" t="s">
        <v>5594</v>
      </c>
      <c r="AA2966" t="s">
        <v>54</v>
      </c>
      <c r="AB2966" t="s">
        <v>1212</v>
      </c>
      <c r="AC2966" t="s">
        <v>242</v>
      </c>
      <c r="AD2966" t="s">
        <v>51</v>
      </c>
      <c r="AE2966" t="s">
        <v>52</v>
      </c>
      <c r="AF2966" t="s">
        <v>240</v>
      </c>
      <c r="AG2966" t="s">
        <v>5594</v>
      </c>
      <c r="AK2966">
        <v>0</v>
      </c>
      <c r="AL2966" t="s">
        <v>61</v>
      </c>
      <c r="AM2966" t="s">
        <v>576</v>
      </c>
      <c r="AN2966" t="s">
        <v>577</v>
      </c>
    </row>
    <row r="2967" spans="1:40" x14ac:dyDescent="0.35">
      <c r="A2967" t="s">
        <v>37</v>
      </c>
      <c r="B2967" t="s">
        <v>11587</v>
      </c>
      <c r="C2967" t="s">
        <v>39</v>
      </c>
      <c r="D2967" t="s">
        <v>11588</v>
      </c>
      <c r="E2967" t="s">
        <v>11589</v>
      </c>
      <c r="F2967" s="1">
        <v>46076.003229166665</v>
      </c>
      <c r="G2967" t="s">
        <v>793</v>
      </c>
      <c r="H2967" t="s">
        <v>356</v>
      </c>
      <c r="I2967" t="s">
        <v>11590</v>
      </c>
      <c r="J2967" t="s">
        <v>2406</v>
      </c>
      <c r="K2967" t="s">
        <v>1187</v>
      </c>
      <c r="M2967" t="s">
        <v>131</v>
      </c>
      <c r="O2967" t="s">
        <v>77</v>
      </c>
      <c r="P2967" t="s">
        <v>78</v>
      </c>
      <c r="Q2967" t="s">
        <v>50</v>
      </c>
      <c r="R2967" t="s">
        <v>79</v>
      </c>
      <c r="S2967" t="s">
        <v>172</v>
      </c>
      <c r="T2967" t="s">
        <v>11591</v>
      </c>
      <c r="U2967" s="1">
        <v>46078.475289351853</v>
      </c>
      <c r="V2967" t="s">
        <v>54</v>
      </c>
      <c r="W2967" t="s">
        <v>55</v>
      </c>
      <c r="X2967" t="s">
        <v>134</v>
      </c>
      <c r="Y2967" t="s">
        <v>11592</v>
      </c>
      <c r="Z2967" t="s">
        <v>58</v>
      </c>
      <c r="AA2967" t="s">
        <v>54</v>
      </c>
      <c r="AB2967" t="s">
        <v>3425</v>
      </c>
      <c r="AC2967" t="s">
        <v>85</v>
      </c>
      <c r="AD2967" t="s">
        <v>1189</v>
      </c>
      <c r="AE2967" t="s">
        <v>3746</v>
      </c>
      <c r="AF2967" t="s">
        <v>7038</v>
      </c>
      <c r="AG2967" t="s">
        <v>58</v>
      </c>
      <c r="AH2967">
        <v>12710</v>
      </c>
      <c r="AK2967">
        <v>0</v>
      </c>
      <c r="AL2967" t="s">
        <v>61</v>
      </c>
      <c r="AM2967" t="s">
        <v>11593</v>
      </c>
      <c r="AN2967" t="s">
        <v>11594</v>
      </c>
    </row>
    <row r="2968" spans="1:40" x14ac:dyDescent="0.35">
      <c r="A2968" t="s">
        <v>37</v>
      </c>
      <c r="B2968" t="s">
        <v>11595</v>
      </c>
      <c r="C2968" t="s">
        <v>102</v>
      </c>
      <c r="D2968" t="s">
        <v>568</v>
      </c>
      <c r="E2968" t="s">
        <v>569</v>
      </c>
      <c r="F2968" s="1">
        <v>46075.999664351853</v>
      </c>
      <c r="G2968" t="s">
        <v>105</v>
      </c>
      <c r="H2968" t="s">
        <v>106</v>
      </c>
      <c r="I2968" t="s">
        <v>6008</v>
      </c>
      <c r="J2968" t="s">
        <v>5597</v>
      </c>
      <c r="K2968" t="s">
        <v>2345</v>
      </c>
      <c r="M2968" t="s">
        <v>47</v>
      </c>
      <c r="O2968" t="s">
        <v>237</v>
      </c>
      <c r="P2968" t="s">
        <v>238</v>
      </c>
      <c r="Q2968" t="s">
        <v>448</v>
      </c>
      <c r="R2968" t="s">
        <v>111</v>
      </c>
      <c r="S2968" t="s">
        <v>51</v>
      </c>
      <c r="T2968" t="s">
        <v>5598</v>
      </c>
      <c r="U2968" s="1">
        <v>46076.012858796297</v>
      </c>
      <c r="V2968" t="s">
        <v>54</v>
      </c>
      <c r="W2968" t="s">
        <v>55</v>
      </c>
      <c r="X2968" t="s">
        <v>56</v>
      </c>
      <c r="Y2968" t="s">
        <v>5599</v>
      </c>
      <c r="Z2968" t="s">
        <v>5594</v>
      </c>
      <c r="AA2968" t="s">
        <v>54</v>
      </c>
      <c r="AB2968" t="s">
        <v>1212</v>
      </c>
      <c r="AC2968" t="s">
        <v>242</v>
      </c>
      <c r="AD2968" t="s">
        <v>51</v>
      </c>
      <c r="AE2968" t="s">
        <v>52</v>
      </c>
      <c r="AF2968" t="s">
        <v>240</v>
      </c>
      <c r="AG2968" t="s">
        <v>5594</v>
      </c>
      <c r="AK2968">
        <v>0</v>
      </c>
      <c r="AL2968" t="s">
        <v>61</v>
      </c>
      <c r="AM2968" t="s">
        <v>576</v>
      </c>
      <c r="AN2968" t="s">
        <v>577</v>
      </c>
    </row>
    <row r="2969" spans="1:40" x14ac:dyDescent="0.35">
      <c r="A2969" t="s">
        <v>37</v>
      </c>
      <c r="B2969" t="s">
        <v>11596</v>
      </c>
      <c r="C2969" t="s">
        <v>102</v>
      </c>
      <c r="D2969" t="s">
        <v>568</v>
      </c>
      <c r="E2969" t="s">
        <v>569</v>
      </c>
      <c r="F2969" s="1">
        <v>46075.997916666667</v>
      </c>
      <c r="G2969" t="s">
        <v>105</v>
      </c>
      <c r="H2969" t="s">
        <v>106</v>
      </c>
      <c r="I2969" t="s">
        <v>5596</v>
      </c>
      <c r="J2969" t="s">
        <v>5597</v>
      </c>
      <c r="K2969" t="s">
        <v>2345</v>
      </c>
      <c r="M2969" t="s">
        <v>47</v>
      </c>
      <c r="O2969" t="s">
        <v>237</v>
      </c>
      <c r="P2969" t="s">
        <v>238</v>
      </c>
      <c r="Q2969" t="s">
        <v>448</v>
      </c>
      <c r="R2969" t="s">
        <v>111</v>
      </c>
      <c r="S2969" t="s">
        <v>51</v>
      </c>
      <c r="T2969" t="s">
        <v>5598</v>
      </c>
      <c r="U2969" s="1">
        <v>46075.998287037037</v>
      </c>
      <c r="V2969" t="s">
        <v>54</v>
      </c>
      <c r="W2969" t="s">
        <v>55</v>
      </c>
      <c r="X2969" t="s">
        <v>56</v>
      </c>
      <c r="Y2969" t="s">
        <v>5599</v>
      </c>
      <c r="Z2969" t="s">
        <v>5594</v>
      </c>
      <c r="AA2969" t="s">
        <v>54</v>
      </c>
      <c r="AB2969" t="s">
        <v>1212</v>
      </c>
      <c r="AC2969" t="s">
        <v>242</v>
      </c>
      <c r="AD2969" t="s">
        <v>51</v>
      </c>
      <c r="AE2969" t="s">
        <v>52</v>
      </c>
      <c r="AF2969" t="s">
        <v>240</v>
      </c>
      <c r="AG2969" t="s">
        <v>5594</v>
      </c>
      <c r="AK2969">
        <v>0</v>
      </c>
      <c r="AL2969" t="s">
        <v>61</v>
      </c>
      <c r="AM2969" t="s">
        <v>576</v>
      </c>
      <c r="AN2969" t="s">
        <v>577</v>
      </c>
    </row>
    <row r="2970" spans="1:40" x14ac:dyDescent="0.35">
      <c r="A2970" t="s">
        <v>37</v>
      </c>
      <c r="B2970" t="s">
        <v>11597</v>
      </c>
      <c r="C2970" t="s">
        <v>39</v>
      </c>
      <c r="D2970" t="s">
        <v>545</v>
      </c>
      <c r="E2970" t="s">
        <v>11598</v>
      </c>
      <c r="F2970" s="1">
        <v>46075.99554398148</v>
      </c>
      <c r="G2970" t="s">
        <v>402</v>
      </c>
      <c r="H2970" t="s">
        <v>72</v>
      </c>
      <c r="I2970" t="s">
        <v>171</v>
      </c>
      <c r="J2970" t="s">
        <v>3423</v>
      </c>
      <c r="K2970" t="s">
        <v>75</v>
      </c>
      <c r="M2970" t="s">
        <v>47</v>
      </c>
      <c r="O2970" t="s">
        <v>77</v>
      </c>
      <c r="P2970" t="s">
        <v>78</v>
      </c>
      <c r="Q2970" t="s">
        <v>2485</v>
      </c>
      <c r="R2970" t="s">
        <v>79</v>
      </c>
      <c r="S2970" t="s">
        <v>172</v>
      </c>
      <c r="T2970" t="s">
        <v>173</v>
      </c>
      <c r="U2970" s="1">
        <v>46076.064351851855</v>
      </c>
      <c r="V2970" t="s">
        <v>54</v>
      </c>
      <c r="W2970" t="s">
        <v>55</v>
      </c>
      <c r="X2970" t="s">
        <v>82</v>
      </c>
      <c r="Y2970" t="s">
        <v>3424</v>
      </c>
      <c r="Z2970" t="s">
        <v>5594</v>
      </c>
      <c r="AA2970" t="s">
        <v>54</v>
      </c>
      <c r="AB2970" t="s">
        <v>3425</v>
      </c>
      <c r="AC2970" t="s">
        <v>85</v>
      </c>
      <c r="AD2970" t="s">
        <v>79</v>
      </c>
      <c r="AE2970" t="s">
        <v>172</v>
      </c>
      <c r="AF2970" t="s">
        <v>173</v>
      </c>
      <c r="AG2970" t="s">
        <v>5594</v>
      </c>
      <c r="AH2970">
        <v>7485</v>
      </c>
      <c r="AK2970">
        <v>0</v>
      </c>
      <c r="AL2970" t="s">
        <v>61</v>
      </c>
      <c r="AM2970" t="s">
        <v>11599</v>
      </c>
      <c r="AN2970" t="s">
        <v>11600</v>
      </c>
    </row>
    <row r="2971" spans="1:40" x14ac:dyDescent="0.35">
      <c r="A2971" t="s">
        <v>37</v>
      </c>
      <c r="B2971" t="s">
        <v>11601</v>
      </c>
      <c r="C2971" t="s">
        <v>102</v>
      </c>
      <c r="D2971" t="s">
        <v>568</v>
      </c>
      <c r="E2971" t="s">
        <v>569</v>
      </c>
      <c r="F2971" s="1">
        <v>46075.99591435185</v>
      </c>
      <c r="G2971" t="s">
        <v>105</v>
      </c>
      <c r="H2971" t="s">
        <v>106</v>
      </c>
      <c r="I2971" t="s">
        <v>5596</v>
      </c>
      <c r="J2971" t="s">
        <v>5597</v>
      </c>
      <c r="K2971" t="s">
        <v>2345</v>
      </c>
      <c r="M2971" t="s">
        <v>47</v>
      </c>
      <c r="O2971" t="s">
        <v>237</v>
      </c>
      <c r="P2971" t="s">
        <v>238</v>
      </c>
      <c r="Q2971" t="s">
        <v>448</v>
      </c>
      <c r="R2971" t="s">
        <v>111</v>
      </c>
      <c r="S2971" t="s">
        <v>51</v>
      </c>
      <c r="T2971" t="s">
        <v>5598</v>
      </c>
      <c r="U2971" s="1">
        <v>46075.996365740742</v>
      </c>
      <c r="V2971" t="s">
        <v>54</v>
      </c>
      <c r="W2971" t="s">
        <v>55</v>
      </c>
      <c r="X2971" t="s">
        <v>56</v>
      </c>
      <c r="Y2971" t="s">
        <v>5599</v>
      </c>
      <c r="Z2971" t="s">
        <v>5594</v>
      </c>
      <c r="AA2971" t="s">
        <v>54</v>
      </c>
      <c r="AB2971" t="s">
        <v>1212</v>
      </c>
      <c r="AC2971" t="s">
        <v>242</v>
      </c>
      <c r="AD2971" t="s">
        <v>51</v>
      </c>
      <c r="AE2971" t="s">
        <v>52</v>
      </c>
      <c r="AF2971" t="s">
        <v>240</v>
      </c>
      <c r="AG2971" t="s">
        <v>5594</v>
      </c>
      <c r="AK2971">
        <v>0</v>
      </c>
      <c r="AL2971" t="s">
        <v>61</v>
      </c>
      <c r="AM2971" t="s">
        <v>576</v>
      </c>
      <c r="AN2971" t="s">
        <v>577</v>
      </c>
    </row>
    <row r="2972" spans="1:40" x14ac:dyDescent="0.35">
      <c r="A2972" t="s">
        <v>37</v>
      </c>
      <c r="B2972" t="s">
        <v>11602</v>
      </c>
      <c r="C2972" t="s">
        <v>102</v>
      </c>
      <c r="D2972" t="s">
        <v>568</v>
      </c>
      <c r="E2972" t="s">
        <v>569</v>
      </c>
      <c r="F2972" s="1">
        <v>46075.993796296294</v>
      </c>
      <c r="G2972" t="s">
        <v>105</v>
      </c>
      <c r="H2972" t="s">
        <v>106</v>
      </c>
      <c r="I2972" t="s">
        <v>5596</v>
      </c>
      <c r="J2972" t="s">
        <v>5597</v>
      </c>
      <c r="K2972" t="s">
        <v>2345</v>
      </c>
      <c r="M2972" t="s">
        <v>47</v>
      </c>
      <c r="O2972" t="s">
        <v>237</v>
      </c>
      <c r="P2972" t="s">
        <v>238</v>
      </c>
      <c r="Q2972" t="s">
        <v>448</v>
      </c>
      <c r="R2972" t="s">
        <v>111</v>
      </c>
      <c r="S2972" t="s">
        <v>51</v>
      </c>
      <c r="T2972" t="s">
        <v>5598</v>
      </c>
      <c r="U2972" s="1">
        <v>46075.994375000002</v>
      </c>
      <c r="V2972" t="s">
        <v>54</v>
      </c>
      <c r="W2972" t="s">
        <v>55</v>
      </c>
      <c r="X2972" t="s">
        <v>56</v>
      </c>
      <c r="Y2972" t="s">
        <v>5599</v>
      </c>
      <c r="Z2972" t="s">
        <v>5594</v>
      </c>
      <c r="AA2972" t="s">
        <v>54</v>
      </c>
      <c r="AB2972" t="s">
        <v>1212</v>
      </c>
      <c r="AC2972" t="s">
        <v>242</v>
      </c>
      <c r="AD2972" t="s">
        <v>51</v>
      </c>
      <c r="AE2972" t="s">
        <v>52</v>
      </c>
      <c r="AF2972" t="s">
        <v>240</v>
      </c>
      <c r="AG2972" t="s">
        <v>5594</v>
      </c>
      <c r="AK2972">
        <v>0</v>
      </c>
      <c r="AL2972" t="s">
        <v>61</v>
      </c>
      <c r="AM2972" t="s">
        <v>576</v>
      </c>
      <c r="AN2972" t="s">
        <v>577</v>
      </c>
    </row>
    <row r="2973" spans="1:40" x14ac:dyDescent="0.35">
      <c r="A2973" t="s">
        <v>37</v>
      </c>
      <c r="B2973" t="s">
        <v>11603</v>
      </c>
      <c r="C2973" t="s">
        <v>39</v>
      </c>
      <c r="D2973" t="s">
        <v>383</v>
      </c>
      <c r="E2973" t="s">
        <v>384</v>
      </c>
      <c r="F2973" s="1">
        <v>46073.493981481479</v>
      </c>
      <c r="G2973" t="s">
        <v>355</v>
      </c>
      <c r="H2973" t="s">
        <v>356</v>
      </c>
      <c r="I2973" t="s">
        <v>11604</v>
      </c>
      <c r="J2973" t="s">
        <v>358</v>
      </c>
      <c r="K2973" t="s">
        <v>359</v>
      </c>
      <c r="M2973" t="s">
        <v>47</v>
      </c>
      <c r="O2973" t="s">
        <v>77</v>
      </c>
      <c r="P2973" t="s">
        <v>78</v>
      </c>
      <c r="Q2973" t="s">
        <v>50</v>
      </c>
      <c r="R2973" t="s">
        <v>51</v>
      </c>
      <c r="S2973" t="s">
        <v>52</v>
      </c>
      <c r="T2973" t="s">
        <v>53</v>
      </c>
      <c r="U2973" s="1">
        <v>46073.497175925928</v>
      </c>
      <c r="V2973" t="s">
        <v>54</v>
      </c>
      <c r="W2973" t="s">
        <v>55</v>
      </c>
      <c r="X2973" t="s">
        <v>113</v>
      </c>
      <c r="Y2973" t="s">
        <v>11605</v>
      </c>
      <c r="Z2973" t="s">
        <v>5594</v>
      </c>
      <c r="AA2973" t="s">
        <v>54</v>
      </c>
      <c r="AB2973" t="s">
        <v>361</v>
      </c>
      <c r="AC2973" t="s">
        <v>85</v>
      </c>
      <c r="AD2973" t="s">
        <v>52</v>
      </c>
      <c r="AE2973" t="s">
        <v>999</v>
      </c>
      <c r="AF2973" t="s">
        <v>1770</v>
      </c>
      <c r="AG2973" t="s">
        <v>5594</v>
      </c>
      <c r="AH2973" t="s">
        <v>387</v>
      </c>
      <c r="AK2973">
        <v>0</v>
      </c>
      <c r="AL2973" t="s">
        <v>61</v>
      </c>
      <c r="AM2973" t="s">
        <v>388</v>
      </c>
      <c r="AN2973" t="s">
        <v>389</v>
      </c>
    </row>
    <row r="2974" spans="1:40" x14ac:dyDescent="0.35">
      <c r="A2974" t="s">
        <v>37</v>
      </c>
      <c r="B2974" t="s">
        <v>11606</v>
      </c>
      <c r="C2974" t="s">
        <v>39</v>
      </c>
      <c r="D2974" t="s">
        <v>353</v>
      </c>
      <c r="E2974" t="s">
        <v>354</v>
      </c>
      <c r="F2974" s="1">
        <v>46073.491736111115</v>
      </c>
      <c r="G2974" t="s">
        <v>355</v>
      </c>
      <c r="H2974" t="s">
        <v>356</v>
      </c>
      <c r="I2974" t="s">
        <v>11607</v>
      </c>
      <c r="J2974" t="s">
        <v>358</v>
      </c>
      <c r="K2974" t="s">
        <v>359</v>
      </c>
      <c r="M2974" t="s">
        <v>47</v>
      </c>
      <c r="O2974" t="s">
        <v>77</v>
      </c>
      <c r="P2974" t="s">
        <v>78</v>
      </c>
      <c r="Q2974" t="s">
        <v>50</v>
      </c>
      <c r="R2974" t="s">
        <v>51</v>
      </c>
      <c r="S2974" t="s">
        <v>52</v>
      </c>
      <c r="T2974" t="s">
        <v>53</v>
      </c>
      <c r="U2974" s="1">
        <v>46073.496712962966</v>
      </c>
      <c r="V2974" t="s">
        <v>54</v>
      </c>
      <c r="W2974" t="s">
        <v>55</v>
      </c>
      <c r="X2974" t="s">
        <v>113</v>
      </c>
      <c r="Y2974" t="s">
        <v>11608</v>
      </c>
      <c r="Z2974" t="s">
        <v>5594</v>
      </c>
      <c r="AA2974" t="s">
        <v>54</v>
      </c>
      <c r="AB2974" t="s">
        <v>361</v>
      </c>
      <c r="AC2974" t="s">
        <v>85</v>
      </c>
      <c r="AD2974" t="s">
        <v>52</v>
      </c>
      <c r="AE2974" t="s">
        <v>999</v>
      </c>
      <c r="AF2974" t="s">
        <v>1770</v>
      </c>
      <c r="AG2974" t="s">
        <v>5594</v>
      </c>
      <c r="AH2974" t="s">
        <v>364</v>
      </c>
      <c r="AK2974">
        <v>0</v>
      </c>
      <c r="AL2974" t="s">
        <v>61</v>
      </c>
      <c r="AM2974" t="s">
        <v>365</v>
      </c>
      <c r="AN2974" t="s">
        <v>366</v>
      </c>
    </row>
    <row r="2975" spans="1:40" x14ac:dyDescent="0.35">
      <c r="A2975" t="s">
        <v>37</v>
      </c>
      <c r="B2975" t="s">
        <v>11609</v>
      </c>
      <c r="C2975" t="s">
        <v>39</v>
      </c>
      <c r="D2975" t="s">
        <v>353</v>
      </c>
      <c r="E2975" t="s">
        <v>354</v>
      </c>
      <c r="F2975" s="1">
        <v>46073.476319444446</v>
      </c>
      <c r="G2975" t="s">
        <v>355</v>
      </c>
      <c r="H2975" t="s">
        <v>356</v>
      </c>
      <c r="I2975" t="s">
        <v>11610</v>
      </c>
      <c r="J2975" t="s">
        <v>358</v>
      </c>
      <c r="K2975" t="s">
        <v>359</v>
      </c>
      <c r="M2975" t="s">
        <v>47</v>
      </c>
      <c r="O2975" t="s">
        <v>77</v>
      </c>
      <c r="P2975" t="s">
        <v>78</v>
      </c>
      <c r="Q2975" t="s">
        <v>50</v>
      </c>
      <c r="R2975" t="s">
        <v>51</v>
      </c>
      <c r="S2975" t="s">
        <v>52</v>
      </c>
      <c r="T2975" t="s">
        <v>53</v>
      </c>
      <c r="U2975" s="1">
        <v>46073.496354166666</v>
      </c>
      <c r="V2975" t="s">
        <v>54</v>
      </c>
      <c r="W2975" t="s">
        <v>55</v>
      </c>
      <c r="X2975" t="s">
        <v>113</v>
      </c>
      <c r="Y2975" t="s">
        <v>11611</v>
      </c>
      <c r="Z2975" t="s">
        <v>5594</v>
      </c>
      <c r="AA2975" t="s">
        <v>54</v>
      </c>
      <c r="AB2975" t="s">
        <v>361</v>
      </c>
      <c r="AC2975" t="s">
        <v>85</v>
      </c>
      <c r="AD2975" t="s">
        <v>52</v>
      </c>
      <c r="AE2975" t="s">
        <v>999</v>
      </c>
      <c r="AF2975" t="s">
        <v>1770</v>
      </c>
      <c r="AG2975" t="s">
        <v>5594</v>
      </c>
      <c r="AH2975" t="s">
        <v>364</v>
      </c>
      <c r="AK2975">
        <v>0</v>
      </c>
      <c r="AL2975" t="s">
        <v>61</v>
      </c>
      <c r="AM2975" t="s">
        <v>365</v>
      </c>
      <c r="AN2975" t="s">
        <v>366</v>
      </c>
    </row>
    <row r="2976" spans="1:40" x14ac:dyDescent="0.35">
      <c r="A2976" t="s">
        <v>37</v>
      </c>
      <c r="B2976" t="s">
        <v>11612</v>
      </c>
      <c r="C2976" t="s">
        <v>39</v>
      </c>
      <c r="D2976" t="s">
        <v>1429</v>
      </c>
      <c r="E2976" t="s">
        <v>230</v>
      </c>
      <c r="F2976" s="1">
        <v>46073.377511574072</v>
      </c>
      <c r="G2976" t="s">
        <v>71</v>
      </c>
      <c r="H2976" t="s">
        <v>72</v>
      </c>
      <c r="I2976" t="s">
        <v>11613</v>
      </c>
      <c r="J2976" t="s">
        <v>1555</v>
      </c>
      <c r="K2976" t="s">
        <v>951</v>
      </c>
      <c r="M2976" t="s">
        <v>47</v>
      </c>
      <c r="O2976" t="s">
        <v>77</v>
      </c>
      <c r="P2976" t="s">
        <v>78</v>
      </c>
      <c r="Q2976" t="s">
        <v>50</v>
      </c>
      <c r="R2976" t="s">
        <v>79</v>
      </c>
      <c r="S2976" t="s">
        <v>975</v>
      </c>
      <c r="T2976" t="s">
        <v>976</v>
      </c>
      <c r="U2976" s="1">
        <v>46073.4921412037</v>
      </c>
      <c r="V2976" t="s">
        <v>54</v>
      </c>
      <c r="W2976" t="s">
        <v>55</v>
      </c>
      <c r="X2976" t="s">
        <v>113</v>
      </c>
      <c r="Y2976" t="s">
        <v>11614</v>
      </c>
      <c r="Z2976" t="s">
        <v>5594</v>
      </c>
      <c r="AA2976" t="s">
        <v>54</v>
      </c>
      <c r="AB2976" t="s">
        <v>2654</v>
      </c>
      <c r="AC2976" t="s">
        <v>85</v>
      </c>
      <c r="AD2976" t="s">
        <v>79</v>
      </c>
      <c r="AE2976" t="s">
        <v>975</v>
      </c>
      <c r="AF2976" t="s">
        <v>3622</v>
      </c>
      <c r="AG2976" t="s">
        <v>5594</v>
      </c>
      <c r="AH2976">
        <v>13011</v>
      </c>
      <c r="AK2976">
        <v>0</v>
      </c>
      <c r="AL2976" t="s">
        <v>61</v>
      </c>
      <c r="AM2976" t="s">
        <v>11615</v>
      </c>
      <c r="AN2976" t="s">
        <v>11616</v>
      </c>
    </row>
    <row r="2977" spans="1:40" x14ac:dyDescent="0.35">
      <c r="A2977" t="s">
        <v>37</v>
      </c>
      <c r="B2977" t="s">
        <v>11617</v>
      </c>
      <c r="C2977" t="s">
        <v>39</v>
      </c>
      <c r="D2977" t="s">
        <v>960</v>
      </c>
      <c r="E2977" t="s">
        <v>961</v>
      </c>
      <c r="F2977" s="1">
        <v>46072.490567129629</v>
      </c>
      <c r="G2977" t="s">
        <v>355</v>
      </c>
      <c r="H2977" t="s">
        <v>356</v>
      </c>
      <c r="I2977" t="s">
        <v>11618</v>
      </c>
      <c r="J2977" t="s">
        <v>963</v>
      </c>
      <c r="K2977" t="s">
        <v>964</v>
      </c>
      <c r="M2977" t="s">
        <v>47</v>
      </c>
      <c r="O2977" t="s">
        <v>77</v>
      </c>
      <c r="P2977" t="s">
        <v>78</v>
      </c>
      <c r="Q2977" t="s">
        <v>50</v>
      </c>
      <c r="R2977" t="s">
        <v>51</v>
      </c>
      <c r="S2977" t="s">
        <v>52</v>
      </c>
      <c r="T2977" t="s">
        <v>240</v>
      </c>
      <c r="U2977" s="1">
        <v>46072.493206018517</v>
      </c>
      <c r="V2977" t="s">
        <v>54</v>
      </c>
      <c r="W2977" t="s">
        <v>55</v>
      </c>
      <c r="X2977" t="s">
        <v>113</v>
      </c>
      <c r="Y2977" t="s">
        <v>11619</v>
      </c>
      <c r="Z2977" t="s">
        <v>5594</v>
      </c>
      <c r="AA2977" t="s">
        <v>54</v>
      </c>
      <c r="AB2977" t="s">
        <v>966</v>
      </c>
      <c r="AC2977" t="s">
        <v>85</v>
      </c>
      <c r="AD2977" t="s">
        <v>52</v>
      </c>
      <c r="AE2977" t="s">
        <v>967</v>
      </c>
      <c r="AF2977" t="s">
        <v>2563</v>
      </c>
      <c r="AG2977" t="s">
        <v>5594</v>
      </c>
      <c r="AH2977" t="s">
        <v>969</v>
      </c>
      <c r="AK2977">
        <v>0</v>
      </c>
      <c r="AL2977" t="s">
        <v>61</v>
      </c>
      <c r="AM2977" t="s">
        <v>966</v>
      </c>
      <c r="AN2977" t="s">
        <v>970</v>
      </c>
    </row>
    <row r="2978" spans="1:40" x14ac:dyDescent="0.35">
      <c r="A2978" t="s">
        <v>37</v>
      </c>
      <c r="B2978" t="s">
        <v>11620</v>
      </c>
      <c r="C2978" t="s">
        <v>39</v>
      </c>
      <c r="D2978" t="s">
        <v>960</v>
      </c>
      <c r="E2978" t="s">
        <v>961</v>
      </c>
      <c r="F2978" s="1">
        <v>46072.489976851852</v>
      </c>
      <c r="G2978" t="s">
        <v>355</v>
      </c>
      <c r="H2978" t="s">
        <v>356</v>
      </c>
      <c r="I2978" t="s">
        <v>11621</v>
      </c>
      <c r="J2978" t="s">
        <v>963</v>
      </c>
      <c r="K2978" t="s">
        <v>964</v>
      </c>
      <c r="M2978" t="s">
        <v>131</v>
      </c>
      <c r="O2978" t="s">
        <v>77</v>
      </c>
      <c r="P2978" t="s">
        <v>78</v>
      </c>
      <c r="Q2978" t="s">
        <v>50</v>
      </c>
      <c r="R2978" t="s">
        <v>51</v>
      </c>
      <c r="S2978" t="s">
        <v>52</v>
      </c>
      <c r="T2978" t="s">
        <v>773</v>
      </c>
      <c r="U2978" s="1">
        <v>46076.489317129628</v>
      </c>
      <c r="V2978" t="s">
        <v>54</v>
      </c>
      <c r="W2978" t="s">
        <v>55</v>
      </c>
      <c r="X2978" t="s">
        <v>113</v>
      </c>
      <c r="Y2978" t="s">
        <v>11622</v>
      </c>
      <c r="Z2978" t="s">
        <v>58</v>
      </c>
      <c r="AA2978" t="s">
        <v>54</v>
      </c>
      <c r="AB2978" t="s">
        <v>966</v>
      </c>
      <c r="AC2978" t="s">
        <v>85</v>
      </c>
      <c r="AD2978" t="s">
        <v>52</v>
      </c>
      <c r="AE2978" t="s">
        <v>438</v>
      </c>
      <c r="AF2978" t="s">
        <v>2204</v>
      </c>
      <c r="AG2978" t="s">
        <v>58</v>
      </c>
      <c r="AH2978" t="s">
        <v>969</v>
      </c>
      <c r="AK2978">
        <v>0</v>
      </c>
      <c r="AL2978" t="s">
        <v>61</v>
      </c>
      <c r="AM2978" t="s">
        <v>966</v>
      </c>
      <c r="AN2978" t="s">
        <v>970</v>
      </c>
    </row>
    <row r="2979" spans="1:40" x14ac:dyDescent="0.35">
      <c r="A2979" t="s">
        <v>37</v>
      </c>
      <c r="B2979" t="s">
        <v>11623</v>
      </c>
      <c r="C2979" t="s">
        <v>39</v>
      </c>
      <c r="D2979" t="s">
        <v>960</v>
      </c>
      <c r="E2979" t="s">
        <v>961</v>
      </c>
      <c r="F2979" s="1">
        <v>46072.489236111112</v>
      </c>
      <c r="G2979" t="s">
        <v>355</v>
      </c>
      <c r="H2979" t="s">
        <v>356</v>
      </c>
      <c r="I2979" t="s">
        <v>11624</v>
      </c>
      <c r="J2979" t="s">
        <v>963</v>
      </c>
      <c r="K2979" t="s">
        <v>964</v>
      </c>
      <c r="M2979" t="s">
        <v>131</v>
      </c>
      <c r="O2979" t="s">
        <v>77</v>
      </c>
      <c r="P2979" t="s">
        <v>78</v>
      </c>
      <c r="Q2979" t="s">
        <v>50</v>
      </c>
      <c r="R2979" t="s">
        <v>51</v>
      </c>
      <c r="S2979" t="s">
        <v>52</v>
      </c>
      <c r="T2979" t="s">
        <v>240</v>
      </c>
      <c r="U2979" s="1">
        <v>46076.488564814812</v>
      </c>
      <c r="V2979" t="s">
        <v>54</v>
      </c>
      <c r="W2979" t="s">
        <v>55</v>
      </c>
      <c r="X2979" t="s">
        <v>113</v>
      </c>
      <c r="Y2979" t="s">
        <v>11625</v>
      </c>
      <c r="Z2979" t="s">
        <v>58</v>
      </c>
      <c r="AA2979" t="s">
        <v>54</v>
      </c>
      <c r="AB2979" t="s">
        <v>966</v>
      </c>
      <c r="AC2979" t="s">
        <v>85</v>
      </c>
      <c r="AD2979" t="s">
        <v>52</v>
      </c>
      <c r="AE2979" t="s">
        <v>243</v>
      </c>
      <c r="AF2979" t="s">
        <v>1470</v>
      </c>
      <c r="AG2979" t="s">
        <v>58</v>
      </c>
      <c r="AH2979" t="s">
        <v>969</v>
      </c>
      <c r="AK2979">
        <v>0</v>
      </c>
      <c r="AL2979" t="s">
        <v>61</v>
      </c>
      <c r="AM2979" t="s">
        <v>966</v>
      </c>
      <c r="AN2979" t="s">
        <v>970</v>
      </c>
    </row>
    <row r="2980" spans="1:40" x14ac:dyDescent="0.35">
      <c r="A2980" t="s">
        <v>37</v>
      </c>
      <c r="B2980" t="s">
        <v>11626</v>
      </c>
      <c r="C2980" t="s">
        <v>39</v>
      </c>
      <c r="D2980" t="s">
        <v>3339</v>
      </c>
      <c r="E2980" t="s">
        <v>3340</v>
      </c>
      <c r="F2980" s="1">
        <v>46072.484826388885</v>
      </c>
      <c r="G2980" t="s">
        <v>355</v>
      </c>
      <c r="H2980" t="s">
        <v>356</v>
      </c>
      <c r="I2980" t="s">
        <v>11627</v>
      </c>
      <c r="J2980" t="s">
        <v>1823</v>
      </c>
      <c r="K2980" t="s">
        <v>1824</v>
      </c>
      <c r="M2980" t="s">
        <v>47</v>
      </c>
      <c r="O2980" t="s">
        <v>77</v>
      </c>
      <c r="P2980" t="s">
        <v>78</v>
      </c>
      <c r="Q2980" t="s">
        <v>1174</v>
      </c>
      <c r="R2980" t="s">
        <v>51</v>
      </c>
      <c r="S2980" t="s">
        <v>52</v>
      </c>
      <c r="T2980" t="s">
        <v>997</v>
      </c>
      <c r="U2980" s="1">
        <v>46072.500775462962</v>
      </c>
      <c r="V2980" t="s">
        <v>54</v>
      </c>
      <c r="W2980" t="s">
        <v>55</v>
      </c>
      <c r="X2980" t="s">
        <v>113</v>
      </c>
      <c r="Y2980" t="s">
        <v>11628</v>
      </c>
      <c r="Z2980" t="s">
        <v>5594</v>
      </c>
      <c r="AA2980" t="s">
        <v>54</v>
      </c>
      <c r="AB2980" t="s">
        <v>1826</v>
      </c>
      <c r="AC2980" t="s">
        <v>85</v>
      </c>
      <c r="AD2980" t="s">
        <v>52</v>
      </c>
      <c r="AE2980" t="s">
        <v>999</v>
      </c>
      <c r="AF2980" t="s">
        <v>1000</v>
      </c>
      <c r="AG2980" t="s">
        <v>5594</v>
      </c>
      <c r="AH2980" t="s">
        <v>3343</v>
      </c>
      <c r="AK2980">
        <v>0</v>
      </c>
      <c r="AL2980" t="s">
        <v>61</v>
      </c>
      <c r="AM2980" t="s">
        <v>3342</v>
      </c>
      <c r="AN2980" t="s">
        <v>3344</v>
      </c>
    </row>
    <row r="2981" spans="1:40" x14ac:dyDescent="0.35">
      <c r="A2981" t="s">
        <v>37</v>
      </c>
      <c r="B2981" t="s">
        <v>11629</v>
      </c>
      <c r="C2981" t="s">
        <v>39</v>
      </c>
      <c r="D2981" t="s">
        <v>960</v>
      </c>
      <c r="E2981" t="s">
        <v>961</v>
      </c>
      <c r="F2981" s="1">
        <v>46072.403877314813</v>
      </c>
      <c r="G2981" t="s">
        <v>355</v>
      </c>
      <c r="H2981" t="s">
        <v>356</v>
      </c>
      <c r="I2981" t="s">
        <v>11630</v>
      </c>
      <c r="J2981" t="s">
        <v>963</v>
      </c>
      <c r="K2981" t="s">
        <v>964</v>
      </c>
      <c r="M2981" t="s">
        <v>131</v>
      </c>
      <c r="O2981" t="s">
        <v>77</v>
      </c>
      <c r="P2981" t="s">
        <v>78</v>
      </c>
      <c r="Q2981" t="s">
        <v>50</v>
      </c>
      <c r="R2981" t="s">
        <v>51</v>
      </c>
      <c r="S2981" t="s">
        <v>52</v>
      </c>
      <c r="T2981" t="s">
        <v>773</v>
      </c>
      <c r="U2981" s="1">
        <v>46076.488032407404</v>
      </c>
      <c r="V2981" t="s">
        <v>54</v>
      </c>
      <c r="W2981" t="s">
        <v>55</v>
      </c>
      <c r="X2981" t="s">
        <v>113</v>
      </c>
      <c r="Y2981" t="s">
        <v>11631</v>
      </c>
      <c r="Z2981" t="s">
        <v>58</v>
      </c>
      <c r="AA2981" t="s">
        <v>54</v>
      </c>
      <c r="AB2981" t="s">
        <v>966</v>
      </c>
      <c r="AC2981" t="s">
        <v>85</v>
      </c>
      <c r="AD2981" t="s">
        <v>52</v>
      </c>
      <c r="AE2981" t="s">
        <v>438</v>
      </c>
      <c r="AF2981" t="s">
        <v>2204</v>
      </c>
      <c r="AG2981" t="s">
        <v>58</v>
      </c>
      <c r="AH2981" t="s">
        <v>969</v>
      </c>
      <c r="AK2981">
        <v>0</v>
      </c>
      <c r="AL2981" t="s">
        <v>61</v>
      </c>
      <c r="AM2981" t="s">
        <v>966</v>
      </c>
      <c r="AN2981" t="s">
        <v>970</v>
      </c>
    </row>
    <row r="2982" spans="1:40" x14ac:dyDescent="0.35">
      <c r="A2982" t="s">
        <v>37</v>
      </c>
      <c r="B2982" t="s">
        <v>11632</v>
      </c>
      <c r="C2982" t="s">
        <v>39</v>
      </c>
      <c r="D2982" t="s">
        <v>11633</v>
      </c>
      <c r="E2982" t="s">
        <v>11634</v>
      </c>
      <c r="F2982" s="1">
        <v>46071.621932870374</v>
      </c>
      <c r="G2982" t="s">
        <v>355</v>
      </c>
      <c r="H2982" t="s">
        <v>356</v>
      </c>
      <c r="I2982" t="s">
        <v>11635</v>
      </c>
      <c r="J2982" t="s">
        <v>1823</v>
      </c>
      <c r="K2982" t="s">
        <v>1824</v>
      </c>
      <c r="M2982" t="s">
        <v>47</v>
      </c>
      <c r="O2982" t="s">
        <v>77</v>
      </c>
      <c r="P2982" t="s">
        <v>78</v>
      </c>
      <c r="Q2982" t="s">
        <v>50</v>
      </c>
      <c r="R2982" t="s">
        <v>51</v>
      </c>
      <c r="S2982" t="s">
        <v>52</v>
      </c>
      <c r="T2982" t="s">
        <v>240</v>
      </c>
      <c r="U2982" s="1">
        <v>46072.439895833333</v>
      </c>
      <c r="V2982" t="s">
        <v>54</v>
      </c>
      <c r="W2982" t="s">
        <v>55</v>
      </c>
      <c r="X2982" t="s">
        <v>113</v>
      </c>
      <c r="Y2982" t="s">
        <v>11636</v>
      </c>
      <c r="Z2982" t="s">
        <v>5594</v>
      </c>
      <c r="AA2982" t="s">
        <v>54</v>
      </c>
      <c r="AB2982" t="s">
        <v>1826</v>
      </c>
      <c r="AC2982" t="s">
        <v>85</v>
      </c>
      <c r="AD2982" t="s">
        <v>52</v>
      </c>
      <c r="AE2982" t="s">
        <v>967</v>
      </c>
      <c r="AF2982" t="s">
        <v>9132</v>
      </c>
      <c r="AG2982" t="s">
        <v>5594</v>
      </c>
      <c r="AH2982">
        <v>15324</v>
      </c>
      <c r="AK2982">
        <v>0</v>
      </c>
      <c r="AL2982" t="s">
        <v>61</v>
      </c>
      <c r="AM2982" t="s">
        <v>11637</v>
      </c>
      <c r="AN2982" t="s">
        <v>11638</v>
      </c>
    </row>
    <row r="2983" spans="1:40" x14ac:dyDescent="0.35">
      <c r="A2983" t="s">
        <v>37</v>
      </c>
      <c r="B2983" t="s">
        <v>11639</v>
      </c>
      <c r="C2983" t="s">
        <v>102</v>
      </c>
      <c r="D2983" t="s">
        <v>11640</v>
      </c>
      <c r="E2983" t="s">
        <v>11641</v>
      </c>
      <c r="F2983" s="1">
        <v>46070.611157407409</v>
      </c>
      <c r="G2983" t="s">
        <v>355</v>
      </c>
      <c r="H2983" t="s">
        <v>356</v>
      </c>
      <c r="I2983" t="s">
        <v>11642</v>
      </c>
      <c r="J2983" t="s">
        <v>7432</v>
      </c>
      <c r="K2983" t="s">
        <v>7433</v>
      </c>
      <c r="M2983" t="s">
        <v>47</v>
      </c>
      <c r="O2983" t="s">
        <v>237</v>
      </c>
      <c r="P2983" t="s">
        <v>238</v>
      </c>
      <c r="Q2983" t="s">
        <v>50</v>
      </c>
      <c r="R2983" t="s">
        <v>51</v>
      </c>
      <c r="S2983" t="s">
        <v>819</v>
      </c>
      <c r="T2983" t="s">
        <v>1888</v>
      </c>
      <c r="U2983" s="1">
        <v>46073.361446759256</v>
      </c>
      <c r="V2983" t="s">
        <v>54</v>
      </c>
      <c r="W2983" t="s">
        <v>55</v>
      </c>
      <c r="X2983" t="s">
        <v>113</v>
      </c>
      <c r="Y2983" t="s">
        <v>11643</v>
      </c>
      <c r="Z2983" t="s">
        <v>5594</v>
      </c>
      <c r="AA2983" t="s">
        <v>54</v>
      </c>
      <c r="AB2983" t="s">
        <v>11644</v>
      </c>
      <c r="AC2983" t="s">
        <v>242</v>
      </c>
      <c r="AD2983" t="s">
        <v>51</v>
      </c>
      <c r="AE2983" t="s">
        <v>819</v>
      </c>
      <c r="AF2983" t="s">
        <v>1888</v>
      </c>
      <c r="AG2983" t="s">
        <v>5594</v>
      </c>
      <c r="AH2983" t="s">
        <v>11645</v>
      </c>
      <c r="AK2983">
        <v>1</v>
      </c>
      <c r="AL2983" t="s">
        <v>61</v>
      </c>
      <c r="AM2983" t="s">
        <v>11644</v>
      </c>
      <c r="AN2983" t="s">
        <v>11646</v>
      </c>
    </row>
    <row r="2984" spans="1:40" x14ac:dyDescent="0.35">
      <c r="A2984" t="s">
        <v>37</v>
      </c>
      <c r="B2984" t="s">
        <v>11647</v>
      </c>
      <c r="C2984" t="s">
        <v>39</v>
      </c>
      <c r="D2984" t="s">
        <v>4948</v>
      </c>
      <c r="E2984" t="s">
        <v>1316</v>
      </c>
      <c r="F2984" s="1">
        <v>46069.372048611112</v>
      </c>
      <c r="G2984" t="s">
        <v>355</v>
      </c>
      <c r="H2984" t="s">
        <v>356</v>
      </c>
      <c r="I2984" t="s">
        <v>11648</v>
      </c>
      <c r="J2984" t="s">
        <v>358</v>
      </c>
      <c r="K2984" t="s">
        <v>359</v>
      </c>
      <c r="M2984" t="s">
        <v>47</v>
      </c>
      <c r="O2984" t="s">
        <v>77</v>
      </c>
      <c r="P2984" t="s">
        <v>78</v>
      </c>
      <c r="Q2984" t="s">
        <v>4950</v>
      </c>
      <c r="R2984" t="s">
        <v>51</v>
      </c>
      <c r="S2984" t="s">
        <v>52</v>
      </c>
      <c r="T2984" t="s">
        <v>53</v>
      </c>
      <c r="U2984" s="1">
        <v>46073.549826388888</v>
      </c>
      <c r="V2984" t="s">
        <v>54</v>
      </c>
      <c r="W2984" t="s">
        <v>55</v>
      </c>
      <c r="X2984" t="s">
        <v>113</v>
      </c>
      <c r="Y2984" t="s">
        <v>11649</v>
      </c>
      <c r="Z2984" t="s">
        <v>5594</v>
      </c>
      <c r="AA2984" t="s">
        <v>54</v>
      </c>
      <c r="AB2984" t="s">
        <v>361</v>
      </c>
      <c r="AC2984" t="s">
        <v>85</v>
      </c>
      <c r="AD2984" t="s">
        <v>52</v>
      </c>
      <c r="AE2984" t="s">
        <v>999</v>
      </c>
      <c r="AF2984" t="s">
        <v>1770</v>
      </c>
      <c r="AG2984" t="s">
        <v>5594</v>
      </c>
      <c r="AK2984">
        <v>0</v>
      </c>
      <c r="AL2984" t="s">
        <v>61</v>
      </c>
      <c r="AM2984" t="s">
        <v>361</v>
      </c>
      <c r="AN2984" t="s">
        <v>4952</v>
      </c>
    </row>
    <row r="2985" spans="1:40" x14ac:dyDescent="0.35">
      <c r="A2985" t="s">
        <v>37</v>
      </c>
      <c r="B2985" t="s">
        <v>11650</v>
      </c>
      <c r="C2985" t="s">
        <v>39</v>
      </c>
      <c r="D2985" t="s">
        <v>5352</v>
      </c>
      <c r="E2985" t="s">
        <v>5353</v>
      </c>
      <c r="F2985" s="1">
        <v>46066.43545138889</v>
      </c>
      <c r="G2985" t="s">
        <v>355</v>
      </c>
      <c r="H2985" t="s">
        <v>356</v>
      </c>
      <c r="I2985" t="s">
        <v>1185</v>
      </c>
      <c r="J2985" t="s">
        <v>1186</v>
      </c>
      <c r="K2985" t="s">
        <v>1187</v>
      </c>
      <c r="M2985" t="s">
        <v>47</v>
      </c>
      <c r="O2985" t="s">
        <v>77</v>
      </c>
      <c r="P2985" t="s">
        <v>78</v>
      </c>
      <c r="Q2985" t="s">
        <v>50</v>
      </c>
      <c r="R2985" t="s">
        <v>305</v>
      </c>
      <c r="S2985" t="s">
        <v>306</v>
      </c>
      <c r="T2985" t="s">
        <v>307</v>
      </c>
      <c r="U2985" s="1">
        <v>46072.450358796297</v>
      </c>
      <c r="V2985" t="s">
        <v>54</v>
      </c>
      <c r="W2985" t="s">
        <v>55</v>
      </c>
      <c r="X2985" t="s">
        <v>211</v>
      </c>
      <c r="Y2985" t="s">
        <v>1188</v>
      </c>
      <c r="Z2985" t="s">
        <v>5594</v>
      </c>
      <c r="AA2985" t="s">
        <v>54</v>
      </c>
      <c r="AB2985" t="s">
        <v>213</v>
      </c>
      <c r="AC2985" t="s">
        <v>85</v>
      </c>
      <c r="AD2985" t="s">
        <v>1189</v>
      </c>
      <c r="AE2985" t="s">
        <v>1190</v>
      </c>
      <c r="AF2985" t="s">
        <v>1191</v>
      </c>
      <c r="AG2985" t="s">
        <v>5594</v>
      </c>
      <c r="AH2985" t="s">
        <v>5356</v>
      </c>
      <c r="AK2985">
        <v>5</v>
      </c>
      <c r="AL2985" t="s">
        <v>61</v>
      </c>
      <c r="AM2985" t="s">
        <v>5357</v>
      </c>
      <c r="AN2985" t="s">
        <v>5358</v>
      </c>
    </row>
    <row r="2986" spans="1:40" x14ac:dyDescent="0.35">
      <c r="A2986" t="s">
        <v>37</v>
      </c>
      <c r="B2986" t="s">
        <v>11651</v>
      </c>
      <c r="C2986" t="s">
        <v>39</v>
      </c>
      <c r="D2986" t="s">
        <v>11652</v>
      </c>
      <c r="E2986" t="s">
        <v>9698</v>
      </c>
      <c r="F2986" s="1">
        <v>46066.427604166667</v>
      </c>
      <c r="G2986" t="s">
        <v>446</v>
      </c>
      <c r="H2986" t="s">
        <v>447</v>
      </c>
      <c r="I2986" t="s">
        <v>1446</v>
      </c>
      <c r="J2986" t="s">
        <v>8141</v>
      </c>
      <c r="K2986" t="s">
        <v>951</v>
      </c>
      <c r="M2986" t="s">
        <v>47</v>
      </c>
      <c r="O2986" t="s">
        <v>77</v>
      </c>
      <c r="P2986" t="s">
        <v>78</v>
      </c>
      <c r="Q2986" t="s">
        <v>11653</v>
      </c>
      <c r="R2986" t="s">
        <v>305</v>
      </c>
      <c r="S2986" t="s">
        <v>306</v>
      </c>
      <c r="T2986" t="s">
        <v>307</v>
      </c>
      <c r="U2986" s="1">
        <v>46072.339560185188</v>
      </c>
      <c r="V2986" t="s">
        <v>54</v>
      </c>
      <c r="W2986" t="s">
        <v>55</v>
      </c>
      <c r="X2986" t="s">
        <v>211</v>
      </c>
      <c r="Y2986" t="s">
        <v>11654</v>
      </c>
      <c r="Z2986" t="s">
        <v>5594</v>
      </c>
      <c r="AA2986" t="s">
        <v>54</v>
      </c>
      <c r="AB2986" t="s">
        <v>213</v>
      </c>
      <c r="AC2986" t="s">
        <v>85</v>
      </c>
      <c r="AD2986" t="s">
        <v>79</v>
      </c>
      <c r="AE2986" t="s">
        <v>1016</v>
      </c>
      <c r="AF2986" t="s">
        <v>11655</v>
      </c>
      <c r="AG2986" t="s">
        <v>5594</v>
      </c>
      <c r="AH2986">
        <v>11615</v>
      </c>
      <c r="AK2986">
        <v>14</v>
      </c>
      <c r="AL2986" t="s">
        <v>61</v>
      </c>
      <c r="AM2986" t="s">
        <v>11656</v>
      </c>
      <c r="AN2986" t="s">
        <v>11657</v>
      </c>
    </row>
    <row r="2987" spans="1:40" x14ac:dyDescent="0.35">
      <c r="A2987" t="s">
        <v>37</v>
      </c>
      <c r="B2987" t="s">
        <v>11658</v>
      </c>
      <c r="C2987" t="s">
        <v>39</v>
      </c>
      <c r="D2987" t="s">
        <v>1436</v>
      </c>
      <c r="E2987" t="s">
        <v>1437</v>
      </c>
      <c r="F2987" s="1">
        <v>46066.382430555554</v>
      </c>
      <c r="G2987" t="s">
        <v>355</v>
      </c>
      <c r="H2987" t="s">
        <v>356</v>
      </c>
      <c r="I2987" t="s">
        <v>1438</v>
      </c>
      <c r="J2987" t="s">
        <v>1423</v>
      </c>
      <c r="K2987" t="s">
        <v>1424</v>
      </c>
      <c r="M2987" t="s">
        <v>47</v>
      </c>
      <c r="O2987" t="s">
        <v>77</v>
      </c>
      <c r="P2987" t="s">
        <v>78</v>
      </c>
      <c r="Q2987" t="s">
        <v>50</v>
      </c>
      <c r="R2987" t="s">
        <v>305</v>
      </c>
      <c r="S2987" t="s">
        <v>306</v>
      </c>
      <c r="T2987" t="s">
        <v>307</v>
      </c>
      <c r="U2987" s="1">
        <v>46072.484201388892</v>
      </c>
      <c r="V2987" t="s">
        <v>54</v>
      </c>
      <c r="X2987" t="s">
        <v>211</v>
      </c>
      <c r="Y2987" t="s">
        <v>11659</v>
      </c>
      <c r="Z2987" t="s">
        <v>5594</v>
      </c>
      <c r="AA2987" t="s">
        <v>54</v>
      </c>
      <c r="AB2987" t="s">
        <v>213</v>
      </c>
      <c r="AC2987" t="s">
        <v>85</v>
      </c>
      <c r="AD2987" t="s">
        <v>305</v>
      </c>
      <c r="AE2987" t="s">
        <v>306</v>
      </c>
      <c r="AF2987" t="s">
        <v>307</v>
      </c>
      <c r="AG2987" t="s">
        <v>5594</v>
      </c>
      <c r="AH2987" t="s">
        <v>1440</v>
      </c>
      <c r="AK2987">
        <v>0</v>
      </c>
      <c r="AL2987" t="s">
        <v>61</v>
      </c>
      <c r="AM2987" t="s">
        <v>1441</v>
      </c>
      <c r="AN2987" t="s">
        <v>1442</v>
      </c>
    </row>
    <row r="2988" spans="1:40" x14ac:dyDescent="0.35">
      <c r="A2988" t="s">
        <v>37</v>
      </c>
      <c r="B2988" t="s">
        <v>11660</v>
      </c>
      <c r="C2988" t="s">
        <v>39</v>
      </c>
      <c r="D2988" t="s">
        <v>2396</v>
      </c>
      <c r="E2988" t="s">
        <v>3010</v>
      </c>
      <c r="F2988" s="1">
        <v>46066.381238425929</v>
      </c>
      <c r="G2988" t="s">
        <v>508</v>
      </c>
      <c r="H2988" t="s">
        <v>72</v>
      </c>
      <c r="I2988" t="s">
        <v>11661</v>
      </c>
      <c r="J2988" t="s">
        <v>9267</v>
      </c>
      <c r="K2988" t="s">
        <v>75</v>
      </c>
      <c r="M2988" t="s">
        <v>76</v>
      </c>
      <c r="O2988" t="s">
        <v>77</v>
      </c>
      <c r="P2988" t="s">
        <v>78</v>
      </c>
      <c r="Q2988" t="s">
        <v>50</v>
      </c>
      <c r="R2988" t="s">
        <v>305</v>
      </c>
      <c r="S2988" t="s">
        <v>306</v>
      </c>
      <c r="T2988" t="s">
        <v>307</v>
      </c>
      <c r="U2988" s="1">
        <v>46078.349849537037</v>
      </c>
      <c r="V2988" t="s">
        <v>54</v>
      </c>
      <c r="W2988" t="s">
        <v>55</v>
      </c>
      <c r="X2988" t="s">
        <v>211</v>
      </c>
      <c r="Y2988" t="s">
        <v>11662</v>
      </c>
      <c r="Z2988" t="s">
        <v>58</v>
      </c>
      <c r="AA2988" t="s">
        <v>54</v>
      </c>
      <c r="AB2988" t="s">
        <v>213</v>
      </c>
      <c r="AC2988" t="s">
        <v>85</v>
      </c>
      <c r="AD2988" t="s">
        <v>79</v>
      </c>
      <c r="AE2988" t="s">
        <v>172</v>
      </c>
      <c r="AF2988" t="s">
        <v>11663</v>
      </c>
      <c r="AG2988" t="s">
        <v>58</v>
      </c>
      <c r="AH2988">
        <v>15314</v>
      </c>
      <c r="AK2988">
        <v>2</v>
      </c>
      <c r="AL2988" t="s">
        <v>61</v>
      </c>
      <c r="AM2988" t="s">
        <v>11664</v>
      </c>
      <c r="AN2988" t="s">
        <v>11665</v>
      </c>
    </row>
    <row r="2989" spans="1:40" x14ac:dyDescent="0.35">
      <c r="A2989" t="s">
        <v>37</v>
      </c>
      <c r="B2989" t="s">
        <v>11666</v>
      </c>
      <c r="C2989" t="s">
        <v>39</v>
      </c>
      <c r="D2989" t="s">
        <v>11308</v>
      </c>
      <c r="E2989" t="s">
        <v>11309</v>
      </c>
      <c r="F2989" s="1">
        <v>46066.38175925926</v>
      </c>
      <c r="G2989" t="s">
        <v>170</v>
      </c>
      <c r="H2989" t="s">
        <v>92</v>
      </c>
      <c r="I2989" t="s">
        <v>11667</v>
      </c>
      <c r="J2989" t="s">
        <v>1555</v>
      </c>
      <c r="K2989" t="s">
        <v>951</v>
      </c>
      <c r="M2989" t="s">
        <v>76</v>
      </c>
      <c r="O2989" t="s">
        <v>77</v>
      </c>
      <c r="P2989" t="s">
        <v>78</v>
      </c>
      <c r="Q2989" t="s">
        <v>50</v>
      </c>
      <c r="R2989" t="s">
        <v>79</v>
      </c>
      <c r="S2989" t="s">
        <v>10026</v>
      </c>
      <c r="T2989" t="s">
        <v>10027</v>
      </c>
      <c r="U2989" s="1">
        <v>46076.349652777775</v>
      </c>
      <c r="V2989" t="s">
        <v>54</v>
      </c>
      <c r="W2989" t="s">
        <v>55</v>
      </c>
      <c r="X2989" t="s">
        <v>134</v>
      </c>
      <c r="Y2989" t="s">
        <v>11668</v>
      </c>
      <c r="Z2989" t="s">
        <v>58</v>
      </c>
      <c r="AA2989" t="s">
        <v>54</v>
      </c>
      <c r="AB2989" t="s">
        <v>408</v>
      </c>
      <c r="AC2989" t="s">
        <v>85</v>
      </c>
      <c r="AD2989" t="s">
        <v>79</v>
      </c>
      <c r="AE2989" t="s">
        <v>10026</v>
      </c>
      <c r="AF2989" t="s">
        <v>10027</v>
      </c>
      <c r="AG2989" t="s">
        <v>58</v>
      </c>
      <c r="AH2989" t="s">
        <v>11312</v>
      </c>
      <c r="AK2989">
        <v>5</v>
      </c>
      <c r="AL2989" t="s">
        <v>61</v>
      </c>
      <c r="AM2989" t="s">
        <v>11313</v>
      </c>
      <c r="AN2989" t="s">
        <v>11314</v>
      </c>
    </row>
    <row r="2990" spans="1:40" x14ac:dyDescent="0.35">
      <c r="A2990" t="s">
        <v>37</v>
      </c>
      <c r="B2990" t="s">
        <v>11669</v>
      </c>
      <c r="C2990" t="s">
        <v>102</v>
      </c>
      <c r="D2990" t="s">
        <v>4386</v>
      </c>
      <c r="E2990" t="s">
        <v>11670</v>
      </c>
      <c r="F2990" s="1">
        <v>46066.37771990741</v>
      </c>
      <c r="G2990" t="s">
        <v>71</v>
      </c>
      <c r="H2990" t="s">
        <v>72</v>
      </c>
      <c r="I2990" t="s">
        <v>11671</v>
      </c>
      <c r="J2990" t="s">
        <v>4338</v>
      </c>
      <c r="K2990" t="s">
        <v>405</v>
      </c>
      <c r="M2990" t="s">
        <v>76</v>
      </c>
      <c r="O2990" t="s">
        <v>237</v>
      </c>
      <c r="P2990" t="s">
        <v>238</v>
      </c>
      <c r="Q2990" t="s">
        <v>50</v>
      </c>
      <c r="R2990" t="s">
        <v>51</v>
      </c>
      <c r="S2990" t="s">
        <v>52</v>
      </c>
      <c r="T2990" t="s">
        <v>240</v>
      </c>
      <c r="U2990" s="1">
        <v>46076.361840277779</v>
      </c>
      <c r="V2990" t="s">
        <v>54</v>
      </c>
      <c r="W2990" t="s">
        <v>55</v>
      </c>
      <c r="X2990" t="s">
        <v>134</v>
      </c>
      <c r="Y2990" t="s">
        <v>11672</v>
      </c>
      <c r="Z2990" t="s">
        <v>58</v>
      </c>
      <c r="AA2990" t="s">
        <v>54</v>
      </c>
      <c r="AB2990" t="s">
        <v>458</v>
      </c>
      <c r="AC2990" t="s">
        <v>242</v>
      </c>
      <c r="AD2990" t="s">
        <v>52</v>
      </c>
      <c r="AE2990" t="s">
        <v>243</v>
      </c>
      <c r="AF2990" t="s">
        <v>244</v>
      </c>
      <c r="AG2990" t="s">
        <v>58</v>
      </c>
      <c r="AH2990">
        <v>11900</v>
      </c>
      <c r="AK2990">
        <v>1</v>
      </c>
      <c r="AL2990" t="s">
        <v>61</v>
      </c>
      <c r="AM2990" t="s">
        <v>11673</v>
      </c>
      <c r="AN2990" t="s">
        <v>11674</v>
      </c>
    </row>
    <row r="2991" spans="1:40" x14ac:dyDescent="0.35">
      <c r="A2991" t="s">
        <v>37</v>
      </c>
      <c r="B2991" t="s">
        <v>11675</v>
      </c>
      <c r="C2991" t="s">
        <v>39</v>
      </c>
      <c r="D2991" t="s">
        <v>325</v>
      </c>
      <c r="E2991" t="s">
        <v>2458</v>
      </c>
      <c r="F2991" s="1">
        <v>46066.348379629628</v>
      </c>
      <c r="G2991" t="s">
        <v>487</v>
      </c>
      <c r="H2991" t="s">
        <v>447</v>
      </c>
      <c r="I2991" t="s">
        <v>11676</v>
      </c>
      <c r="J2991" t="s">
        <v>5027</v>
      </c>
      <c r="K2991" t="s">
        <v>951</v>
      </c>
      <c r="M2991" t="s">
        <v>76</v>
      </c>
      <c r="O2991" t="s">
        <v>77</v>
      </c>
      <c r="P2991" t="s">
        <v>78</v>
      </c>
      <c r="R2991" t="s">
        <v>79</v>
      </c>
      <c r="S2991" t="s">
        <v>2991</v>
      </c>
      <c r="T2991" t="s">
        <v>10948</v>
      </c>
      <c r="U2991" s="1">
        <v>46077.551574074074</v>
      </c>
      <c r="V2991" t="s">
        <v>54</v>
      </c>
      <c r="W2991" t="s">
        <v>55</v>
      </c>
      <c r="X2991" t="s">
        <v>211</v>
      </c>
      <c r="Y2991" t="s">
        <v>11677</v>
      </c>
      <c r="Z2991" t="s">
        <v>58</v>
      </c>
      <c r="AA2991" t="s">
        <v>54</v>
      </c>
      <c r="AB2991" t="s">
        <v>213</v>
      </c>
      <c r="AC2991" t="s">
        <v>85</v>
      </c>
      <c r="AD2991" t="s">
        <v>79</v>
      </c>
      <c r="AE2991" t="s">
        <v>2991</v>
      </c>
      <c r="AF2991" t="s">
        <v>10948</v>
      </c>
      <c r="AG2991" t="s">
        <v>58</v>
      </c>
      <c r="AH2991">
        <v>14863</v>
      </c>
      <c r="AJ2991">
        <v>191627</v>
      </c>
      <c r="AK2991">
        <v>13</v>
      </c>
      <c r="AL2991" t="s">
        <v>61</v>
      </c>
      <c r="AM2991" t="s">
        <v>11678</v>
      </c>
      <c r="AN2991" t="s">
        <v>11679</v>
      </c>
    </row>
    <row r="2992" spans="1:40" x14ac:dyDescent="0.35">
      <c r="A2992" t="s">
        <v>37</v>
      </c>
      <c r="B2992" t="s">
        <v>11680</v>
      </c>
      <c r="C2992" t="s">
        <v>102</v>
      </c>
      <c r="D2992" t="s">
        <v>11681</v>
      </c>
      <c r="E2992" t="s">
        <v>11682</v>
      </c>
      <c r="F2992" s="1">
        <v>46066.337500000001</v>
      </c>
      <c r="G2992" t="s">
        <v>688</v>
      </c>
      <c r="H2992" t="s">
        <v>106</v>
      </c>
      <c r="I2992" t="s">
        <v>11683</v>
      </c>
      <c r="J2992" t="s">
        <v>1692</v>
      </c>
      <c r="K2992" t="s">
        <v>207</v>
      </c>
      <c r="M2992" t="s">
        <v>47</v>
      </c>
      <c r="O2992" t="s">
        <v>237</v>
      </c>
      <c r="P2992" t="s">
        <v>238</v>
      </c>
      <c r="Q2992" t="s">
        <v>541</v>
      </c>
      <c r="R2992" t="s">
        <v>305</v>
      </c>
      <c r="S2992" t="s">
        <v>306</v>
      </c>
      <c r="T2992" t="s">
        <v>307</v>
      </c>
      <c r="U2992" s="1">
        <v>46074.498298611114</v>
      </c>
      <c r="V2992" t="s">
        <v>54</v>
      </c>
      <c r="W2992" t="s">
        <v>55</v>
      </c>
      <c r="X2992" t="s">
        <v>211</v>
      </c>
      <c r="Y2992" t="s">
        <v>11684</v>
      </c>
      <c r="Z2992" t="s">
        <v>5594</v>
      </c>
      <c r="AA2992" t="s">
        <v>54</v>
      </c>
      <c r="AB2992" t="s">
        <v>213</v>
      </c>
      <c r="AC2992" t="s">
        <v>242</v>
      </c>
      <c r="AD2992" t="s">
        <v>214</v>
      </c>
      <c r="AE2992" t="s">
        <v>215</v>
      </c>
      <c r="AF2992" t="s">
        <v>161</v>
      </c>
      <c r="AG2992" t="s">
        <v>5594</v>
      </c>
      <c r="AH2992">
        <v>154</v>
      </c>
      <c r="AK2992">
        <v>7</v>
      </c>
      <c r="AL2992" t="s">
        <v>61</v>
      </c>
      <c r="AM2992" t="s">
        <v>11685</v>
      </c>
      <c r="AN2992" t="s">
        <v>11686</v>
      </c>
    </row>
    <row r="2993" spans="1:40" x14ac:dyDescent="0.35">
      <c r="A2993" t="s">
        <v>37</v>
      </c>
      <c r="B2993" t="s">
        <v>11687</v>
      </c>
      <c r="C2993" t="s">
        <v>102</v>
      </c>
      <c r="D2993" t="s">
        <v>469</v>
      </c>
      <c r="E2993" t="s">
        <v>2798</v>
      </c>
      <c r="F2993" s="1">
        <v>46066.335162037038</v>
      </c>
      <c r="G2993" t="s">
        <v>497</v>
      </c>
      <c r="H2993" t="s">
        <v>72</v>
      </c>
      <c r="I2993" t="s">
        <v>11688</v>
      </c>
      <c r="J2993" t="s">
        <v>3117</v>
      </c>
      <c r="K2993" t="s">
        <v>10290</v>
      </c>
      <c r="M2993" t="s">
        <v>76</v>
      </c>
      <c r="O2993" t="s">
        <v>237</v>
      </c>
      <c r="P2993" t="s">
        <v>238</v>
      </c>
      <c r="R2993" t="s">
        <v>305</v>
      </c>
      <c r="S2993" t="s">
        <v>306</v>
      </c>
      <c r="T2993" t="s">
        <v>307</v>
      </c>
      <c r="U2993" s="1">
        <v>46076.576643518521</v>
      </c>
      <c r="V2993" t="s">
        <v>54</v>
      </c>
      <c r="W2993" t="s">
        <v>55</v>
      </c>
      <c r="X2993" t="s">
        <v>211</v>
      </c>
      <c r="Y2993" t="s">
        <v>11689</v>
      </c>
      <c r="Z2993" t="s">
        <v>58</v>
      </c>
      <c r="AA2993" t="s">
        <v>54</v>
      </c>
      <c r="AB2993" t="s">
        <v>213</v>
      </c>
      <c r="AC2993" t="s">
        <v>242</v>
      </c>
      <c r="AD2993" t="s">
        <v>208</v>
      </c>
      <c r="AE2993" t="s">
        <v>10292</v>
      </c>
      <c r="AF2993" t="s">
        <v>10293</v>
      </c>
      <c r="AG2993" t="s">
        <v>58</v>
      </c>
      <c r="AH2993" t="s">
        <v>2803</v>
      </c>
      <c r="AK2993">
        <v>3</v>
      </c>
      <c r="AL2993" t="s">
        <v>61</v>
      </c>
      <c r="AM2993" t="s">
        <v>2804</v>
      </c>
      <c r="AN2993" t="s">
        <v>2805</v>
      </c>
    </row>
    <row r="2994" spans="1:40" x14ac:dyDescent="0.35">
      <c r="A2994" t="s">
        <v>37</v>
      </c>
      <c r="B2994" t="s">
        <v>11690</v>
      </c>
      <c r="C2994" t="s">
        <v>102</v>
      </c>
      <c r="D2994" t="s">
        <v>325</v>
      </c>
      <c r="E2994" t="s">
        <v>11691</v>
      </c>
      <c r="F2994" s="1">
        <v>46066.336377314816</v>
      </c>
      <c r="G2994" t="s">
        <v>3396</v>
      </c>
      <c r="H2994" t="s">
        <v>106</v>
      </c>
      <c r="I2994" t="s">
        <v>11692</v>
      </c>
      <c r="J2994" t="s">
        <v>8141</v>
      </c>
      <c r="K2994" t="s">
        <v>951</v>
      </c>
      <c r="M2994" t="s">
        <v>47</v>
      </c>
      <c r="O2994" t="s">
        <v>237</v>
      </c>
      <c r="P2994" t="s">
        <v>238</v>
      </c>
      <c r="Q2994" t="s">
        <v>3642</v>
      </c>
      <c r="R2994" t="s">
        <v>79</v>
      </c>
      <c r="S2994" t="s">
        <v>1339</v>
      </c>
      <c r="T2994" t="s">
        <v>11693</v>
      </c>
      <c r="U2994" s="1">
        <v>46073.389131944445</v>
      </c>
      <c r="V2994" t="s">
        <v>1338</v>
      </c>
      <c r="W2994" t="s">
        <v>55</v>
      </c>
      <c r="X2994" t="s">
        <v>134</v>
      </c>
      <c r="Y2994" t="s">
        <v>11694</v>
      </c>
      <c r="Z2994" t="s">
        <v>5594</v>
      </c>
      <c r="AA2994" t="s">
        <v>1338</v>
      </c>
      <c r="AB2994" t="s">
        <v>408</v>
      </c>
      <c r="AC2994" t="s">
        <v>242</v>
      </c>
      <c r="AD2994" t="s">
        <v>79</v>
      </c>
      <c r="AE2994" t="s">
        <v>1339</v>
      </c>
      <c r="AF2994" t="s">
        <v>7122</v>
      </c>
      <c r="AG2994" t="s">
        <v>5594</v>
      </c>
      <c r="AH2994">
        <v>3172</v>
      </c>
      <c r="AK2994">
        <v>11</v>
      </c>
      <c r="AL2994" t="s">
        <v>410</v>
      </c>
      <c r="AM2994" t="s">
        <v>11695</v>
      </c>
      <c r="AN2994" t="s">
        <v>11696</v>
      </c>
    </row>
    <row r="2995" spans="1:40" x14ac:dyDescent="0.35">
      <c r="A2995" t="s">
        <v>37</v>
      </c>
      <c r="B2995" t="s">
        <v>11697</v>
      </c>
      <c r="C2995" t="s">
        <v>102</v>
      </c>
      <c r="D2995" t="s">
        <v>4426</v>
      </c>
      <c r="E2995" t="s">
        <v>10682</v>
      </c>
      <c r="F2995" s="1">
        <v>46066.319722222222</v>
      </c>
      <c r="G2995" t="s">
        <v>71</v>
      </c>
      <c r="H2995" t="s">
        <v>72</v>
      </c>
      <c r="I2995" t="s">
        <v>11698</v>
      </c>
      <c r="J2995" t="s">
        <v>2531</v>
      </c>
      <c r="K2995" t="s">
        <v>2532</v>
      </c>
      <c r="M2995" t="s">
        <v>47</v>
      </c>
      <c r="O2995" t="s">
        <v>237</v>
      </c>
      <c r="P2995" t="s">
        <v>238</v>
      </c>
      <c r="Q2995" t="s">
        <v>1174</v>
      </c>
      <c r="R2995" t="s">
        <v>51</v>
      </c>
      <c r="S2995" t="s">
        <v>52</v>
      </c>
      <c r="T2995" t="s">
        <v>240</v>
      </c>
      <c r="U2995" s="1">
        <v>46073.103900462964</v>
      </c>
      <c r="V2995" t="s">
        <v>54</v>
      </c>
      <c r="W2995" t="s">
        <v>55</v>
      </c>
      <c r="X2995" t="s">
        <v>211</v>
      </c>
      <c r="Y2995" t="e">
        <f>- Please note that, as per informed there is No issue in the system.</f>
        <v>#NAME?</v>
      </c>
      <c r="Z2995" t="s">
        <v>5594</v>
      </c>
      <c r="AA2995" t="s">
        <v>54</v>
      </c>
      <c r="AB2995" t="s">
        <v>213</v>
      </c>
      <c r="AC2995" t="s">
        <v>242</v>
      </c>
      <c r="AD2995" t="s">
        <v>52</v>
      </c>
      <c r="AE2995" t="s">
        <v>243</v>
      </c>
      <c r="AF2995" t="s">
        <v>2533</v>
      </c>
      <c r="AG2995" t="s">
        <v>5594</v>
      </c>
      <c r="AH2995">
        <v>10779</v>
      </c>
      <c r="AK2995">
        <v>8</v>
      </c>
      <c r="AL2995" t="s">
        <v>61</v>
      </c>
      <c r="AM2995" t="s">
        <v>10685</v>
      </c>
      <c r="AN2995" t="s">
        <v>10686</v>
      </c>
    </row>
    <row r="2996" spans="1:40" x14ac:dyDescent="0.35">
      <c r="A2996" t="s">
        <v>37</v>
      </c>
      <c r="B2996" t="s">
        <v>11699</v>
      </c>
      <c r="C2996" t="s">
        <v>39</v>
      </c>
      <c r="D2996" t="s">
        <v>9031</v>
      </c>
      <c r="E2996" t="s">
        <v>11700</v>
      </c>
      <c r="F2996" s="1">
        <v>46066.299814814818</v>
      </c>
      <c r="G2996" t="s">
        <v>487</v>
      </c>
      <c r="H2996" t="s">
        <v>447</v>
      </c>
      <c r="I2996" t="s">
        <v>10892</v>
      </c>
      <c r="J2996" t="s">
        <v>9282</v>
      </c>
      <c r="K2996" t="s">
        <v>9283</v>
      </c>
      <c r="M2996" t="s">
        <v>47</v>
      </c>
      <c r="O2996" t="s">
        <v>77</v>
      </c>
      <c r="P2996" t="s">
        <v>78</v>
      </c>
      <c r="Q2996" t="s">
        <v>50</v>
      </c>
      <c r="R2996" t="s">
        <v>79</v>
      </c>
      <c r="S2996" t="s">
        <v>975</v>
      </c>
      <c r="T2996" t="s">
        <v>2280</v>
      </c>
      <c r="U2996" s="1">
        <v>46072.69903935185</v>
      </c>
      <c r="V2996" t="s">
        <v>54</v>
      </c>
      <c r="W2996" t="s">
        <v>55</v>
      </c>
      <c r="X2996" t="s">
        <v>82</v>
      </c>
      <c r="Y2996" t="s">
        <v>11701</v>
      </c>
      <c r="Z2996" t="s">
        <v>5594</v>
      </c>
      <c r="AA2996" t="s">
        <v>54</v>
      </c>
      <c r="AB2996" t="s">
        <v>727</v>
      </c>
      <c r="AC2996" t="s">
        <v>85</v>
      </c>
      <c r="AD2996" t="s">
        <v>79</v>
      </c>
      <c r="AE2996" t="s">
        <v>936</v>
      </c>
      <c r="AF2996" t="s">
        <v>937</v>
      </c>
      <c r="AG2996" t="s">
        <v>5594</v>
      </c>
      <c r="AH2996" t="s">
        <v>11702</v>
      </c>
      <c r="AK2996">
        <v>0</v>
      </c>
      <c r="AL2996" t="s">
        <v>61</v>
      </c>
      <c r="AM2996" t="s">
        <v>11703</v>
      </c>
      <c r="AN2996" t="s">
        <v>11704</v>
      </c>
    </row>
    <row r="2997" spans="1:40" x14ac:dyDescent="0.35">
      <c r="A2997" t="s">
        <v>37</v>
      </c>
      <c r="B2997" t="s">
        <v>11705</v>
      </c>
      <c r="C2997" t="s">
        <v>39</v>
      </c>
      <c r="D2997" t="s">
        <v>10565</v>
      </c>
      <c r="E2997" t="s">
        <v>11706</v>
      </c>
      <c r="F2997" s="1">
        <v>46066.188356481478</v>
      </c>
      <c r="G2997" t="s">
        <v>261</v>
      </c>
      <c r="H2997" t="s">
        <v>72</v>
      </c>
      <c r="I2997" t="s">
        <v>11707</v>
      </c>
      <c r="J2997" t="s">
        <v>4338</v>
      </c>
      <c r="K2997" t="s">
        <v>405</v>
      </c>
      <c r="M2997" t="s">
        <v>47</v>
      </c>
      <c r="O2997" t="s">
        <v>77</v>
      </c>
      <c r="P2997" t="s">
        <v>78</v>
      </c>
      <c r="Q2997" t="s">
        <v>50</v>
      </c>
      <c r="R2997" t="s">
        <v>51</v>
      </c>
      <c r="S2997" t="s">
        <v>52</v>
      </c>
      <c r="T2997" t="s">
        <v>240</v>
      </c>
      <c r="U2997" s="1">
        <v>46072.370381944442</v>
      </c>
      <c r="V2997" t="s">
        <v>54</v>
      </c>
      <c r="W2997" t="s">
        <v>55</v>
      </c>
      <c r="X2997" t="s">
        <v>134</v>
      </c>
      <c r="Y2997" t="s">
        <v>11708</v>
      </c>
      <c r="Z2997" t="s">
        <v>5594</v>
      </c>
      <c r="AA2997" t="s">
        <v>54</v>
      </c>
      <c r="AB2997" t="s">
        <v>954</v>
      </c>
      <c r="AC2997" t="s">
        <v>85</v>
      </c>
      <c r="AD2997" t="s">
        <v>52</v>
      </c>
      <c r="AE2997" t="s">
        <v>243</v>
      </c>
      <c r="AF2997" t="s">
        <v>244</v>
      </c>
      <c r="AG2997" t="s">
        <v>5594</v>
      </c>
      <c r="AH2997" t="s">
        <v>11709</v>
      </c>
      <c r="AK2997">
        <v>1</v>
      </c>
      <c r="AL2997" t="s">
        <v>61</v>
      </c>
      <c r="AM2997" t="s">
        <v>11710</v>
      </c>
      <c r="AN2997" t="s">
        <v>11711</v>
      </c>
    </row>
    <row r="2998" spans="1:40" x14ac:dyDescent="0.35">
      <c r="A2998" t="s">
        <v>37</v>
      </c>
      <c r="B2998" t="s">
        <v>11712</v>
      </c>
      <c r="C2998" t="s">
        <v>39</v>
      </c>
      <c r="D2998" t="s">
        <v>11713</v>
      </c>
      <c r="E2998" t="s">
        <v>961</v>
      </c>
      <c r="F2998" s="1">
        <v>46066.176759259259</v>
      </c>
      <c r="G2998" t="s">
        <v>355</v>
      </c>
      <c r="H2998" t="s">
        <v>356</v>
      </c>
      <c r="I2998" t="s">
        <v>8995</v>
      </c>
      <c r="J2998" t="s">
        <v>1337</v>
      </c>
      <c r="K2998" t="s">
        <v>951</v>
      </c>
      <c r="M2998" t="s">
        <v>76</v>
      </c>
      <c r="O2998" t="s">
        <v>77</v>
      </c>
      <c r="P2998" t="s">
        <v>78</v>
      </c>
      <c r="Q2998" t="s">
        <v>50</v>
      </c>
      <c r="R2998" t="s">
        <v>79</v>
      </c>
      <c r="S2998" t="s">
        <v>8996</v>
      </c>
      <c r="T2998" t="s">
        <v>8996</v>
      </c>
      <c r="U2998" s="1">
        <v>46077.467118055552</v>
      </c>
      <c r="V2998" t="s">
        <v>54</v>
      </c>
      <c r="W2998" t="s">
        <v>55</v>
      </c>
      <c r="X2998" t="s">
        <v>134</v>
      </c>
      <c r="Y2998" t="e">
        <f>- old laptop returned to the store.  - CMDB updated.</f>
        <v>#NAME?</v>
      </c>
      <c r="Z2998" t="s">
        <v>58</v>
      </c>
      <c r="AA2998" t="s">
        <v>54</v>
      </c>
      <c r="AB2998" t="s">
        <v>954</v>
      </c>
      <c r="AC2998" t="s">
        <v>85</v>
      </c>
      <c r="AD2998" t="s">
        <v>79</v>
      </c>
      <c r="AE2998" t="s">
        <v>8998</v>
      </c>
      <c r="AF2998" t="s">
        <v>8998</v>
      </c>
      <c r="AG2998" t="s">
        <v>58</v>
      </c>
      <c r="AH2998" t="s">
        <v>11714</v>
      </c>
      <c r="AJ2998">
        <v>12522</v>
      </c>
      <c r="AK2998">
        <v>8</v>
      </c>
      <c r="AL2998" t="s">
        <v>61</v>
      </c>
      <c r="AM2998" t="s">
        <v>11715</v>
      </c>
      <c r="AN2998" t="s">
        <v>11716</v>
      </c>
    </row>
    <row r="2999" spans="1:40" x14ac:dyDescent="0.35">
      <c r="A2999" t="s">
        <v>37</v>
      </c>
      <c r="B2999" t="s">
        <v>11717</v>
      </c>
      <c r="C2999" t="s">
        <v>102</v>
      </c>
      <c r="D2999" t="s">
        <v>181</v>
      </c>
      <c r="E2999" t="s">
        <v>182</v>
      </c>
      <c r="F2999" s="1">
        <v>46066.176574074074</v>
      </c>
      <c r="G2999" t="s">
        <v>105</v>
      </c>
      <c r="H2999" t="s">
        <v>106</v>
      </c>
      <c r="I2999" t="s">
        <v>3380</v>
      </c>
      <c r="J2999" t="s">
        <v>108</v>
      </c>
      <c r="K2999" t="s">
        <v>571</v>
      </c>
      <c r="M2999" t="s">
        <v>47</v>
      </c>
      <c r="O2999" t="s">
        <v>77</v>
      </c>
      <c r="P2999" t="s">
        <v>78</v>
      </c>
      <c r="Q2999" t="s">
        <v>50</v>
      </c>
      <c r="R2999" t="s">
        <v>111</v>
      </c>
      <c r="S2999" t="s">
        <v>51</v>
      </c>
      <c r="T2999" t="s">
        <v>112</v>
      </c>
      <c r="U2999" s="1">
        <v>46073.58803240741</v>
      </c>
      <c r="V2999" t="s">
        <v>54</v>
      </c>
      <c r="W2999" t="s">
        <v>1584</v>
      </c>
      <c r="X2999" t="s">
        <v>56</v>
      </c>
      <c r="Y2999" t="s">
        <v>11718</v>
      </c>
      <c r="Z2999" t="s">
        <v>5594</v>
      </c>
      <c r="AA2999" t="s">
        <v>54</v>
      </c>
      <c r="AB2999" t="s">
        <v>115</v>
      </c>
      <c r="AC2999" t="s">
        <v>85</v>
      </c>
      <c r="AD2999" t="s">
        <v>116</v>
      </c>
      <c r="AE2999" t="s">
        <v>574</v>
      </c>
      <c r="AF2999" t="s">
        <v>664</v>
      </c>
      <c r="AG2999" t="s">
        <v>5594</v>
      </c>
      <c r="AH2999" t="s">
        <v>185</v>
      </c>
      <c r="AK2999">
        <v>1</v>
      </c>
      <c r="AL2999" t="s">
        <v>61</v>
      </c>
      <c r="AM2999" t="s">
        <v>186</v>
      </c>
      <c r="AN2999" t="s">
        <v>187</v>
      </c>
    </row>
    <row r="3000" spans="1:40" x14ac:dyDescent="0.35">
      <c r="A3000" t="s">
        <v>37</v>
      </c>
      <c r="B3000" t="s">
        <v>11719</v>
      </c>
      <c r="C3000" t="s">
        <v>102</v>
      </c>
      <c r="D3000" t="s">
        <v>181</v>
      </c>
      <c r="E3000" t="s">
        <v>182</v>
      </c>
      <c r="F3000" s="1">
        <v>46066.170104166667</v>
      </c>
      <c r="G3000" t="s">
        <v>105</v>
      </c>
      <c r="H3000" t="s">
        <v>106</v>
      </c>
      <c r="I3000" t="s">
        <v>1745</v>
      </c>
      <c r="J3000" t="s">
        <v>108</v>
      </c>
      <c r="K3000" t="s">
        <v>109</v>
      </c>
      <c r="M3000" t="s">
        <v>47</v>
      </c>
      <c r="O3000" t="s">
        <v>77</v>
      </c>
      <c r="P3000" t="s">
        <v>78</v>
      </c>
      <c r="Q3000" t="s">
        <v>50</v>
      </c>
      <c r="R3000" t="s">
        <v>111</v>
      </c>
      <c r="S3000" t="s">
        <v>51</v>
      </c>
      <c r="T3000" t="s">
        <v>112</v>
      </c>
      <c r="U3000" s="1">
        <v>46072.366770833331</v>
      </c>
      <c r="V3000" t="s">
        <v>54</v>
      </c>
      <c r="W3000" t="s">
        <v>1584</v>
      </c>
      <c r="X3000" t="s">
        <v>56</v>
      </c>
      <c r="Y3000" t="s">
        <v>11720</v>
      </c>
      <c r="Z3000" t="s">
        <v>5594</v>
      </c>
      <c r="AA3000" t="s">
        <v>54</v>
      </c>
      <c r="AB3000" t="s">
        <v>115</v>
      </c>
      <c r="AC3000" t="s">
        <v>85</v>
      </c>
      <c r="AD3000" t="s">
        <v>116</v>
      </c>
      <c r="AE3000" t="s">
        <v>117</v>
      </c>
      <c r="AF3000" t="s">
        <v>664</v>
      </c>
      <c r="AG3000" t="s">
        <v>5594</v>
      </c>
      <c r="AH3000" t="s">
        <v>185</v>
      </c>
      <c r="AK3000">
        <v>1</v>
      </c>
      <c r="AL3000" t="s">
        <v>61</v>
      </c>
      <c r="AM3000" t="s">
        <v>186</v>
      </c>
      <c r="AN3000" t="s">
        <v>187</v>
      </c>
    </row>
    <row r="3001" spans="1:40" x14ac:dyDescent="0.35">
      <c r="A3001" t="s">
        <v>37</v>
      </c>
      <c r="B3001" t="s">
        <v>11721</v>
      </c>
      <c r="C3001" t="s">
        <v>656</v>
      </c>
      <c r="D3001" t="s">
        <v>1711</v>
      </c>
      <c r="E3001" t="s">
        <v>1712</v>
      </c>
      <c r="F3001" s="1">
        <v>46066.15253472222</v>
      </c>
      <c r="G3001" t="s">
        <v>1713</v>
      </c>
      <c r="H3001" t="s">
        <v>356</v>
      </c>
      <c r="I3001" t="s">
        <v>11722</v>
      </c>
      <c r="J3001" t="s">
        <v>741</v>
      </c>
      <c r="K3001" t="s">
        <v>207</v>
      </c>
      <c r="M3001" t="s">
        <v>131</v>
      </c>
      <c r="O3001" t="s">
        <v>237</v>
      </c>
      <c r="P3001" t="s">
        <v>238</v>
      </c>
      <c r="Q3001" t="s">
        <v>50</v>
      </c>
      <c r="R3001" t="s">
        <v>305</v>
      </c>
      <c r="S3001" t="s">
        <v>306</v>
      </c>
      <c r="T3001" t="s">
        <v>1715</v>
      </c>
      <c r="U3001" s="1">
        <v>46076.642835648148</v>
      </c>
      <c r="V3001" t="s">
        <v>54</v>
      </c>
      <c r="W3001" t="s">
        <v>55</v>
      </c>
      <c r="X3001" t="s">
        <v>134</v>
      </c>
      <c r="Y3001" t="s">
        <v>11723</v>
      </c>
      <c r="Z3001" t="s">
        <v>58</v>
      </c>
      <c r="AA3001" t="s">
        <v>54</v>
      </c>
      <c r="AB3001" t="s">
        <v>1717</v>
      </c>
      <c r="AC3001" t="s">
        <v>242</v>
      </c>
      <c r="AD3001" t="s">
        <v>3056</v>
      </c>
      <c r="AE3001" t="s">
        <v>3057</v>
      </c>
      <c r="AF3001" t="s">
        <v>2554</v>
      </c>
      <c r="AG3001" t="s">
        <v>58</v>
      </c>
      <c r="AK3001">
        <v>3</v>
      </c>
      <c r="AL3001" t="s">
        <v>61</v>
      </c>
      <c r="AM3001" t="s">
        <v>1717</v>
      </c>
      <c r="AN3001" t="s">
        <v>1720</v>
      </c>
    </row>
    <row r="3002" spans="1:40" x14ac:dyDescent="0.35">
      <c r="A3002" t="s">
        <v>37</v>
      </c>
      <c r="B3002" t="s">
        <v>11724</v>
      </c>
      <c r="C3002" t="s">
        <v>39</v>
      </c>
      <c r="D3002" t="s">
        <v>225</v>
      </c>
      <c r="E3002" t="s">
        <v>9892</v>
      </c>
      <c r="F3002" s="1">
        <v>46066.1015625</v>
      </c>
      <c r="G3002" t="s">
        <v>515</v>
      </c>
      <c r="H3002" t="s">
        <v>92</v>
      </c>
      <c r="I3002" t="s">
        <v>11725</v>
      </c>
      <c r="J3002" t="s">
        <v>3117</v>
      </c>
      <c r="K3002" t="s">
        <v>10290</v>
      </c>
      <c r="M3002" t="s">
        <v>76</v>
      </c>
      <c r="O3002" t="s">
        <v>77</v>
      </c>
      <c r="P3002" t="s">
        <v>78</v>
      </c>
      <c r="Q3002" t="s">
        <v>50</v>
      </c>
      <c r="R3002" t="s">
        <v>79</v>
      </c>
      <c r="S3002" t="s">
        <v>11726</v>
      </c>
      <c r="T3002" t="s">
        <v>11727</v>
      </c>
      <c r="U3002" s="1">
        <v>46076.571921296294</v>
      </c>
      <c r="V3002" t="s">
        <v>54</v>
      </c>
      <c r="W3002" t="s">
        <v>55</v>
      </c>
      <c r="X3002" t="s">
        <v>134</v>
      </c>
      <c r="Y3002" t="s">
        <v>11728</v>
      </c>
      <c r="Z3002" t="s">
        <v>58</v>
      </c>
      <c r="AA3002" t="s">
        <v>54</v>
      </c>
      <c r="AB3002" t="s">
        <v>954</v>
      </c>
      <c r="AC3002" t="s">
        <v>85</v>
      </c>
      <c r="AD3002" t="s">
        <v>208</v>
      </c>
      <c r="AE3002" t="s">
        <v>10292</v>
      </c>
      <c r="AF3002" t="s">
        <v>11729</v>
      </c>
      <c r="AG3002" t="s">
        <v>58</v>
      </c>
      <c r="AH3002">
        <v>15957</v>
      </c>
      <c r="AK3002">
        <v>1</v>
      </c>
      <c r="AL3002" t="s">
        <v>61</v>
      </c>
      <c r="AM3002" t="s">
        <v>9894</v>
      </c>
      <c r="AN3002" t="s">
        <v>9895</v>
      </c>
    </row>
    <row r="3003" spans="1:40" x14ac:dyDescent="0.35">
      <c r="A3003" t="s">
        <v>37</v>
      </c>
      <c r="B3003" t="s">
        <v>11730</v>
      </c>
      <c r="C3003" t="s">
        <v>102</v>
      </c>
      <c r="D3003" t="s">
        <v>11731</v>
      </c>
      <c r="E3003" t="s">
        <v>11732</v>
      </c>
      <c r="F3003" s="1">
        <v>46066.056238425925</v>
      </c>
      <c r="G3003" t="s">
        <v>105</v>
      </c>
      <c r="H3003" t="s">
        <v>106</v>
      </c>
      <c r="I3003" t="s">
        <v>11733</v>
      </c>
      <c r="J3003" t="s">
        <v>2406</v>
      </c>
      <c r="K3003" t="s">
        <v>1187</v>
      </c>
      <c r="M3003" t="s">
        <v>131</v>
      </c>
      <c r="O3003" t="s">
        <v>237</v>
      </c>
      <c r="P3003" t="s">
        <v>238</v>
      </c>
      <c r="Q3003" t="s">
        <v>50</v>
      </c>
      <c r="R3003" t="s">
        <v>1189</v>
      </c>
      <c r="S3003" t="s">
        <v>1190</v>
      </c>
      <c r="T3003" t="s">
        <v>10097</v>
      </c>
      <c r="U3003" s="1">
        <v>46076.517361111109</v>
      </c>
      <c r="V3003" t="s">
        <v>54</v>
      </c>
      <c r="W3003" t="s">
        <v>55</v>
      </c>
      <c r="X3003" t="s">
        <v>134</v>
      </c>
      <c r="Y3003" t="s">
        <v>11734</v>
      </c>
      <c r="Z3003" t="s">
        <v>58</v>
      </c>
      <c r="AA3003" t="s">
        <v>54</v>
      </c>
      <c r="AB3003" t="s">
        <v>954</v>
      </c>
      <c r="AC3003" t="s">
        <v>242</v>
      </c>
      <c r="AD3003" t="s">
        <v>1189</v>
      </c>
      <c r="AE3003" t="s">
        <v>1190</v>
      </c>
      <c r="AF3003" t="s">
        <v>3058</v>
      </c>
      <c r="AG3003" t="s">
        <v>58</v>
      </c>
      <c r="AH3003" t="s">
        <v>11735</v>
      </c>
      <c r="AK3003">
        <v>6</v>
      </c>
      <c r="AL3003" t="s">
        <v>61</v>
      </c>
      <c r="AM3003" t="s">
        <v>11736</v>
      </c>
      <c r="AN3003" t="s">
        <v>11737</v>
      </c>
    </row>
    <row r="3004" spans="1:40" x14ac:dyDescent="0.35">
      <c r="A3004" t="s">
        <v>37</v>
      </c>
      <c r="B3004" t="s">
        <v>11738</v>
      </c>
      <c r="C3004" t="s">
        <v>39</v>
      </c>
      <c r="D3004" t="s">
        <v>10387</v>
      </c>
      <c r="E3004" t="s">
        <v>10388</v>
      </c>
      <c r="F3004" s="1">
        <v>46065.997118055559</v>
      </c>
      <c r="G3004" t="s">
        <v>42</v>
      </c>
      <c r="H3004" t="s">
        <v>43</v>
      </c>
      <c r="I3004" t="s">
        <v>11739</v>
      </c>
      <c r="J3004" t="s">
        <v>724</v>
      </c>
      <c r="K3004" t="s">
        <v>75</v>
      </c>
      <c r="M3004" t="s">
        <v>76</v>
      </c>
      <c r="O3004" t="s">
        <v>77</v>
      </c>
      <c r="P3004" t="s">
        <v>78</v>
      </c>
      <c r="Q3004" t="s">
        <v>50</v>
      </c>
      <c r="R3004" t="s">
        <v>305</v>
      </c>
      <c r="S3004" t="s">
        <v>306</v>
      </c>
      <c r="T3004" t="s">
        <v>307</v>
      </c>
      <c r="U3004" s="1">
        <v>46076.314143518517</v>
      </c>
      <c r="V3004" t="s">
        <v>54</v>
      </c>
      <c r="W3004" t="s">
        <v>55</v>
      </c>
      <c r="X3004" t="s">
        <v>211</v>
      </c>
      <c r="Y3004" t="s">
        <v>11740</v>
      </c>
      <c r="Z3004" t="s">
        <v>58</v>
      </c>
      <c r="AA3004" t="s">
        <v>54</v>
      </c>
      <c r="AB3004" t="s">
        <v>213</v>
      </c>
      <c r="AC3004" t="s">
        <v>85</v>
      </c>
      <c r="AD3004" t="s">
        <v>4822</v>
      </c>
      <c r="AE3004" t="s">
        <v>11741</v>
      </c>
      <c r="AF3004" t="s">
        <v>11742</v>
      </c>
      <c r="AG3004" t="s">
        <v>58</v>
      </c>
      <c r="AH3004" t="s">
        <v>10390</v>
      </c>
      <c r="AK3004">
        <v>2</v>
      </c>
      <c r="AL3004" t="s">
        <v>61</v>
      </c>
      <c r="AM3004" t="s">
        <v>10391</v>
      </c>
      <c r="AN3004" t="s">
        <v>10392</v>
      </c>
    </row>
    <row r="3005" spans="1:40" x14ac:dyDescent="0.35">
      <c r="A3005" t="s">
        <v>37</v>
      </c>
      <c r="B3005" t="s">
        <v>11743</v>
      </c>
      <c r="C3005" t="s">
        <v>39</v>
      </c>
      <c r="D3005" t="s">
        <v>11113</v>
      </c>
      <c r="E3005" t="s">
        <v>11114</v>
      </c>
      <c r="F3005" s="1">
        <v>46065.995856481481</v>
      </c>
      <c r="G3005" t="s">
        <v>42</v>
      </c>
      <c r="H3005" t="s">
        <v>43</v>
      </c>
      <c r="I3005" t="s">
        <v>1185</v>
      </c>
      <c r="J3005" t="s">
        <v>2333</v>
      </c>
      <c r="K3005" t="s">
        <v>1187</v>
      </c>
      <c r="M3005" t="s">
        <v>47</v>
      </c>
      <c r="O3005" t="s">
        <v>77</v>
      </c>
      <c r="P3005" t="s">
        <v>78</v>
      </c>
      <c r="Q3005" t="s">
        <v>50</v>
      </c>
      <c r="R3005" t="s">
        <v>305</v>
      </c>
      <c r="S3005" t="s">
        <v>306</v>
      </c>
      <c r="T3005" t="s">
        <v>307</v>
      </c>
      <c r="U3005" s="1">
        <v>46072.479479166665</v>
      </c>
      <c r="V3005" t="s">
        <v>54</v>
      </c>
      <c r="W3005" t="s">
        <v>55</v>
      </c>
      <c r="X3005" t="s">
        <v>211</v>
      </c>
      <c r="Y3005" t="s">
        <v>11744</v>
      </c>
      <c r="Z3005" t="s">
        <v>5594</v>
      </c>
      <c r="AA3005" t="s">
        <v>54</v>
      </c>
      <c r="AB3005" t="s">
        <v>213</v>
      </c>
      <c r="AC3005" t="s">
        <v>85</v>
      </c>
      <c r="AD3005" t="s">
        <v>1189</v>
      </c>
      <c r="AE3005" t="s">
        <v>1190</v>
      </c>
      <c r="AF3005" t="s">
        <v>1191</v>
      </c>
      <c r="AG3005" t="s">
        <v>5594</v>
      </c>
      <c r="AH3005" t="s">
        <v>11116</v>
      </c>
      <c r="AK3005">
        <v>8</v>
      </c>
      <c r="AL3005" t="s">
        <v>61</v>
      </c>
      <c r="AM3005" t="s">
        <v>11117</v>
      </c>
      <c r="AN3005" t="s">
        <v>11118</v>
      </c>
    </row>
    <row r="3006" spans="1:40" x14ac:dyDescent="0.35">
      <c r="A3006" t="s">
        <v>37</v>
      </c>
      <c r="B3006" t="s">
        <v>11745</v>
      </c>
      <c r="C3006" t="s">
        <v>39</v>
      </c>
      <c r="D3006" t="s">
        <v>277</v>
      </c>
      <c r="E3006" t="s">
        <v>11477</v>
      </c>
      <c r="F3006" s="1">
        <v>46065.861724537041</v>
      </c>
      <c r="G3006" t="s">
        <v>1094</v>
      </c>
      <c r="H3006" t="s">
        <v>447</v>
      </c>
      <c r="I3006" t="s">
        <v>11746</v>
      </c>
      <c r="J3006" t="s">
        <v>2406</v>
      </c>
      <c r="K3006" t="s">
        <v>1187</v>
      </c>
      <c r="M3006" t="s">
        <v>131</v>
      </c>
      <c r="O3006" t="s">
        <v>77</v>
      </c>
      <c r="P3006" t="s">
        <v>78</v>
      </c>
      <c r="Q3006" t="s">
        <v>50</v>
      </c>
      <c r="R3006" t="s">
        <v>79</v>
      </c>
      <c r="S3006" t="s">
        <v>975</v>
      </c>
      <c r="T3006" t="s">
        <v>7838</v>
      </c>
      <c r="U3006" s="1">
        <v>46076.513159722221</v>
      </c>
      <c r="V3006" t="s">
        <v>54</v>
      </c>
      <c r="W3006" t="s">
        <v>55</v>
      </c>
      <c r="X3006" t="s">
        <v>134</v>
      </c>
      <c r="Y3006" t="s">
        <v>11747</v>
      </c>
      <c r="Z3006" t="s">
        <v>58</v>
      </c>
      <c r="AA3006" t="s">
        <v>54</v>
      </c>
      <c r="AB3006" t="s">
        <v>2521</v>
      </c>
      <c r="AC3006" t="s">
        <v>85</v>
      </c>
      <c r="AD3006" t="s">
        <v>1189</v>
      </c>
      <c r="AE3006" t="s">
        <v>1190</v>
      </c>
      <c r="AF3006" t="s">
        <v>3058</v>
      </c>
      <c r="AG3006" t="s">
        <v>58</v>
      </c>
      <c r="AH3006">
        <v>14998</v>
      </c>
      <c r="AK3006">
        <v>4</v>
      </c>
      <c r="AL3006" t="s">
        <v>410</v>
      </c>
      <c r="AM3006" t="s">
        <v>11748</v>
      </c>
      <c r="AN3006" t="s">
        <v>11749</v>
      </c>
    </row>
    <row r="3007" spans="1:40" x14ac:dyDescent="0.35">
      <c r="A3007" t="s">
        <v>37</v>
      </c>
      <c r="B3007" t="s">
        <v>11750</v>
      </c>
      <c r="C3007" t="s">
        <v>39</v>
      </c>
      <c r="D3007" t="s">
        <v>4224</v>
      </c>
      <c r="E3007" t="s">
        <v>11751</v>
      </c>
      <c r="F3007" s="1">
        <v>46065.841458333336</v>
      </c>
      <c r="G3007" t="s">
        <v>355</v>
      </c>
      <c r="H3007" t="s">
        <v>356</v>
      </c>
      <c r="I3007" t="s">
        <v>1222</v>
      </c>
      <c r="J3007" t="s">
        <v>455</v>
      </c>
      <c r="K3007" t="s">
        <v>436</v>
      </c>
      <c r="M3007" t="s">
        <v>47</v>
      </c>
      <c r="O3007" t="s">
        <v>77</v>
      </c>
      <c r="P3007" t="s">
        <v>78</v>
      </c>
      <c r="Q3007" t="s">
        <v>50</v>
      </c>
      <c r="R3007" t="s">
        <v>51</v>
      </c>
      <c r="S3007" t="s">
        <v>52</v>
      </c>
      <c r="T3007" t="s">
        <v>240</v>
      </c>
      <c r="U3007" s="1">
        <v>46072.478460648148</v>
      </c>
      <c r="V3007" t="s">
        <v>54</v>
      </c>
      <c r="W3007" t="s">
        <v>55</v>
      </c>
      <c r="X3007" t="s">
        <v>211</v>
      </c>
      <c r="Y3007" t="s">
        <v>11752</v>
      </c>
      <c r="Z3007" t="s">
        <v>5594</v>
      </c>
      <c r="AA3007" t="s">
        <v>54</v>
      </c>
      <c r="AB3007" t="s">
        <v>213</v>
      </c>
      <c r="AC3007" t="s">
        <v>85</v>
      </c>
      <c r="AD3007" t="s">
        <v>52</v>
      </c>
      <c r="AE3007" t="s">
        <v>438</v>
      </c>
      <c r="AF3007" t="s">
        <v>775</v>
      </c>
      <c r="AG3007" t="s">
        <v>5594</v>
      </c>
      <c r="AH3007" t="s">
        <v>11753</v>
      </c>
      <c r="AK3007">
        <v>8</v>
      </c>
      <c r="AL3007" t="s">
        <v>61</v>
      </c>
      <c r="AM3007" t="s">
        <v>11754</v>
      </c>
      <c r="AN3007" t="s">
        <v>11755</v>
      </c>
    </row>
    <row r="3008" spans="1:40" x14ac:dyDescent="0.35">
      <c r="A3008" t="s">
        <v>37</v>
      </c>
      <c r="B3008" t="s">
        <v>11756</v>
      </c>
      <c r="C3008" t="s">
        <v>102</v>
      </c>
      <c r="D3008" t="s">
        <v>635</v>
      </c>
      <c r="E3008" t="s">
        <v>11757</v>
      </c>
      <c r="F3008" s="1">
        <v>46065.824641203704</v>
      </c>
      <c r="G3008" t="s">
        <v>304</v>
      </c>
      <c r="H3008" t="s">
        <v>106</v>
      </c>
      <c r="I3008" t="s">
        <v>4398</v>
      </c>
      <c r="J3008" t="s">
        <v>5583</v>
      </c>
      <c r="K3008" t="s">
        <v>951</v>
      </c>
      <c r="M3008" t="s">
        <v>76</v>
      </c>
      <c r="O3008" t="s">
        <v>237</v>
      </c>
      <c r="P3008" t="s">
        <v>238</v>
      </c>
      <c r="Q3008" t="s">
        <v>50</v>
      </c>
      <c r="R3008" t="s">
        <v>79</v>
      </c>
      <c r="S3008" t="s">
        <v>967</v>
      </c>
      <c r="T3008" t="s">
        <v>4400</v>
      </c>
      <c r="U3008" s="1">
        <v>46076.568622685183</v>
      </c>
      <c r="V3008" t="s">
        <v>54</v>
      </c>
      <c r="W3008" t="s">
        <v>55</v>
      </c>
      <c r="X3008" t="s">
        <v>82</v>
      </c>
      <c r="Y3008" t="s">
        <v>11758</v>
      </c>
      <c r="Z3008" t="s">
        <v>58</v>
      </c>
      <c r="AA3008" t="s">
        <v>54</v>
      </c>
      <c r="AB3008" t="s">
        <v>2521</v>
      </c>
      <c r="AC3008" t="s">
        <v>242</v>
      </c>
      <c r="AD3008" t="s">
        <v>79</v>
      </c>
      <c r="AE3008" t="s">
        <v>967</v>
      </c>
      <c r="AF3008" t="s">
        <v>4400</v>
      </c>
      <c r="AG3008" t="s">
        <v>58</v>
      </c>
      <c r="AH3008">
        <v>13261</v>
      </c>
      <c r="AK3008">
        <v>6</v>
      </c>
      <c r="AL3008" t="s">
        <v>61</v>
      </c>
      <c r="AM3008" t="s">
        <v>11759</v>
      </c>
      <c r="AN3008" t="s">
        <v>11760</v>
      </c>
    </row>
    <row r="3009" spans="1:40" x14ac:dyDescent="0.35">
      <c r="A3009" t="s">
        <v>37</v>
      </c>
      <c r="B3009" t="s">
        <v>11761</v>
      </c>
      <c r="C3009" t="s">
        <v>39</v>
      </c>
      <c r="D3009" t="s">
        <v>8149</v>
      </c>
      <c r="E3009" t="s">
        <v>469</v>
      </c>
      <c r="F3009" s="1">
        <v>46065.809479166666</v>
      </c>
      <c r="G3009" t="s">
        <v>446</v>
      </c>
      <c r="H3009" t="s">
        <v>447</v>
      </c>
      <c r="I3009" t="s">
        <v>11762</v>
      </c>
      <c r="J3009" t="s">
        <v>206</v>
      </c>
      <c r="K3009" t="s">
        <v>207</v>
      </c>
      <c r="M3009" t="s">
        <v>47</v>
      </c>
      <c r="O3009" t="s">
        <v>77</v>
      </c>
      <c r="P3009" t="s">
        <v>78</v>
      </c>
      <c r="Q3009" t="s">
        <v>50</v>
      </c>
      <c r="R3009" t="s">
        <v>79</v>
      </c>
      <c r="S3009" t="s">
        <v>1556</v>
      </c>
      <c r="T3009" t="s">
        <v>1557</v>
      </c>
      <c r="U3009" s="1">
        <v>46073.867094907408</v>
      </c>
      <c r="V3009" t="s">
        <v>54</v>
      </c>
      <c r="W3009" t="s">
        <v>55</v>
      </c>
      <c r="X3009" t="s">
        <v>134</v>
      </c>
      <c r="Y3009" t="s">
        <v>11763</v>
      </c>
      <c r="Z3009" t="s">
        <v>5594</v>
      </c>
      <c r="AA3009" t="s">
        <v>54</v>
      </c>
      <c r="AB3009" t="s">
        <v>2521</v>
      </c>
      <c r="AC3009" t="s">
        <v>85</v>
      </c>
      <c r="AD3009" t="s">
        <v>79</v>
      </c>
      <c r="AE3009" t="s">
        <v>1556</v>
      </c>
      <c r="AF3009" t="s">
        <v>1557</v>
      </c>
      <c r="AG3009" t="s">
        <v>5594</v>
      </c>
      <c r="AH3009" t="s">
        <v>8152</v>
      </c>
      <c r="AK3009">
        <v>3</v>
      </c>
      <c r="AL3009" t="s">
        <v>61</v>
      </c>
      <c r="AM3009" t="s">
        <v>8153</v>
      </c>
      <c r="AN3009" t="s">
        <v>8154</v>
      </c>
    </row>
    <row r="3010" spans="1:40" x14ac:dyDescent="0.35">
      <c r="A3010" t="s">
        <v>37</v>
      </c>
      <c r="B3010" t="s">
        <v>11764</v>
      </c>
      <c r="C3010" t="s">
        <v>39</v>
      </c>
      <c r="D3010" t="s">
        <v>11765</v>
      </c>
      <c r="E3010" t="s">
        <v>11766</v>
      </c>
      <c r="F3010" s="1">
        <v>46065.761365740742</v>
      </c>
      <c r="G3010" t="s">
        <v>826</v>
      </c>
      <c r="H3010" t="s">
        <v>356</v>
      </c>
      <c r="I3010" t="s">
        <v>205</v>
      </c>
      <c r="J3010" t="s">
        <v>206</v>
      </c>
      <c r="K3010" t="s">
        <v>207</v>
      </c>
      <c r="M3010" t="s">
        <v>131</v>
      </c>
      <c r="O3010" t="s">
        <v>77</v>
      </c>
      <c r="P3010" t="s">
        <v>78</v>
      </c>
      <c r="Q3010" t="s">
        <v>50</v>
      </c>
      <c r="R3010" t="s">
        <v>305</v>
      </c>
      <c r="S3010" t="s">
        <v>306</v>
      </c>
      <c r="T3010" t="s">
        <v>307</v>
      </c>
      <c r="U3010" s="1">
        <v>46076.257685185185</v>
      </c>
      <c r="V3010" t="s">
        <v>54</v>
      </c>
      <c r="W3010" t="s">
        <v>55</v>
      </c>
      <c r="X3010" t="s">
        <v>211</v>
      </c>
      <c r="Y3010" t="s">
        <v>11767</v>
      </c>
      <c r="Z3010" t="s">
        <v>58</v>
      </c>
      <c r="AA3010" t="s">
        <v>54</v>
      </c>
      <c r="AB3010" t="s">
        <v>213</v>
      </c>
      <c r="AC3010" t="s">
        <v>85</v>
      </c>
      <c r="AD3010" t="s">
        <v>214</v>
      </c>
      <c r="AE3010" t="s">
        <v>215</v>
      </c>
      <c r="AF3010" t="s">
        <v>2083</v>
      </c>
      <c r="AG3010" t="s">
        <v>58</v>
      </c>
      <c r="AH3010" t="s">
        <v>11768</v>
      </c>
      <c r="AK3010">
        <v>5</v>
      </c>
      <c r="AL3010" t="s">
        <v>61</v>
      </c>
      <c r="AM3010" t="s">
        <v>11769</v>
      </c>
      <c r="AN3010" t="s">
        <v>11770</v>
      </c>
    </row>
    <row r="3011" spans="1:40" x14ac:dyDescent="0.35">
      <c r="A3011" t="s">
        <v>37</v>
      </c>
      <c r="B3011" t="s">
        <v>11771</v>
      </c>
      <c r="C3011" t="s">
        <v>39</v>
      </c>
      <c r="D3011" t="s">
        <v>69</v>
      </c>
      <c r="E3011" t="s">
        <v>70</v>
      </c>
      <c r="F3011" s="1">
        <v>46065.754386574074</v>
      </c>
      <c r="G3011" t="s">
        <v>71</v>
      </c>
      <c r="H3011" t="s">
        <v>72</v>
      </c>
      <c r="I3011" t="s">
        <v>11772</v>
      </c>
      <c r="J3011" t="s">
        <v>695</v>
      </c>
      <c r="K3011" t="s">
        <v>75</v>
      </c>
      <c r="M3011" t="s">
        <v>131</v>
      </c>
      <c r="O3011" t="s">
        <v>77</v>
      </c>
      <c r="P3011" t="s">
        <v>78</v>
      </c>
      <c r="Q3011" t="s">
        <v>50</v>
      </c>
      <c r="R3011" t="s">
        <v>2670</v>
      </c>
      <c r="S3011" t="s">
        <v>967</v>
      </c>
      <c r="T3011" t="s">
        <v>11773</v>
      </c>
      <c r="U3011" s="1">
        <v>46076.473032407404</v>
      </c>
      <c r="V3011" t="s">
        <v>54</v>
      </c>
      <c r="W3011" t="s">
        <v>55</v>
      </c>
      <c r="X3011" t="s">
        <v>134</v>
      </c>
      <c r="Y3011" t="s">
        <v>11774</v>
      </c>
      <c r="Z3011" t="s">
        <v>58</v>
      </c>
      <c r="AA3011" t="s">
        <v>54</v>
      </c>
      <c r="AB3011" t="s">
        <v>2521</v>
      </c>
      <c r="AC3011" t="s">
        <v>85</v>
      </c>
      <c r="AD3011" t="s">
        <v>2670</v>
      </c>
      <c r="AE3011" t="s">
        <v>967</v>
      </c>
      <c r="AF3011" t="s">
        <v>11775</v>
      </c>
      <c r="AG3011" t="s">
        <v>58</v>
      </c>
      <c r="AH3011">
        <v>15896</v>
      </c>
      <c r="AK3011">
        <v>2</v>
      </c>
      <c r="AL3011" t="s">
        <v>61</v>
      </c>
      <c r="AM3011" t="s">
        <v>86</v>
      </c>
      <c r="AN3011" t="s">
        <v>87</v>
      </c>
    </row>
    <row r="3012" spans="1:40" x14ac:dyDescent="0.35">
      <c r="A3012" t="s">
        <v>37</v>
      </c>
      <c r="B3012" t="s">
        <v>11776</v>
      </c>
      <c r="C3012" t="s">
        <v>656</v>
      </c>
      <c r="D3012" t="s">
        <v>7283</v>
      </c>
      <c r="E3012" t="s">
        <v>7284</v>
      </c>
      <c r="F3012" s="1">
        <v>46065.71670138889</v>
      </c>
      <c r="G3012" t="s">
        <v>355</v>
      </c>
      <c r="H3012" t="s">
        <v>356</v>
      </c>
      <c r="I3012" t="s">
        <v>11777</v>
      </c>
      <c r="J3012" t="s">
        <v>6155</v>
      </c>
      <c r="K3012" t="s">
        <v>6156</v>
      </c>
      <c r="M3012" t="s">
        <v>47</v>
      </c>
      <c r="O3012" t="s">
        <v>77</v>
      </c>
      <c r="P3012" t="s">
        <v>78</v>
      </c>
      <c r="Q3012" t="s">
        <v>50</v>
      </c>
      <c r="R3012" t="s">
        <v>51</v>
      </c>
      <c r="S3012" t="s">
        <v>52</v>
      </c>
      <c r="T3012" t="s">
        <v>2563</v>
      </c>
      <c r="U3012" s="1">
        <v>46072.609363425923</v>
      </c>
      <c r="V3012" t="s">
        <v>54</v>
      </c>
      <c r="W3012" t="s">
        <v>55</v>
      </c>
      <c r="X3012" t="s">
        <v>134</v>
      </c>
      <c r="Y3012" t="s">
        <v>11778</v>
      </c>
      <c r="Z3012" t="s">
        <v>5594</v>
      </c>
      <c r="AA3012" t="s">
        <v>54</v>
      </c>
      <c r="AB3012" t="s">
        <v>2521</v>
      </c>
      <c r="AC3012" t="s">
        <v>85</v>
      </c>
      <c r="AD3012" t="s">
        <v>52</v>
      </c>
      <c r="AE3012" t="s">
        <v>967</v>
      </c>
      <c r="AF3012" t="s">
        <v>2563</v>
      </c>
      <c r="AG3012" t="s">
        <v>5594</v>
      </c>
      <c r="AH3012" t="s">
        <v>11779</v>
      </c>
      <c r="AK3012">
        <v>2</v>
      </c>
      <c r="AL3012" t="s">
        <v>61</v>
      </c>
      <c r="AM3012" t="s">
        <v>11780</v>
      </c>
      <c r="AN3012" t="s">
        <v>11781</v>
      </c>
    </row>
    <row r="3013" spans="1:40" x14ac:dyDescent="0.35">
      <c r="A3013" t="s">
        <v>37</v>
      </c>
      <c r="B3013" t="s">
        <v>11782</v>
      </c>
      <c r="C3013" t="s">
        <v>39</v>
      </c>
      <c r="D3013" t="s">
        <v>11783</v>
      </c>
      <c r="E3013" t="s">
        <v>11784</v>
      </c>
      <c r="F3013" s="1">
        <v>46065.659224537034</v>
      </c>
      <c r="G3013" t="s">
        <v>771</v>
      </c>
      <c r="H3013" t="s">
        <v>92</v>
      </c>
      <c r="I3013" t="s">
        <v>1185</v>
      </c>
      <c r="J3013" t="s">
        <v>1186</v>
      </c>
      <c r="K3013" t="s">
        <v>1187</v>
      </c>
      <c r="M3013" t="s">
        <v>47</v>
      </c>
      <c r="O3013" t="s">
        <v>77</v>
      </c>
      <c r="P3013" t="s">
        <v>78</v>
      </c>
      <c r="Q3013" t="s">
        <v>50</v>
      </c>
      <c r="R3013" t="s">
        <v>305</v>
      </c>
      <c r="S3013" t="s">
        <v>306</v>
      </c>
      <c r="T3013" t="s">
        <v>307</v>
      </c>
      <c r="U3013" s="1">
        <v>46072.449918981481</v>
      </c>
      <c r="V3013" t="s">
        <v>54</v>
      </c>
      <c r="W3013" t="s">
        <v>55</v>
      </c>
      <c r="X3013" t="s">
        <v>211</v>
      </c>
      <c r="Y3013" t="s">
        <v>1188</v>
      </c>
      <c r="Z3013" t="s">
        <v>5594</v>
      </c>
      <c r="AA3013" t="s">
        <v>54</v>
      </c>
      <c r="AB3013" t="s">
        <v>213</v>
      </c>
      <c r="AC3013" t="s">
        <v>85</v>
      </c>
      <c r="AD3013" t="s">
        <v>1189</v>
      </c>
      <c r="AE3013" t="s">
        <v>1190</v>
      </c>
      <c r="AF3013" t="s">
        <v>1191</v>
      </c>
      <c r="AG3013" t="s">
        <v>5594</v>
      </c>
      <c r="AH3013">
        <v>14268</v>
      </c>
      <c r="AK3013">
        <v>5</v>
      </c>
      <c r="AL3013" t="s">
        <v>61</v>
      </c>
      <c r="AM3013" t="s">
        <v>11785</v>
      </c>
      <c r="AN3013" t="s">
        <v>11786</v>
      </c>
    </row>
    <row r="3014" spans="1:40" x14ac:dyDescent="0.35">
      <c r="A3014" t="s">
        <v>37</v>
      </c>
      <c r="B3014" t="s">
        <v>11787</v>
      </c>
      <c r="C3014" t="s">
        <v>656</v>
      </c>
      <c r="D3014" t="s">
        <v>9063</v>
      </c>
      <c r="E3014" t="s">
        <v>9064</v>
      </c>
      <c r="F3014" s="1">
        <v>46065.63422453704</v>
      </c>
      <c r="G3014" t="s">
        <v>355</v>
      </c>
      <c r="H3014" t="s">
        <v>356</v>
      </c>
      <c r="I3014" t="s">
        <v>11788</v>
      </c>
      <c r="J3014" t="s">
        <v>2987</v>
      </c>
      <c r="K3014" t="s">
        <v>2988</v>
      </c>
      <c r="M3014" t="s">
        <v>76</v>
      </c>
      <c r="O3014" t="s">
        <v>77</v>
      </c>
      <c r="P3014" t="s">
        <v>78</v>
      </c>
      <c r="Q3014" t="s">
        <v>50</v>
      </c>
      <c r="R3014" t="s">
        <v>2989</v>
      </c>
      <c r="S3014" t="s">
        <v>2990</v>
      </c>
      <c r="T3014" t="s">
        <v>11253</v>
      </c>
      <c r="U3014" s="1">
        <v>46076.406527777777</v>
      </c>
      <c r="V3014" t="s">
        <v>54</v>
      </c>
      <c r="W3014" t="s">
        <v>55</v>
      </c>
      <c r="X3014" t="s">
        <v>134</v>
      </c>
      <c r="Y3014" t="s">
        <v>11789</v>
      </c>
      <c r="Z3014" t="s">
        <v>58</v>
      </c>
      <c r="AA3014" t="s">
        <v>54</v>
      </c>
      <c r="AB3014" t="s">
        <v>408</v>
      </c>
      <c r="AC3014" t="s">
        <v>85</v>
      </c>
      <c r="AD3014" t="s">
        <v>2989</v>
      </c>
      <c r="AE3014" t="s">
        <v>2990</v>
      </c>
      <c r="AF3014" t="s">
        <v>11253</v>
      </c>
      <c r="AG3014" t="s">
        <v>58</v>
      </c>
      <c r="AH3014">
        <v>15463</v>
      </c>
      <c r="AK3014">
        <v>2</v>
      </c>
      <c r="AL3014" t="s">
        <v>61</v>
      </c>
      <c r="AM3014" t="s">
        <v>9065</v>
      </c>
      <c r="AN3014" t="s">
        <v>9066</v>
      </c>
    </row>
    <row r="3015" spans="1:40" x14ac:dyDescent="0.35">
      <c r="A3015" t="s">
        <v>37</v>
      </c>
      <c r="B3015" t="s">
        <v>11790</v>
      </c>
      <c r="C3015" t="s">
        <v>39</v>
      </c>
      <c r="D3015" t="s">
        <v>11791</v>
      </c>
      <c r="E3015" t="s">
        <v>779</v>
      </c>
      <c r="F3015" s="1">
        <v>46065.615023148152</v>
      </c>
      <c r="G3015" t="s">
        <v>402</v>
      </c>
      <c r="H3015" t="s">
        <v>72</v>
      </c>
      <c r="I3015" t="s">
        <v>1446</v>
      </c>
      <c r="J3015" t="s">
        <v>950</v>
      </c>
      <c r="K3015" t="s">
        <v>951</v>
      </c>
      <c r="M3015" t="s">
        <v>76</v>
      </c>
      <c r="O3015" t="s">
        <v>77</v>
      </c>
      <c r="P3015" t="s">
        <v>78</v>
      </c>
      <c r="Q3015" t="s">
        <v>50</v>
      </c>
      <c r="R3015" t="s">
        <v>51</v>
      </c>
      <c r="S3015" t="s">
        <v>52</v>
      </c>
      <c r="T3015" t="s">
        <v>4080</v>
      </c>
      <c r="U3015" s="1">
        <v>46077.516527777778</v>
      </c>
      <c r="V3015" t="s">
        <v>54</v>
      </c>
      <c r="W3015" t="s">
        <v>55</v>
      </c>
      <c r="X3015" t="s">
        <v>211</v>
      </c>
      <c r="Y3015" t="e">
        <f>- user confirmed the EDMS issue has been resolved</f>
        <v>#NAME?</v>
      </c>
      <c r="Z3015" t="s">
        <v>58</v>
      </c>
      <c r="AA3015" t="s">
        <v>54</v>
      </c>
      <c r="AB3015" t="s">
        <v>213</v>
      </c>
      <c r="AC3015" t="s">
        <v>85</v>
      </c>
      <c r="AD3015" t="s">
        <v>79</v>
      </c>
      <c r="AE3015" t="s">
        <v>1016</v>
      </c>
      <c r="AF3015" t="s">
        <v>4181</v>
      </c>
      <c r="AG3015" t="s">
        <v>58</v>
      </c>
      <c r="AH3015" t="s">
        <v>11792</v>
      </c>
      <c r="AK3015">
        <v>7</v>
      </c>
      <c r="AL3015" t="s">
        <v>61</v>
      </c>
      <c r="AM3015" t="s">
        <v>11793</v>
      </c>
      <c r="AN3015" t="s">
        <v>11794</v>
      </c>
    </row>
    <row r="3016" spans="1:40" x14ac:dyDescent="0.35">
      <c r="A3016" t="s">
        <v>37</v>
      </c>
      <c r="B3016" t="s">
        <v>11795</v>
      </c>
      <c r="C3016" t="s">
        <v>39</v>
      </c>
      <c r="D3016" t="s">
        <v>11796</v>
      </c>
      <c r="E3016" t="s">
        <v>11797</v>
      </c>
      <c r="F3016" s="1">
        <v>46065.615717592591</v>
      </c>
      <c r="G3016" t="s">
        <v>355</v>
      </c>
      <c r="H3016" t="s">
        <v>356</v>
      </c>
      <c r="I3016" t="s">
        <v>11798</v>
      </c>
      <c r="J3016" t="s">
        <v>3949</v>
      </c>
      <c r="K3016" t="s">
        <v>3950</v>
      </c>
      <c r="M3016" t="s">
        <v>131</v>
      </c>
      <c r="O3016" t="s">
        <v>77</v>
      </c>
      <c r="P3016" t="s">
        <v>78</v>
      </c>
      <c r="Q3016" t="s">
        <v>50</v>
      </c>
      <c r="R3016" t="s">
        <v>79</v>
      </c>
      <c r="S3016" t="s">
        <v>11799</v>
      </c>
      <c r="T3016" t="s">
        <v>11800</v>
      </c>
      <c r="U3016" s="1">
        <v>46078.292442129627</v>
      </c>
      <c r="V3016" t="s">
        <v>54</v>
      </c>
      <c r="W3016" t="s">
        <v>55</v>
      </c>
      <c r="X3016" t="s">
        <v>134</v>
      </c>
      <c r="Y3016" t="s">
        <v>11801</v>
      </c>
      <c r="Z3016" t="s">
        <v>58</v>
      </c>
      <c r="AA3016" t="s">
        <v>54</v>
      </c>
      <c r="AB3016" t="s">
        <v>11802</v>
      </c>
      <c r="AC3016" t="s">
        <v>85</v>
      </c>
      <c r="AD3016" t="s">
        <v>3952</v>
      </c>
      <c r="AE3016" t="s">
        <v>11803</v>
      </c>
      <c r="AF3016" t="s">
        <v>11804</v>
      </c>
      <c r="AG3016" t="s">
        <v>58</v>
      </c>
      <c r="AH3016" t="s">
        <v>11805</v>
      </c>
      <c r="AJ3016">
        <v>12529</v>
      </c>
      <c r="AK3016">
        <v>1</v>
      </c>
      <c r="AL3016" t="s">
        <v>61</v>
      </c>
      <c r="AM3016" t="s">
        <v>11802</v>
      </c>
      <c r="AN3016" t="s">
        <v>11806</v>
      </c>
    </row>
    <row r="3017" spans="1:40" x14ac:dyDescent="0.35">
      <c r="A3017" t="s">
        <v>37</v>
      </c>
      <c r="B3017" t="s">
        <v>11807</v>
      </c>
      <c r="C3017" t="s">
        <v>39</v>
      </c>
      <c r="D3017" t="s">
        <v>1368</v>
      </c>
      <c r="E3017" t="s">
        <v>1369</v>
      </c>
      <c r="F3017" s="1">
        <v>46065.593009259261</v>
      </c>
      <c r="G3017" t="s">
        <v>71</v>
      </c>
      <c r="H3017" t="s">
        <v>72</v>
      </c>
      <c r="I3017" t="s">
        <v>2746</v>
      </c>
      <c r="J3017" t="s">
        <v>950</v>
      </c>
      <c r="K3017" t="s">
        <v>951</v>
      </c>
      <c r="M3017" t="s">
        <v>76</v>
      </c>
      <c r="O3017" t="s">
        <v>77</v>
      </c>
      <c r="P3017" t="s">
        <v>78</v>
      </c>
      <c r="Q3017" t="s">
        <v>1370</v>
      </c>
      <c r="R3017" t="s">
        <v>305</v>
      </c>
      <c r="S3017" t="s">
        <v>306</v>
      </c>
      <c r="T3017" t="s">
        <v>307</v>
      </c>
      <c r="U3017" s="1">
        <v>46077.517604166664</v>
      </c>
      <c r="V3017" t="s">
        <v>54</v>
      </c>
      <c r="W3017" t="s">
        <v>55</v>
      </c>
      <c r="X3017" t="s">
        <v>211</v>
      </c>
      <c r="Y3017" t="e">
        <f>- the laptop has been configured and handed to the user. - CMDB updated.</f>
        <v>#NAME?</v>
      </c>
      <c r="Z3017" t="s">
        <v>58</v>
      </c>
      <c r="AA3017" t="s">
        <v>54</v>
      </c>
      <c r="AB3017" t="s">
        <v>213</v>
      </c>
      <c r="AC3017" t="s">
        <v>85</v>
      </c>
      <c r="AD3017" t="s">
        <v>79</v>
      </c>
      <c r="AE3017" t="s">
        <v>2748</v>
      </c>
      <c r="AF3017" t="s">
        <v>2746</v>
      </c>
      <c r="AG3017" t="s">
        <v>58</v>
      </c>
      <c r="AH3017">
        <v>6570</v>
      </c>
      <c r="AJ3017">
        <v>191626</v>
      </c>
      <c r="AK3017">
        <v>12</v>
      </c>
      <c r="AL3017" t="s">
        <v>410</v>
      </c>
      <c r="AM3017" t="s">
        <v>1372</v>
      </c>
      <c r="AN3017" t="s">
        <v>1373</v>
      </c>
    </row>
    <row r="3018" spans="1:40" x14ac:dyDescent="0.35">
      <c r="A3018" t="s">
        <v>37</v>
      </c>
      <c r="B3018" t="s">
        <v>11808</v>
      </c>
      <c r="C3018" t="s">
        <v>39</v>
      </c>
      <c r="D3018" t="s">
        <v>3885</v>
      </c>
      <c r="E3018" t="s">
        <v>11809</v>
      </c>
      <c r="F3018" s="1">
        <v>46065.585173611114</v>
      </c>
      <c r="G3018" t="s">
        <v>355</v>
      </c>
      <c r="H3018" t="s">
        <v>356</v>
      </c>
      <c r="I3018" t="s">
        <v>11810</v>
      </c>
      <c r="J3018" t="s">
        <v>9282</v>
      </c>
      <c r="K3018" t="s">
        <v>9283</v>
      </c>
      <c r="M3018" t="s">
        <v>47</v>
      </c>
      <c r="O3018" t="s">
        <v>77</v>
      </c>
      <c r="P3018" t="s">
        <v>78</v>
      </c>
      <c r="Q3018" t="s">
        <v>50</v>
      </c>
      <c r="R3018" t="s">
        <v>79</v>
      </c>
      <c r="S3018" t="s">
        <v>975</v>
      </c>
      <c r="T3018" t="s">
        <v>2280</v>
      </c>
      <c r="U3018" s="1">
        <v>46072.698761574073</v>
      </c>
      <c r="V3018" t="s">
        <v>54</v>
      </c>
      <c r="W3018" t="s">
        <v>55</v>
      </c>
      <c r="X3018" t="s">
        <v>134</v>
      </c>
      <c r="Y3018" t="s">
        <v>11701</v>
      </c>
      <c r="Z3018" t="s">
        <v>5594</v>
      </c>
      <c r="AA3018" t="s">
        <v>54</v>
      </c>
      <c r="AB3018" t="s">
        <v>458</v>
      </c>
      <c r="AC3018" t="s">
        <v>85</v>
      </c>
      <c r="AD3018" t="s">
        <v>79</v>
      </c>
      <c r="AE3018" t="s">
        <v>558</v>
      </c>
      <c r="AF3018" t="s">
        <v>1110</v>
      </c>
      <c r="AG3018" t="s">
        <v>5594</v>
      </c>
      <c r="AH3018" t="s">
        <v>11811</v>
      </c>
      <c r="AK3018">
        <v>1</v>
      </c>
      <c r="AL3018" t="s">
        <v>61</v>
      </c>
      <c r="AM3018" t="s">
        <v>11812</v>
      </c>
      <c r="AN3018" t="s">
        <v>11813</v>
      </c>
    </row>
    <row r="3019" spans="1:40" x14ac:dyDescent="0.35">
      <c r="A3019" t="s">
        <v>37</v>
      </c>
      <c r="B3019" t="s">
        <v>11814</v>
      </c>
      <c r="C3019" t="s">
        <v>39</v>
      </c>
      <c r="D3019" t="s">
        <v>837</v>
      </c>
      <c r="E3019" t="s">
        <v>838</v>
      </c>
      <c r="F3019" s="1">
        <v>46065.58425925926</v>
      </c>
      <c r="G3019" t="s">
        <v>355</v>
      </c>
      <c r="H3019" t="s">
        <v>356</v>
      </c>
      <c r="I3019" t="s">
        <v>11815</v>
      </c>
      <c r="J3019" t="s">
        <v>9282</v>
      </c>
      <c r="K3019" t="s">
        <v>9283</v>
      </c>
      <c r="M3019" t="s">
        <v>47</v>
      </c>
      <c r="O3019" t="s">
        <v>77</v>
      </c>
      <c r="P3019" t="s">
        <v>78</v>
      </c>
      <c r="Q3019" t="s">
        <v>50</v>
      </c>
      <c r="R3019" t="s">
        <v>79</v>
      </c>
      <c r="S3019" t="s">
        <v>975</v>
      </c>
      <c r="T3019" t="s">
        <v>11816</v>
      </c>
      <c r="U3019" s="1">
        <v>46072.698425925926</v>
      </c>
      <c r="V3019" t="s">
        <v>54</v>
      </c>
      <c r="W3019" t="s">
        <v>55</v>
      </c>
      <c r="X3019" t="s">
        <v>134</v>
      </c>
      <c r="Y3019" t="s">
        <v>11701</v>
      </c>
      <c r="Z3019" t="s">
        <v>5594</v>
      </c>
      <c r="AA3019" t="s">
        <v>54</v>
      </c>
      <c r="AB3019" t="s">
        <v>458</v>
      </c>
      <c r="AC3019" t="s">
        <v>85</v>
      </c>
      <c r="AD3019" t="s">
        <v>79</v>
      </c>
      <c r="AE3019" t="s">
        <v>975</v>
      </c>
      <c r="AF3019" t="s">
        <v>2280</v>
      </c>
      <c r="AG3019" t="s">
        <v>5594</v>
      </c>
      <c r="AH3019">
        <v>15898</v>
      </c>
      <c r="AK3019">
        <v>3</v>
      </c>
      <c r="AL3019" t="s">
        <v>61</v>
      </c>
      <c r="AM3019" t="s">
        <v>842</v>
      </c>
      <c r="AN3019" t="s">
        <v>843</v>
      </c>
    </row>
    <row r="3020" spans="1:40" x14ac:dyDescent="0.35">
      <c r="A3020" t="s">
        <v>37</v>
      </c>
      <c r="B3020" t="s">
        <v>11817</v>
      </c>
      <c r="C3020" t="s">
        <v>39</v>
      </c>
      <c r="D3020" t="s">
        <v>3274</v>
      </c>
      <c r="E3020" t="s">
        <v>469</v>
      </c>
      <c r="F3020" s="1">
        <v>46065.566608796296</v>
      </c>
      <c r="G3020" t="s">
        <v>273</v>
      </c>
      <c r="H3020" t="s">
        <v>233</v>
      </c>
      <c r="I3020" t="s">
        <v>11818</v>
      </c>
      <c r="J3020" t="s">
        <v>2182</v>
      </c>
      <c r="K3020" t="s">
        <v>11222</v>
      </c>
      <c r="M3020" t="s">
        <v>47</v>
      </c>
      <c r="O3020" t="s">
        <v>237</v>
      </c>
      <c r="P3020" t="s">
        <v>238</v>
      </c>
      <c r="Q3020" t="s">
        <v>50</v>
      </c>
      <c r="R3020" t="s">
        <v>51</v>
      </c>
      <c r="S3020" t="s">
        <v>52</v>
      </c>
      <c r="T3020" t="s">
        <v>240</v>
      </c>
      <c r="U3020" s="1">
        <v>46074.930844907409</v>
      </c>
      <c r="V3020" t="s">
        <v>54</v>
      </c>
      <c r="W3020" t="s">
        <v>55</v>
      </c>
      <c r="X3020" t="s">
        <v>211</v>
      </c>
      <c r="Y3020" t="s">
        <v>11819</v>
      </c>
      <c r="Z3020" t="s">
        <v>5594</v>
      </c>
      <c r="AA3020" t="s">
        <v>54</v>
      </c>
      <c r="AB3020" t="s">
        <v>213</v>
      </c>
      <c r="AC3020" t="s">
        <v>242</v>
      </c>
      <c r="AD3020" t="s">
        <v>52</v>
      </c>
      <c r="AE3020" t="s">
        <v>438</v>
      </c>
      <c r="AF3020" t="s">
        <v>2111</v>
      </c>
      <c r="AG3020" t="s">
        <v>5594</v>
      </c>
      <c r="AH3020">
        <v>12296</v>
      </c>
      <c r="AK3020">
        <v>1</v>
      </c>
      <c r="AL3020" t="s">
        <v>61</v>
      </c>
      <c r="AM3020" t="s">
        <v>3276</v>
      </c>
      <c r="AN3020" t="s">
        <v>3277</v>
      </c>
    </row>
    <row r="3021" spans="1:40" x14ac:dyDescent="0.35">
      <c r="A3021" t="s">
        <v>37</v>
      </c>
      <c r="B3021" t="s">
        <v>11820</v>
      </c>
      <c r="C3021" t="s">
        <v>39</v>
      </c>
      <c r="D3021" t="s">
        <v>555</v>
      </c>
      <c r="E3021" t="s">
        <v>8165</v>
      </c>
      <c r="F3021" s="1">
        <v>46065.567175925928</v>
      </c>
      <c r="G3021" t="s">
        <v>261</v>
      </c>
      <c r="H3021" t="s">
        <v>72</v>
      </c>
      <c r="I3021" t="s">
        <v>8995</v>
      </c>
      <c r="J3021" t="s">
        <v>950</v>
      </c>
      <c r="K3021" t="s">
        <v>951</v>
      </c>
      <c r="M3021" t="s">
        <v>76</v>
      </c>
      <c r="O3021" t="s">
        <v>77</v>
      </c>
      <c r="P3021" t="s">
        <v>78</v>
      </c>
      <c r="Q3021" t="s">
        <v>50</v>
      </c>
      <c r="R3021" t="s">
        <v>79</v>
      </c>
      <c r="S3021" t="s">
        <v>8996</v>
      </c>
      <c r="T3021" t="s">
        <v>8996</v>
      </c>
      <c r="U3021" s="1">
        <v>46077.518275462964</v>
      </c>
      <c r="V3021" t="s">
        <v>54</v>
      </c>
      <c r="W3021" t="s">
        <v>55</v>
      </c>
      <c r="X3021" t="s">
        <v>134</v>
      </c>
      <c r="Y3021" t="e">
        <f>- Asset has been returned to the store, CMDB updated.</f>
        <v>#NAME?</v>
      </c>
      <c r="Z3021" t="s">
        <v>58</v>
      </c>
      <c r="AA3021" t="s">
        <v>54</v>
      </c>
      <c r="AB3021" t="s">
        <v>458</v>
      </c>
      <c r="AC3021" t="s">
        <v>85</v>
      </c>
      <c r="AD3021" t="s">
        <v>79</v>
      </c>
      <c r="AE3021" t="s">
        <v>11426</v>
      </c>
      <c r="AF3021" t="s">
        <v>11427</v>
      </c>
      <c r="AG3021" t="s">
        <v>58</v>
      </c>
      <c r="AH3021">
        <v>15842</v>
      </c>
      <c r="AJ3021">
        <v>12499</v>
      </c>
      <c r="AK3021">
        <v>7</v>
      </c>
      <c r="AL3021" t="s">
        <v>61</v>
      </c>
      <c r="AM3021" t="s">
        <v>11821</v>
      </c>
      <c r="AN3021" t="s">
        <v>11822</v>
      </c>
    </row>
    <row r="3022" spans="1:40" x14ac:dyDescent="0.35">
      <c r="A3022" t="s">
        <v>37</v>
      </c>
      <c r="B3022" t="s">
        <v>11823</v>
      </c>
      <c r="C3022" t="s">
        <v>39</v>
      </c>
      <c r="D3022" t="s">
        <v>11796</v>
      </c>
      <c r="E3022" t="s">
        <v>11797</v>
      </c>
      <c r="F3022" s="1">
        <v>46065.555613425924</v>
      </c>
      <c r="G3022" t="s">
        <v>355</v>
      </c>
      <c r="H3022" t="s">
        <v>356</v>
      </c>
      <c r="I3022" t="s">
        <v>11824</v>
      </c>
      <c r="J3022" t="s">
        <v>11825</v>
      </c>
      <c r="K3022" t="s">
        <v>951</v>
      </c>
      <c r="M3022" t="s">
        <v>76</v>
      </c>
      <c r="O3022" t="s">
        <v>77</v>
      </c>
      <c r="P3022" t="s">
        <v>78</v>
      </c>
      <c r="Q3022" t="s">
        <v>50</v>
      </c>
      <c r="R3022" t="s">
        <v>79</v>
      </c>
      <c r="S3022" t="s">
        <v>967</v>
      </c>
      <c r="T3022" t="s">
        <v>11826</v>
      </c>
      <c r="U3022" s="1">
        <v>46076.430277777778</v>
      </c>
      <c r="V3022" t="s">
        <v>54</v>
      </c>
      <c r="W3022" t="s">
        <v>55</v>
      </c>
      <c r="X3022" t="s">
        <v>56</v>
      </c>
      <c r="Y3022" t="s">
        <v>11827</v>
      </c>
      <c r="Z3022" t="s">
        <v>58</v>
      </c>
      <c r="AA3022" t="s">
        <v>54</v>
      </c>
      <c r="AB3022" t="s">
        <v>11802</v>
      </c>
      <c r="AC3022" t="s">
        <v>85</v>
      </c>
      <c r="AD3022" t="s">
        <v>79</v>
      </c>
      <c r="AE3022" t="s">
        <v>967</v>
      </c>
      <c r="AF3022" t="s">
        <v>11828</v>
      </c>
      <c r="AG3022" t="s">
        <v>58</v>
      </c>
      <c r="AH3022" t="s">
        <v>11805</v>
      </c>
      <c r="AK3022">
        <v>0</v>
      </c>
      <c r="AL3022" t="s">
        <v>61</v>
      </c>
      <c r="AM3022" t="s">
        <v>11802</v>
      </c>
      <c r="AN3022" t="s">
        <v>11806</v>
      </c>
    </row>
    <row r="3023" spans="1:40" x14ac:dyDescent="0.35">
      <c r="A3023" t="s">
        <v>37</v>
      </c>
      <c r="B3023" t="s">
        <v>11829</v>
      </c>
      <c r="C3023" t="s">
        <v>39</v>
      </c>
      <c r="D3023" t="s">
        <v>6571</v>
      </c>
      <c r="E3023" t="s">
        <v>6572</v>
      </c>
      <c r="F3023" s="1">
        <v>46065.544907407406</v>
      </c>
      <c r="G3023" t="s">
        <v>4421</v>
      </c>
      <c r="H3023" t="s">
        <v>92</v>
      </c>
      <c r="I3023" t="s">
        <v>403</v>
      </c>
      <c r="J3023" t="s">
        <v>404</v>
      </c>
      <c r="K3023" t="s">
        <v>405</v>
      </c>
      <c r="M3023" t="s">
        <v>47</v>
      </c>
      <c r="O3023" t="s">
        <v>77</v>
      </c>
      <c r="P3023" t="s">
        <v>78</v>
      </c>
      <c r="Q3023" t="s">
        <v>50</v>
      </c>
      <c r="R3023" t="s">
        <v>51</v>
      </c>
      <c r="S3023" t="s">
        <v>52</v>
      </c>
      <c r="T3023" t="s">
        <v>240</v>
      </c>
      <c r="U3023" s="1">
        <v>46072.443796296298</v>
      </c>
      <c r="V3023" t="s">
        <v>54</v>
      </c>
      <c r="W3023" t="s">
        <v>55</v>
      </c>
      <c r="X3023" t="s">
        <v>134</v>
      </c>
      <c r="Y3023" t="s">
        <v>11830</v>
      </c>
      <c r="Z3023" t="s">
        <v>5594</v>
      </c>
      <c r="AA3023" t="s">
        <v>54</v>
      </c>
      <c r="AB3023" t="s">
        <v>612</v>
      </c>
      <c r="AC3023" t="s">
        <v>85</v>
      </c>
      <c r="AD3023" t="s">
        <v>52</v>
      </c>
      <c r="AE3023" t="s">
        <v>438</v>
      </c>
      <c r="AF3023" t="s">
        <v>2204</v>
      </c>
      <c r="AG3023" t="s">
        <v>5594</v>
      </c>
      <c r="AH3023">
        <v>13420</v>
      </c>
      <c r="AK3023">
        <v>1</v>
      </c>
      <c r="AL3023" t="s">
        <v>61</v>
      </c>
      <c r="AM3023" t="s">
        <v>6576</v>
      </c>
      <c r="AN3023" t="s">
        <v>6577</v>
      </c>
    </row>
    <row r="3024" spans="1:40" x14ac:dyDescent="0.35">
      <c r="A3024" t="s">
        <v>37</v>
      </c>
      <c r="B3024" t="s">
        <v>11831</v>
      </c>
      <c r="C3024" t="s">
        <v>39</v>
      </c>
      <c r="D3024" t="s">
        <v>2292</v>
      </c>
      <c r="E3024" t="s">
        <v>321</v>
      </c>
      <c r="F3024" s="1">
        <v>46065.535462962966</v>
      </c>
      <c r="G3024" t="s">
        <v>1249</v>
      </c>
      <c r="H3024" t="s">
        <v>233</v>
      </c>
      <c r="I3024" t="s">
        <v>2999</v>
      </c>
      <c r="J3024" t="s">
        <v>9267</v>
      </c>
      <c r="K3024" t="s">
        <v>75</v>
      </c>
      <c r="M3024" t="s">
        <v>47</v>
      </c>
      <c r="O3024" t="s">
        <v>77</v>
      </c>
      <c r="P3024" t="s">
        <v>78</v>
      </c>
      <c r="Q3024" t="s">
        <v>50</v>
      </c>
      <c r="R3024" t="s">
        <v>305</v>
      </c>
      <c r="S3024" t="s">
        <v>306</v>
      </c>
      <c r="T3024" t="s">
        <v>307</v>
      </c>
      <c r="U3024" s="1">
        <v>46073.384328703702</v>
      </c>
      <c r="V3024" t="s">
        <v>54</v>
      </c>
      <c r="W3024" t="s">
        <v>55</v>
      </c>
      <c r="X3024" t="s">
        <v>211</v>
      </c>
      <c r="Y3024" t="s">
        <v>11662</v>
      </c>
      <c r="Z3024" t="s">
        <v>5594</v>
      </c>
      <c r="AA3024" t="s">
        <v>54</v>
      </c>
      <c r="AB3024" t="s">
        <v>213</v>
      </c>
      <c r="AC3024" t="s">
        <v>85</v>
      </c>
      <c r="AD3024" t="s">
        <v>79</v>
      </c>
      <c r="AE3024" t="s">
        <v>172</v>
      </c>
      <c r="AF3024" t="s">
        <v>7080</v>
      </c>
      <c r="AG3024" t="s">
        <v>5594</v>
      </c>
      <c r="AH3024">
        <v>14569</v>
      </c>
      <c r="AK3024">
        <v>2</v>
      </c>
      <c r="AL3024" t="s">
        <v>61</v>
      </c>
      <c r="AM3024" t="s">
        <v>11832</v>
      </c>
      <c r="AN3024" t="s">
        <v>11833</v>
      </c>
    </row>
    <row r="3025" spans="1:40" x14ac:dyDescent="0.35">
      <c r="A3025" t="s">
        <v>37</v>
      </c>
      <c r="B3025" t="s">
        <v>11834</v>
      </c>
      <c r="C3025" t="s">
        <v>39</v>
      </c>
      <c r="D3025" t="s">
        <v>555</v>
      </c>
      <c r="E3025" t="s">
        <v>1064</v>
      </c>
      <c r="F3025" s="1">
        <v>46065.489571759259</v>
      </c>
      <c r="G3025" t="s">
        <v>855</v>
      </c>
      <c r="H3025" t="s">
        <v>447</v>
      </c>
      <c r="I3025" t="s">
        <v>1446</v>
      </c>
      <c r="J3025" t="s">
        <v>2894</v>
      </c>
      <c r="K3025" t="s">
        <v>951</v>
      </c>
      <c r="M3025" t="s">
        <v>131</v>
      </c>
      <c r="O3025" t="s">
        <v>77</v>
      </c>
      <c r="P3025" t="s">
        <v>78</v>
      </c>
      <c r="Q3025" t="s">
        <v>50</v>
      </c>
      <c r="R3025" t="s">
        <v>51</v>
      </c>
      <c r="S3025" t="s">
        <v>52</v>
      </c>
      <c r="T3025" t="s">
        <v>2248</v>
      </c>
      <c r="U3025" s="1">
        <v>46076.394652777781</v>
      </c>
      <c r="V3025" t="s">
        <v>54</v>
      </c>
      <c r="W3025" t="s">
        <v>55</v>
      </c>
      <c r="X3025" t="s">
        <v>211</v>
      </c>
      <c r="Y3025" t="s">
        <v>11835</v>
      </c>
      <c r="Z3025" t="s">
        <v>58</v>
      </c>
      <c r="AA3025" t="s">
        <v>54</v>
      </c>
      <c r="AB3025" t="s">
        <v>213</v>
      </c>
      <c r="AC3025" t="s">
        <v>85</v>
      </c>
      <c r="AD3025" t="s">
        <v>79</v>
      </c>
      <c r="AE3025" t="s">
        <v>1016</v>
      </c>
      <c r="AF3025" t="s">
        <v>1266</v>
      </c>
      <c r="AG3025" t="s">
        <v>58</v>
      </c>
      <c r="AH3025">
        <v>14750</v>
      </c>
      <c r="AK3025">
        <v>12</v>
      </c>
      <c r="AL3025" t="s">
        <v>61</v>
      </c>
      <c r="AM3025" t="s">
        <v>1065</v>
      </c>
      <c r="AN3025" t="s">
        <v>1066</v>
      </c>
    </row>
    <row r="3026" spans="1:40" x14ac:dyDescent="0.35">
      <c r="A3026" t="s">
        <v>37</v>
      </c>
      <c r="B3026" t="s">
        <v>11836</v>
      </c>
      <c r="C3026" t="s">
        <v>39</v>
      </c>
      <c r="D3026" t="s">
        <v>320</v>
      </c>
      <c r="E3026" t="s">
        <v>11837</v>
      </c>
      <c r="F3026" s="1">
        <v>46065.471979166665</v>
      </c>
      <c r="G3026" t="s">
        <v>71</v>
      </c>
      <c r="H3026" t="s">
        <v>72</v>
      </c>
      <c r="I3026" t="s">
        <v>11838</v>
      </c>
      <c r="J3026" t="s">
        <v>8354</v>
      </c>
      <c r="K3026" t="s">
        <v>8355</v>
      </c>
      <c r="M3026" t="s">
        <v>131</v>
      </c>
      <c r="O3026" t="s">
        <v>237</v>
      </c>
      <c r="P3026" t="s">
        <v>238</v>
      </c>
      <c r="Q3026" t="s">
        <v>11839</v>
      </c>
      <c r="R3026" t="s">
        <v>51</v>
      </c>
      <c r="S3026" t="s">
        <v>52</v>
      </c>
      <c r="T3026" t="s">
        <v>240</v>
      </c>
      <c r="U3026" s="1">
        <v>46076.304178240738</v>
      </c>
      <c r="V3026" t="s">
        <v>54</v>
      </c>
      <c r="W3026" t="s">
        <v>55</v>
      </c>
      <c r="X3026" t="s">
        <v>211</v>
      </c>
      <c r="Y3026" t="s">
        <v>11840</v>
      </c>
      <c r="Z3026" t="s">
        <v>58</v>
      </c>
      <c r="AA3026" t="s">
        <v>54</v>
      </c>
      <c r="AB3026" t="s">
        <v>213</v>
      </c>
      <c r="AC3026" t="s">
        <v>242</v>
      </c>
      <c r="AD3026" t="s">
        <v>52</v>
      </c>
      <c r="AE3026" t="s">
        <v>243</v>
      </c>
      <c r="AF3026" t="s">
        <v>1470</v>
      </c>
      <c r="AG3026" t="s">
        <v>58</v>
      </c>
      <c r="AH3026">
        <v>11628</v>
      </c>
      <c r="AK3026">
        <v>2</v>
      </c>
      <c r="AL3026" t="s">
        <v>61</v>
      </c>
      <c r="AM3026" t="s">
        <v>11841</v>
      </c>
      <c r="AN3026" t="s">
        <v>11842</v>
      </c>
    </row>
    <row r="3027" spans="1:40" x14ac:dyDescent="0.35">
      <c r="A3027" t="s">
        <v>37</v>
      </c>
      <c r="B3027" t="s">
        <v>11843</v>
      </c>
      <c r="C3027" t="s">
        <v>656</v>
      </c>
      <c r="D3027" t="s">
        <v>4191</v>
      </c>
      <c r="E3027" t="s">
        <v>4192</v>
      </c>
      <c r="F3027" s="1">
        <v>46065.461377314816</v>
      </c>
      <c r="G3027" t="s">
        <v>42</v>
      </c>
      <c r="H3027" t="s">
        <v>43</v>
      </c>
      <c r="I3027" t="s">
        <v>3776</v>
      </c>
      <c r="J3027" t="s">
        <v>10257</v>
      </c>
      <c r="K3027" t="s">
        <v>2551</v>
      </c>
      <c r="M3027" t="s">
        <v>131</v>
      </c>
      <c r="O3027" t="s">
        <v>77</v>
      </c>
      <c r="P3027" t="s">
        <v>78</v>
      </c>
      <c r="Q3027" t="s">
        <v>50</v>
      </c>
      <c r="R3027" t="s">
        <v>662</v>
      </c>
      <c r="S3027" t="s">
        <v>209</v>
      </c>
      <c r="T3027" t="s">
        <v>8389</v>
      </c>
      <c r="U3027" s="1">
        <v>46076.384745370371</v>
      </c>
      <c r="V3027" t="s">
        <v>54</v>
      </c>
      <c r="W3027" t="s">
        <v>55</v>
      </c>
      <c r="X3027" t="s">
        <v>134</v>
      </c>
      <c r="Y3027" t="s">
        <v>11844</v>
      </c>
      <c r="Z3027" t="s">
        <v>58</v>
      </c>
      <c r="AA3027" t="s">
        <v>54</v>
      </c>
      <c r="AB3027" t="s">
        <v>612</v>
      </c>
      <c r="AC3027" t="s">
        <v>85</v>
      </c>
      <c r="AD3027" t="s">
        <v>208</v>
      </c>
      <c r="AE3027" t="s">
        <v>3119</v>
      </c>
      <c r="AF3027" t="s">
        <v>967</v>
      </c>
      <c r="AG3027" t="s">
        <v>58</v>
      </c>
      <c r="AH3027" t="s">
        <v>4193</v>
      </c>
      <c r="AK3027">
        <v>2</v>
      </c>
      <c r="AL3027" t="s">
        <v>61</v>
      </c>
      <c r="AM3027" t="s">
        <v>4194</v>
      </c>
      <c r="AN3027" t="s">
        <v>4195</v>
      </c>
    </row>
    <row r="3028" spans="1:40" x14ac:dyDescent="0.35">
      <c r="A3028" t="s">
        <v>37</v>
      </c>
      <c r="B3028" t="s">
        <v>11845</v>
      </c>
      <c r="C3028" t="s">
        <v>102</v>
      </c>
      <c r="D3028" t="s">
        <v>303</v>
      </c>
      <c r="E3028" t="s">
        <v>2542</v>
      </c>
      <c r="F3028" s="1">
        <v>46065.457835648151</v>
      </c>
      <c r="G3028" t="s">
        <v>734</v>
      </c>
      <c r="H3028" t="s">
        <v>356</v>
      </c>
      <c r="I3028" t="s">
        <v>11846</v>
      </c>
      <c r="J3028" t="s">
        <v>9282</v>
      </c>
      <c r="K3028" t="s">
        <v>9283</v>
      </c>
      <c r="M3028" t="s">
        <v>47</v>
      </c>
      <c r="O3028" t="s">
        <v>237</v>
      </c>
      <c r="P3028" t="s">
        <v>238</v>
      </c>
      <c r="R3028" t="s">
        <v>79</v>
      </c>
      <c r="S3028" t="s">
        <v>558</v>
      </c>
      <c r="T3028" t="s">
        <v>1108</v>
      </c>
      <c r="U3028" s="1">
        <v>46072.697731481479</v>
      </c>
      <c r="V3028" t="s">
        <v>54</v>
      </c>
      <c r="W3028" t="s">
        <v>55</v>
      </c>
      <c r="X3028" t="s">
        <v>82</v>
      </c>
      <c r="Y3028" t="s">
        <v>11701</v>
      </c>
      <c r="Z3028" t="s">
        <v>5594</v>
      </c>
      <c r="AA3028" t="s">
        <v>54</v>
      </c>
      <c r="AB3028" t="s">
        <v>645</v>
      </c>
      <c r="AC3028" t="s">
        <v>242</v>
      </c>
      <c r="AD3028" t="s">
        <v>79</v>
      </c>
      <c r="AE3028" t="s">
        <v>558</v>
      </c>
      <c r="AF3028" t="s">
        <v>1110</v>
      </c>
      <c r="AG3028" t="s">
        <v>5594</v>
      </c>
      <c r="AH3028">
        <v>15921</v>
      </c>
      <c r="AK3028">
        <v>1</v>
      </c>
      <c r="AL3028" t="s">
        <v>61</v>
      </c>
      <c r="AM3028" t="s">
        <v>11847</v>
      </c>
      <c r="AN3028" t="s">
        <v>11848</v>
      </c>
    </row>
    <row r="3029" spans="1:40" x14ac:dyDescent="0.35">
      <c r="A3029" t="s">
        <v>37</v>
      </c>
      <c r="B3029" t="s">
        <v>11849</v>
      </c>
      <c r="C3029" t="s">
        <v>39</v>
      </c>
      <c r="D3029" t="s">
        <v>5581</v>
      </c>
      <c r="E3029" t="s">
        <v>5582</v>
      </c>
      <c r="F3029" s="1">
        <v>46065.449907407405</v>
      </c>
      <c r="G3029" t="s">
        <v>250</v>
      </c>
      <c r="H3029" t="s">
        <v>106</v>
      </c>
      <c r="I3029" t="s">
        <v>2999</v>
      </c>
      <c r="J3029" t="s">
        <v>9267</v>
      </c>
      <c r="K3029" t="s">
        <v>75</v>
      </c>
      <c r="M3029" t="s">
        <v>76</v>
      </c>
      <c r="O3029" t="s">
        <v>77</v>
      </c>
      <c r="P3029" t="s">
        <v>78</v>
      </c>
      <c r="R3029" t="s">
        <v>305</v>
      </c>
      <c r="S3029" t="s">
        <v>306</v>
      </c>
      <c r="T3029" t="s">
        <v>307</v>
      </c>
      <c r="U3029" s="1">
        <v>46077.363518518519</v>
      </c>
      <c r="V3029" t="s">
        <v>54</v>
      </c>
      <c r="W3029" t="s">
        <v>55</v>
      </c>
      <c r="X3029" t="s">
        <v>211</v>
      </c>
      <c r="Y3029" t="s">
        <v>11662</v>
      </c>
      <c r="Z3029" t="s">
        <v>58</v>
      </c>
      <c r="AA3029" t="s">
        <v>54</v>
      </c>
      <c r="AB3029" t="s">
        <v>213</v>
      </c>
      <c r="AC3029" t="s">
        <v>85</v>
      </c>
      <c r="AD3029" t="s">
        <v>79</v>
      </c>
      <c r="AE3029" t="s">
        <v>172</v>
      </c>
      <c r="AF3029" t="s">
        <v>7080</v>
      </c>
      <c r="AG3029" t="s">
        <v>58</v>
      </c>
      <c r="AH3029">
        <v>14868</v>
      </c>
      <c r="AK3029">
        <v>4</v>
      </c>
      <c r="AL3029" t="s">
        <v>61</v>
      </c>
      <c r="AM3029" t="s">
        <v>5585</v>
      </c>
      <c r="AN3029" t="s">
        <v>5586</v>
      </c>
    </row>
    <row r="3030" spans="1:40" x14ac:dyDescent="0.35">
      <c r="A3030" t="s">
        <v>37</v>
      </c>
      <c r="B3030" t="s">
        <v>11850</v>
      </c>
      <c r="C3030" t="s">
        <v>39</v>
      </c>
      <c r="D3030" t="s">
        <v>11851</v>
      </c>
      <c r="E3030" t="s">
        <v>11852</v>
      </c>
      <c r="F3030" s="1">
        <v>46065.403645833336</v>
      </c>
      <c r="G3030" t="s">
        <v>540</v>
      </c>
      <c r="H3030" t="s">
        <v>447</v>
      </c>
      <c r="I3030" t="s">
        <v>1446</v>
      </c>
      <c r="J3030" t="s">
        <v>2894</v>
      </c>
      <c r="K3030" t="s">
        <v>951</v>
      </c>
      <c r="M3030" t="s">
        <v>131</v>
      </c>
      <c r="O3030" t="s">
        <v>77</v>
      </c>
      <c r="P3030" t="s">
        <v>78</v>
      </c>
      <c r="Q3030" t="s">
        <v>11853</v>
      </c>
      <c r="R3030" t="s">
        <v>51</v>
      </c>
      <c r="S3030" t="s">
        <v>52</v>
      </c>
      <c r="T3030" t="s">
        <v>2248</v>
      </c>
      <c r="U3030" s="1">
        <v>46077.434444444443</v>
      </c>
      <c r="V3030" t="s">
        <v>54</v>
      </c>
      <c r="W3030" t="s">
        <v>55</v>
      </c>
      <c r="X3030" t="s">
        <v>211</v>
      </c>
      <c r="Y3030" t="s">
        <v>11854</v>
      </c>
      <c r="Z3030" t="s">
        <v>58</v>
      </c>
      <c r="AA3030" t="s">
        <v>54</v>
      </c>
      <c r="AB3030" t="s">
        <v>213</v>
      </c>
      <c r="AC3030" t="s">
        <v>85</v>
      </c>
      <c r="AD3030" t="s">
        <v>79</v>
      </c>
      <c r="AE3030" t="s">
        <v>1016</v>
      </c>
      <c r="AF3030" t="s">
        <v>4181</v>
      </c>
      <c r="AG3030" t="s">
        <v>58</v>
      </c>
      <c r="AH3030">
        <v>4224</v>
      </c>
      <c r="AK3030">
        <v>10</v>
      </c>
      <c r="AL3030" t="s">
        <v>61</v>
      </c>
      <c r="AM3030" t="s">
        <v>11855</v>
      </c>
      <c r="AN3030" t="s">
        <v>11856</v>
      </c>
    </row>
    <row r="3031" spans="1:40" x14ac:dyDescent="0.35">
      <c r="A3031" t="s">
        <v>37</v>
      </c>
      <c r="B3031" t="s">
        <v>11857</v>
      </c>
      <c r="C3031" t="s">
        <v>102</v>
      </c>
      <c r="D3031" t="s">
        <v>202</v>
      </c>
      <c r="E3031" t="s">
        <v>203</v>
      </c>
      <c r="F3031" s="1">
        <v>46065.381747685184</v>
      </c>
      <c r="G3031" t="s">
        <v>204</v>
      </c>
      <c r="H3031" t="s">
        <v>92</v>
      </c>
      <c r="I3031" t="s">
        <v>11846</v>
      </c>
      <c r="J3031" t="s">
        <v>9282</v>
      </c>
      <c r="K3031" t="s">
        <v>9283</v>
      </c>
      <c r="M3031" t="s">
        <v>47</v>
      </c>
      <c r="O3031" t="s">
        <v>237</v>
      </c>
      <c r="P3031" t="s">
        <v>238</v>
      </c>
      <c r="Q3031" t="s">
        <v>50</v>
      </c>
      <c r="R3031" t="s">
        <v>79</v>
      </c>
      <c r="S3031" t="s">
        <v>558</v>
      </c>
      <c r="T3031" t="s">
        <v>1108</v>
      </c>
      <c r="U3031" s="1">
        <v>46072.697002314817</v>
      </c>
      <c r="V3031" t="s">
        <v>54</v>
      </c>
      <c r="W3031" t="s">
        <v>55</v>
      </c>
      <c r="X3031" t="s">
        <v>82</v>
      </c>
      <c r="Y3031" t="s">
        <v>11858</v>
      </c>
      <c r="Z3031" t="s">
        <v>5594</v>
      </c>
      <c r="AA3031" t="s">
        <v>54</v>
      </c>
      <c r="AB3031" t="s">
        <v>645</v>
      </c>
      <c r="AC3031" t="s">
        <v>242</v>
      </c>
      <c r="AD3031" t="s">
        <v>79</v>
      </c>
      <c r="AE3031" t="s">
        <v>558</v>
      </c>
      <c r="AF3031" t="s">
        <v>1110</v>
      </c>
      <c r="AG3031" t="s">
        <v>5594</v>
      </c>
      <c r="AH3031">
        <v>13874</v>
      </c>
      <c r="AK3031">
        <v>6</v>
      </c>
      <c r="AL3031" t="s">
        <v>61</v>
      </c>
      <c r="AM3031" t="s">
        <v>217</v>
      </c>
      <c r="AN3031" t="s">
        <v>218</v>
      </c>
    </row>
    <row r="3032" spans="1:40" x14ac:dyDescent="0.35">
      <c r="A3032" t="s">
        <v>37</v>
      </c>
      <c r="B3032" t="s">
        <v>11859</v>
      </c>
      <c r="C3032" t="s">
        <v>39</v>
      </c>
      <c r="D3032" t="s">
        <v>11860</v>
      </c>
      <c r="E3032" t="s">
        <v>11861</v>
      </c>
      <c r="F3032" s="1">
        <v>46065.369074074071</v>
      </c>
      <c r="G3032" t="s">
        <v>913</v>
      </c>
      <c r="H3032" t="s">
        <v>72</v>
      </c>
      <c r="I3032" t="s">
        <v>1446</v>
      </c>
      <c r="J3032" t="s">
        <v>2718</v>
      </c>
      <c r="K3032" t="s">
        <v>951</v>
      </c>
      <c r="M3032" t="s">
        <v>76</v>
      </c>
      <c r="O3032" t="s">
        <v>77</v>
      </c>
      <c r="P3032" t="s">
        <v>78</v>
      </c>
      <c r="Q3032" t="s">
        <v>50</v>
      </c>
      <c r="R3032" t="s">
        <v>51</v>
      </c>
      <c r="S3032" t="s">
        <v>52</v>
      </c>
      <c r="T3032" t="s">
        <v>53</v>
      </c>
      <c r="U3032" s="1">
        <v>46076.374305555553</v>
      </c>
      <c r="V3032" t="s">
        <v>54</v>
      </c>
      <c r="W3032" t="s">
        <v>55</v>
      </c>
      <c r="X3032" t="s">
        <v>211</v>
      </c>
      <c r="Y3032" t="s">
        <v>11862</v>
      </c>
      <c r="Z3032" t="s">
        <v>58</v>
      </c>
      <c r="AA3032" t="s">
        <v>54</v>
      </c>
      <c r="AB3032" t="s">
        <v>213</v>
      </c>
      <c r="AC3032" t="s">
        <v>85</v>
      </c>
      <c r="AD3032" t="s">
        <v>79</v>
      </c>
      <c r="AE3032" t="s">
        <v>1016</v>
      </c>
      <c r="AF3032" t="s">
        <v>1266</v>
      </c>
      <c r="AG3032" t="s">
        <v>58</v>
      </c>
      <c r="AH3032" t="s">
        <v>11863</v>
      </c>
      <c r="AK3032">
        <v>16</v>
      </c>
      <c r="AL3032" t="s">
        <v>61</v>
      </c>
      <c r="AM3032" t="s">
        <v>11864</v>
      </c>
      <c r="AN3032" t="s">
        <v>11865</v>
      </c>
    </row>
    <row r="3033" spans="1:40" x14ac:dyDescent="0.35">
      <c r="A3033" t="s">
        <v>37</v>
      </c>
      <c r="B3033" t="s">
        <v>11866</v>
      </c>
      <c r="C3033" t="s">
        <v>102</v>
      </c>
      <c r="D3033" t="s">
        <v>11867</v>
      </c>
      <c r="E3033" t="s">
        <v>11868</v>
      </c>
      <c r="F3033" s="1">
        <v>46065.35260416667</v>
      </c>
      <c r="G3033" t="s">
        <v>105</v>
      </c>
      <c r="H3033" t="s">
        <v>106</v>
      </c>
      <c r="I3033" t="s">
        <v>2279</v>
      </c>
      <c r="J3033" t="s">
        <v>9282</v>
      </c>
      <c r="K3033" t="s">
        <v>9283</v>
      </c>
      <c r="M3033" t="s">
        <v>131</v>
      </c>
      <c r="O3033" t="s">
        <v>237</v>
      </c>
      <c r="P3033" t="s">
        <v>238</v>
      </c>
      <c r="Q3033" t="s">
        <v>50</v>
      </c>
      <c r="R3033" t="s">
        <v>79</v>
      </c>
      <c r="S3033" t="s">
        <v>975</v>
      </c>
      <c r="T3033" t="s">
        <v>2280</v>
      </c>
      <c r="U3033" s="1">
        <v>46076.688842592594</v>
      </c>
      <c r="V3033" t="s">
        <v>54</v>
      </c>
      <c r="W3033" t="s">
        <v>55</v>
      </c>
      <c r="X3033" t="s">
        <v>82</v>
      </c>
      <c r="Y3033" t="s">
        <v>10322</v>
      </c>
      <c r="Z3033" t="s">
        <v>58</v>
      </c>
      <c r="AA3033" t="s">
        <v>54</v>
      </c>
      <c r="AB3033" t="s">
        <v>698</v>
      </c>
      <c r="AC3033" t="s">
        <v>242</v>
      </c>
      <c r="AD3033" t="s">
        <v>79</v>
      </c>
      <c r="AE3033" t="s">
        <v>936</v>
      </c>
      <c r="AF3033" t="s">
        <v>937</v>
      </c>
      <c r="AG3033" t="s">
        <v>58</v>
      </c>
      <c r="AH3033">
        <v>15407</v>
      </c>
      <c r="AK3033">
        <v>7</v>
      </c>
      <c r="AL3033" t="s">
        <v>61</v>
      </c>
      <c r="AM3033" t="s">
        <v>11869</v>
      </c>
      <c r="AN3033" t="s">
        <v>11870</v>
      </c>
    </row>
    <row r="3034" spans="1:40" x14ac:dyDescent="0.35">
      <c r="A3034" t="s">
        <v>37</v>
      </c>
      <c r="B3034" t="s">
        <v>11871</v>
      </c>
      <c r="C3034" t="s">
        <v>39</v>
      </c>
      <c r="D3034" t="s">
        <v>2268</v>
      </c>
      <c r="E3034" t="s">
        <v>770</v>
      </c>
      <c r="F3034" s="1">
        <v>46065.351736111108</v>
      </c>
      <c r="G3034" t="s">
        <v>355</v>
      </c>
      <c r="H3034" t="s">
        <v>356</v>
      </c>
      <c r="I3034" t="s">
        <v>11872</v>
      </c>
      <c r="J3034" t="s">
        <v>1337</v>
      </c>
      <c r="K3034" t="s">
        <v>951</v>
      </c>
      <c r="M3034" t="s">
        <v>76</v>
      </c>
      <c r="O3034" t="s">
        <v>77</v>
      </c>
      <c r="P3034" t="s">
        <v>78</v>
      </c>
      <c r="Q3034" t="s">
        <v>1174</v>
      </c>
      <c r="R3034" t="s">
        <v>79</v>
      </c>
      <c r="S3034" t="s">
        <v>8996</v>
      </c>
      <c r="T3034" t="s">
        <v>8996</v>
      </c>
      <c r="U3034" s="1">
        <v>46077.399421296293</v>
      </c>
      <c r="V3034" t="s">
        <v>54</v>
      </c>
      <c r="W3034" t="s">
        <v>55</v>
      </c>
      <c r="X3034" t="s">
        <v>56</v>
      </c>
      <c r="Y3034" t="e">
        <f>- old Asset returned to the store.  - CMDB updated.</f>
        <v>#NAME?</v>
      </c>
      <c r="Z3034" t="s">
        <v>58</v>
      </c>
      <c r="AA3034" t="s">
        <v>54</v>
      </c>
      <c r="AB3034" t="s">
        <v>11873</v>
      </c>
      <c r="AC3034" t="s">
        <v>85</v>
      </c>
      <c r="AD3034" t="s">
        <v>79</v>
      </c>
      <c r="AE3034" t="s">
        <v>8998</v>
      </c>
      <c r="AF3034" t="s">
        <v>8998</v>
      </c>
      <c r="AG3034" t="s">
        <v>58</v>
      </c>
      <c r="AH3034" t="s">
        <v>11874</v>
      </c>
      <c r="AJ3034">
        <v>12481</v>
      </c>
      <c r="AK3034">
        <v>7</v>
      </c>
      <c r="AL3034" t="s">
        <v>61</v>
      </c>
      <c r="AM3034" t="s">
        <v>11873</v>
      </c>
      <c r="AN3034" t="s">
        <v>11875</v>
      </c>
    </row>
    <row r="3035" spans="1:40" x14ac:dyDescent="0.35">
      <c r="A3035" t="s">
        <v>37</v>
      </c>
      <c r="B3035" t="s">
        <v>11876</v>
      </c>
      <c r="C3035" t="s">
        <v>39</v>
      </c>
      <c r="D3035" t="s">
        <v>2268</v>
      </c>
      <c r="E3035" t="s">
        <v>770</v>
      </c>
      <c r="F3035" s="1">
        <v>46065.346516203703</v>
      </c>
      <c r="G3035" t="s">
        <v>355</v>
      </c>
      <c r="H3035" t="s">
        <v>356</v>
      </c>
      <c r="I3035" t="s">
        <v>11877</v>
      </c>
      <c r="J3035" t="s">
        <v>1555</v>
      </c>
      <c r="K3035" t="s">
        <v>951</v>
      </c>
      <c r="M3035" t="s">
        <v>76</v>
      </c>
      <c r="O3035" t="s">
        <v>77</v>
      </c>
      <c r="P3035" t="s">
        <v>78</v>
      </c>
      <c r="Q3035" t="s">
        <v>1174</v>
      </c>
      <c r="R3035" t="s">
        <v>79</v>
      </c>
      <c r="S3035" t="s">
        <v>8996</v>
      </c>
      <c r="T3035" t="s">
        <v>8996</v>
      </c>
      <c r="U3035" s="1">
        <v>46077.400520833333</v>
      </c>
      <c r="V3035" t="s">
        <v>54</v>
      </c>
      <c r="W3035" t="s">
        <v>55</v>
      </c>
      <c r="X3035" t="s">
        <v>56</v>
      </c>
      <c r="Y3035" t="s">
        <v>11878</v>
      </c>
      <c r="Z3035" t="s">
        <v>58</v>
      </c>
      <c r="AA3035" t="s">
        <v>54</v>
      </c>
      <c r="AB3035" t="s">
        <v>11873</v>
      </c>
      <c r="AC3035" t="s">
        <v>85</v>
      </c>
      <c r="AD3035" t="s">
        <v>79</v>
      </c>
      <c r="AE3035" t="s">
        <v>8998</v>
      </c>
      <c r="AF3035" t="s">
        <v>8998</v>
      </c>
      <c r="AG3035" t="s">
        <v>58</v>
      </c>
      <c r="AH3035" t="s">
        <v>11874</v>
      </c>
      <c r="AJ3035">
        <v>12487</v>
      </c>
      <c r="AK3035">
        <v>6</v>
      </c>
      <c r="AL3035" t="s">
        <v>61</v>
      </c>
      <c r="AM3035" t="s">
        <v>11873</v>
      </c>
      <c r="AN3035" t="s">
        <v>11875</v>
      </c>
    </row>
    <row r="3036" spans="1:40" x14ac:dyDescent="0.35">
      <c r="A3036" t="s">
        <v>37</v>
      </c>
      <c r="B3036" t="s">
        <v>11879</v>
      </c>
      <c r="C3036" t="s">
        <v>102</v>
      </c>
      <c r="D3036" t="s">
        <v>981</v>
      </c>
      <c r="E3036" t="s">
        <v>1172</v>
      </c>
      <c r="F3036" s="1">
        <v>46065.344942129632</v>
      </c>
      <c r="G3036" t="s">
        <v>771</v>
      </c>
      <c r="H3036" t="s">
        <v>92</v>
      </c>
      <c r="I3036" t="s">
        <v>11880</v>
      </c>
      <c r="J3036" t="s">
        <v>4070</v>
      </c>
      <c r="K3036" t="s">
        <v>951</v>
      </c>
      <c r="M3036" t="s">
        <v>76</v>
      </c>
      <c r="O3036" t="s">
        <v>237</v>
      </c>
      <c r="P3036" t="s">
        <v>238</v>
      </c>
      <c r="Q3036" t="s">
        <v>50</v>
      </c>
      <c r="R3036" t="s">
        <v>79</v>
      </c>
      <c r="S3036" t="s">
        <v>955</v>
      </c>
      <c r="T3036" t="s">
        <v>2460</v>
      </c>
      <c r="U3036" s="1">
        <v>46078.498240740744</v>
      </c>
      <c r="V3036" t="s">
        <v>54</v>
      </c>
      <c r="W3036" t="s">
        <v>55</v>
      </c>
      <c r="X3036" t="s">
        <v>82</v>
      </c>
      <c r="Y3036" t="s">
        <v>11881</v>
      </c>
      <c r="Z3036" t="s">
        <v>58</v>
      </c>
      <c r="AA3036" t="s">
        <v>54</v>
      </c>
      <c r="AB3036" t="s">
        <v>2721</v>
      </c>
      <c r="AC3036" t="s">
        <v>242</v>
      </c>
      <c r="AD3036" t="s">
        <v>79</v>
      </c>
      <c r="AE3036" t="s">
        <v>2991</v>
      </c>
      <c r="AF3036" t="s">
        <v>10948</v>
      </c>
      <c r="AG3036" t="s">
        <v>58</v>
      </c>
      <c r="AH3036">
        <v>14038</v>
      </c>
      <c r="AJ3036">
        <v>191757</v>
      </c>
      <c r="AK3036">
        <v>13</v>
      </c>
      <c r="AL3036" t="s">
        <v>61</v>
      </c>
      <c r="AM3036" t="s">
        <v>11882</v>
      </c>
      <c r="AN3036" t="s">
        <v>11883</v>
      </c>
    </row>
    <row r="3037" spans="1:40" x14ac:dyDescent="0.35">
      <c r="A3037" t="s">
        <v>37</v>
      </c>
      <c r="B3037" t="s">
        <v>11884</v>
      </c>
      <c r="C3037" t="s">
        <v>102</v>
      </c>
      <c r="D3037" t="s">
        <v>11885</v>
      </c>
      <c r="E3037" t="s">
        <v>11886</v>
      </c>
      <c r="F3037" s="1">
        <v>46065.34783564815</v>
      </c>
      <c r="G3037" t="s">
        <v>3396</v>
      </c>
      <c r="H3037" t="s">
        <v>106</v>
      </c>
      <c r="I3037" t="s">
        <v>11887</v>
      </c>
      <c r="J3037" t="s">
        <v>11374</v>
      </c>
      <c r="K3037" t="s">
        <v>2551</v>
      </c>
      <c r="M3037" t="s">
        <v>47</v>
      </c>
      <c r="O3037" t="s">
        <v>237</v>
      </c>
      <c r="P3037" t="s">
        <v>238</v>
      </c>
      <c r="Q3037" t="s">
        <v>50</v>
      </c>
      <c r="R3037" t="s">
        <v>79</v>
      </c>
      <c r="S3037" t="s">
        <v>4503</v>
      </c>
      <c r="T3037" t="s">
        <v>11367</v>
      </c>
      <c r="U3037" s="1">
        <v>46073.482777777775</v>
      </c>
      <c r="V3037" t="s">
        <v>54</v>
      </c>
      <c r="W3037" t="s">
        <v>55</v>
      </c>
      <c r="X3037" t="s">
        <v>82</v>
      </c>
      <c r="Y3037" t="s">
        <v>11888</v>
      </c>
      <c r="Z3037" t="s">
        <v>5594</v>
      </c>
      <c r="AA3037" t="s">
        <v>54</v>
      </c>
      <c r="AB3037" t="s">
        <v>396</v>
      </c>
      <c r="AC3037" t="s">
        <v>242</v>
      </c>
      <c r="AD3037" t="s">
        <v>79</v>
      </c>
      <c r="AE3037" t="s">
        <v>4503</v>
      </c>
      <c r="AF3037" t="s">
        <v>11369</v>
      </c>
      <c r="AG3037" t="s">
        <v>5594</v>
      </c>
      <c r="AH3037">
        <v>13695</v>
      </c>
      <c r="AK3037">
        <v>4</v>
      </c>
      <c r="AL3037" t="s">
        <v>61</v>
      </c>
      <c r="AM3037" t="s">
        <v>11889</v>
      </c>
      <c r="AN3037" t="s">
        <v>11890</v>
      </c>
    </row>
    <row r="3038" spans="1:40" x14ac:dyDescent="0.35">
      <c r="A3038" t="s">
        <v>37</v>
      </c>
      <c r="B3038" t="s">
        <v>11891</v>
      </c>
      <c r="C3038" t="s">
        <v>656</v>
      </c>
      <c r="D3038" t="s">
        <v>1711</v>
      </c>
      <c r="E3038" t="s">
        <v>1712</v>
      </c>
      <c r="F3038" s="1">
        <v>46065.34207175926</v>
      </c>
      <c r="G3038" t="s">
        <v>1713</v>
      </c>
      <c r="H3038" t="s">
        <v>356</v>
      </c>
      <c r="I3038" t="s">
        <v>11892</v>
      </c>
      <c r="J3038" t="s">
        <v>9003</v>
      </c>
      <c r="K3038" t="s">
        <v>1319</v>
      </c>
      <c r="M3038" t="s">
        <v>76</v>
      </c>
      <c r="O3038" t="s">
        <v>237</v>
      </c>
      <c r="P3038" t="s">
        <v>238</v>
      </c>
      <c r="Q3038" t="s">
        <v>50</v>
      </c>
      <c r="R3038" t="s">
        <v>1321</v>
      </c>
      <c r="S3038" t="s">
        <v>1322</v>
      </c>
      <c r="T3038" t="s">
        <v>5542</v>
      </c>
      <c r="U3038" s="1">
        <v>46078.500844907408</v>
      </c>
      <c r="V3038" t="s">
        <v>54</v>
      </c>
      <c r="W3038" t="s">
        <v>55</v>
      </c>
      <c r="X3038" t="s">
        <v>134</v>
      </c>
      <c r="Y3038" t="s">
        <v>5543</v>
      </c>
      <c r="Z3038" t="s">
        <v>58</v>
      </c>
      <c r="AA3038" t="s">
        <v>54</v>
      </c>
      <c r="AB3038" t="s">
        <v>1717</v>
      </c>
      <c r="AC3038" t="s">
        <v>242</v>
      </c>
      <c r="AD3038" t="s">
        <v>1321</v>
      </c>
      <c r="AE3038" t="s">
        <v>1322</v>
      </c>
      <c r="AF3038" t="s">
        <v>5542</v>
      </c>
      <c r="AG3038" t="s">
        <v>58</v>
      </c>
      <c r="AK3038">
        <v>2</v>
      </c>
      <c r="AL3038" t="s">
        <v>61</v>
      </c>
      <c r="AM3038" t="s">
        <v>1717</v>
      </c>
      <c r="AN3038" t="s">
        <v>1720</v>
      </c>
    </row>
    <row r="3039" spans="1:40" x14ac:dyDescent="0.35">
      <c r="A3039" t="s">
        <v>37</v>
      </c>
      <c r="B3039" t="s">
        <v>11893</v>
      </c>
      <c r="C3039" t="s">
        <v>39</v>
      </c>
      <c r="D3039" t="s">
        <v>8203</v>
      </c>
      <c r="E3039" t="s">
        <v>8204</v>
      </c>
      <c r="F3039" s="1">
        <v>46065.332951388889</v>
      </c>
      <c r="G3039" t="s">
        <v>355</v>
      </c>
      <c r="H3039" t="s">
        <v>356</v>
      </c>
      <c r="I3039" t="s">
        <v>11894</v>
      </c>
      <c r="J3039" t="s">
        <v>5588</v>
      </c>
      <c r="K3039" t="s">
        <v>951</v>
      </c>
      <c r="M3039" t="s">
        <v>76</v>
      </c>
      <c r="O3039" t="s">
        <v>77</v>
      </c>
      <c r="P3039" t="s">
        <v>78</v>
      </c>
      <c r="Q3039" t="s">
        <v>1370</v>
      </c>
      <c r="R3039" t="s">
        <v>2670</v>
      </c>
      <c r="S3039" t="s">
        <v>8206</v>
      </c>
      <c r="T3039" t="s">
        <v>8207</v>
      </c>
      <c r="U3039" s="1">
        <v>46076.542129629626</v>
      </c>
      <c r="V3039" t="s">
        <v>54</v>
      </c>
      <c r="W3039" t="s">
        <v>55</v>
      </c>
      <c r="X3039" t="s">
        <v>134</v>
      </c>
      <c r="Y3039" t="s">
        <v>11895</v>
      </c>
      <c r="Z3039" t="s">
        <v>58</v>
      </c>
      <c r="AA3039" t="s">
        <v>54</v>
      </c>
      <c r="AB3039" t="s">
        <v>8209</v>
      </c>
      <c r="AC3039" t="s">
        <v>85</v>
      </c>
      <c r="AD3039" t="s">
        <v>2670</v>
      </c>
      <c r="AE3039" t="s">
        <v>8206</v>
      </c>
      <c r="AF3039" t="s">
        <v>8207</v>
      </c>
      <c r="AG3039" t="s">
        <v>58</v>
      </c>
      <c r="AJ3039">
        <v>191600</v>
      </c>
      <c r="AK3039">
        <v>6</v>
      </c>
      <c r="AL3039" t="s">
        <v>61</v>
      </c>
      <c r="AM3039" t="s">
        <v>8209</v>
      </c>
      <c r="AN3039" t="s">
        <v>8210</v>
      </c>
    </row>
    <row r="3040" spans="1:40" x14ac:dyDescent="0.35">
      <c r="A3040" t="s">
        <v>37</v>
      </c>
      <c r="B3040" t="s">
        <v>11896</v>
      </c>
      <c r="C3040" t="s">
        <v>102</v>
      </c>
      <c r="D3040" t="s">
        <v>1698</v>
      </c>
      <c r="E3040" t="s">
        <v>584</v>
      </c>
      <c r="F3040" s="1">
        <v>46064.87228009259</v>
      </c>
      <c r="G3040" t="s">
        <v>105</v>
      </c>
      <c r="H3040" t="s">
        <v>106</v>
      </c>
      <c r="I3040" t="s">
        <v>3825</v>
      </c>
      <c r="J3040" t="s">
        <v>108</v>
      </c>
      <c r="K3040" t="s">
        <v>109</v>
      </c>
      <c r="M3040" t="s">
        <v>150</v>
      </c>
      <c r="O3040" t="s">
        <v>77</v>
      </c>
      <c r="P3040" t="s">
        <v>78</v>
      </c>
      <c r="Q3040" t="s">
        <v>50</v>
      </c>
      <c r="R3040" t="s">
        <v>111</v>
      </c>
      <c r="S3040" t="s">
        <v>51</v>
      </c>
      <c r="T3040" t="s">
        <v>112</v>
      </c>
      <c r="U3040" s="1">
        <v>46077.727465277778</v>
      </c>
      <c r="V3040" t="s">
        <v>54</v>
      </c>
      <c r="W3040" t="s">
        <v>1584</v>
      </c>
      <c r="X3040" t="s">
        <v>134</v>
      </c>
      <c r="Y3040" t="s">
        <v>11897</v>
      </c>
      <c r="Z3040" t="s">
        <v>58</v>
      </c>
      <c r="AA3040" t="s">
        <v>54</v>
      </c>
      <c r="AB3040" t="s">
        <v>1701</v>
      </c>
      <c r="AC3040" t="s">
        <v>85</v>
      </c>
      <c r="AD3040" t="s">
        <v>116</v>
      </c>
      <c r="AE3040" t="s">
        <v>334</v>
      </c>
      <c r="AF3040" t="s">
        <v>1706</v>
      </c>
      <c r="AG3040" t="s">
        <v>58</v>
      </c>
      <c r="AK3040">
        <v>1</v>
      </c>
      <c r="AL3040" t="s">
        <v>61</v>
      </c>
      <c r="AM3040" t="s">
        <v>1701</v>
      </c>
      <c r="AN3040" t="s">
        <v>1702</v>
      </c>
    </row>
    <row r="3041" spans="1:40" x14ac:dyDescent="0.35">
      <c r="A3041" t="s">
        <v>37</v>
      </c>
      <c r="B3041" t="s">
        <v>11898</v>
      </c>
      <c r="C3041" t="s">
        <v>102</v>
      </c>
      <c r="D3041" t="s">
        <v>325</v>
      </c>
      <c r="E3041" t="s">
        <v>325</v>
      </c>
      <c r="F3041" s="1">
        <v>46064.863645833335</v>
      </c>
      <c r="G3041" t="s">
        <v>432</v>
      </c>
      <c r="H3041" t="s">
        <v>433</v>
      </c>
      <c r="I3041" t="s">
        <v>11899</v>
      </c>
      <c r="J3041" t="s">
        <v>724</v>
      </c>
      <c r="K3041" t="s">
        <v>75</v>
      </c>
      <c r="M3041" t="s">
        <v>47</v>
      </c>
      <c r="O3041" t="s">
        <v>237</v>
      </c>
      <c r="P3041" t="s">
        <v>238</v>
      </c>
      <c r="Q3041" t="s">
        <v>541</v>
      </c>
      <c r="R3041" t="s">
        <v>51</v>
      </c>
      <c r="S3041" t="s">
        <v>52</v>
      </c>
      <c r="T3041" t="s">
        <v>2563</v>
      </c>
      <c r="U3041" s="1">
        <v>46072.384016203701</v>
      </c>
      <c r="V3041" t="s">
        <v>54</v>
      </c>
      <c r="W3041" t="s">
        <v>55</v>
      </c>
      <c r="X3041" t="s">
        <v>82</v>
      </c>
      <c r="Y3041" t="s">
        <v>11900</v>
      </c>
      <c r="Z3041" t="s">
        <v>5594</v>
      </c>
      <c r="AA3041" t="s">
        <v>54</v>
      </c>
      <c r="AB3041" t="s">
        <v>2521</v>
      </c>
      <c r="AC3041" t="s">
        <v>242</v>
      </c>
      <c r="AD3041" t="s">
        <v>79</v>
      </c>
      <c r="AE3041" t="s">
        <v>172</v>
      </c>
      <c r="AF3041" t="s">
        <v>1057</v>
      </c>
      <c r="AG3041" t="s">
        <v>5594</v>
      </c>
      <c r="AH3041">
        <v>871</v>
      </c>
      <c r="AK3041">
        <v>2</v>
      </c>
      <c r="AL3041" t="s">
        <v>61</v>
      </c>
      <c r="AM3041" t="s">
        <v>3601</v>
      </c>
      <c r="AN3041" t="s">
        <v>3602</v>
      </c>
    </row>
    <row r="3042" spans="1:40" x14ac:dyDescent="0.35">
      <c r="A3042" t="s">
        <v>37</v>
      </c>
      <c r="B3042" t="s">
        <v>11901</v>
      </c>
      <c r="C3042" t="s">
        <v>656</v>
      </c>
      <c r="D3042" t="s">
        <v>11902</v>
      </c>
      <c r="E3042" t="s">
        <v>2458</v>
      </c>
      <c r="F3042" s="1">
        <v>46064.757106481484</v>
      </c>
      <c r="G3042" t="s">
        <v>355</v>
      </c>
      <c r="H3042" t="s">
        <v>356</v>
      </c>
      <c r="I3042" t="s">
        <v>11903</v>
      </c>
      <c r="J3042" t="s">
        <v>3117</v>
      </c>
      <c r="K3042" t="s">
        <v>661</v>
      </c>
      <c r="M3042" t="s">
        <v>76</v>
      </c>
      <c r="O3042" t="s">
        <v>77</v>
      </c>
      <c r="P3042" t="s">
        <v>78</v>
      </c>
      <c r="Q3042" t="s">
        <v>50</v>
      </c>
      <c r="R3042" t="s">
        <v>662</v>
      </c>
      <c r="S3042" t="s">
        <v>663</v>
      </c>
      <c r="T3042" t="s">
        <v>4048</v>
      </c>
      <c r="U3042" s="1">
        <v>46076.577731481484</v>
      </c>
      <c r="V3042" t="s">
        <v>54</v>
      </c>
      <c r="W3042" t="s">
        <v>55</v>
      </c>
      <c r="X3042" t="s">
        <v>134</v>
      </c>
      <c r="Y3042" t="s">
        <v>11904</v>
      </c>
      <c r="Z3042" t="s">
        <v>58</v>
      </c>
      <c r="AA3042" t="s">
        <v>54</v>
      </c>
      <c r="AB3042" t="s">
        <v>2521</v>
      </c>
      <c r="AC3042" t="s">
        <v>85</v>
      </c>
      <c r="AD3042" t="s">
        <v>208</v>
      </c>
      <c r="AE3042" t="s">
        <v>10292</v>
      </c>
      <c r="AF3042" t="s">
        <v>10585</v>
      </c>
      <c r="AG3042" t="s">
        <v>58</v>
      </c>
      <c r="AH3042" t="s">
        <v>11905</v>
      </c>
      <c r="AK3042">
        <v>0</v>
      </c>
      <c r="AL3042" t="s">
        <v>61</v>
      </c>
      <c r="AM3042" t="s">
        <v>11906</v>
      </c>
      <c r="AN3042" t="s">
        <v>11907</v>
      </c>
    </row>
    <row r="3043" spans="1:40" x14ac:dyDescent="0.35">
      <c r="A3043" t="s">
        <v>37</v>
      </c>
      <c r="B3043" t="s">
        <v>11908</v>
      </c>
      <c r="C3043" t="s">
        <v>39</v>
      </c>
      <c r="D3043" t="s">
        <v>8203</v>
      </c>
      <c r="E3043" t="s">
        <v>8204</v>
      </c>
      <c r="F3043" s="1">
        <v>46064.667905092596</v>
      </c>
      <c r="G3043" t="s">
        <v>355</v>
      </c>
      <c r="H3043" t="s">
        <v>356</v>
      </c>
      <c r="I3043" t="s">
        <v>11909</v>
      </c>
      <c r="J3043" t="s">
        <v>2894</v>
      </c>
      <c r="K3043" t="s">
        <v>951</v>
      </c>
      <c r="M3043" t="s">
        <v>47</v>
      </c>
      <c r="O3043" t="s">
        <v>77</v>
      </c>
      <c r="P3043" t="s">
        <v>78</v>
      </c>
      <c r="Q3043" t="s">
        <v>1370</v>
      </c>
      <c r="R3043" t="s">
        <v>2670</v>
      </c>
      <c r="S3043" t="s">
        <v>8206</v>
      </c>
      <c r="T3043" t="s">
        <v>8207</v>
      </c>
      <c r="U3043" s="1">
        <v>46072.410046296296</v>
      </c>
      <c r="V3043" t="s">
        <v>54</v>
      </c>
      <c r="W3043" t="s">
        <v>55</v>
      </c>
      <c r="X3043" t="s">
        <v>134</v>
      </c>
      <c r="Y3043" t="s">
        <v>11910</v>
      </c>
      <c r="Z3043" t="s">
        <v>5594</v>
      </c>
      <c r="AA3043" t="s">
        <v>54</v>
      </c>
      <c r="AB3043" t="s">
        <v>8209</v>
      </c>
      <c r="AC3043" t="s">
        <v>85</v>
      </c>
      <c r="AD3043" t="s">
        <v>2670</v>
      </c>
      <c r="AE3043" t="s">
        <v>8206</v>
      </c>
      <c r="AF3043" t="s">
        <v>11911</v>
      </c>
      <c r="AG3043" t="s">
        <v>5594</v>
      </c>
      <c r="AJ3043">
        <v>191596</v>
      </c>
      <c r="AK3043">
        <v>5</v>
      </c>
      <c r="AL3043" t="s">
        <v>61</v>
      </c>
      <c r="AM3043" t="s">
        <v>8209</v>
      </c>
      <c r="AN3043" t="s">
        <v>8210</v>
      </c>
    </row>
    <row r="3044" spans="1:40" x14ac:dyDescent="0.35">
      <c r="A3044" t="s">
        <v>37</v>
      </c>
      <c r="B3044" t="s">
        <v>11912</v>
      </c>
      <c r="C3044" t="s">
        <v>39</v>
      </c>
      <c r="D3044" t="s">
        <v>8203</v>
      </c>
      <c r="E3044" t="s">
        <v>8204</v>
      </c>
      <c r="F3044" s="1">
        <v>46064.666898148149</v>
      </c>
      <c r="G3044" t="s">
        <v>355</v>
      </c>
      <c r="H3044" t="s">
        <v>356</v>
      </c>
      <c r="I3044" t="s">
        <v>11913</v>
      </c>
      <c r="J3044" t="s">
        <v>5588</v>
      </c>
      <c r="K3044" t="s">
        <v>951</v>
      </c>
      <c r="M3044" t="s">
        <v>76</v>
      </c>
      <c r="O3044" t="s">
        <v>77</v>
      </c>
      <c r="P3044" t="s">
        <v>78</v>
      </c>
      <c r="Q3044" t="s">
        <v>1370</v>
      </c>
      <c r="R3044" t="s">
        <v>2670</v>
      </c>
      <c r="S3044" t="s">
        <v>8206</v>
      </c>
      <c r="T3044" t="s">
        <v>8207</v>
      </c>
      <c r="U3044" s="1">
        <v>46076.526643518519</v>
      </c>
      <c r="V3044" t="s">
        <v>54</v>
      </c>
      <c r="W3044" t="s">
        <v>55</v>
      </c>
      <c r="X3044" t="s">
        <v>134</v>
      </c>
      <c r="Y3044" t="s">
        <v>11914</v>
      </c>
      <c r="Z3044" t="s">
        <v>58</v>
      </c>
      <c r="AA3044" t="s">
        <v>54</v>
      </c>
      <c r="AB3044" t="s">
        <v>8209</v>
      </c>
      <c r="AC3044" t="s">
        <v>85</v>
      </c>
      <c r="AD3044" t="s">
        <v>2670</v>
      </c>
      <c r="AE3044" t="s">
        <v>8206</v>
      </c>
      <c r="AF3044" t="s">
        <v>8207</v>
      </c>
      <c r="AG3044" t="s">
        <v>58</v>
      </c>
      <c r="AJ3044">
        <v>191604</v>
      </c>
      <c r="AK3044">
        <v>5</v>
      </c>
      <c r="AL3044" t="s">
        <v>61</v>
      </c>
      <c r="AM3044" t="s">
        <v>8209</v>
      </c>
      <c r="AN3044" t="s">
        <v>8210</v>
      </c>
    </row>
    <row r="3045" spans="1:40" x14ac:dyDescent="0.35">
      <c r="A3045" t="s">
        <v>37</v>
      </c>
      <c r="B3045" t="s">
        <v>11915</v>
      </c>
      <c r="C3045" t="s">
        <v>39</v>
      </c>
      <c r="D3045" t="s">
        <v>8203</v>
      </c>
      <c r="E3045" t="s">
        <v>8204</v>
      </c>
      <c r="F3045" s="1">
        <v>46064.666145833333</v>
      </c>
      <c r="G3045" t="s">
        <v>355</v>
      </c>
      <c r="H3045" t="s">
        <v>356</v>
      </c>
      <c r="I3045" t="s">
        <v>11916</v>
      </c>
      <c r="J3045" t="s">
        <v>5588</v>
      </c>
      <c r="K3045" t="s">
        <v>951</v>
      </c>
      <c r="M3045" t="s">
        <v>76</v>
      </c>
      <c r="O3045" t="s">
        <v>77</v>
      </c>
      <c r="P3045" t="s">
        <v>78</v>
      </c>
      <c r="Q3045" t="s">
        <v>1370</v>
      </c>
      <c r="R3045" t="s">
        <v>2670</v>
      </c>
      <c r="S3045" t="s">
        <v>8206</v>
      </c>
      <c r="T3045" t="s">
        <v>8207</v>
      </c>
      <c r="U3045" s="1">
        <v>46076.54351851852</v>
      </c>
      <c r="V3045" t="s">
        <v>54</v>
      </c>
      <c r="W3045" t="s">
        <v>55</v>
      </c>
      <c r="X3045" t="s">
        <v>134</v>
      </c>
      <c r="Y3045" t="s">
        <v>11917</v>
      </c>
      <c r="Z3045" t="s">
        <v>58</v>
      </c>
      <c r="AA3045" t="s">
        <v>54</v>
      </c>
      <c r="AB3045" t="s">
        <v>8209</v>
      </c>
      <c r="AC3045" t="s">
        <v>85</v>
      </c>
      <c r="AD3045" t="s">
        <v>2670</v>
      </c>
      <c r="AE3045" t="s">
        <v>8206</v>
      </c>
      <c r="AF3045" t="s">
        <v>8207</v>
      </c>
      <c r="AG3045" t="s">
        <v>58</v>
      </c>
      <c r="AJ3045">
        <v>191603</v>
      </c>
      <c r="AK3045">
        <v>5</v>
      </c>
      <c r="AL3045" t="s">
        <v>61</v>
      </c>
      <c r="AM3045" t="s">
        <v>8209</v>
      </c>
      <c r="AN3045" t="s">
        <v>8210</v>
      </c>
    </row>
    <row r="3046" spans="1:40" x14ac:dyDescent="0.35">
      <c r="A3046" t="s">
        <v>37</v>
      </c>
      <c r="B3046" t="s">
        <v>11918</v>
      </c>
      <c r="C3046" t="s">
        <v>39</v>
      </c>
      <c r="D3046" t="s">
        <v>9200</v>
      </c>
      <c r="E3046" t="s">
        <v>11919</v>
      </c>
      <c r="F3046" s="1">
        <v>46064.660150462965</v>
      </c>
      <c r="G3046" t="s">
        <v>807</v>
      </c>
      <c r="H3046" t="s">
        <v>43</v>
      </c>
      <c r="I3046" t="s">
        <v>11920</v>
      </c>
      <c r="J3046" t="s">
        <v>2406</v>
      </c>
      <c r="K3046" t="s">
        <v>1187</v>
      </c>
      <c r="M3046" t="s">
        <v>47</v>
      </c>
      <c r="O3046" t="s">
        <v>77</v>
      </c>
      <c r="P3046" t="s">
        <v>78</v>
      </c>
      <c r="Q3046" t="s">
        <v>50</v>
      </c>
      <c r="R3046" t="s">
        <v>79</v>
      </c>
      <c r="S3046" t="s">
        <v>975</v>
      </c>
      <c r="T3046" t="s">
        <v>976</v>
      </c>
      <c r="U3046" s="1">
        <v>46072.622372685182</v>
      </c>
      <c r="V3046" t="s">
        <v>54</v>
      </c>
      <c r="W3046" t="s">
        <v>55</v>
      </c>
      <c r="X3046" t="s">
        <v>134</v>
      </c>
      <c r="Y3046" t="s">
        <v>11921</v>
      </c>
      <c r="Z3046" t="s">
        <v>5594</v>
      </c>
      <c r="AA3046" t="s">
        <v>54</v>
      </c>
      <c r="AB3046" t="s">
        <v>2521</v>
      </c>
      <c r="AC3046" t="s">
        <v>85</v>
      </c>
      <c r="AD3046" t="s">
        <v>1189</v>
      </c>
      <c r="AE3046" t="s">
        <v>1190</v>
      </c>
      <c r="AF3046" t="s">
        <v>3058</v>
      </c>
      <c r="AG3046" t="s">
        <v>5594</v>
      </c>
      <c r="AH3046">
        <v>13929</v>
      </c>
      <c r="AK3046">
        <v>0</v>
      </c>
      <c r="AL3046" t="s">
        <v>61</v>
      </c>
      <c r="AM3046" t="s">
        <v>11922</v>
      </c>
      <c r="AN3046" t="s">
        <v>11923</v>
      </c>
    </row>
    <row r="3047" spans="1:40" x14ac:dyDescent="0.35">
      <c r="A3047" t="s">
        <v>37</v>
      </c>
      <c r="B3047" t="s">
        <v>11924</v>
      </c>
      <c r="C3047" t="s">
        <v>39</v>
      </c>
      <c r="D3047" t="s">
        <v>469</v>
      </c>
      <c r="E3047" t="s">
        <v>11925</v>
      </c>
      <c r="F3047" s="1">
        <v>46064.637569444443</v>
      </c>
      <c r="G3047" t="s">
        <v>2053</v>
      </c>
      <c r="H3047" t="s">
        <v>106</v>
      </c>
      <c r="I3047" t="s">
        <v>1446</v>
      </c>
      <c r="J3047" t="s">
        <v>1337</v>
      </c>
      <c r="K3047" t="s">
        <v>951</v>
      </c>
      <c r="M3047" t="s">
        <v>76</v>
      </c>
      <c r="O3047" t="s">
        <v>77</v>
      </c>
      <c r="P3047" t="s">
        <v>78</v>
      </c>
      <c r="Q3047" t="s">
        <v>2169</v>
      </c>
      <c r="R3047" t="s">
        <v>79</v>
      </c>
      <c r="S3047" t="s">
        <v>1016</v>
      </c>
      <c r="T3047" t="s">
        <v>11926</v>
      </c>
      <c r="U3047" s="1">
        <v>46076.586377314816</v>
      </c>
      <c r="V3047" t="s">
        <v>54</v>
      </c>
      <c r="W3047" t="s">
        <v>55</v>
      </c>
      <c r="X3047" t="s">
        <v>211</v>
      </c>
      <c r="Y3047" t="e">
        <f>-  Microsoft Office Visio has been installed and activated  - CMDB Updated</f>
        <v>#NAME?</v>
      </c>
      <c r="Z3047" t="s">
        <v>58</v>
      </c>
      <c r="AA3047" t="s">
        <v>54</v>
      </c>
      <c r="AB3047" t="s">
        <v>213</v>
      </c>
      <c r="AC3047" t="s">
        <v>85</v>
      </c>
      <c r="AD3047" t="s">
        <v>79</v>
      </c>
      <c r="AE3047" t="s">
        <v>1016</v>
      </c>
      <c r="AF3047" t="s">
        <v>11927</v>
      </c>
      <c r="AG3047" t="s">
        <v>58</v>
      </c>
      <c r="AH3047">
        <v>5398</v>
      </c>
      <c r="AK3047">
        <v>14</v>
      </c>
      <c r="AL3047" t="s">
        <v>61</v>
      </c>
      <c r="AM3047" t="s">
        <v>11928</v>
      </c>
      <c r="AN3047" t="s">
        <v>11929</v>
      </c>
    </row>
    <row r="3048" spans="1:40" x14ac:dyDescent="0.35">
      <c r="A3048" t="s">
        <v>37</v>
      </c>
      <c r="B3048" t="s">
        <v>11930</v>
      </c>
      <c r="C3048" t="s">
        <v>39</v>
      </c>
      <c r="D3048" t="s">
        <v>11931</v>
      </c>
      <c r="E3048" t="s">
        <v>11932</v>
      </c>
      <c r="F3048" s="1">
        <v>46064.637569444443</v>
      </c>
      <c r="G3048" t="s">
        <v>1264</v>
      </c>
      <c r="H3048" t="s">
        <v>43</v>
      </c>
      <c r="I3048" t="s">
        <v>1446</v>
      </c>
      <c r="J3048" t="s">
        <v>1186</v>
      </c>
      <c r="K3048" t="s">
        <v>1187</v>
      </c>
      <c r="M3048" t="s">
        <v>47</v>
      </c>
      <c r="O3048" t="s">
        <v>77</v>
      </c>
      <c r="P3048" t="s">
        <v>78</v>
      </c>
      <c r="Q3048" t="s">
        <v>50</v>
      </c>
      <c r="R3048" t="s">
        <v>305</v>
      </c>
      <c r="S3048" t="s">
        <v>306</v>
      </c>
      <c r="T3048" t="s">
        <v>307</v>
      </c>
      <c r="U3048" s="1">
        <v>46072.449432870373</v>
      </c>
      <c r="V3048" t="s">
        <v>54</v>
      </c>
      <c r="W3048" t="s">
        <v>55</v>
      </c>
      <c r="X3048" t="s">
        <v>211</v>
      </c>
      <c r="Y3048" t="s">
        <v>3435</v>
      </c>
      <c r="Z3048" t="s">
        <v>5594</v>
      </c>
      <c r="AA3048" t="s">
        <v>54</v>
      </c>
      <c r="AB3048" t="s">
        <v>213</v>
      </c>
      <c r="AC3048" t="s">
        <v>85</v>
      </c>
      <c r="AD3048" t="s">
        <v>1189</v>
      </c>
      <c r="AE3048" t="s">
        <v>3436</v>
      </c>
      <c r="AF3048" t="s">
        <v>3437</v>
      </c>
      <c r="AG3048" t="s">
        <v>5594</v>
      </c>
      <c r="AH3048" t="s">
        <v>11933</v>
      </c>
      <c r="AK3048">
        <v>5</v>
      </c>
      <c r="AL3048" t="s">
        <v>61</v>
      </c>
      <c r="AM3048" t="s">
        <v>11934</v>
      </c>
      <c r="AN3048" t="s">
        <v>11935</v>
      </c>
    </row>
    <row r="3049" spans="1:40" x14ac:dyDescent="0.35">
      <c r="A3049" t="s">
        <v>37</v>
      </c>
      <c r="B3049" t="s">
        <v>11936</v>
      </c>
      <c r="C3049" t="s">
        <v>39</v>
      </c>
      <c r="D3049" t="s">
        <v>11937</v>
      </c>
      <c r="E3049" t="s">
        <v>230</v>
      </c>
      <c r="F3049" s="1">
        <v>46064.628067129626</v>
      </c>
      <c r="G3049" t="s">
        <v>304</v>
      </c>
      <c r="H3049" t="s">
        <v>106</v>
      </c>
      <c r="I3049" t="s">
        <v>3679</v>
      </c>
      <c r="J3049" t="s">
        <v>3680</v>
      </c>
      <c r="K3049" t="s">
        <v>3681</v>
      </c>
      <c r="M3049" t="s">
        <v>47</v>
      </c>
      <c r="O3049" t="s">
        <v>77</v>
      </c>
      <c r="P3049" t="s">
        <v>78</v>
      </c>
      <c r="Q3049" t="s">
        <v>50</v>
      </c>
      <c r="R3049" t="s">
        <v>51</v>
      </c>
      <c r="S3049" t="s">
        <v>52</v>
      </c>
      <c r="T3049" t="s">
        <v>773</v>
      </c>
      <c r="U3049" s="1">
        <v>46072.553611111114</v>
      </c>
      <c r="V3049" t="s">
        <v>54</v>
      </c>
      <c r="W3049" t="s">
        <v>55</v>
      </c>
      <c r="X3049" t="s">
        <v>134</v>
      </c>
      <c r="Y3049" t="s">
        <v>11938</v>
      </c>
      <c r="Z3049" t="s">
        <v>5594</v>
      </c>
      <c r="AA3049" t="s">
        <v>54</v>
      </c>
      <c r="AB3049" t="s">
        <v>408</v>
      </c>
      <c r="AC3049" t="s">
        <v>85</v>
      </c>
      <c r="AD3049" t="s">
        <v>52</v>
      </c>
      <c r="AE3049" t="s">
        <v>967</v>
      </c>
      <c r="AF3049" t="s">
        <v>2563</v>
      </c>
      <c r="AG3049" t="s">
        <v>5594</v>
      </c>
      <c r="AH3049">
        <v>12739</v>
      </c>
      <c r="AK3049">
        <v>1</v>
      </c>
      <c r="AL3049" t="s">
        <v>61</v>
      </c>
      <c r="AM3049" t="s">
        <v>11939</v>
      </c>
      <c r="AN3049" t="s">
        <v>11940</v>
      </c>
    </row>
    <row r="3050" spans="1:40" x14ac:dyDescent="0.35">
      <c r="A3050" t="s">
        <v>37</v>
      </c>
      <c r="B3050" t="s">
        <v>11941</v>
      </c>
      <c r="C3050" t="s">
        <v>102</v>
      </c>
      <c r="D3050" t="s">
        <v>1698</v>
      </c>
      <c r="E3050" t="s">
        <v>584</v>
      </c>
      <c r="F3050" s="1">
        <v>46064.612812500003</v>
      </c>
      <c r="G3050" t="s">
        <v>105</v>
      </c>
      <c r="H3050" t="s">
        <v>106</v>
      </c>
      <c r="I3050" t="s">
        <v>3825</v>
      </c>
      <c r="J3050" t="s">
        <v>108</v>
      </c>
      <c r="K3050" t="s">
        <v>109</v>
      </c>
      <c r="M3050" t="s">
        <v>150</v>
      </c>
      <c r="O3050" t="s">
        <v>77</v>
      </c>
      <c r="P3050" t="s">
        <v>78</v>
      </c>
      <c r="Q3050" t="s">
        <v>50</v>
      </c>
      <c r="R3050" t="s">
        <v>111</v>
      </c>
      <c r="S3050" t="s">
        <v>51</v>
      </c>
      <c r="T3050" t="s">
        <v>112</v>
      </c>
      <c r="U3050" s="1">
        <v>46077.728043981479</v>
      </c>
      <c r="V3050" t="s">
        <v>54</v>
      </c>
      <c r="W3050" t="s">
        <v>1584</v>
      </c>
      <c r="X3050" t="s">
        <v>134</v>
      </c>
      <c r="Y3050" t="s">
        <v>11942</v>
      </c>
      <c r="Z3050" t="s">
        <v>58</v>
      </c>
      <c r="AA3050" t="s">
        <v>54</v>
      </c>
      <c r="AB3050" t="s">
        <v>1701</v>
      </c>
      <c r="AC3050" t="s">
        <v>85</v>
      </c>
      <c r="AD3050" t="s">
        <v>116</v>
      </c>
      <c r="AE3050" t="s">
        <v>334</v>
      </c>
      <c r="AF3050" t="s">
        <v>1706</v>
      </c>
      <c r="AG3050" t="s">
        <v>58</v>
      </c>
      <c r="AK3050">
        <v>1</v>
      </c>
      <c r="AL3050" t="s">
        <v>61</v>
      </c>
      <c r="AM3050" t="s">
        <v>1701</v>
      </c>
      <c r="AN3050" t="s">
        <v>1702</v>
      </c>
    </row>
    <row r="3051" spans="1:40" x14ac:dyDescent="0.35">
      <c r="A3051" t="s">
        <v>37</v>
      </c>
      <c r="B3051" t="s">
        <v>11943</v>
      </c>
      <c r="C3051" t="s">
        <v>39</v>
      </c>
      <c r="D3051" t="s">
        <v>555</v>
      </c>
      <c r="E3051" t="s">
        <v>3482</v>
      </c>
      <c r="F3051" s="1">
        <v>46064.584537037037</v>
      </c>
      <c r="G3051" t="s">
        <v>170</v>
      </c>
      <c r="H3051" t="s">
        <v>92</v>
      </c>
      <c r="I3051" t="s">
        <v>11944</v>
      </c>
      <c r="J3051" t="s">
        <v>1555</v>
      </c>
      <c r="K3051" t="s">
        <v>951</v>
      </c>
      <c r="M3051" t="s">
        <v>76</v>
      </c>
      <c r="O3051" t="s">
        <v>77</v>
      </c>
      <c r="P3051" t="s">
        <v>78</v>
      </c>
      <c r="Q3051" t="s">
        <v>50</v>
      </c>
      <c r="R3051" t="s">
        <v>79</v>
      </c>
      <c r="S3051" t="s">
        <v>2748</v>
      </c>
      <c r="T3051" t="s">
        <v>2746</v>
      </c>
      <c r="U3051" s="1">
        <v>46076.350486111114</v>
      </c>
      <c r="V3051" t="s">
        <v>54</v>
      </c>
      <c r="W3051" t="s">
        <v>55</v>
      </c>
      <c r="X3051" t="s">
        <v>134</v>
      </c>
      <c r="Y3051" t="s">
        <v>11945</v>
      </c>
      <c r="Z3051" t="s">
        <v>58</v>
      </c>
      <c r="AA3051" t="s">
        <v>54</v>
      </c>
      <c r="AB3051" t="s">
        <v>458</v>
      </c>
      <c r="AC3051" t="s">
        <v>85</v>
      </c>
      <c r="AD3051" t="s">
        <v>79</v>
      </c>
      <c r="AE3051" t="s">
        <v>10053</v>
      </c>
      <c r="AF3051" t="s">
        <v>10054</v>
      </c>
      <c r="AG3051" t="s">
        <v>58</v>
      </c>
      <c r="AH3051">
        <v>12433</v>
      </c>
      <c r="AJ3051">
        <v>191592</v>
      </c>
      <c r="AK3051">
        <v>7</v>
      </c>
      <c r="AL3051" t="s">
        <v>61</v>
      </c>
      <c r="AM3051" t="s">
        <v>11946</v>
      </c>
      <c r="AN3051" t="s">
        <v>11947</v>
      </c>
    </row>
    <row r="3052" spans="1:40" x14ac:dyDescent="0.35">
      <c r="A3052" t="s">
        <v>37</v>
      </c>
      <c r="B3052" t="s">
        <v>11948</v>
      </c>
      <c r="C3052" t="s">
        <v>39</v>
      </c>
      <c r="D3052" t="s">
        <v>11949</v>
      </c>
      <c r="E3052" t="s">
        <v>11950</v>
      </c>
      <c r="F3052" s="1">
        <v>46064.582152777781</v>
      </c>
      <c r="G3052" t="s">
        <v>261</v>
      </c>
      <c r="H3052" t="s">
        <v>72</v>
      </c>
      <c r="I3052" t="s">
        <v>11951</v>
      </c>
      <c r="J3052" t="s">
        <v>1555</v>
      </c>
      <c r="K3052" t="s">
        <v>951</v>
      </c>
      <c r="M3052" t="s">
        <v>47</v>
      </c>
      <c r="O3052" t="s">
        <v>77</v>
      </c>
      <c r="P3052" t="s">
        <v>78</v>
      </c>
      <c r="Q3052" t="s">
        <v>50</v>
      </c>
      <c r="R3052" t="s">
        <v>79</v>
      </c>
      <c r="S3052" t="s">
        <v>4245</v>
      </c>
      <c r="T3052" t="s">
        <v>4246</v>
      </c>
      <c r="U3052" s="1">
        <v>46072.475439814814</v>
      </c>
      <c r="V3052" t="s">
        <v>54</v>
      </c>
      <c r="W3052" t="s">
        <v>55</v>
      </c>
      <c r="X3052" t="s">
        <v>134</v>
      </c>
      <c r="Y3052" t="s">
        <v>11952</v>
      </c>
      <c r="Z3052" t="s">
        <v>5594</v>
      </c>
      <c r="AA3052" t="s">
        <v>54</v>
      </c>
      <c r="AB3052" t="s">
        <v>458</v>
      </c>
      <c r="AC3052" t="s">
        <v>85</v>
      </c>
      <c r="AD3052" t="s">
        <v>79</v>
      </c>
      <c r="AE3052" t="s">
        <v>4245</v>
      </c>
      <c r="AF3052" t="s">
        <v>9268</v>
      </c>
      <c r="AG3052" t="s">
        <v>5594</v>
      </c>
      <c r="AH3052" t="s">
        <v>11953</v>
      </c>
      <c r="AK3052">
        <v>12</v>
      </c>
      <c r="AL3052" t="s">
        <v>61</v>
      </c>
      <c r="AM3052" t="s">
        <v>11954</v>
      </c>
      <c r="AN3052" t="s">
        <v>11955</v>
      </c>
    </row>
    <row r="3053" spans="1:40" x14ac:dyDescent="0.35">
      <c r="A3053" t="s">
        <v>37</v>
      </c>
      <c r="B3053" t="s">
        <v>11956</v>
      </c>
      <c r="C3053" t="s">
        <v>39</v>
      </c>
      <c r="D3053" t="s">
        <v>555</v>
      </c>
      <c r="E3053" t="s">
        <v>11957</v>
      </c>
      <c r="F3053" s="1">
        <v>46064.567326388889</v>
      </c>
      <c r="G3053" t="s">
        <v>3050</v>
      </c>
      <c r="H3053" t="s">
        <v>233</v>
      </c>
      <c r="I3053" t="s">
        <v>1185</v>
      </c>
      <c r="J3053" t="s">
        <v>7078</v>
      </c>
      <c r="K3053" t="s">
        <v>75</v>
      </c>
      <c r="M3053" t="s">
        <v>47</v>
      </c>
      <c r="O3053" t="s">
        <v>77</v>
      </c>
      <c r="P3053" t="s">
        <v>78</v>
      </c>
      <c r="Q3053" t="s">
        <v>50</v>
      </c>
      <c r="R3053" t="s">
        <v>305</v>
      </c>
      <c r="S3053" t="s">
        <v>306</v>
      </c>
      <c r="T3053" t="s">
        <v>307</v>
      </c>
      <c r="U3053" s="1">
        <v>46073.457407407404</v>
      </c>
      <c r="V3053" t="s">
        <v>54</v>
      </c>
      <c r="W3053" t="s">
        <v>55</v>
      </c>
      <c r="X3053" t="s">
        <v>211</v>
      </c>
      <c r="Y3053" t="s">
        <v>11958</v>
      </c>
      <c r="Z3053" t="s">
        <v>5594</v>
      </c>
      <c r="AA3053" t="s">
        <v>54</v>
      </c>
      <c r="AB3053" t="s">
        <v>213</v>
      </c>
      <c r="AC3053" t="s">
        <v>85</v>
      </c>
      <c r="AD3053" t="s">
        <v>79</v>
      </c>
      <c r="AE3053" t="s">
        <v>172</v>
      </c>
      <c r="AF3053" t="s">
        <v>7080</v>
      </c>
      <c r="AG3053" t="s">
        <v>5594</v>
      </c>
      <c r="AH3053">
        <v>15381</v>
      </c>
      <c r="AK3053">
        <v>4</v>
      </c>
      <c r="AL3053" t="s">
        <v>61</v>
      </c>
      <c r="AM3053" t="s">
        <v>11959</v>
      </c>
      <c r="AN3053" t="s">
        <v>11960</v>
      </c>
    </row>
    <row r="3054" spans="1:40" x14ac:dyDescent="0.35">
      <c r="A3054" t="s">
        <v>37</v>
      </c>
      <c r="B3054" t="s">
        <v>11961</v>
      </c>
      <c r="C3054" t="s">
        <v>39</v>
      </c>
      <c r="D3054" t="s">
        <v>4700</v>
      </c>
      <c r="E3054" t="s">
        <v>392</v>
      </c>
      <c r="F3054" s="1">
        <v>46064.566840277781</v>
      </c>
      <c r="G3054" t="s">
        <v>393</v>
      </c>
      <c r="H3054" t="s">
        <v>92</v>
      </c>
      <c r="I3054" t="s">
        <v>11962</v>
      </c>
      <c r="J3054" t="s">
        <v>9282</v>
      </c>
      <c r="K3054" t="s">
        <v>9283</v>
      </c>
      <c r="M3054" t="s">
        <v>47</v>
      </c>
      <c r="O3054" t="s">
        <v>77</v>
      </c>
      <c r="P3054" t="s">
        <v>78</v>
      </c>
      <c r="Q3054" t="s">
        <v>50</v>
      </c>
      <c r="R3054" t="s">
        <v>79</v>
      </c>
      <c r="S3054" t="s">
        <v>975</v>
      </c>
      <c r="T3054" t="s">
        <v>2280</v>
      </c>
      <c r="U3054" s="1">
        <v>46072.695497685185</v>
      </c>
      <c r="V3054" t="s">
        <v>54</v>
      </c>
      <c r="W3054" t="s">
        <v>55</v>
      </c>
      <c r="X3054" t="s">
        <v>82</v>
      </c>
      <c r="Y3054" t="s">
        <v>11701</v>
      </c>
      <c r="Z3054" t="s">
        <v>5594</v>
      </c>
      <c r="AA3054" t="s">
        <v>54</v>
      </c>
      <c r="AB3054" t="s">
        <v>396</v>
      </c>
      <c r="AC3054" t="s">
        <v>85</v>
      </c>
      <c r="AD3054" t="s">
        <v>79</v>
      </c>
      <c r="AE3054" t="s">
        <v>936</v>
      </c>
      <c r="AF3054" t="s">
        <v>937</v>
      </c>
      <c r="AG3054" t="s">
        <v>5594</v>
      </c>
      <c r="AH3054">
        <v>15924</v>
      </c>
      <c r="AK3054">
        <v>1</v>
      </c>
      <c r="AL3054" t="s">
        <v>61</v>
      </c>
      <c r="AM3054" t="s">
        <v>4701</v>
      </c>
      <c r="AN3054" t="s">
        <v>4702</v>
      </c>
    </row>
    <row r="3055" spans="1:40" x14ac:dyDescent="0.35">
      <c r="A3055" t="s">
        <v>37</v>
      </c>
      <c r="B3055" t="s">
        <v>11963</v>
      </c>
      <c r="C3055" t="s">
        <v>39</v>
      </c>
      <c r="D3055" t="s">
        <v>2396</v>
      </c>
      <c r="E3055" t="s">
        <v>2807</v>
      </c>
      <c r="F3055" s="1">
        <v>46064.560173611113</v>
      </c>
      <c r="G3055" t="s">
        <v>71</v>
      </c>
      <c r="H3055" t="s">
        <v>72</v>
      </c>
      <c r="I3055" t="s">
        <v>11964</v>
      </c>
      <c r="J3055" t="s">
        <v>950</v>
      </c>
      <c r="K3055" t="s">
        <v>951</v>
      </c>
      <c r="M3055" t="s">
        <v>76</v>
      </c>
      <c r="O3055" t="s">
        <v>77</v>
      </c>
      <c r="P3055" t="s">
        <v>78</v>
      </c>
      <c r="Q3055" t="s">
        <v>541</v>
      </c>
      <c r="R3055" t="s">
        <v>79</v>
      </c>
      <c r="S3055" t="s">
        <v>2748</v>
      </c>
      <c r="T3055" t="s">
        <v>2746</v>
      </c>
      <c r="U3055" s="1">
        <v>46076.718645833331</v>
      </c>
      <c r="V3055" t="s">
        <v>54</v>
      </c>
      <c r="W3055" t="s">
        <v>55</v>
      </c>
      <c r="X3055" t="s">
        <v>134</v>
      </c>
      <c r="Y3055" t="e">
        <f>- the new laptop has been deployed and configured successfully. - CMDB updated.</f>
        <v>#NAME?</v>
      </c>
      <c r="Z3055" t="s">
        <v>58</v>
      </c>
      <c r="AA3055" t="s">
        <v>54</v>
      </c>
      <c r="AB3055" t="s">
        <v>458</v>
      </c>
      <c r="AC3055" t="s">
        <v>85</v>
      </c>
      <c r="AD3055" t="s">
        <v>79</v>
      </c>
      <c r="AE3055" t="s">
        <v>10053</v>
      </c>
      <c r="AF3055" t="s">
        <v>10054</v>
      </c>
      <c r="AG3055" t="s">
        <v>58</v>
      </c>
      <c r="AH3055">
        <v>11050</v>
      </c>
      <c r="AJ3055">
        <v>191584</v>
      </c>
      <c r="AK3055">
        <v>10</v>
      </c>
      <c r="AL3055" t="s">
        <v>61</v>
      </c>
      <c r="AM3055" t="s">
        <v>11965</v>
      </c>
      <c r="AN3055" t="s">
        <v>11966</v>
      </c>
    </row>
    <row r="3056" spans="1:40" x14ac:dyDescent="0.35">
      <c r="A3056" t="s">
        <v>37</v>
      </c>
      <c r="B3056" t="s">
        <v>11967</v>
      </c>
      <c r="C3056" t="s">
        <v>102</v>
      </c>
      <c r="D3056" t="s">
        <v>3028</v>
      </c>
      <c r="E3056" t="s">
        <v>5710</v>
      </c>
      <c r="F3056" s="1">
        <v>46064.557326388887</v>
      </c>
      <c r="G3056" t="s">
        <v>487</v>
      </c>
      <c r="H3056" t="s">
        <v>447</v>
      </c>
      <c r="I3056" t="s">
        <v>1110</v>
      </c>
      <c r="J3056" t="s">
        <v>9282</v>
      </c>
      <c r="K3056" t="s">
        <v>9283</v>
      </c>
      <c r="M3056" t="s">
        <v>47</v>
      </c>
      <c r="O3056" t="s">
        <v>237</v>
      </c>
      <c r="P3056" t="s">
        <v>238</v>
      </c>
      <c r="Q3056" t="s">
        <v>1141</v>
      </c>
      <c r="R3056" t="s">
        <v>79</v>
      </c>
      <c r="S3056" t="s">
        <v>558</v>
      </c>
      <c r="T3056" t="s">
        <v>1108</v>
      </c>
      <c r="U3056" s="1">
        <v>46072.694907407407</v>
      </c>
      <c r="V3056" t="s">
        <v>54</v>
      </c>
      <c r="W3056" t="s">
        <v>55</v>
      </c>
      <c r="X3056" t="s">
        <v>82</v>
      </c>
      <c r="Y3056" t="s">
        <v>11968</v>
      </c>
      <c r="Z3056" t="s">
        <v>5594</v>
      </c>
      <c r="AA3056" t="s">
        <v>54</v>
      </c>
      <c r="AB3056" t="s">
        <v>698</v>
      </c>
      <c r="AC3056" t="s">
        <v>242</v>
      </c>
      <c r="AD3056" t="s">
        <v>79</v>
      </c>
      <c r="AE3056" t="s">
        <v>558</v>
      </c>
      <c r="AF3056" t="s">
        <v>1110</v>
      </c>
      <c r="AG3056" t="s">
        <v>5594</v>
      </c>
      <c r="AH3056">
        <v>5781</v>
      </c>
      <c r="AK3056">
        <v>3</v>
      </c>
      <c r="AL3056" t="s">
        <v>61</v>
      </c>
      <c r="AM3056" t="s">
        <v>5712</v>
      </c>
      <c r="AN3056" t="s">
        <v>5713</v>
      </c>
    </row>
    <row r="3057" spans="1:40" x14ac:dyDescent="0.35">
      <c r="A3057" t="s">
        <v>37</v>
      </c>
      <c r="B3057" t="s">
        <v>11969</v>
      </c>
      <c r="C3057" t="s">
        <v>39</v>
      </c>
      <c r="D3057" t="s">
        <v>325</v>
      </c>
      <c r="E3057" t="s">
        <v>11970</v>
      </c>
      <c r="F3057" s="1">
        <v>46064.530995370369</v>
      </c>
      <c r="G3057" t="s">
        <v>42</v>
      </c>
      <c r="H3057" t="s">
        <v>43</v>
      </c>
      <c r="I3057" t="s">
        <v>11971</v>
      </c>
      <c r="J3057" t="s">
        <v>11972</v>
      </c>
      <c r="K3057" t="s">
        <v>1627</v>
      </c>
      <c r="M3057" t="s">
        <v>76</v>
      </c>
      <c r="O3057" t="s">
        <v>77</v>
      </c>
      <c r="P3057" t="s">
        <v>78</v>
      </c>
      <c r="Q3057" t="s">
        <v>818</v>
      </c>
      <c r="R3057" t="s">
        <v>305</v>
      </c>
      <c r="S3057" t="s">
        <v>306</v>
      </c>
      <c r="T3057" t="s">
        <v>307</v>
      </c>
      <c r="U3057" s="1">
        <v>46076.991006944445</v>
      </c>
      <c r="V3057" t="s">
        <v>54</v>
      </c>
      <c r="W3057" t="s">
        <v>55</v>
      </c>
      <c r="X3057" t="s">
        <v>211</v>
      </c>
      <c r="Y3057" t="s">
        <v>11973</v>
      </c>
      <c r="Z3057" t="s">
        <v>58</v>
      </c>
      <c r="AA3057" t="s">
        <v>54</v>
      </c>
      <c r="AB3057" t="s">
        <v>213</v>
      </c>
      <c r="AC3057" t="s">
        <v>85</v>
      </c>
      <c r="AD3057" t="s">
        <v>79</v>
      </c>
      <c r="AE3057" t="s">
        <v>952</v>
      </c>
      <c r="AF3057" t="s">
        <v>1630</v>
      </c>
      <c r="AG3057" t="s">
        <v>58</v>
      </c>
      <c r="AH3057">
        <v>8534</v>
      </c>
      <c r="AK3057">
        <v>13</v>
      </c>
      <c r="AL3057" t="s">
        <v>61</v>
      </c>
      <c r="AM3057" t="s">
        <v>11974</v>
      </c>
      <c r="AN3057" t="s">
        <v>11975</v>
      </c>
    </row>
    <row r="3058" spans="1:40" x14ac:dyDescent="0.35">
      <c r="A3058" t="s">
        <v>37</v>
      </c>
      <c r="B3058" t="s">
        <v>11976</v>
      </c>
      <c r="C3058" t="s">
        <v>39</v>
      </c>
      <c r="D3058" t="s">
        <v>11977</v>
      </c>
      <c r="E3058" t="s">
        <v>11978</v>
      </c>
      <c r="F3058" s="1">
        <v>46064.498981481483</v>
      </c>
      <c r="G3058" t="s">
        <v>355</v>
      </c>
      <c r="H3058" t="s">
        <v>356</v>
      </c>
      <c r="I3058" t="s">
        <v>11979</v>
      </c>
      <c r="J3058" t="s">
        <v>435</v>
      </c>
      <c r="K3058" t="s">
        <v>436</v>
      </c>
      <c r="M3058" t="s">
        <v>47</v>
      </c>
      <c r="O3058" t="s">
        <v>77</v>
      </c>
      <c r="P3058" t="s">
        <v>78</v>
      </c>
      <c r="Q3058" t="s">
        <v>50</v>
      </c>
      <c r="R3058" t="s">
        <v>51</v>
      </c>
      <c r="S3058" t="s">
        <v>52</v>
      </c>
      <c r="T3058" t="s">
        <v>4080</v>
      </c>
      <c r="U3058" s="1">
        <v>46072.463506944441</v>
      </c>
      <c r="V3058" t="s">
        <v>54</v>
      </c>
      <c r="W3058" t="s">
        <v>55</v>
      </c>
      <c r="X3058" t="s">
        <v>134</v>
      </c>
      <c r="Y3058" t="s">
        <v>11980</v>
      </c>
      <c r="Z3058" t="s">
        <v>5594</v>
      </c>
      <c r="AA3058" t="s">
        <v>54</v>
      </c>
      <c r="AB3058" t="s">
        <v>612</v>
      </c>
      <c r="AC3058" t="s">
        <v>85</v>
      </c>
      <c r="AD3058" t="s">
        <v>52</v>
      </c>
      <c r="AE3058" t="s">
        <v>438</v>
      </c>
      <c r="AF3058" t="s">
        <v>439</v>
      </c>
      <c r="AG3058" t="s">
        <v>5594</v>
      </c>
      <c r="AH3058" t="s">
        <v>11981</v>
      </c>
      <c r="AK3058">
        <v>3</v>
      </c>
      <c r="AL3058" t="s">
        <v>61</v>
      </c>
      <c r="AM3058" t="s">
        <v>2775</v>
      </c>
      <c r="AN3058" t="s">
        <v>11982</v>
      </c>
    </row>
    <row r="3059" spans="1:40" x14ac:dyDescent="0.35">
      <c r="A3059" t="s">
        <v>37</v>
      </c>
      <c r="B3059" t="s">
        <v>11983</v>
      </c>
      <c r="C3059" t="s">
        <v>656</v>
      </c>
      <c r="D3059" t="s">
        <v>11984</v>
      </c>
      <c r="E3059" t="s">
        <v>11985</v>
      </c>
      <c r="F3059" s="1">
        <v>46064.474641203706</v>
      </c>
      <c r="G3059" t="s">
        <v>105</v>
      </c>
      <c r="H3059" t="s">
        <v>106</v>
      </c>
      <c r="I3059" t="s">
        <v>11986</v>
      </c>
      <c r="J3059" t="s">
        <v>2333</v>
      </c>
      <c r="K3059" t="s">
        <v>1187</v>
      </c>
      <c r="M3059" t="s">
        <v>47</v>
      </c>
      <c r="O3059" t="s">
        <v>77</v>
      </c>
      <c r="P3059" t="s">
        <v>78</v>
      </c>
      <c r="Q3059" t="s">
        <v>50</v>
      </c>
      <c r="R3059" t="s">
        <v>1189</v>
      </c>
      <c r="S3059" t="s">
        <v>1190</v>
      </c>
      <c r="T3059" t="s">
        <v>999</v>
      </c>
      <c r="U3059" s="1">
        <v>46072.496701388889</v>
      </c>
      <c r="V3059" t="s">
        <v>54</v>
      </c>
      <c r="W3059" t="s">
        <v>55</v>
      </c>
      <c r="X3059" t="s">
        <v>134</v>
      </c>
      <c r="Y3059" t="s">
        <v>11987</v>
      </c>
      <c r="Z3059" t="s">
        <v>5594</v>
      </c>
      <c r="AA3059" t="s">
        <v>54</v>
      </c>
      <c r="AB3059" t="s">
        <v>408</v>
      </c>
      <c r="AC3059" t="s">
        <v>85</v>
      </c>
      <c r="AD3059" t="s">
        <v>662</v>
      </c>
      <c r="AE3059" t="s">
        <v>2335</v>
      </c>
      <c r="AF3059" t="s">
        <v>2336</v>
      </c>
      <c r="AG3059" t="s">
        <v>5594</v>
      </c>
      <c r="AH3059" t="s">
        <v>11988</v>
      </c>
      <c r="AK3059">
        <v>5</v>
      </c>
      <c r="AL3059" t="s">
        <v>61</v>
      </c>
      <c r="AM3059" t="s">
        <v>11989</v>
      </c>
      <c r="AN3059" t="s">
        <v>11990</v>
      </c>
    </row>
    <row r="3060" spans="1:40" x14ac:dyDescent="0.35">
      <c r="A3060" t="s">
        <v>37</v>
      </c>
      <c r="B3060" t="s">
        <v>11991</v>
      </c>
      <c r="C3060" t="s">
        <v>102</v>
      </c>
      <c r="D3060" t="s">
        <v>11992</v>
      </c>
      <c r="E3060" t="s">
        <v>11993</v>
      </c>
      <c r="F3060" s="1">
        <v>46064.466863425929</v>
      </c>
      <c r="G3060" t="s">
        <v>261</v>
      </c>
      <c r="H3060" t="s">
        <v>72</v>
      </c>
      <c r="I3060" t="s">
        <v>11994</v>
      </c>
      <c r="J3060" t="s">
        <v>695</v>
      </c>
      <c r="K3060" t="s">
        <v>75</v>
      </c>
      <c r="M3060" t="s">
        <v>47</v>
      </c>
      <c r="O3060" t="s">
        <v>237</v>
      </c>
      <c r="P3060" t="s">
        <v>238</v>
      </c>
      <c r="Q3060" t="s">
        <v>50</v>
      </c>
      <c r="R3060" t="s">
        <v>79</v>
      </c>
      <c r="S3060" t="s">
        <v>781</v>
      </c>
      <c r="T3060" t="s">
        <v>782</v>
      </c>
      <c r="U3060" s="1">
        <v>46072.562418981484</v>
      </c>
      <c r="V3060" t="s">
        <v>54</v>
      </c>
      <c r="W3060" t="s">
        <v>55</v>
      </c>
      <c r="X3060" t="s">
        <v>82</v>
      </c>
      <c r="Y3060" t="s">
        <v>11995</v>
      </c>
      <c r="Z3060" t="s">
        <v>5594</v>
      </c>
      <c r="AA3060" t="s">
        <v>54</v>
      </c>
      <c r="AB3060" t="s">
        <v>698</v>
      </c>
      <c r="AC3060" t="s">
        <v>242</v>
      </c>
      <c r="AD3060" t="s">
        <v>79</v>
      </c>
      <c r="AE3060" t="s">
        <v>784</v>
      </c>
      <c r="AF3060" t="s">
        <v>785</v>
      </c>
      <c r="AG3060" t="s">
        <v>5594</v>
      </c>
      <c r="AH3060">
        <v>15817</v>
      </c>
      <c r="AK3060">
        <v>4</v>
      </c>
      <c r="AL3060" t="s">
        <v>61</v>
      </c>
      <c r="AM3060" t="s">
        <v>11996</v>
      </c>
      <c r="AN3060" t="s">
        <v>11997</v>
      </c>
    </row>
    <row r="3061" spans="1:40" x14ac:dyDescent="0.35">
      <c r="A3061" t="s">
        <v>37</v>
      </c>
      <c r="B3061" t="s">
        <v>11998</v>
      </c>
      <c r="C3061" t="s">
        <v>102</v>
      </c>
      <c r="D3061" t="s">
        <v>3924</v>
      </c>
      <c r="E3061" t="s">
        <v>3925</v>
      </c>
      <c r="F3061" s="1">
        <v>46064.424004629633</v>
      </c>
      <c r="G3061" t="s">
        <v>464</v>
      </c>
      <c r="H3061" t="s">
        <v>287</v>
      </c>
      <c r="I3061" t="s">
        <v>11999</v>
      </c>
      <c r="J3061" t="s">
        <v>950</v>
      </c>
      <c r="K3061" t="s">
        <v>951</v>
      </c>
      <c r="M3061" t="s">
        <v>76</v>
      </c>
      <c r="O3061" t="s">
        <v>237</v>
      </c>
      <c r="P3061" t="s">
        <v>238</v>
      </c>
      <c r="Q3061" t="s">
        <v>3926</v>
      </c>
      <c r="R3061" t="s">
        <v>79</v>
      </c>
      <c r="S3061" t="s">
        <v>955</v>
      </c>
      <c r="T3061" t="s">
        <v>12000</v>
      </c>
      <c r="U3061" s="1">
        <v>46077.588078703702</v>
      </c>
      <c r="V3061" t="s">
        <v>54</v>
      </c>
      <c r="W3061" t="s">
        <v>55</v>
      </c>
      <c r="X3061" t="s">
        <v>134</v>
      </c>
      <c r="Y3061" t="e">
        <f>- after applying the GPO update and restarting the shared workstations, screen recording is now functioning correctly.</f>
        <v>#NAME?</v>
      </c>
      <c r="Z3061" t="s">
        <v>58</v>
      </c>
      <c r="AA3061" t="s">
        <v>54</v>
      </c>
      <c r="AB3061" t="s">
        <v>458</v>
      </c>
      <c r="AC3061" t="s">
        <v>242</v>
      </c>
      <c r="AD3061" t="s">
        <v>79</v>
      </c>
      <c r="AE3061" t="s">
        <v>955</v>
      </c>
      <c r="AF3061" t="s">
        <v>12001</v>
      </c>
      <c r="AG3061" t="s">
        <v>58</v>
      </c>
      <c r="AH3061">
        <v>3979</v>
      </c>
      <c r="AK3061">
        <v>12</v>
      </c>
      <c r="AL3061" t="s">
        <v>61</v>
      </c>
      <c r="AM3061" t="s">
        <v>3927</v>
      </c>
      <c r="AN3061" t="s">
        <v>3928</v>
      </c>
    </row>
    <row r="3062" spans="1:40" x14ac:dyDescent="0.35">
      <c r="A3062" t="s">
        <v>37</v>
      </c>
      <c r="B3062" t="s">
        <v>12002</v>
      </c>
      <c r="C3062" t="s">
        <v>39</v>
      </c>
      <c r="D3062" t="s">
        <v>12003</v>
      </c>
      <c r="E3062" t="s">
        <v>12004</v>
      </c>
      <c r="F3062" s="1">
        <v>46064.41846064815</v>
      </c>
      <c r="G3062" t="s">
        <v>355</v>
      </c>
      <c r="H3062" t="s">
        <v>356</v>
      </c>
      <c r="I3062" t="s">
        <v>1446</v>
      </c>
      <c r="J3062" t="s">
        <v>1337</v>
      </c>
      <c r="K3062" t="s">
        <v>951</v>
      </c>
      <c r="M3062" t="s">
        <v>76</v>
      </c>
      <c r="O3062" t="s">
        <v>77</v>
      </c>
      <c r="P3062" t="s">
        <v>78</v>
      </c>
      <c r="Q3062" t="s">
        <v>50</v>
      </c>
      <c r="R3062" t="s">
        <v>79</v>
      </c>
      <c r="S3062" t="s">
        <v>1016</v>
      </c>
      <c r="T3062" t="s">
        <v>4181</v>
      </c>
      <c r="U3062" s="1">
        <v>46078.483958333331</v>
      </c>
      <c r="V3062" t="s">
        <v>54</v>
      </c>
      <c r="W3062" t="s">
        <v>55</v>
      </c>
      <c r="X3062" t="s">
        <v>211</v>
      </c>
      <c r="Y3062" t="s">
        <v>12005</v>
      </c>
      <c r="Z3062" t="s">
        <v>58</v>
      </c>
      <c r="AA3062" t="s">
        <v>54</v>
      </c>
      <c r="AB3062" t="s">
        <v>213</v>
      </c>
      <c r="AC3062" t="s">
        <v>85</v>
      </c>
      <c r="AD3062" t="s">
        <v>79</v>
      </c>
      <c r="AE3062" t="s">
        <v>1016</v>
      </c>
      <c r="AF3062" t="s">
        <v>4181</v>
      </c>
      <c r="AG3062" t="s">
        <v>58</v>
      </c>
      <c r="AH3062" t="s">
        <v>12006</v>
      </c>
      <c r="AK3062">
        <v>14</v>
      </c>
      <c r="AL3062" t="s">
        <v>61</v>
      </c>
      <c r="AM3062" t="s">
        <v>12007</v>
      </c>
      <c r="AN3062" t="s">
        <v>12008</v>
      </c>
    </row>
    <row r="3063" spans="1:40" x14ac:dyDescent="0.35">
      <c r="A3063" t="s">
        <v>37</v>
      </c>
      <c r="B3063" t="s">
        <v>12009</v>
      </c>
      <c r="C3063" t="s">
        <v>39</v>
      </c>
      <c r="D3063" t="s">
        <v>12010</v>
      </c>
      <c r="E3063" t="s">
        <v>12011</v>
      </c>
      <c r="F3063" s="1">
        <v>46064.417395833334</v>
      </c>
      <c r="G3063" t="s">
        <v>2031</v>
      </c>
      <c r="H3063" t="s">
        <v>106</v>
      </c>
      <c r="I3063" t="s">
        <v>11815</v>
      </c>
      <c r="J3063" t="s">
        <v>9282</v>
      </c>
      <c r="K3063" t="s">
        <v>9283</v>
      </c>
      <c r="M3063" t="s">
        <v>47</v>
      </c>
      <c r="O3063" t="s">
        <v>77</v>
      </c>
      <c r="P3063" t="s">
        <v>78</v>
      </c>
      <c r="Q3063" t="s">
        <v>50</v>
      </c>
      <c r="R3063" t="s">
        <v>79</v>
      </c>
      <c r="S3063" t="s">
        <v>975</v>
      </c>
      <c r="T3063" t="s">
        <v>11816</v>
      </c>
      <c r="U3063" s="1">
        <v>46073.609907407408</v>
      </c>
      <c r="V3063" t="s">
        <v>54</v>
      </c>
      <c r="W3063" t="s">
        <v>55</v>
      </c>
      <c r="X3063" t="s">
        <v>134</v>
      </c>
      <c r="Y3063" t="s">
        <v>10322</v>
      </c>
      <c r="Z3063" t="s">
        <v>5594</v>
      </c>
      <c r="AA3063" t="s">
        <v>54</v>
      </c>
      <c r="AB3063" t="s">
        <v>458</v>
      </c>
      <c r="AC3063" t="s">
        <v>85</v>
      </c>
      <c r="AD3063" t="s">
        <v>79</v>
      </c>
      <c r="AE3063" t="s">
        <v>558</v>
      </c>
      <c r="AF3063" t="s">
        <v>1110</v>
      </c>
      <c r="AG3063" t="s">
        <v>5594</v>
      </c>
      <c r="AH3063" t="s">
        <v>12012</v>
      </c>
      <c r="AK3063">
        <v>8</v>
      </c>
      <c r="AL3063" t="s">
        <v>61</v>
      </c>
      <c r="AM3063" t="s">
        <v>12013</v>
      </c>
      <c r="AN3063" t="s">
        <v>12014</v>
      </c>
    </row>
    <row r="3064" spans="1:40" x14ac:dyDescent="0.35">
      <c r="A3064" t="s">
        <v>37</v>
      </c>
      <c r="B3064" t="s">
        <v>12015</v>
      </c>
      <c r="C3064" t="s">
        <v>39</v>
      </c>
      <c r="D3064" t="s">
        <v>12016</v>
      </c>
      <c r="E3064" t="s">
        <v>12017</v>
      </c>
      <c r="F3064" s="1">
        <v>46064.123865740738</v>
      </c>
      <c r="G3064" t="s">
        <v>2015</v>
      </c>
      <c r="H3064" t="s">
        <v>447</v>
      </c>
      <c r="I3064" t="s">
        <v>12018</v>
      </c>
      <c r="J3064" t="s">
        <v>1555</v>
      </c>
      <c r="K3064" t="s">
        <v>951</v>
      </c>
      <c r="M3064" t="s">
        <v>47</v>
      </c>
      <c r="O3064" t="s">
        <v>77</v>
      </c>
      <c r="P3064" t="s">
        <v>78</v>
      </c>
      <c r="Q3064" t="s">
        <v>50</v>
      </c>
      <c r="R3064" t="s">
        <v>79</v>
      </c>
      <c r="S3064" t="s">
        <v>952</v>
      </c>
      <c r="T3064" t="s">
        <v>953</v>
      </c>
      <c r="U3064" s="1">
        <v>46072.552766203706</v>
      </c>
      <c r="V3064" t="s">
        <v>54</v>
      </c>
      <c r="W3064" t="s">
        <v>55</v>
      </c>
      <c r="X3064" t="s">
        <v>134</v>
      </c>
      <c r="Y3064" t="s">
        <v>12019</v>
      </c>
      <c r="Z3064" t="s">
        <v>5594</v>
      </c>
      <c r="AA3064" t="s">
        <v>54</v>
      </c>
      <c r="AB3064" t="s">
        <v>84</v>
      </c>
      <c r="AC3064" t="s">
        <v>85</v>
      </c>
      <c r="AD3064" t="s">
        <v>79</v>
      </c>
      <c r="AE3064" t="s">
        <v>642</v>
      </c>
      <c r="AF3064" t="s">
        <v>10629</v>
      </c>
      <c r="AG3064" t="s">
        <v>5594</v>
      </c>
      <c r="AH3064">
        <v>15856</v>
      </c>
      <c r="AK3064">
        <v>7</v>
      </c>
      <c r="AL3064" t="s">
        <v>61</v>
      </c>
      <c r="AM3064" t="s">
        <v>12020</v>
      </c>
      <c r="AN3064" t="s">
        <v>12021</v>
      </c>
    </row>
    <row r="3065" spans="1:40" x14ac:dyDescent="0.35">
      <c r="A3065" t="s">
        <v>37</v>
      </c>
      <c r="B3065" t="s">
        <v>12022</v>
      </c>
      <c r="C3065" t="s">
        <v>39</v>
      </c>
      <c r="D3065" t="s">
        <v>2997</v>
      </c>
      <c r="E3065" t="s">
        <v>2998</v>
      </c>
      <c r="F3065" s="1">
        <v>46064.104224537034</v>
      </c>
      <c r="G3065" t="s">
        <v>261</v>
      </c>
      <c r="H3065" t="s">
        <v>72</v>
      </c>
      <c r="I3065" t="s">
        <v>12023</v>
      </c>
      <c r="J3065" t="s">
        <v>4338</v>
      </c>
      <c r="K3065" t="s">
        <v>405</v>
      </c>
      <c r="M3065" t="s">
        <v>47</v>
      </c>
      <c r="O3065" t="s">
        <v>77</v>
      </c>
      <c r="P3065" t="s">
        <v>78</v>
      </c>
      <c r="Q3065" t="s">
        <v>50</v>
      </c>
      <c r="R3065" t="s">
        <v>51</v>
      </c>
      <c r="S3065" t="s">
        <v>52</v>
      </c>
      <c r="T3065" t="s">
        <v>240</v>
      </c>
      <c r="U3065" s="1">
        <v>46072.36859953704</v>
      </c>
      <c r="V3065" t="s">
        <v>54</v>
      </c>
      <c r="W3065" t="s">
        <v>55</v>
      </c>
      <c r="X3065" t="s">
        <v>134</v>
      </c>
      <c r="Y3065" t="s">
        <v>12024</v>
      </c>
      <c r="Z3065" t="s">
        <v>5594</v>
      </c>
      <c r="AA3065" t="s">
        <v>54</v>
      </c>
      <c r="AB3065" t="s">
        <v>84</v>
      </c>
      <c r="AC3065" t="s">
        <v>85</v>
      </c>
      <c r="AD3065" t="s">
        <v>52</v>
      </c>
      <c r="AE3065" t="s">
        <v>243</v>
      </c>
      <c r="AF3065" t="s">
        <v>244</v>
      </c>
      <c r="AG3065" t="s">
        <v>5594</v>
      </c>
      <c r="AH3065" t="s">
        <v>3002</v>
      </c>
      <c r="AK3065">
        <v>1</v>
      </c>
      <c r="AL3065" t="s">
        <v>61</v>
      </c>
      <c r="AM3065" t="s">
        <v>3003</v>
      </c>
      <c r="AN3065" t="s">
        <v>3004</v>
      </c>
    </row>
    <row r="3066" spans="1:40" x14ac:dyDescent="0.35">
      <c r="A3066" t="s">
        <v>37</v>
      </c>
      <c r="B3066" t="s">
        <v>12025</v>
      </c>
      <c r="C3066" t="s">
        <v>39</v>
      </c>
      <c r="D3066" t="s">
        <v>3421</v>
      </c>
      <c r="E3066" t="s">
        <v>3422</v>
      </c>
      <c r="F3066" s="1">
        <v>46064.081655092596</v>
      </c>
      <c r="G3066" t="s">
        <v>250</v>
      </c>
      <c r="H3066" t="s">
        <v>106</v>
      </c>
      <c r="I3066" t="s">
        <v>12026</v>
      </c>
      <c r="J3066" t="s">
        <v>3829</v>
      </c>
      <c r="K3066" t="s">
        <v>951</v>
      </c>
      <c r="M3066" t="s">
        <v>76</v>
      </c>
      <c r="O3066" t="s">
        <v>77</v>
      </c>
      <c r="P3066" t="s">
        <v>78</v>
      </c>
      <c r="Q3066" t="s">
        <v>50</v>
      </c>
      <c r="R3066" t="s">
        <v>79</v>
      </c>
      <c r="S3066" t="s">
        <v>8996</v>
      </c>
      <c r="T3066" t="s">
        <v>8996</v>
      </c>
      <c r="U3066" s="1">
        <v>46077.402314814812</v>
      </c>
      <c r="V3066" t="s">
        <v>54</v>
      </c>
      <c r="W3066" t="s">
        <v>55</v>
      </c>
      <c r="X3066" t="s">
        <v>134</v>
      </c>
      <c r="Y3066" t="s">
        <v>12027</v>
      </c>
      <c r="Z3066" t="s">
        <v>58</v>
      </c>
      <c r="AA3066" t="s">
        <v>54</v>
      </c>
      <c r="AB3066" t="s">
        <v>84</v>
      </c>
      <c r="AC3066" t="s">
        <v>85</v>
      </c>
      <c r="AD3066" t="s">
        <v>79</v>
      </c>
      <c r="AE3066" t="s">
        <v>8998</v>
      </c>
      <c r="AF3066" t="s">
        <v>8998</v>
      </c>
      <c r="AG3066" t="s">
        <v>58</v>
      </c>
      <c r="AJ3066">
        <v>12475</v>
      </c>
      <c r="AK3066">
        <v>4</v>
      </c>
      <c r="AL3066" t="s">
        <v>61</v>
      </c>
      <c r="AM3066" t="s">
        <v>3426</v>
      </c>
      <c r="AN3066" t="s">
        <v>3427</v>
      </c>
    </row>
    <row r="3067" spans="1:40" x14ac:dyDescent="0.35">
      <c r="A3067" t="s">
        <v>37</v>
      </c>
      <c r="B3067" t="s">
        <v>12028</v>
      </c>
      <c r="C3067" t="s">
        <v>39</v>
      </c>
      <c r="D3067" t="s">
        <v>6571</v>
      </c>
      <c r="E3067" t="s">
        <v>6572</v>
      </c>
      <c r="F3067" s="1">
        <v>46064.025868055556</v>
      </c>
      <c r="G3067" t="s">
        <v>4421</v>
      </c>
      <c r="H3067" t="s">
        <v>92</v>
      </c>
      <c r="I3067" t="s">
        <v>12023</v>
      </c>
      <c r="J3067" t="s">
        <v>404</v>
      </c>
      <c r="K3067" t="s">
        <v>405</v>
      </c>
      <c r="M3067" t="s">
        <v>47</v>
      </c>
      <c r="O3067" t="s">
        <v>77</v>
      </c>
      <c r="P3067" t="s">
        <v>78</v>
      </c>
      <c r="Q3067" t="s">
        <v>50</v>
      </c>
      <c r="R3067" t="s">
        <v>51</v>
      </c>
      <c r="S3067" t="s">
        <v>52</v>
      </c>
      <c r="T3067" t="s">
        <v>240</v>
      </c>
      <c r="U3067" s="1">
        <v>46072.436307870368</v>
      </c>
      <c r="V3067" t="s">
        <v>54</v>
      </c>
      <c r="W3067" t="s">
        <v>55</v>
      </c>
      <c r="X3067" t="s">
        <v>134</v>
      </c>
      <c r="Y3067" t="s">
        <v>12029</v>
      </c>
      <c r="Z3067" t="s">
        <v>5594</v>
      </c>
      <c r="AA3067" t="s">
        <v>54</v>
      </c>
      <c r="AB3067" t="s">
        <v>84</v>
      </c>
      <c r="AC3067" t="s">
        <v>85</v>
      </c>
      <c r="AD3067" t="s">
        <v>52</v>
      </c>
      <c r="AE3067" t="s">
        <v>243</v>
      </c>
      <c r="AF3067" t="s">
        <v>409</v>
      </c>
      <c r="AG3067" t="s">
        <v>5594</v>
      </c>
      <c r="AH3067">
        <v>13420</v>
      </c>
      <c r="AK3067">
        <v>1</v>
      </c>
      <c r="AL3067" t="s">
        <v>61</v>
      </c>
      <c r="AM3067" t="s">
        <v>6576</v>
      </c>
      <c r="AN3067" t="s">
        <v>6577</v>
      </c>
    </row>
    <row r="3068" spans="1:40" x14ac:dyDescent="0.35">
      <c r="A3068" t="s">
        <v>37</v>
      </c>
      <c r="B3068" t="s">
        <v>12030</v>
      </c>
      <c r="C3068" t="s">
        <v>102</v>
      </c>
      <c r="D3068" t="s">
        <v>12031</v>
      </c>
      <c r="E3068" t="s">
        <v>12032</v>
      </c>
      <c r="F3068" s="1">
        <v>46064.024409722224</v>
      </c>
      <c r="G3068" t="s">
        <v>3396</v>
      </c>
      <c r="H3068" t="s">
        <v>106</v>
      </c>
      <c r="I3068" t="s">
        <v>12033</v>
      </c>
      <c r="J3068" t="s">
        <v>11374</v>
      </c>
      <c r="K3068" t="s">
        <v>2551</v>
      </c>
      <c r="M3068" t="s">
        <v>131</v>
      </c>
      <c r="O3068" t="s">
        <v>237</v>
      </c>
      <c r="P3068" t="s">
        <v>238</v>
      </c>
      <c r="Q3068" t="s">
        <v>2169</v>
      </c>
      <c r="R3068" t="s">
        <v>305</v>
      </c>
      <c r="S3068" t="s">
        <v>306</v>
      </c>
      <c r="T3068" t="s">
        <v>307</v>
      </c>
      <c r="U3068" s="1">
        <v>46078.500636574077</v>
      </c>
      <c r="V3068" t="s">
        <v>54</v>
      </c>
      <c r="W3068" t="s">
        <v>55</v>
      </c>
      <c r="X3068" t="s">
        <v>211</v>
      </c>
      <c r="Y3068" t="s">
        <v>12034</v>
      </c>
      <c r="Z3068" t="s">
        <v>58</v>
      </c>
      <c r="AA3068" t="s">
        <v>54</v>
      </c>
      <c r="AB3068" t="s">
        <v>213</v>
      </c>
      <c r="AC3068" t="s">
        <v>242</v>
      </c>
      <c r="AD3068" t="s">
        <v>79</v>
      </c>
      <c r="AE3068" t="s">
        <v>4503</v>
      </c>
      <c r="AF3068" t="s">
        <v>11369</v>
      </c>
      <c r="AG3068" t="s">
        <v>58</v>
      </c>
      <c r="AH3068">
        <v>1751</v>
      </c>
      <c r="AK3068">
        <v>13</v>
      </c>
      <c r="AL3068" t="s">
        <v>61</v>
      </c>
      <c r="AM3068" t="s">
        <v>12035</v>
      </c>
      <c r="AN3068" t="s">
        <v>12036</v>
      </c>
    </row>
    <row r="3069" spans="1:40" x14ac:dyDescent="0.35">
      <c r="A3069" t="s">
        <v>37</v>
      </c>
      <c r="B3069" t="s">
        <v>12037</v>
      </c>
      <c r="C3069" t="s">
        <v>39</v>
      </c>
      <c r="D3069" t="s">
        <v>4391</v>
      </c>
      <c r="E3069" t="s">
        <v>4392</v>
      </c>
      <c r="F3069" s="1">
        <v>46063.652881944443</v>
      </c>
      <c r="G3069" t="s">
        <v>393</v>
      </c>
      <c r="H3069" t="s">
        <v>92</v>
      </c>
      <c r="I3069" t="s">
        <v>7121</v>
      </c>
      <c r="J3069" t="s">
        <v>4244</v>
      </c>
      <c r="K3069" t="s">
        <v>951</v>
      </c>
      <c r="M3069" t="s">
        <v>131</v>
      </c>
      <c r="O3069" t="s">
        <v>77</v>
      </c>
      <c r="P3069" t="s">
        <v>78</v>
      </c>
      <c r="Q3069" t="s">
        <v>50</v>
      </c>
      <c r="R3069" t="s">
        <v>305</v>
      </c>
      <c r="S3069" t="s">
        <v>306</v>
      </c>
      <c r="T3069" t="s">
        <v>307</v>
      </c>
      <c r="U3069" s="1">
        <v>46076.636446759258</v>
      </c>
      <c r="V3069" t="s">
        <v>54</v>
      </c>
      <c r="W3069" t="s">
        <v>55</v>
      </c>
      <c r="X3069" t="s">
        <v>211</v>
      </c>
      <c r="Y3069" t="s">
        <v>12038</v>
      </c>
      <c r="Z3069" t="s">
        <v>58</v>
      </c>
      <c r="AA3069" t="s">
        <v>54</v>
      </c>
      <c r="AB3069" t="s">
        <v>213</v>
      </c>
      <c r="AC3069" t="s">
        <v>85</v>
      </c>
      <c r="AD3069" t="s">
        <v>79</v>
      </c>
      <c r="AE3069" t="s">
        <v>642</v>
      </c>
      <c r="AF3069" t="s">
        <v>7121</v>
      </c>
      <c r="AG3069" t="s">
        <v>58</v>
      </c>
      <c r="AH3069">
        <v>15908</v>
      </c>
      <c r="AI3069" t="s">
        <v>11351</v>
      </c>
      <c r="AJ3069">
        <v>191679</v>
      </c>
      <c r="AK3069">
        <v>11</v>
      </c>
      <c r="AL3069" t="s">
        <v>61</v>
      </c>
      <c r="AM3069" t="s">
        <v>4394</v>
      </c>
      <c r="AN3069" t="s">
        <v>4395</v>
      </c>
    </row>
    <row r="3070" spans="1:40" x14ac:dyDescent="0.35">
      <c r="A3070" t="s">
        <v>37</v>
      </c>
      <c r="B3070" t="s">
        <v>12039</v>
      </c>
      <c r="C3070" t="s">
        <v>39</v>
      </c>
      <c r="D3070" t="s">
        <v>10387</v>
      </c>
      <c r="E3070" t="s">
        <v>10388</v>
      </c>
      <c r="F3070" s="1">
        <v>46063.628310185188</v>
      </c>
      <c r="G3070" t="s">
        <v>42</v>
      </c>
      <c r="H3070" t="s">
        <v>43</v>
      </c>
      <c r="I3070" t="s">
        <v>1446</v>
      </c>
      <c r="J3070" t="s">
        <v>724</v>
      </c>
      <c r="K3070" t="s">
        <v>75</v>
      </c>
      <c r="M3070" t="s">
        <v>131</v>
      </c>
      <c r="O3070" t="s">
        <v>77</v>
      </c>
      <c r="P3070" t="s">
        <v>78</v>
      </c>
      <c r="Q3070" t="s">
        <v>50</v>
      </c>
      <c r="R3070" t="s">
        <v>305</v>
      </c>
      <c r="S3070" t="s">
        <v>306</v>
      </c>
      <c r="T3070" t="s">
        <v>307</v>
      </c>
      <c r="U3070" s="1">
        <v>46076.323298611111</v>
      </c>
      <c r="V3070" t="s">
        <v>54</v>
      </c>
      <c r="W3070" t="s">
        <v>55</v>
      </c>
      <c r="X3070" t="s">
        <v>211</v>
      </c>
      <c r="Y3070" t="s">
        <v>11740</v>
      </c>
      <c r="Z3070" t="s">
        <v>58</v>
      </c>
      <c r="AA3070" t="s">
        <v>54</v>
      </c>
      <c r="AB3070" t="s">
        <v>213</v>
      </c>
      <c r="AC3070" t="s">
        <v>85</v>
      </c>
      <c r="AD3070" t="s">
        <v>4822</v>
      </c>
      <c r="AE3070" t="s">
        <v>11741</v>
      </c>
      <c r="AF3070" t="s">
        <v>11742</v>
      </c>
      <c r="AG3070" t="s">
        <v>58</v>
      </c>
      <c r="AH3070" t="s">
        <v>10390</v>
      </c>
      <c r="AK3070">
        <v>1</v>
      </c>
      <c r="AL3070" t="s">
        <v>61</v>
      </c>
      <c r="AM3070" t="s">
        <v>10391</v>
      </c>
      <c r="AN3070" t="s">
        <v>10392</v>
      </c>
    </row>
    <row r="3071" spans="1:40" x14ac:dyDescent="0.35">
      <c r="A3071" t="s">
        <v>37</v>
      </c>
      <c r="B3071" t="s">
        <v>12040</v>
      </c>
      <c r="C3071" t="s">
        <v>39</v>
      </c>
      <c r="D3071" t="s">
        <v>4265</v>
      </c>
      <c r="E3071" t="s">
        <v>4266</v>
      </c>
      <c r="F3071" s="1">
        <v>46063.577141203707</v>
      </c>
      <c r="G3071" t="s">
        <v>1363</v>
      </c>
      <c r="H3071" t="s">
        <v>106</v>
      </c>
      <c r="I3071" t="s">
        <v>7121</v>
      </c>
      <c r="J3071" t="s">
        <v>950</v>
      </c>
      <c r="K3071" t="s">
        <v>951</v>
      </c>
      <c r="M3071" t="s">
        <v>47</v>
      </c>
      <c r="O3071" t="s">
        <v>77</v>
      </c>
      <c r="P3071" t="s">
        <v>78</v>
      </c>
      <c r="Q3071" t="s">
        <v>50</v>
      </c>
      <c r="R3071" t="s">
        <v>305</v>
      </c>
      <c r="S3071" t="s">
        <v>306</v>
      </c>
      <c r="T3071" t="s">
        <v>307</v>
      </c>
      <c r="U3071" s="1">
        <v>46072.427719907406</v>
      </c>
      <c r="V3071" t="s">
        <v>54</v>
      </c>
      <c r="W3071" t="s">
        <v>55</v>
      </c>
      <c r="X3071" t="s">
        <v>211</v>
      </c>
      <c r="Y3071" t="e">
        <f>- the Keyboard has been delivered to the user.</f>
        <v>#NAME?</v>
      </c>
      <c r="Z3071" t="s">
        <v>5594</v>
      </c>
      <c r="AA3071" t="s">
        <v>54</v>
      </c>
      <c r="AB3071" t="s">
        <v>213</v>
      </c>
      <c r="AC3071" t="s">
        <v>85</v>
      </c>
      <c r="AD3071" t="s">
        <v>79</v>
      </c>
      <c r="AE3071" t="s">
        <v>642</v>
      </c>
      <c r="AF3071" t="s">
        <v>7121</v>
      </c>
      <c r="AG3071" t="s">
        <v>5594</v>
      </c>
      <c r="AH3071">
        <v>15972</v>
      </c>
      <c r="AI3071" t="s">
        <v>11351</v>
      </c>
      <c r="AJ3071">
        <v>191581</v>
      </c>
      <c r="AK3071">
        <v>12</v>
      </c>
      <c r="AL3071" t="s">
        <v>61</v>
      </c>
      <c r="AM3071" t="s">
        <v>4268</v>
      </c>
      <c r="AN3071" t="s">
        <v>4269</v>
      </c>
    </row>
    <row r="3072" spans="1:40" x14ac:dyDescent="0.35">
      <c r="A3072" t="s">
        <v>37</v>
      </c>
      <c r="B3072" t="s">
        <v>12041</v>
      </c>
      <c r="C3072" t="s">
        <v>39</v>
      </c>
      <c r="D3072" t="s">
        <v>1407</v>
      </c>
      <c r="E3072" t="s">
        <v>303</v>
      </c>
      <c r="F3072" s="1">
        <v>46063.568356481483</v>
      </c>
      <c r="G3072" t="s">
        <v>487</v>
      </c>
      <c r="H3072" t="s">
        <v>447</v>
      </c>
      <c r="I3072" t="s">
        <v>1446</v>
      </c>
      <c r="J3072" t="s">
        <v>5027</v>
      </c>
      <c r="K3072" t="s">
        <v>951</v>
      </c>
      <c r="M3072" t="s">
        <v>76</v>
      </c>
      <c r="O3072" t="s">
        <v>77</v>
      </c>
      <c r="P3072" t="s">
        <v>78</v>
      </c>
      <c r="Q3072" t="s">
        <v>1141</v>
      </c>
      <c r="R3072" t="s">
        <v>79</v>
      </c>
      <c r="S3072" t="s">
        <v>1016</v>
      </c>
      <c r="T3072" t="s">
        <v>2760</v>
      </c>
      <c r="U3072" s="1">
        <v>46076.401932870373</v>
      </c>
      <c r="V3072" t="s">
        <v>54</v>
      </c>
      <c r="W3072" t="s">
        <v>55</v>
      </c>
      <c r="X3072" t="s">
        <v>211</v>
      </c>
      <c r="Y3072" t="s">
        <v>12042</v>
      </c>
      <c r="Z3072" t="s">
        <v>58</v>
      </c>
      <c r="AA3072" t="s">
        <v>54</v>
      </c>
      <c r="AB3072" t="s">
        <v>213</v>
      </c>
      <c r="AC3072" t="s">
        <v>85</v>
      </c>
      <c r="AD3072" t="s">
        <v>79</v>
      </c>
      <c r="AE3072" t="s">
        <v>1016</v>
      </c>
      <c r="AF3072" t="s">
        <v>1266</v>
      </c>
      <c r="AG3072" t="s">
        <v>58</v>
      </c>
      <c r="AH3072">
        <v>7592</v>
      </c>
      <c r="AK3072">
        <v>14</v>
      </c>
      <c r="AL3072" t="s">
        <v>61</v>
      </c>
      <c r="AM3072" t="s">
        <v>12043</v>
      </c>
      <c r="AN3072" t="s">
        <v>12044</v>
      </c>
    </row>
    <row r="3073" spans="1:40" x14ac:dyDescent="0.35">
      <c r="A3073" t="s">
        <v>37</v>
      </c>
      <c r="B3073" t="s">
        <v>12045</v>
      </c>
      <c r="C3073" t="s">
        <v>102</v>
      </c>
      <c r="D3073" t="s">
        <v>4311</v>
      </c>
      <c r="E3073" t="s">
        <v>12046</v>
      </c>
      <c r="F3073" s="1">
        <v>46063.563333333332</v>
      </c>
      <c r="G3073" t="s">
        <v>793</v>
      </c>
      <c r="H3073" t="s">
        <v>356</v>
      </c>
      <c r="I3073" t="s">
        <v>12047</v>
      </c>
      <c r="J3073" t="s">
        <v>1337</v>
      </c>
      <c r="K3073" t="s">
        <v>951</v>
      </c>
      <c r="M3073" t="s">
        <v>47</v>
      </c>
      <c r="O3073" t="s">
        <v>237</v>
      </c>
      <c r="P3073" t="s">
        <v>238</v>
      </c>
      <c r="Q3073" t="s">
        <v>50</v>
      </c>
      <c r="R3073" t="s">
        <v>79</v>
      </c>
      <c r="S3073" t="s">
        <v>955</v>
      </c>
      <c r="T3073" t="s">
        <v>1500</v>
      </c>
      <c r="U3073" s="1">
        <v>46072.536712962959</v>
      </c>
      <c r="V3073" t="s">
        <v>54</v>
      </c>
      <c r="W3073" t="s">
        <v>55</v>
      </c>
      <c r="X3073" t="s">
        <v>82</v>
      </c>
      <c r="Y3073" t="s">
        <v>12048</v>
      </c>
      <c r="Z3073" t="s">
        <v>5594</v>
      </c>
      <c r="AA3073" t="s">
        <v>54</v>
      </c>
      <c r="AB3073" t="s">
        <v>727</v>
      </c>
      <c r="AC3073" t="s">
        <v>242</v>
      </c>
      <c r="AD3073" t="s">
        <v>79</v>
      </c>
      <c r="AE3073" t="s">
        <v>955</v>
      </c>
      <c r="AF3073" t="s">
        <v>2460</v>
      </c>
      <c r="AG3073" t="s">
        <v>5594</v>
      </c>
      <c r="AH3073">
        <v>14511</v>
      </c>
      <c r="AK3073">
        <v>13</v>
      </c>
      <c r="AL3073" t="s">
        <v>61</v>
      </c>
      <c r="AM3073" t="s">
        <v>12049</v>
      </c>
      <c r="AN3073" t="s">
        <v>12050</v>
      </c>
    </row>
    <row r="3074" spans="1:40" x14ac:dyDescent="0.35">
      <c r="A3074" t="s">
        <v>37</v>
      </c>
      <c r="B3074" t="s">
        <v>12051</v>
      </c>
      <c r="C3074" t="s">
        <v>39</v>
      </c>
      <c r="D3074" t="s">
        <v>513</v>
      </c>
      <c r="E3074" t="s">
        <v>325</v>
      </c>
      <c r="F3074" s="1">
        <v>46063.52542824074</v>
      </c>
      <c r="G3074" t="s">
        <v>42</v>
      </c>
      <c r="H3074" t="s">
        <v>43</v>
      </c>
      <c r="I3074" t="s">
        <v>12052</v>
      </c>
      <c r="J3074" t="s">
        <v>404</v>
      </c>
      <c r="K3074" t="s">
        <v>405</v>
      </c>
      <c r="M3074" t="s">
        <v>47</v>
      </c>
      <c r="O3074" t="s">
        <v>77</v>
      </c>
      <c r="P3074" t="s">
        <v>78</v>
      </c>
      <c r="Q3074" t="s">
        <v>50</v>
      </c>
      <c r="R3074" t="s">
        <v>51</v>
      </c>
      <c r="S3074" t="s">
        <v>52</v>
      </c>
      <c r="T3074" t="s">
        <v>240</v>
      </c>
      <c r="U3074" s="1">
        <v>46072.406597222223</v>
      </c>
      <c r="V3074" t="s">
        <v>54</v>
      </c>
      <c r="W3074" t="s">
        <v>55</v>
      </c>
      <c r="X3074" t="s">
        <v>134</v>
      </c>
      <c r="Y3074" t="s">
        <v>12053</v>
      </c>
      <c r="Z3074" t="s">
        <v>5594</v>
      </c>
      <c r="AA3074" t="s">
        <v>54</v>
      </c>
      <c r="AB3074" t="s">
        <v>612</v>
      </c>
      <c r="AC3074" t="s">
        <v>85</v>
      </c>
      <c r="AD3074" t="s">
        <v>52</v>
      </c>
      <c r="AE3074" t="s">
        <v>243</v>
      </c>
      <c r="AF3074" t="s">
        <v>244</v>
      </c>
      <c r="AG3074" t="s">
        <v>5594</v>
      </c>
      <c r="AH3074" t="s">
        <v>12054</v>
      </c>
      <c r="AK3074">
        <v>1</v>
      </c>
      <c r="AL3074" t="s">
        <v>61</v>
      </c>
      <c r="AM3074" t="s">
        <v>12055</v>
      </c>
      <c r="AN3074" t="s">
        <v>12056</v>
      </c>
    </row>
    <row r="3075" spans="1:40" x14ac:dyDescent="0.35">
      <c r="A3075" t="s">
        <v>37</v>
      </c>
      <c r="B3075" t="s">
        <v>12057</v>
      </c>
      <c r="C3075" t="s">
        <v>39</v>
      </c>
      <c r="D3075" t="s">
        <v>7486</v>
      </c>
      <c r="E3075" t="s">
        <v>9932</v>
      </c>
      <c r="F3075" s="1">
        <v>46063.524062500001</v>
      </c>
      <c r="G3075" t="s">
        <v>771</v>
      </c>
      <c r="H3075" t="s">
        <v>92</v>
      </c>
      <c r="I3075" t="s">
        <v>205</v>
      </c>
      <c r="J3075" t="s">
        <v>206</v>
      </c>
      <c r="K3075" t="s">
        <v>207</v>
      </c>
      <c r="M3075" t="s">
        <v>131</v>
      </c>
      <c r="O3075" t="s">
        <v>77</v>
      </c>
      <c r="P3075" t="s">
        <v>78</v>
      </c>
      <c r="Q3075" t="s">
        <v>50</v>
      </c>
      <c r="R3075" t="s">
        <v>305</v>
      </c>
      <c r="S3075" t="s">
        <v>306</v>
      </c>
      <c r="T3075" t="s">
        <v>307</v>
      </c>
      <c r="U3075" s="1">
        <v>46077.614108796297</v>
      </c>
      <c r="V3075" t="s">
        <v>54</v>
      </c>
      <c r="W3075" t="s">
        <v>55</v>
      </c>
      <c r="X3075" t="s">
        <v>211</v>
      </c>
      <c r="Y3075" t="s">
        <v>12058</v>
      </c>
      <c r="Z3075" t="s">
        <v>58</v>
      </c>
      <c r="AA3075" t="s">
        <v>54</v>
      </c>
      <c r="AB3075" t="s">
        <v>213</v>
      </c>
      <c r="AC3075" t="s">
        <v>85</v>
      </c>
      <c r="AD3075" t="s">
        <v>214</v>
      </c>
      <c r="AE3075" t="s">
        <v>215</v>
      </c>
      <c r="AF3075" t="s">
        <v>2083</v>
      </c>
      <c r="AG3075" t="s">
        <v>58</v>
      </c>
      <c r="AH3075" t="s">
        <v>9934</v>
      </c>
      <c r="AK3075">
        <v>5</v>
      </c>
      <c r="AL3075" t="s">
        <v>61</v>
      </c>
      <c r="AM3075" t="s">
        <v>9935</v>
      </c>
      <c r="AN3075" t="s">
        <v>9936</v>
      </c>
    </row>
    <row r="3076" spans="1:40" x14ac:dyDescent="0.35">
      <c r="A3076" t="s">
        <v>37</v>
      </c>
      <c r="B3076" t="s">
        <v>12059</v>
      </c>
      <c r="C3076" t="s">
        <v>39</v>
      </c>
      <c r="D3076" t="s">
        <v>12060</v>
      </c>
      <c r="E3076" t="s">
        <v>12061</v>
      </c>
      <c r="F3076" s="1">
        <v>46063.521435185183</v>
      </c>
      <c r="G3076" t="s">
        <v>327</v>
      </c>
      <c r="H3076" t="s">
        <v>72</v>
      </c>
      <c r="I3076" t="s">
        <v>1185</v>
      </c>
      <c r="J3076" t="s">
        <v>2333</v>
      </c>
      <c r="K3076" t="s">
        <v>1187</v>
      </c>
      <c r="M3076" t="s">
        <v>47</v>
      </c>
      <c r="O3076" t="s">
        <v>77</v>
      </c>
      <c r="P3076" t="s">
        <v>78</v>
      </c>
      <c r="R3076" t="s">
        <v>305</v>
      </c>
      <c r="S3076" t="s">
        <v>306</v>
      </c>
      <c r="T3076" t="s">
        <v>307</v>
      </c>
      <c r="U3076" s="1">
        <v>46073.446701388886</v>
      </c>
      <c r="V3076" t="s">
        <v>54</v>
      </c>
      <c r="W3076" t="s">
        <v>55</v>
      </c>
      <c r="X3076" t="s">
        <v>211</v>
      </c>
      <c r="Y3076" t="s">
        <v>12062</v>
      </c>
      <c r="Z3076" t="s">
        <v>5594</v>
      </c>
      <c r="AA3076" t="s">
        <v>54</v>
      </c>
      <c r="AB3076" t="s">
        <v>213</v>
      </c>
      <c r="AC3076" t="s">
        <v>85</v>
      </c>
      <c r="AD3076" t="s">
        <v>1189</v>
      </c>
      <c r="AE3076" t="s">
        <v>1190</v>
      </c>
      <c r="AF3076" t="s">
        <v>1191</v>
      </c>
      <c r="AG3076" t="s">
        <v>5594</v>
      </c>
      <c r="AH3076">
        <v>15025</v>
      </c>
      <c r="AK3076">
        <v>5</v>
      </c>
      <c r="AL3076" t="s">
        <v>61</v>
      </c>
      <c r="AM3076" t="s">
        <v>12063</v>
      </c>
      <c r="AN3076" t="s">
        <v>12064</v>
      </c>
    </row>
    <row r="3077" spans="1:40" x14ac:dyDescent="0.35">
      <c r="A3077" t="s">
        <v>37</v>
      </c>
      <c r="B3077" t="s">
        <v>12065</v>
      </c>
      <c r="C3077" t="s">
        <v>39</v>
      </c>
      <c r="D3077" t="s">
        <v>1146</v>
      </c>
      <c r="E3077" t="s">
        <v>12066</v>
      </c>
      <c r="F3077" s="1">
        <v>46063.479120370372</v>
      </c>
      <c r="G3077" t="s">
        <v>355</v>
      </c>
      <c r="H3077" t="s">
        <v>356</v>
      </c>
      <c r="I3077" t="s">
        <v>12067</v>
      </c>
      <c r="J3077" t="s">
        <v>1337</v>
      </c>
      <c r="K3077" t="s">
        <v>951</v>
      </c>
      <c r="M3077" t="s">
        <v>47</v>
      </c>
      <c r="O3077" t="s">
        <v>77</v>
      </c>
      <c r="P3077" t="s">
        <v>78</v>
      </c>
      <c r="Q3077" t="s">
        <v>3465</v>
      </c>
      <c r="R3077" t="s">
        <v>79</v>
      </c>
      <c r="S3077" t="s">
        <v>4245</v>
      </c>
      <c r="T3077" t="s">
        <v>2746</v>
      </c>
      <c r="U3077" s="1">
        <v>46073.400358796294</v>
      </c>
      <c r="V3077" t="s">
        <v>54</v>
      </c>
      <c r="W3077" t="s">
        <v>55</v>
      </c>
      <c r="X3077" t="s">
        <v>134</v>
      </c>
      <c r="Y3077" t="s">
        <v>12068</v>
      </c>
      <c r="Z3077" t="s">
        <v>5594</v>
      </c>
      <c r="AA3077" t="s">
        <v>54</v>
      </c>
      <c r="AB3077" t="s">
        <v>408</v>
      </c>
      <c r="AC3077" t="s">
        <v>85</v>
      </c>
      <c r="AD3077" t="s">
        <v>79</v>
      </c>
      <c r="AE3077" t="s">
        <v>4245</v>
      </c>
      <c r="AF3077" t="s">
        <v>2746</v>
      </c>
      <c r="AG3077" t="s">
        <v>5594</v>
      </c>
      <c r="AH3077">
        <v>6259</v>
      </c>
      <c r="AJ3077" t="s">
        <v>12069</v>
      </c>
      <c r="AK3077">
        <v>6</v>
      </c>
      <c r="AL3077" t="s">
        <v>61</v>
      </c>
      <c r="AM3077" t="s">
        <v>12070</v>
      </c>
      <c r="AN3077" t="s">
        <v>12071</v>
      </c>
    </row>
    <row r="3078" spans="1:40" x14ac:dyDescent="0.35">
      <c r="A3078" t="s">
        <v>37</v>
      </c>
      <c r="B3078" t="s">
        <v>12072</v>
      </c>
      <c r="C3078" t="s">
        <v>39</v>
      </c>
      <c r="D3078" t="s">
        <v>1982</v>
      </c>
      <c r="E3078" t="s">
        <v>4147</v>
      </c>
      <c r="F3078" s="1">
        <v>46063.420474537037</v>
      </c>
      <c r="G3078" t="s">
        <v>304</v>
      </c>
      <c r="H3078" t="s">
        <v>106</v>
      </c>
      <c r="I3078" t="s">
        <v>12073</v>
      </c>
      <c r="J3078" t="s">
        <v>11972</v>
      </c>
      <c r="K3078" t="s">
        <v>1627</v>
      </c>
      <c r="M3078" t="s">
        <v>76</v>
      </c>
      <c r="O3078" t="s">
        <v>48</v>
      </c>
      <c r="P3078" t="s">
        <v>49</v>
      </c>
      <c r="R3078" t="s">
        <v>79</v>
      </c>
      <c r="S3078" t="s">
        <v>642</v>
      </c>
      <c r="T3078" t="s">
        <v>643</v>
      </c>
      <c r="U3078" s="1">
        <v>46076.990370370368</v>
      </c>
      <c r="V3078" t="s">
        <v>54</v>
      </c>
      <c r="W3078" t="s">
        <v>55</v>
      </c>
      <c r="X3078" t="s">
        <v>82</v>
      </c>
      <c r="Y3078" t="s">
        <v>11973</v>
      </c>
      <c r="Z3078" t="s">
        <v>58</v>
      </c>
      <c r="AA3078" t="s">
        <v>54</v>
      </c>
      <c r="AB3078" t="s">
        <v>645</v>
      </c>
      <c r="AC3078" t="s">
        <v>60</v>
      </c>
      <c r="AD3078" t="s">
        <v>79</v>
      </c>
      <c r="AE3078" t="s">
        <v>952</v>
      </c>
      <c r="AF3078" t="s">
        <v>1630</v>
      </c>
      <c r="AG3078" t="s">
        <v>58</v>
      </c>
      <c r="AH3078">
        <v>9922</v>
      </c>
      <c r="AK3078">
        <v>13</v>
      </c>
      <c r="AL3078" t="s">
        <v>410</v>
      </c>
      <c r="AM3078" t="s">
        <v>12074</v>
      </c>
      <c r="AN3078" t="s">
        <v>12075</v>
      </c>
    </row>
    <row r="3079" spans="1:40" x14ac:dyDescent="0.35">
      <c r="A3079" t="s">
        <v>37</v>
      </c>
      <c r="B3079" t="s">
        <v>12076</v>
      </c>
      <c r="C3079" t="s">
        <v>39</v>
      </c>
      <c r="D3079" t="s">
        <v>391</v>
      </c>
      <c r="E3079" t="s">
        <v>147</v>
      </c>
      <c r="F3079" s="1">
        <v>46063.401770833334</v>
      </c>
      <c r="G3079" t="s">
        <v>204</v>
      </c>
      <c r="H3079" t="s">
        <v>92</v>
      </c>
      <c r="I3079" t="s">
        <v>1185</v>
      </c>
      <c r="J3079" t="s">
        <v>2333</v>
      </c>
      <c r="K3079" t="s">
        <v>1187</v>
      </c>
      <c r="M3079" t="s">
        <v>47</v>
      </c>
      <c r="O3079" t="s">
        <v>77</v>
      </c>
      <c r="P3079" t="s">
        <v>78</v>
      </c>
      <c r="Q3079" t="s">
        <v>2054</v>
      </c>
      <c r="R3079" t="s">
        <v>305</v>
      </c>
      <c r="S3079" t="s">
        <v>306</v>
      </c>
      <c r="T3079" t="s">
        <v>307</v>
      </c>
      <c r="U3079" s="1">
        <v>46072.351180555554</v>
      </c>
      <c r="V3079" t="s">
        <v>54</v>
      </c>
      <c r="W3079" t="s">
        <v>55</v>
      </c>
      <c r="X3079" t="s">
        <v>211</v>
      </c>
      <c r="Y3079" t="s">
        <v>12077</v>
      </c>
      <c r="Z3079" t="s">
        <v>5594</v>
      </c>
      <c r="AA3079" t="s">
        <v>54</v>
      </c>
      <c r="AB3079" t="s">
        <v>213</v>
      </c>
      <c r="AC3079" t="s">
        <v>85</v>
      </c>
      <c r="AD3079" t="s">
        <v>1189</v>
      </c>
      <c r="AE3079" t="s">
        <v>1190</v>
      </c>
      <c r="AF3079" t="s">
        <v>1191</v>
      </c>
      <c r="AG3079" t="s">
        <v>5594</v>
      </c>
      <c r="AH3079">
        <v>2850</v>
      </c>
      <c r="AK3079">
        <v>7</v>
      </c>
      <c r="AL3079" t="s">
        <v>61</v>
      </c>
      <c r="AM3079" t="s">
        <v>3933</v>
      </c>
      <c r="AN3079" t="s">
        <v>3934</v>
      </c>
    </row>
    <row r="3080" spans="1:40" x14ac:dyDescent="0.35">
      <c r="A3080" t="s">
        <v>37</v>
      </c>
      <c r="B3080" t="s">
        <v>12078</v>
      </c>
      <c r="C3080" t="s">
        <v>39</v>
      </c>
      <c r="D3080" t="s">
        <v>747</v>
      </c>
      <c r="E3080" t="s">
        <v>12079</v>
      </c>
      <c r="F3080" s="1">
        <v>46063.391168981485</v>
      </c>
      <c r="G3080" t="s">
        <v>540</v>
      </c>
      <c r="H3080" t="s">
        <v>447</v>
      </c>
      <c r="I3080" t="s">
        <v>12080</v>
      </c>
      <c r="J3080" t="s">
        <v>12081</v>
      </c>
      <c r="K3080" t="s">
        <v>12082</v>
      </c>
      <c r="M3080" t="s">
        <v>11317</v>
      </c>
      <c r="O3080" t="s">
        <v>77</v>
      </c>
      <c r="P3080" t="s">
        <v>78</v>
      </c>
      <c r="Q3080" t="s">
        <v>50</v>
      </c>
      <c r="R3080" t="s">
        <v>51</v>
      </c>
      <c r="S3080" t="s">
        <v>52</v>
      </c>
      <c r="T3080" t="s">
        <v>773</v>
      </c>
      <c r="U3080" s="1">
        <v>46078.441446759258</v>
      </c>
      <c r="V3080" t="s">
        <v>54</v>
      </c>
      <c r="W3080" t="s">
        <v>55</v>
      </c>
      <c r="X3080" t="s">
        <v>56</v>
      </c>
      <c r="Y3080" t="s">
        <v>12083</v>
      </c>
      <c r="Z3080" t="s">
        <v>58</v>
      </c>
      <c r="AA3080" t="s">
        <v>54</v>
      </c>
      <c r="AB3080" t="s">
        <v>12084</v>
      </c>
      <c r="AC3080" t="s">
        <v>85</v>
      </c>
      <c r="AD3080" t="s">
        <v>52</v>
      </c>
      <c r="AE3080" t="s">
        <v>438</v>
      </c>
      <c r="AF3080" t="s">
        <v>2204</v>
      </c>
      <c r="AG3080" t="s">
        <v>58</v>
      </c>
      <c r="AH3080" t="s">
        <v>12085</v>
      </c>
      <c r="AK3080">
        <v>0</v>
      </c>
      <c r="AL3080" t="s">
        <v>61</v>
      </c>
      <c r="AM3080" t="s">
        <v>12086</v>
      </c>
      <c r="AN3080" t="s">
        <v>12087</v>
      </c>
    </row>
    <row r="3081" spans="1:40" x14ac:dyDescent="0.35">
      <c r="A3081" t="s">
        <v>37</v>
      </c>
      <c r="B3081" t="s">
        <v>12088</v>
      </c>
      <c r="C3081" t="s">
        <v>39</v>
      </c>
      <c r="D3081" t="s">
        <v>12089</v>
      </c>
      <c r="E3081" t="s">
        <v>12090</v>
      </c>
      <c r="F3081" s="1">
        <v>46063.368159722224</v>
      </c>
      <c r="G3081" t="s">
        <v>1217</v>
      </c>
      <c r="H3081" t="s">
        <v>92</v>
      </c>
      <c r="I3081" t="s">
        <v>12091</v>
      </c>
      <c r="J3081" t="s">
        <v>4070</v>
      </c>
      <c r="K3081" t="s">
        <v>951</v>
      </c>
      <c r="M3081" t="s">
        <v>47</v>
      </c>
      <c r="O3081" t="s">
        <v>77</v>
      </c>
      <c r="P3081" t="s">
        <v>78</v>
      </c>
      <c r="Q3081" t="s">
        <v>2591</v>
      </c>
      <c r="R3081" t="s">
        <v>305</v>
      </c>
      <c r="S3081" t="s">
        <v>306</v>
      </c>
      <c r="T3081" t="s">
        <v>307</v>
      </c>
      <c r="U3081" s="1">
        <v>46073.474189814813</v>
      </c>
      <c r="V3081" t="s">
        <v>54</v>
      </c>
      <c r="W3081" t="s">
        <v>55</v>
      </c>
      <c r="X3081" t="s">
        <v>211</v>
      </c>
      <c r="Y3081" t="e">
        <f>- the new Wireless Mouse has been provided.</f>
        <v>#NAME?</v>
      </c>
      <c r="Z3081" t="s">
        <v>5594</v>
      </c>
      <c r="AA3081" t="s">
        <v>54</v>
      </c>
      <c r="AB3081" t="s">
        <v>213</v>
      </c>
      <c r="AC3081" t="s">
        <v>85</v>
      </c>
      <c r="AD3081" t="s">
        <v>79</v>
      </c>
      <c r="AE3081" t="s">
        <v>642</v>
      </c>
      <c r="AF3081" t="s">
        <v>9297</v>
      </c>
      <c r="AG3081" t="s">
        <v>5594</v>
      </c>
      <c r="AH3081">
        <v>1328</v>
      </c>
      <c r="AI3081" t="s">
        <v>12092</v>
      </c>
      <c r="AJ3081">
        <v>191683</v>
      </c>
      <c r="AK3081">
        <v>11</v>
      </c>
      <c r="AL3081" t="s">
        <v>410</v>
      </c>
      <c r="AM3081" t="s">
        <v>12093</v>
      </c>
      <c r="AN3081" t="s">
        <v>12094</v>
      </c>
    </row>
    <row r="3082" spans="1:40" x14ac:dyDescent="0.35">
      <c r="A3082" t="s">
        <v>37</v>
      </c>
      <c r="B3082" t="s">
        <v>12095</v>
      </c>
      <c r="C3082" t="s">
        <v>39</v>
      </c>
      <c r="D3082" t="s">
        <v>12096</v>
      </c>
      <c r="E3082" t="s">
        <v>12097</v>
      </c>
      <c r="F3082" s="1">
        <v>46063.114502314813</v>
      </c>
      <c r="G3082" t="s">
        <v>304</v>
      </c>
      <c r="H3082" t="s">
        <v>106</v>
      </c>
      <c r="I3082" t="s">
        <v>12098</v>
      </c>
      <c r="J3082" t="s">
        <v>3829</v>
      </c>
      <c r="K3082" t="s">
        <v>951</v>
      </c>
      <c r="M3082" t="s">
        <v>47</v>
      </c>
      <c r="O3082" t="s">
        <v>77</v>
      </c>
      <c r="P3082" t="s">
        <v>78</v>
      </c>
      <c r="Q3082" t="s">
        <v>50</v>
      </c>
      <c r="R3082" t="s">
        <v>79</v>
      </c>
      <c r="S3082" t="s">
        <v>1556</v>
      </c>
      <c r="T3082" t="s">
        <v>1557</v>
      </c>
      <c r="U3082" s="1">
        <v>46073.403946759259</v>
      </c>
      <c r="V3082" t="s">
        <v>54</v>
      </c>
      <c r="W3082" t="s">
        <v>55</v>
      </c>
      <c r="X3082" t="s">
        <v>134</v>
      </c>
      <c r="Y3082" t="s">
        <v>12099</v>
      </c>
      <c r="Z3082" t="s">
        <v>5594</v>
      </c>
      <c r="AA3082" t="s">
        <v>54</v>
      </c>
      <c r="AB3082" t="s">
        <v>84</v>
      </c>
      <c r="AC3082" t="s">
        <v>85</v>
      </c>
      <c r="AD3082" t="s">
        <v>79</v>
      </c>
      <c r="AE3082" t="s">
        <v>1556</v>
      </c>
      <c r="AF3082" t="s">
        <v>1557</v>
      </c>
      <c r="AG3082" t="s">
        <v>5594</v>
      </c>
      <c r="AH3082">
        <v>11730</v>
      </c>
      <c r="AK3082">
        <v>1</v>
      </c>
      <c r="AL3082" t="s">
        <v>61</v>
      </c>
      <c r="AM3082" t="s">
        <v>12100</v>
      </c>
      <c r="AN3082" t="s">
        <v>12101</v>
      </c>
    </row>
    <row r="3083" spans="1:40" x14ac:dyDescent="0.35">
      <c r="A3083" t="s">
        <v>37</v>
      </c>
      <c r="B3083" t="s">
        <v>12102</v>
      </c>
      <c r="C3083" t="s">
        <v>39</v>
      </c>
      <c r="D3083" t="s">
        <v>12103</v>
      </c>
      <c r="E3083" t="s">
        <v>12104</v>
      </c>
      <c r="F3083" s="1">
        <v>46063.106921296298</v>
      </c>
      <c r="G3083" t="s">
        <v>1249</v>
      </c>
      <c r="H3083" t="s">
        <v>233</v>
      </c>
      <c r="I3083" t="s">
        <v>11964</v>
      </c>
      <c r="J3083" t="s">
        <v>5027</v>
      </c>
      <c r="K3083" t="s">
        <v>951</v>
      </c>
      <c r="M3083" t="s">
        <v>76</v>
      </c>
      <c r="O3083" t="s">
        <v>77</v>
      </c>
      <c r="P3083" t="s">
        <v>78</v>
      </c>
      <c r="Q3083" t="s">
        <v>1088</v>
      </c>
      <c r="R3083" t="s">
        <v>79</v>
      </c>
      <c r="S3083" t="s">
        <v>2748</v>
      </c>
      <c r="T3083" t="s">
        <v>2746</v>
      </c>
      <c r="U3083" s="1">
        <v>46076.399837962963</v>
      </c>
      <c r="V3083" t="s">
        <v>54</v>
      </c>
      <c r="W3083" t="s">
        <v>55</v>
      </c>
      <c r="X3083" t="s">
        <v>134</v>
      </c>
      <c r="Y3083" t="s">
        <v>12105</v>
      </c>
      <c r="Z3083" t="s">
        <v>58</v>
      </c>
      <c r="AA3083" t="s">
        <v>54</v>
      </c>
      <c r="AB3083" t="s">
        <v>84</v>
      </c>
      <c r="AC3083" t="s">
        <v>85</v>
      </c>
      <c r="AD3083" t="s">
        <v>79</v>
      </c>
      <c r="AE3083" t="s">
        <v>10053</v>
      </c>
      <c r="AF3083" t="s">
        <v>10054</v>
      </c>
      <c r="AG3083" t="s">
        <v>58</v>
      </c>
      <c r="AH3083">
        <v>2608</v>
      </c>
      <c r="AJ3083" t="s">
        <v>12106</v>
      </c>
      <c r="AK3083">
        <v>7</v>
      </c>
      <c r="AL3083" t="s">
        <v>61</v>
      </c>
      <c r="AM3083" t="s">
        <v>12107</v>
      </c>
      <c r="AN3083" t="s">
        <v>12108</v>
      </c>
    </row>
    <row r="3084" spans="1:40" x14ac:dyDescent="0.35">
      <c r="A3084" t="s">
        <v>37</v>
      </c>
      <c r="B3084" t="s">
        <v>12109</v>
      </c>
      <c r="C3084" t="s">
        <v>39</v>
      </c>
      <c r="D3084" t="s">
        <v>2780</v>
      </c>
      <c r="E3084" t="s">
        <v>12110</v>
      </c>
      <c r="F3084" s="1">
        <v>46062.61922453704</v>
      </c>
      <c r="G3084" t="s">
        <v>250</v>
      </c>
      <c r="H3084" t="s">
        <v>106</v>
      </c>
      <c r="I3084" t="s">
        <v>12111</v>
      </c>
      <c r="J3084" t="s">
        <v>3829</v>
      </c>
      <c r="K3084" t="s">
        <v>951</v>
      </c>
      <c r="M3084" t="s">
        <v>76</v>
      </c>
      <c r="O3084" t="s">
        <v>77</v>
      </c>
      <c r="P3084" t="s">
        <v>78</v>
      </c>
      <c r="Q3084" t="s">
        <v>10382</v>
      </c>
      <c r="R3084" t="s">
        <v>305</v>
      </c>
      <c r="S3084" t="s">
        <v>306</v>
      </c>
      <c r="T3084" t="s">
        <v>307</v>
      </c>
      <c r="U3084" s="1">
        <v>46078.411192129628</v>
      </c>
      <c r="V3084" t="s">
        <v>54</v>
      </c>
      <c r="W3084" t="s">
        <v>55</v>
      </c>
      <c r="X3084" t="s">
        <v>211</v>
      </c>
      <c r="Y3084" t="s">
        <v>12112</v>
      </c>
      <c r="Z3084" t="s">
        <v>58</v>
      </c>
      <c r="AA3084" t="s">
        <v>54</v>
      </c>
      <c r="AB3084" t="s">
        <v>213</v>
      </c>
      <c r="AC3084" t="s">
        <v>85</v>
      </c>
      <c r="AD3084" t="s">
        <v>79</v>
      </c>
      <c r="AE3084" t="s">
        <v>2748</v>
      </c>
      <c r="AF3084" t="s">
        <v>2746</v>
      </c>
      <c r="AG3084" t="s">
        <v>58</v>
      </c>
      <c r="AH3084">
        <v>1055</v>
      </c>
      <c r="AJ3084">
        <v>191582</v>
      </c>
      <c r="AK3084">
        <v>10</v>
      </c>
      <c r="AL3084" t="s">
        <v>61</v>
      </c>
      <c r="AM3084" t="s">
        <v>12113</v>
      </c>
      <c r="AN3084" t="s">
        <v>12114</v>
      </c>
    </row>
    <row r="3085" spans="1:40" x14ac:dyDescent="0.35">
      <c r="A3085" t="s">
        <v>37</v>
      </c>
      <c r="B3085" t="s">
        <v>12115</v>
      </c>
      <c r="C3085" t="s">
        <v>39</v>
      </c>
      <c r="D3085" t="s">
        <v>248</v>
      </c>
      <c r="E3085" t="s">
        <v>3482</v>
      </c>
      <c r="F3085" s="1">
        <v>46062.611597222225</v>
      </c>
      <c r="G3085" t="s">
        <v>508</v>
      </c>
      <c r="H3085" t="s">
        <v>72</v>
      </c>
      <c r="I3085" t="s">
        <v>7121</v>
      </c>
      <c r="J3085" t="s">
        <v>950</v>
      </c>
      <c r="K3085" t="s">
        <v>951</v>
      </c>
      <c r="M3085" t="s">
        <v>47</v>
      </c>
      <c r="O3085" t="s">
        <v>77</v>
      </c>
      <c r="P3085" t="s">
        <v>78</v>
      </c>
      <c r="Q3085" t="s">
        <v>50</v>
      </c>
      <c r="R3085" t="s">
        <v>305</v>
      </c>
      <c r="S3085" t="s">
        <v>306</v>
      </c>
      <c r="T3085" t="s">
        <v>307</v>
      </c>
      <c r="U3085" s="1">
        <v>46072.427303240744</v>
      </c>
      <c r="V3085" t="s">
        <v>54</v>
      </c>
      <c r="W3085" t="s">
        <v>55</v>
      </c>
      <c r="X3085" t="s">
        <v>211</v>
      </c>
      <c r="Y3085" t="e">
        <f>- the Keyboard has been delivered to the user.</f>
        <v>#NAME?</v>
      </c>
      <c r="Z3085" t="s">
        <v>5594</v>
      </c>
      <c r="AA3085" t="s">
        <v>54</v>
      </c>
      <c r="AB3085" t="s">
        <v>213</v>
      </c>
      <c r="AC3085" t="s">
        <v>85</v>
      </c>
      <c r="AD3085" t="s">
        <v>79</v>
      </c>
      <c r="AE3085" t="s">
        <v>642</v>
      </c>
      <c r="AF3085" t="s">
        <v>7121</v>
      </c>
      <c r="AG3085" t="s">
        <v>5594</v>
      </c>
      <c r="AH3085">
        <v>15966</v>
      </c>
      <c r="AI3085" t="s">
        <v>11351</v>
      </c>
      <c r="AJ3085">
        <v>191580</v>
      </c>
      <c r="AK3085">
        <v>11</v>
      </c>
      <c r="AL3085" t="s">
        <v>61</v>
      </c>
      <c r="AM3085" t="s">
        <v>8619</v>
      </c>
      <c r="AN3085" t="s">
        <v>8620</v>
      </c>
    </row>
    <row r="3086" spans="1:40" x14ac:dyDescent="0.35">
      <c r="A3086" t="s">
        <v>37</v>
      </c>
      <c r="B3086" t="s">
        <v>12116</v>
      </c>
      <c r="C3086" t="s">
        <v>102</v>
      </c>
      <c r="D3086" t="s">
        <v>12117</v>
      </c>
      <c r="E3086" t="s">
        <v>12032</v>
      </c>
      <c r="F3086" s="1">
        <v>46062.562685185185</v>
      </c>
      <c r="G3086" t="s">
        <v>71</v>
      </c>
      <c r="H3086" t="s">
        <v>72</v>
      </c>
      <c r="I3086" t="s">
        <v>12118</v>
      </c>
      <c r="J3086" t="s">
        <v>695</v>
      </c>
      <c r="K3086" t="s">
        <v>75</v>
      </c>
      <c r="M3086" t="s">
        <v>47</v>
      </c>
      <c r="O3086" t="s">
        <v>237</v>
      </c>
      <c r="P3086" t="s">
        <v>238</v>
      </c>
      <c r="Q3086" t="s">
        <v>12119</v>
      </c>
      <c r="R3086" t="s">
        <v>305</v>
      </c>
      <c r="S3086" t="s">
        <v>306</v>
      </c>
      <c r="T3086" t="s">
        <v>307</v>
      </c>
      <c r="U3086" s="1">
        <v>46073.354571759257</v>
      </c>
      <c r="V3086" t="s">
        <v>54</v>
      </c>
      <c r="W3086" t="s">
        <v>55</v>
      </c>
      <c r="X3086" t="s">
        <v>211</v>
      </c>
      <c r="Y3086" t="s">
        <v>12120</v>
      </c>
      <c r="Z3086" t="s">
        <v>5594</v>
      </c>
      <c r="AA3086" t="s">
        <v>54</v>
      </c>
      <c r="AB3086" t="s">
        <v>213</v>
      </c>
      <c r="AC3086" t="s">
        <v>242</v>
      </c>
      <c r="AD3086" t="s">
        <v>79</v>
      </c>
      <c r="AE3086" t="s">
        <v>936</v>
      </c>
      <c r="AF3086" t="s">
        <v>9198</v>
      </c>
      <c r="AG3086" t="s">
        <v>5594</v>
      </c>
      <c r="AH3086">
        <v>3135</v>
      </c>
      <c r="AK3086">
        <v>10</v>
      </c>
      <c r="AL3086" t="s">
        <v>61</v>
      </c>
      <c r="AM3086" t="s">
        <v>12121</v>
      </c>
      <c r="AN3086" t="s">
        <v>12122</v>
      </c>
    </row>
    <row r="3087" spans="1:40" x14ac:dyDescent="0.35">
      <c r="A3087" t="s">
        <v>37</v>
      </c>
      <c r="B3087" t="s">
        <v>12123</v>
      </c>
      <c r="C3087" t="s">
        <v>39</v>
      </c>
      <c r="D3087" t="s">
        <v>12060</v>
      </c>
      <c r="E3087" t="s">
        <v>12061</v>
      </c>
      <c r="F3087" s="1">
        <v>46062.543310185189</v>
      </c>
      <c r="G3087" t="s">
        <v>327</v>
      </c>
      <c r="H3087" t="s">
        <v>72</v>
      </c>
      <c r="I3087" t="s">
        <v>12124</v>
      </c>
      <c r="J3087" t="s">
        <v>4244</v>
      </c>
      <c r="K3087" t="s">
        <v>951</v>
      </c>
      <c r="M3087" t="s">
        <v>131</v>
      </c>
      <c r="O3087" t="s">
        <v>77</v>
      </c>
      <c r="P3087" t="s">
        <v>78</v>
      </c>
      <c r="R3087" t="s">
        <v>79</v>
      </c>
      <c r="S3087" t="s">
        <v>10026</v>
      </c>
      <c r="T3087" t="s">
        <v>10027</v>
      </c>
      <c r="U3087" s="1">
        <v>46077.497453703705</v>
      </c>
      <c r="V3087" t="s">
        <v>54</v>
      </c>
      <c r="W3087" t="s">
        <v>55</v>
      </c>
      <c r="X3087" t="s">
        <v>134</v>
      </c>
      <c r="Y3087" t="s">
        <v>12125</v>
      </c>
      <c r="Z3087" t="s">
        <v>58</v>
      </c>
      <c r="AA3087" t="s">
        <v>54</v>
      </c>
      <c r="AB3087" t="s">
        <v>408</v>
      </c>
      <c r="AC3087" t="s">
        <v>85</v>
      </c>
      <c r="AD3087" t="s">
        <v>79</v>
      </c>
      <c r="AE3087" t="s">
        <v>10026</v>
      </c>
      <c r="AF3087" t="s">
        <v>10027</v>
      </c>
      <c r="AG3087" t="s">
        <v>58</v>
      </c>
      <c r="AH3087">
        <v>15025</v>
      </c>
      <c r="AK3087">
        <v>5</v>
      </c>
      <c r="AL3087" t="s">
        <v>61</v>
      </c>
      <c r="AM3087" t="s">
        <v>12063</v>
      </c>
      <c r="AN3087" t="s">
        <v>12064</v>
      </c>
    </row>
    <row r="3088" spans="1:40" x14ac:dyDescent="0.35">
      <c r="A3088" t="s">
        <v>37</v>
      </c>
      <c r="B3088" t="s">
        <v>12126</v>
      </c>
      <c r="C3088" t="s">
        <v>39</v>
      </c>
      <c r="D3088" t="s">
        <v>325</v>
      </c>
      <c r="E3088" t="s">
        <v>7714</v>
      </c>
      <c r="F3088" s="1">
        <v>46062.525752314818</v>
      </c>
      <c r="G3088" t="s">
        <v>771</v>
      </c>
      <c r="H3088" t="s">
        <v>92</v>
      </c>
      <c r="I3088" t="s">
        <v>12127</v>
      </c>
      <c r="J3088" t="s">
        <v>4070</v>
      </c>
      <c r="K3088" t="s">
        <v>951</v>
      </c>
      <c r="M3088" t="s">
        <v>76</v>
      </c>
      <c r="O3088" t="s">
        <v>48</v>
      </c>
      <c r="P3088" t="s">
        <v>49</v>
      </c>
      <c r="Q3088" t="s">
        <v>7715</v>
      </c>
      <c r="R3088" t="s">
        <v>79</v>
      </c>
      <c r="S3088" t="s">
        <v>10026</v>
      </c>
      <c r="T3088" t="s">
        <v>10027</v>
      </c>
      <c r="U3088" s="1">
        <v>46076.386180555557</v>
      </c>
      <c r="V3088" t="s">
        <v>1338</v>
      </c>
      <c r="W3088" t="s">
        <v>55</v>
      </c>
      <c r="X3088" t="s">
        <v>134</v>
      </c>
      <c r="Y3088" t="s">
        <v>12128</v>
      </c>
      <c r="Z3088" t="s">
        <v>58</v>
      </c>
      <c r="AA3088" t="s">
        <v>1338</v>
      </c>
      <c r="AB3088" t="s">
        <v>458</v>
      </c>
      <c r="AC3088" t="s">
        <v>60</v>
      </c>
      <c r="AD3088" t="s">
        <v>79</v>
      </c>
      <c r="AE3088" t="s">
        <v>11426</v>
      </c>
      <c r="AF3088" t="s">
        <v>12129</v>
      </c>
      <c r="AG3088" t="s">
        <v>58</v>
      </c>
      <c r="AH3088">
        <v>10030</v>
      </c>
      <c r="AK3088">
        <v>3</v>
      </c>
      <c r="AL3088" t="s">
        <v>410</v>
      </c>
      <c r="AM3088" t="s">
        <v>7716</v>
      </c>
      <c r="AN3088" t="s">
        <v>7717</v>
      </c>
    </row>
    <row r="3089" spans="1:40" x14ac:dyDescent="0.35">
      <c r="A3089" t="s">
        <v>37</v>
      </c>
      <c r="B3089" t="s">
        <v>12130</v>
      </c>
      <c r="C3089" t="s">
        <v>102</v>
      </c>
      <c r="D3089" t="s">
        <v>2268</v>
      </c>
      <c r="E3089" t="s">
        <v>12131</v>
      </c>
      <c r="F3089" s="1">
        <v>46062.512835648151</v>
      </c>
      <c r="G3089" t="s">
        <v>722</v>
      </c>
      <c r="H3089" t="s">
        <v>356</v>
      </c>
      <c r="I3089" t="s">
        <v>12132</v>
      </c>
      <c r="J3089" t="s">
        <v>1337</v>
      </c>
      <c r="K3089" t="s">
        <v>951</v>
      </c>
      <c r="M3089" t="s">
        <v>47</v>
      </c>
      <c r="O3089" t="s">
        <v>237</v>
      </c>
      <c r="P3089" t="s">
        <v>238</v>
      </c>
      <c r="Q3089" t="s">
        <v>50</v>
      </c>
      <c r="R3089" t="s">
        <v>305</v>
      </c>
      <c r="S3089" t="s">
        <v>306</v>
      </c>
      <c r="T3089" t="s">
        <v>307</v>
      </c>
      <c r="U3089" s="1">
        <v>46072.382152777776</v>
      </c>
      <c r="V3089" t="s">
        <v>54</v>
      </c>
      <c r="W3089" t="s">
        <v>55</v>
      </c>
      <c r="X3089" t="s">
        <v>211</v>
      </c>
      <c r="Y3089" t="s">
        <v>12133</v>
      </c>
      <c r="Z3089" t="s">
        <v>5594</v>
      </c>
      <c r="AA3089" t="s">
        <v>54</v>
      </c>
      <c r="AB3089" t="s">
        <v>213</v>
      </c>
      <c r="AC3089" t="s">
        <v>242</v>
      </c>
      <c r="AD3089" t="s">
        <v>79</v>
      </c>
      <c r="AE3089" t="s">
        <v>967</v>
      </c>
      <c r="AF3089" t="s">
        <v>1028</v>
      </c>
      <c r="AG3089" t="s">
        <v>5594</v>
      </c>
      <c r="AH3089">
        <v>15920</v>
      </c>
      <c r="AK3089">
        <v>2</v>
      </c>
      <c r="AL3089" t="s">
        <v>61</v>
      </c>
      <c r="AM3089" t="s">
        <v>12134</v>
      </c>
      <c r="AN3089" t="s">
        <v>12135</v>
      </c>
    </row>
    <row r="3090" spans="1:40" x14ac:dyDescent="0.35">
      <c r="A3090" t="s">
        <v>37</v>
      </c>
      <c r="B3090" t="s">
        <v>12136</v>
      </c>
      <c r="C3090" t="s">
        <v>39</v>
      </c>
      <c r="D3090" t="s">
        <v>3010</v>
      </c>
      <c r="E3090" t="s">
        <v>12137</v>
      </c>
      <c r="F3090" s="1">
        <v>46062.487557870372</v>
      </c>
      <c r="G3090" t="s">
        <v>688</v>
      </c>
      <c r="H3090" t="s">
        <v>106</v>
      </c>
      <c r="I3090" t="s">
        <v>10018</v>
      </c>
      <c r="J3090" t="s">
        <v>950</v>
      </c>
      <c r="K3090" t="s">
        <v>951</v>
      </c>
      <c r="M3090" t="s">
        <v>76</v>
      </c>
      <c r="O3090" t="s">
        <v>77</v>
      </c>
      <c r="P3090" t="s">
        <v>78</v>
      </c>
      <c r="Q3090" t="s">
        <v>50</v>
      </c>
      <c r="R3090" t="s">
        <v>305</v>
      </c>
      <c r="S3090" t="s">
        <v>306</v>
      </c>
      <c r="T3090" t="s">
        <v>307</v>
      </c>
      <c r="U3090" s="1">
        <v>46076.717604166668</v>
      </c>
      <c r="V3090" t="s">
        <v>54</v>
      </c>
      <c r="W3090" t="s">
        <v>55</v>
      </c>
      <c r="X3090" t="s">
        <v>211</v>
      </c>
      <c r="Y3090" t="e">
        <f>- the new Monitor has been deployed and installed successfully. - CMDB updated.</f>
        <v>#NAME?</v>
      </c>
      <c r="Z3090" t="s">
        <v>58</v>
      </c>
      <c r="AA3090" t="s">
        <v>54</v>
      </c>
      <c r="AB3090" t="s">
        <v>213</v>
      </c>
      <c r="AC3090" t="s">
        <v>85</v>
      </c>
      <c r="AD3090" t="s">
        <v>79</v>
      </c>
      <c r="AE3090" t="s">
        <v>642</v>
      </c>
      <c r="AF3090" t="s">
        <v>643</v>
      </c>
      <c r="AG3090" t="s">
        <v>58</v>
      </c>
      <c r="AH3090">
        <v>13827</v>
      </c>
      <c r="AI3090" t="s">
        <v>12138</v>
      </c>
      <c r="AJ3090">
        <v>191676</v>
      </c>
      <c r="AK3090">
        <v>13</v>
      </c>
      <c r="AL3090" t="s">
        <v>61</v>
      </c>
      <c r="AM3090" t="s">
        <v>12139</v>
      </c>
      <c r="AN3090" t="s">
        <v>12140</v>
      </c>
    </row>
    <row r="3091" spans="1:40" x14ac:dyDescent="0.35">
      <c r="A3091" t="s">
        <v>37</v>
      </c>
      <c r="B3091" t="s">
        <v>12141</v>
      </c>
      <c r="C3091" t="s">
        <v>39</v>
      </c>
      <c r="D3091" t="s">
        <v>12142</v>
      </c>
      <c r="E3091" t="s">
        <v>12143</v>
      </c>
      <c r="F3091" s="1">
        <v>46062.48228009259</v>
      </c>
      <c r="G3091" t="s">
        <v>3050</v>
      </c>
      <c r="H3091" t="s">
        <v>233</v>
      </c>
      <c r="I3091" t="s">
        <v>12144</v>
      </c>
      <c r="J3091" t="s">
        <v>5027</v>
      </c>
      <c r="K3091" t="s">
        <v>951</v>
      </c>
      <c r="M3091" t="s">
        <v>76</v>
      </c>
      <c r="O3091" t="s">
        <v>77</v>
      </c>
      <c r="P3091" t="s">
        <v>78</v>
      </c>
      <c r="Q3091" t="s">
        <v>4648</v>
      </c>
      <c r="R3091" t="s">
        <v>79</v>
      </c>
      <c r="S3091" t="s">
        <v>4245</v>
      </c>
      <c r="T3091" t="s">
        <v>2746</v>
      </c>
      <c r="U3091" s="1">
        <v>46076.519884259258</v>
      </c>
      <c r="V3091" t="s">
        <v>54</v>
      </c>
      <c r="W3091" t="s">
        <v>55</v>
      </c>
      <c r="X3091" t="s">
        <v>211</v>
      </c>
      <c r="Y3091" t="s">
        <v>12145</v>
      </c>
      <c r="Z3091" t="s">
        <v>58</v>
      </c>
      <c r="AA3091" t="s">
        <v>54</v>
      </c>
      <c r="AB3091" t="s">
        <v>213</v>
      </c>
      <c r="AC3091" t="s">
        <v>85</v>
      </c>
      <c r="AD3091" t="s">
        <v>79</v>
      </c>
      <c r="AE3091" t="s">
        <v>4245</v>
      </c>
      <c r="AF3091" t="s">
        <v>2746</v>
      </c>
      <c r="AG3091" t="s">
        <v>58</v>
      </c>
      <c r="AH3091">
        <v>2839</v>
      </c>
      <c r="AJ3091">
        <v>191579</v>
      </c>
      <c r="AK3091">
        <v>12</v>
      </c>
      <c r="AL3091" t="s">
        <v>61</v>
      </c>
      <c r="AM3091" t="s">
        <v>12146</v>
      </c>
      <c r="AN3091" t="s">
        <v>12147</v>
      </c>
    </row>
    <row r="3092" spans="1:40" x14ac:dyDescent="0.35">
      <c r="A3092" t="s">
        <v>37</v>
      </c>
      <c r="B3092" t="s">
        <v>12148</v>
      </c>
      <c r="C3092" t="s">
        <v>102</v>
      </c>
      <c r="D3092" t="s">
        <v>12149</v>
      </c>
      <c r="E3092" t="s">
        <v>12150</v>
      </c>
      <c r="F3092" s="1">
        <v>46062.458240740743</v>
      </c>
      <c r="G3092" t="s">
        <v>2031</v>
      </c>
      <c r="H3092" t="s">
        <v>106</v>
      </c>
      <c r="I3092" t="s">
        <v>12151</v>
      </c>
      <c r="J3092" t="s">
        <v>6155</v>
      </c>
      <c r="K3092" t="s">
        <v>6156</v>
      </c>
      <c r="M3092" t="s">
        <v>47</v>
      </c>
      <c r="O3092" t="s">
        <v>237</v>
      </c>
      <c r="P3092" t="s">
        <v>238</v>
      </c>
      <c r="Q3092" t="s">
        <v>818</v>
      </c>
      <c r="R3092" t="s">
        <v>51</v>
      </c>
      <c r="S3092" t="s">
        <v>52</v>
      </c>
      <c r="T3092" t="s">
        <v>240</v>
      </c>
      <c r="U3092" s="1">
        <v>46072.592812499999</v>
      </c>
      <c r="V3092" t="s">
        <v>54</v>
      </c>
      <c r="W3092" t="s">
        <v>55</v>
      </c>
      <c r="X3092" t="s">
        <v>211</v>
      </c>
      <c r="Y3092" t="s">
        <v>12152</v>
      </c>
      <c r="Z3092" t="s">
        <v>5594</v>
      </c>
      <c r="AA3092" t="s">
        <v>54</v>
      </c>
      <c r="AB3092" t="s">
        <v>213</v>
      </c>
      <c r="AC3092" t="s">
        <v>242</v>
      </c>
      <c r="AD3092" t="s">
        <v>52</v>
      </c>
      <c r="AE3092" t="s">
        <v>243</v>
      </c>
      <c r="AF3092" t="s">
        <v>244</v>
      </c>
      <c r="AG3092" t="s">
        <v>5594</v>
      </c>
      <c r="AH3092">
        <v>10150</v>
      </c>
      <c r="AK3092">
        <v>2</v>
      </c>
      <c r="AL3092" t="s">
        <v>61</v>
      </c>
      <c r="AM3092" t="s">
        <v>12153</v>
      </c>
      <c r="AN3092" t="s">
        <v>12154</v>
      </c>
    </row>
    <row r="3093" spans="1:40" x14ac:dyDescent="0.35">
      <c r="A3093" t="s">
        <v>37</v>
      </c>
      <c r="B3093" t="s">
        <v>12155</v>
      </c>
      <c r="C3093" t="s">
        <v>39</v>
      </c>
      <c r="D3093" t="s">
        <v>325</v>
      </c>
      <c r="E3093" t="s">
        <v>4032</v>
      </c>
      <c r="F3093" s="1">
        <v>46062.434479166666</v>
      </c>
      <c r="G3093" t="s">
        <v>1094</v>
      </c>
      <c r="H3093" t="s">
        <v>447</v>
      </c>
      <c r="I3093" t="s">
        <v>1446</v>
      </c>
      <c r="J3093" t="s">
        <v>5027</v>
      </c>
      <c r="K3093" t="s">
        <v>951</v>
      </c>
      <c r="M3093" t="s">
        <v>76</v>
      </c>
      <c r="O3093" t="s">
        <v>77</v>
      </c>
      <c r="P3093" t="s">
        <v>78</v>
      </c>
      <c r="Q3093" t="s">
        <v>50</v>
      </c>
      <c r="R3093" t="s">
        <v>79</v>
      </c>
      <c r="S3093" t="s">
        <v>1016</v>
      </c>
      <c r="T3093" t="s">
        <v>4181</v>
      </c>
      <c r="U3093" s="1">
        <v>46077.317731481482</v>
      </c>
      <c r="V3093" t="s">
        <v>54</v>
      </c>
      <c r="W3093" t="s">
        <v>55</v>
      </c>
      <c r="X3093" t="s">
        <v>211</v>
      </c>
      <c r="Y3093" t="s">
        <v>12156</v>
      </c>
      <c r="Z3093" t="s">
        <v>58</v>
      </c>
      <c r="AA3093" t="s">
        <v>54</v>
      </c>
      <c r="AB3093" t="s">
        <v>213</v>
      </c>
      <c r="AC3093" t="s">
        <v>85</v>
      </c>
      <c r="AD3093" t="s">
        <v>79</v>
      </c>
      <c r="AE3093" t="s">
        <v>1016</v>
      </c>
      <c r="AF3093" t="s">
        <v>1266</v>
      </c>
      <c r="AG3093" t="s">
        <v>58</v>
      </c>
      <c r="AH3093">
        <v>15792</v>
      </c>
      <c r="AK3093">
        <v>14</v>
      </c>
      <c r="AL3093" t="s">
        <v>61</v>
      </c>
      <c r="AM3093" t="s">
        <v>4033</v>
      </c>
      <c r="AN3093" t="s">
        <v>4034</v>
      </c>
    </row>
    <row r="3094" spans="1:40" x14ac:dyDescent="0.35">
      <c r="A3094" t="s">
        <v>37</v>
      </c>
      <c r="B3094" t="s">
        <v>12157</v>
      </c>
      <c r="C3094" t="s">
        <v>102</v>
      </c>
      <c r="D3094" t="s">
        <v>4700</v>
      </c>
      <c r="E3094" t="s">
        <v>948</v>
      </c>
      <c r="F3094" s="1">
        <v>46062.409837962965</v>
      </c>
      <c r="G3094" t="s">
        <v>464</v>
      </c>
      <c r="H3094" t="s">
        <v>287</v>
      </c>
      <c r="I3094" t="s">
        <v>12158</v>
      </c>
      <c r="J3094" t="s">
        <v>394</v>
      </c>
      <c r="K3094" t="s">
        <v>75</v>
      </c>
      <c r="M3094" t="s">
        <v>76</v>
      </c>
      <c r="O3094" t="s">
        <v>237</v>
      </c>
      <c r="P3094" t="s">
        <v>238</v>
      </c>
      <c r="Q3094" t="s">
        <v>50</v>
      </c>
      <c r="R3094" t="s">
        <v>79</v>
      </c>
      <c r="S3094" t="s">
        <v>955</v>
      </c>
      <c r="T3094" t="s">
        <v>2314</v>
      </c>
      <c r="U3094" s="1">
        <v>46077.345011574071</v>
      </c>
      <c r="V3094" t="s">
        <v>54</v>
      </c>
      <c r="W3094" t="s">
        <v>55</v>
      </c>
      <c r="X3094" t="s">
        <v>82</v>
      </c>
      <c r="Y3094" t="s">
        <v>12159</v>
      </c>
      <c r="Z3094" t="s">
        <v>58</v>
      </c>
      <c r="AA3094" t="s">
        <v>54</v>
      </c>
      <c r="AB3094" t="s">
        <v>396</v>
      </c>
      <c r="AC3094" t="s">
        <v>242</v>
      </c>
      <c r="AD3094" t="s">
        <v>79</v>
      </c>
      <c r="AE3094" t="s">
        <v>955</v>
      </c>
      <c r="AF3094" t="s">
        <v>2314</v>
      </c>
      <c r="AG3094" t="s">
        <v>58</v>
      </c>
      <c r="AH3094">
        <v>14725</v>
      </c>
      <c r="AK3094">
        <v>4</v>
      </c>
      <c r="AL3094" t="s">
        <v>61</v>
      </c>
      <c r="AM3094" t="s">
        <v>12160</v>
      </c>
      <c r="AN3094" t="s">
        <v>12161</v>
      </c>
    </row>
    <row r="3095" spans="1:40" x14ac:dyDescent="0.35">
      <c r="A3095" t="s">
        <v>37</v>
      </c>
      <c r="B3095" t="s">
        <v>12162</v>
      </c>
      <c r="C3095" t="s">
        <v>656</v>
      </c>
      <c r="D3095" t="s">
        <v>9118</v>
      </c>
      <c r="E3095" t="s">
        <v>9119</v>
      </c>
      <c r="F3095" s="1">
        <v>46062.375</v>
      </c>
      <c r="G3095" t="s">
        <v>286</v>
      </c>
      <c r="H3095" t="s">
        <v>287</v>
      </c>
      <c r="I3095" t="s">
        <v>12163</v>
      </c>
      <c r="J3095" t="s">
        <v>2333</v>
      </c>
      <c r="K3095" t="s">
        <v>1187</v>
      </c>
      <c r="M3095" t="s">
        <v>47</v>
      </c>
      <c r="O3095" t="s">
        <v>77</v>
      </c>
      <c r="P3095" t="s">
        <v>78</v>
      </c>
      <c r="Q3095" t="s">
        <v>50</v>
      </c>
      <c r="R3095" t="s">
        <v>1189</v>
      </c>
      <c r="S3095" t="s">
        <v>1190</v>
      </c>
      <c r="T3095" t="s">
        <v>10642</v>
      </c>
      <c r="U3095" s="1">
        <v>46073.412557870368</v>
      </c>
      <c r="V3095" t="s">
        <v>54</v>
      </c>
      <c r="W3095" t="s">
        <v>55</v>
      </c>
      <c r="X3095" t="s">
        <v>134</v>
      </c>
      <c r="Y3095" t="s">
        <v>12164</v>
      </c>
      <c r="Z3095" t="s">
        <v>5594</v>
      </c>
      <c r="AA3095" t="s">
        <v>54</v>
      </c>
      <c r="AB3095" t="s">
        <v>5272</v>
      </c>
      <c r="AC3095" t="s">
        <v>85</v>
      </c>
      <c r="AD3095" t="s">
        <v>662</v>
      </c>
      <c r="AE3095" t="s">
        <v>12165</v>
      </c>
      <c r="AF3095" t="s">
        <v>12166</v>
      </c>
      <c r="AG3095" t="s">
        <v>5594</v>
      </c>
      <c r="AH3095" t="s">
        <v>9120</v>
      </c>
      <c r="AK3095">
        <v>10</v>
      </c>
      <c r="AL3095" t="s">
        <v>61</v>
      </c>
      <c r="AM3095" t="s">
        <v>9121</v>
      </c>
      <c r="AN3095" t="s">
        <v>9122</v>
      </c>
    </row>
    <row r="3096" spans="1:40" x14ac:dyDescent="0.35">
      <c r="A3096" t="s">
        <v>37</v>
      </c>
      <c r="B3096" t="s">
        <v>12167</v>
      </c>
      <c r="C3096" t="s">
        <v>39</v>
      </c>
      <c r="D3096" t="s">
        <v>1172</v>
      </c>
      <c r="E3096" t="s">
        <v>1216</v>
      </c>
      <c r="F3096" s="1">
        <v>46062.374895833331</v>
      </c>
      <c r="G3096" t="s">
        <v>497</v>
      </c>
      <c r="H3096" t="s">
        <v>72</v>
      </c>
      <c r="I3096" t="s">
        <v>12168</v>
      </c>
      <c r="J3096" t="s">
        <v>2718</v>
      </c>
      <c r="K3096" t="s">
        <v>951</v>
      </c>
      <c r="M3096" t="s">
        <v>76</v>
      </c>
      <c r="O3096" t="s">
        <v>77</v>
      </c>
      <c r="P3096" t="s">
        <v>78</v>
      </c>
      <c r="Q3096" t="s">
        <v>2591</v>
      </c>
      <c r="R3096" t="s">
        <v>305</v>
      </c>
      <c r="S3096" t="s">
        <v>306</v>
      </c>
      <c r="T3096" t="s">
        <v>307</v>
      </c>
      <c r="U3096" s="1">
        <v>46077.434467592589</v>
      </c>
      <c r="V3096" t="s">
        <v>54</v>
      </c>
      <c r="W3096" t="s">
        <v>55</v>
      </c>
      <c r="X3096" t="s">
        <v>211</v>
      </c>
      <c r="Y3096" t="s">
        <v>12169</v>
      </c>
      <c r="Z3096" t="s">
        <v>58</v>
      </c>
      <c r="AA3096" t="s">
        <v>54</v>
      </c>
      <c r="AB3096" t="s">
        <v>213</v>
      </c>
      <c r="AC3096" t="s">
        <v>85</v>
      </c>
      <c r="AD3096" t="s">
        <v>79</v>
      </c>
      <c r="AE3096" t="s">
        <v>4869</v>
      </c>
      <c r="AF3096" t="s">
        <v>12170</v>
      </c>
      <c r="AG3096" t="s">
        <v>58</v>
      </c>
      <c r="AH3096">
        <v>10239</v>
      </c>
      <c r="AJ3096" t="s">
        <v>12171</v>
      </c>
      <c r="AK3096">
        <v>21</v>
      </c>
      <c r="AL3096" t="s">
        <v>61</v>
      </c>
      <c r="AM3096" t="s">
        <v>12172</v>
      </c>
      <c r="AN3096" t="s">
        <v>12173</v>
      </c>
    </row>
    <row r="3097" spans="1:40" x14ac:dyDescent="0.35">
      <c r="A3097" t="s">
        <v>37</v>
      </c>
      <c r="B3097" t="s">
        <v>12174</v>
      </c>
      <c r="C3097" t="s">
        <v>39</v>
      </c>
      <c r="D3097" t="s">
        <v>532</v>
      </c>
      <c r="E3097" t="s">
        <v>12175</v>
      </c>
      <c r="F3097" s="1">
        <v>46062.375</v>
      </c>
      <c r="G3097" t="s">
        <v>297</v>
      </c>
      <c r="H3097" t="s">
        <v>287</v>
      </c>
      <c r="I3097" t="s">
        <v>12176</v>
      </c>
      <c r="J3097" t="s">
        <v>4244</v>
      </c>
      <c r="K3097" t="s">
        <v>951</v>
      </c>
      <c r="M3097" t="s">
        <v>131</v>
      </c>
      <c r="O3097" t="s">
        <v>77</v>
      </c>
      <c r="P3097" t="s">
        <v>78</v>
      </c>
      <c r="Q3097" t="s">
        <v>50</v>
      </c>
      <c r="R3097" t="s">
        <v>79</v>
      </c>
      <c r="S3097" t="s">
        <v>10026</v>
      </c>
      <c r="T3097" t="s">
        <v>10027</v>
      </c>
      <c r="U3097" s="1">
        <v>46078.405914351853</v>
      </c>
      <c r="V3097" t="s">
        <v>54</v>
      </c>
      <c r="W3097" t="s">
        <v>55</v>
      </c>
      <c r="X3097" t="s">
        <v>134</v>
      </c>
      <c r="Y3097" t="s">
        <v>12177</v>
      </c>
      <c r="Z3097" t="s">
        <v>58</v>
      </c>
      <c r="AA3097" t="s">
        <v>54</v>
      </c>
      <c r="AB3097" t="s">
        <v>5272</v>
      </c>
      <c r="AC3097" t="s">
        <v>85</v>
      </c>
      <c r="AD3097" t="s">
        <v>79</v>
      </c>
      <c r="AE3097" t="s">
        <v>10026</v>
      </c>
      <c r="AF3097" t="s">
        <v>10027</v>
      </c>
      <c r="AG3097" t="s">
        <v>58</v>
      </c>
      <c r="AH3097">
        <v>12306</v>
      </c>
      <c r="AK3097">
        <v>6</v>
      </c>
      <c r="AL3097" t="s">
        <v>61</v>
      </c>
      <c r="AM3097" t="s">
        <v>12178</v>
      </c>
      <c r="AN3097" t="s">
        <v>12179</v>
      </c>
    </row>
    <row r="3098" spans="1:40" x14ac:dyDescent="0.35">
      <c r="A3098" t="s">
        <v>37</v>
      </c>
      <c r="B3098" t="s">
        <v>12180</v>
      </c>
      <c r="C3098" t="s">
        <v>39</v>
      </c>
      <c r="D3098" t="s">
        <v>220</v>
      </c>
      <c r="E3098" t="s">
        <v>5409</v>
      </c>
      <c r="F3098" s="1">
        <v>46062.337731481479</v>
      </c>
      <c r="G3098" t="s">
        <v>355</v>
      </c>
      <c r="H3098" t="s">
        <v>356</v>
      </c>
      <c r="I3098" t="s">
        <v>12181</v>
      </c>
      <c r="J3098" t="s">
        <v>1555</v>
      </c>
      <c r="K3098" t="s">
        <v>951</v>
      </c>
      <c r="M3098" t="s">
        <v>76</v>
      </c>
      <c r="O3098" t="s">
        <v>77</v>
      </c>
      <c r="P3098" t="s">
        <v>78</v>
      </c>
      <c r="Q3098" t="s">
        <v>50</v>
      </c>
      <c r="R3098" t="s">
        <v>305</v>
      </c>
      <c r="S3098" t="s">
        <v>306</v>
      </c>
      <c r="T3098" t="s">
        <v>307</v>
      </c>
      <c r="U3098" s="1">
        <v>46076.353090277778</v>
      </c>
      <c r="V3098" t="s">
        <v>54</v>
      </c>
      <c r="W3098" t="s">
        <v>55</v>
      </c>
      <c r="X3098" t="s">
        <v>211</v>
      </c>
      <c r="Y3098" t="s">
        <v>12182</v>
      </c>
      <c r="Z3098" t="s">
        <v>58</v>
      </c>
      <c r="AA3098" t="s">
        <v>54</v>
      </c>
      <c r="AB3098" t="s">
        <v>213</v>
      </c>
      <c r="AC3098" t="s">
        <v>85</v>
      </c>
      <c r="AD3098" t="s">
        <v>79</v>
      </c>
      <c r="AE3098" t="s">
        <v>10053</v>
      </c>
      <c r="AF3098" t="s">
        <v>10054</v>
      </c>
      <c r="AG3098" t="s">
        <v>58</v>
      </c>
      <c r="AH3098" t="s">
        <v>5411</v>
      </c>
      <c r="AJ3098">
        <v>191526</v>
      </c>
      <c r="AK3098">
        <v>8</v>
      </c>
      <c r="AL3098" t="s">
        <v>61</v>
      </c>
      <c r="AM3098" t="s">
        <v>5412</v>
      </c>
      <c r="AN3098" t="s">
        <v>5413</v>
      </c>
    </row>
    <row r="3099" spans="1:40" x14ac:dyDescent="0.35">
      <c r="A3099" t="s">
        <v>37</v>
      </c>
      <c r="B3099" t="s">
        <v>12183</v>
      </c>
      <c r="C3099" t="s">
        <v>39</v>
      </c>
      <c r="D3099" t="s">
        <v>7392</v>
      </c>
      <c r="E3099" t="s">
        <v>12184</v>
      </c>
      <c r="F3099" s="1">
        <v>46062.334606481483</v>
      </c>
      <c r="G3099" t="s">
        <v>250</v>
      </c>
      <c r="H3099" t="s">
        <v>106</v>
      </c>
      <c r="I3099" t="s">
        <v>1446</v>
      </c>
      <c r="J3099" t="s">
        <v>8141</v>
      </c>
      <c r="K3099" t="s">
        <v>951</v>
      </c>
      <c r="M3099" t="s">
        <v>76</v>
      </c>
      <c r="O3099" t="s">
        <v>77</v>
      </c>
      <c r="P3099" t="s">
        <v>78</v>
      </c>
      <c r="Q3099" t="s">
        <v>9088</v>
      </c>
      <c r="R3099" t="s">
        <v>79</v>
      </c>
      <c r="S3099" t="s">
        <v>1016</v>
      </c>
      <c r="T3099" t="s">
        <v>4181</v>
      </c>
      <c r="U3099" s="1">
        <v>46078.404733796298</v>
      </c>
      <c r="V3099" t="s">
        <v>54</v>
      </c>
      <c r="W3099" t="s">
        <v>55</v>
      </c>
      <c r="X3099" t="s">
        <v>211</v>
      </c>
      <c r="Y3099" t="s">
        <v>12185</v>
      </c>
      <c r="Z3099" t="s">
        <v>58</v>
      </c>
      <c r="AA3099" t="s">
        <v>54</v>
      </c>
      <c r="AB3099" t="s">
        <v>213</v>
      </c>
      <c r="AC3099" t="s">
        <v>85</v>
      </c>
      <c r="AD3099" t="s">
        <v>79</v>
      </c>
      <c r="AE3099" t="s">
        <v>1016</v>
      </c>
      <c r="AF3099" t="s">
        <v>4181</v>
      </c>
      <c r="AG3099" t="s">
        <v>58</v>
      </c>
      <c r="AH3099">
        <v>2489</v>
      </c>
      <c r="AK3099">
        <v>15</v>
      </c>
      <c r="AL3099" t="s">
        <v>61</v>
      </c>
      <c r="AM3099" t="s">
        <v>12186</v>
      </c>
      <c r="AN3099" t="s">
        <v>12187</v>
      </c>
    </row>
    <row r="3100" spans="1:40" x14ac:dyDescent="0.35">
      <c r="A3100" t="s">
        <v>37</v>
      </c>
      <c r="B3100" t="s">
        <v>12188</v>
      </c>
      <c r="C3100" t="s">
        <v>102</v>
      </c>
      <c r="D3100" t="s">
        <v>1537</v>
      </c>
      <c r="E3100" t="s">
        <v>1538</v>
      </c>
      <c r="F3100" s="1">
        <v>46062.25854166667</v>
      </c>
      <c r="G3100" t="s">
        <v>105</v>
      </c>
      <c r="H3100" t="s">
        <v>106</v>
      </c>
      <c r="I3100" t="s">
        <v>1738</v>
      </c>
      <c r="J3100" t="s">
        <v>108</v>
      </c>
      <c r="K3100" t="s">
        <v>109</v>
      </c>
      <c r="M3100" t="s">
        <v>47</v>
      </c>
      <c r="O3100" t="s">
        <v>77</v>
      </c>
      <c r="P3100" t="s">
        <v>78</v>
      </c>
      <c r="Q3100" t="s">
        <v>50</v>
      </c>
      <c r="R3100" t="s">
        <v>111</v>
      </c>
      <c r="S3100" t="s">
        <v>51</v>
      </c>
      <c r="T3100" t="s">
        <v>112</v>
      </c>
      <c r="U3100" s="1">
        <v>46072.018530092595</v>
      </c>
      <c r="V3100" t="s">
        <v>54</v>
      </c>
      <c r="W3100" t="s">
        <v>1584</v>
      </c>
      <c r="X3100" t="s">
        <v>113</v>
      </c>
      <c r="Y3100" t="s">
        <v>12189</v>
      </c>
      <c r="Z3100" t="s">
        <v>5594</v>
      </c>
      <c r="AA3100" t="s">
        <v>54</v>
      </c>
      <c r="AB3100" t="s">
        <v>115</v>
      </c>
      <c r="AC3100" t="s">
        <v>85</v>
      </c>
      <c r="AD3100" t="s">
        <v>116</v>
      </c>
      <c r="AE3100" t="s">
        <v>117</v>
      </c>
      <c r="AF3100" t="s">
        <v>664</v>
      </c>
      <c r="AG3100" t="s">
        <v>5594</v>
      </c>
      <c r="AH3100">
        <v>14840</v>
      </c>
      <c r="AK3100">
        <v>1</v>
      </c>
      <c r="AL3100" t="s">
        <v>61</v>
      </c>
      <c r="AM3100" t="s">
        <v>1542</v>
      </c>
      <c r="AN3100" t="s">
        <v>1543</v>
      </c>
    </row>
    <row r="3101" spans="1:40" x14ac:dyDescent="0.35">
      <c r="A3101" t="s">
        <v>37</v>
      </c>
      <c r="B3101" t="s">
        <v>12190</v>
      </c>
      <c r="C3101" t="s">
        <v>39</v>
      </c>
      <c r="D3101" t="s">
        <v>7770</v>
      </c>
      <c r="E3101" t="s">
        <v>12191</v>
      </c>
      <c r="F3101" s="1">
        <v>46059.966921296298</v>
      </c>
      <c r="G3101" t="s">
        <v>446</v>
      </c>
      <c r="H3101" t="s">
        <v>447</v>
      </c>
      <c r="I3101" t="s">
        <v>12192</v>
      </c>
      <c r="J3101" t="s">
        <v>1015</v>
      </c>
      <c r="K3101" t="s">
        <v>75</v>
      </c>
      <c r="M3101" t="s">
        <v>76</v>
      </c>
      <c r="O3101" t="s">
        <v>77</v>
      </c>
      <c r="P3101" t="s">
        <v>78</v>
      </c>
      <c r="Q3101" t="s">
        <v>50</v>
      </c>
      <c r="R3101" t="s">
        <v>79</v>
      </c>
      <c r="S3101" t="s">
        <v>975</v>
      </c>
      <c r="T3101" t="s">
        <v>976</v>
      </c>
      <c r="U3101" s="1">
        <v>46077.420752314814</v>
      </c>
      <c r="V3101" t="s">
        <v>54</v>
      </c>
      <c r="W3101" t="s">
        <v>55</v>
      </c>
      <c r="X3101" t="s">
        <v>82</v>
      </c>
      <c r="Y3101" t="s">
        <v>12193</v>
      </c>
      <c r="Z3101" t="s">
        <v>58</v>
      </c>
      <c r="AA3101" t="s">
        <v>54</v>
      </c>
      <c r="AB3101" t="s">
        <v>709</v>
      </c>
      <c r="AC3101" t="s">
        <v>85</v>
      </c>
      <c r="AD3101" t="s">
        <v>79</v>
      </c>
      <c r="AE3101" t="s">
        <v>975</v>
      </c>
      <c r="AF3101" t="s">
        <v>976</v>
      </c>
      <c r="AG3101" t="s">
        <v>58</v>
      </c>
      <c r="AH3101">
        <v>12681</v>
      </c>
      <c r="AK3101">
        <v>9</v>
      </c>
      <c r="AL3101" t="s">
        <v>61</v>
      </c>
      <c r="AM3101" t="s">
        <v>12194</v>
      </c>
      <c r="AN3101" t="s">
        <v>12195</v>
      </c>
    </row>
    <row r="3102" spans="1:40" x14ac:dyDescent="0.35">
      <c r="A3102" t="s">
        <v>37</v>
      </c>
      <c r="B3102" t="s">
        <v>12196</v>
      </c>
      <c r="C3102" t="s">
        <v>39</v>
      </c>
      <c r="D3102" t="s">
        <v>583</v>
      </c>
      <c r="E3102" t="s">
        <v>584</v>
      </c>
      <c r="F3102" s="1">
        <v>46059.58221064815</v>
      </c>
      <c r="G3102" t="s">
        <v>585</v>
      </c>
      <c r="H3102" t="s">
        <v>356</v>
      </c>
      <c r="I3102" t="s">
        <v>12197</v>
      </c>
      <c r="J3102" t="s">
        <v>695</v>
      </c>
      <c r="K3102" t="s">
        <v>75</v>
      </c>
      <c r="M3102" t="s">
        <v>47</v>
      </c>
      <c r="O3102" t="s">
        <v>77</v>
      </c>
      <c r="P3102" t="s">
        <v>78</v>
      </c>
      <c r="Q3102" t="s">
        <v>50</v>
      </c>
      <c r="R3102" t="s">
        <v>79</v>
      </c>
      <c r="S3102" t="s">
        <v>1556</v>
      </c>
      <c r="T3102" t="s">
        <v>1557</v>
      </c>
      <c r="U3102" s="1">
        <v>46072.491863425923</v>
      </c>
      <c r="V3102" t="s">
        <v>54</v>
      </c>
      <c r="W3102" t="s">
        <v>55</v>
      </c>
      <c r="X3102" t="s">
        <v>134</v>
      </c>
      <c r="Y3102" t="s">
        <v>12198</v>
      </c>
      <c r="Z3102" t="s">
        <v>5594</v>
      </c>
      <c r="AA3102" t="s">
        <v>54</v>
      </c>
      <c r="AB3102" t="s">
        <v>458</v>
      </c>
      <c r="AC3102" t="s">
        <v>85</v>
      </c>
      <c r="AD3102" t="s">
        <v>79</v>
      </c>
      <c r="AE3102" t="s">
        <v>1556</v>
      </c>
      <c r="AF3102" t="s">
        <v>1557</v>
      </c>
      <c r="AG3102" t="s">
        <v>5594</v>
      </c>
      <c r="AK3102">
        <v>1</v>
      </c>
      <c r="AL3102" t="s">
        <v>61</v>
      </c>
      <c r="AM3102" t="s">
        <v>593</v>
      </c>
      <c r="AN3102" t="s">
        <v>594</v>
      </c>
    </row>
    <row r="3103" spans="1:40" x14ac:dyDescent="0.35">
      <c r="A3103" t="s">
        <v>37</v>
      </c>
      <c r="B3103" t="s">
        <v>12199</v>
      </c>
      <c r="C3103" t="s">
        <v>39</v>
      </c>
      <c r="D3103" t="s">
        <v>981</v>
      </c>
      <c r="E3103" t="s">
        <v>739</v>
      </c>
      <c r="F3103" s="1">
        <v>46059.577627314815</v>
      </c>
      <c r="G3103" t="s">
        <v>3050</v>
      </c>
      <c r="H3103" t="s">
        <v>233</v>
      </c>
      <c r="I3103" t="s">
        <v>11964</v>
      </c>
      <c r="J3103" t="s">
        <v>5027</v>
      </c>
      <c r="K3103" t="s">
        <v>951</v>
      </c>
      <c r="M3103" t="s">
        <v>76</v>
      </c>
      <c r="O3103" t="s">
        <v>77</v>
      </c>
      <c r="P3103" t="s">
        <v>78</v>
      </c>
      <c r="Q3103" t="s">
        <v>50</v>
      </c>
      <c r="R3103" t="s">
        <v>79</v>
      </c>
      <c r="S3103" t="s">
        <v>2748</v>
      </c>
      <c r="T3103" t="s">
        <v>2746</v>
      </c>
      <c r="U3103" s="1">
        <v>46076.400925925926</v>
      </c>
      <c r="V3103" t="s">
        <v>54</v>
      </c>
      <c r="W3103" t="s">
        <v>55</v>
      </c>
      <c r="X3103" t="s">
        <v>134</v>
      </c>
      <c r="Y3103" t="s">
        <v>12105</v>
      </c>
      <c r="Z3103" t="s">
        <v>58</v>
      </c>
      <c r="AA3103" t="s">
        <v>54</v>
      </c>
      <c r="AB3103" t="s">
        <v>458</v>
      </c>
      <c r="AC3103" t="s">
        <v>85</v>
      </c>
      <c r="AD3103" t="s">
        <v>79</v>
      </c>
      <c r="AE3103" t="s">
        <v>10053</v>
      </c>
      <c r="AF3103" t="s">
        <v>10054</v>
      </c>
      <c r="AG3103" t="s">
        <v>58</v>
      </c>
      <c r="AH3103">
        <v>11464</v>
      </c>
      <c r="AJ3103">
        <v>191523</v>
      </c>
      <c r="AK3103">
        <v>7</v>
      </c>
      <c r="AL3103" t="s">
        <v>61</v>
      </c>
      <c r="AM3103" t="s">
        <v>12200</v>
      </c>
      <c r="AN3103" t="s">
        <v>12201</v>
      </c>
    </row>
    <row r="3104" spans="1:40" x14ac:dyDescent="0.35">
      <c r="A3104" t="s">
        <v>37</v>
      </c>
      <c r="B3104" t="s">
        <v>12202</v>
      </c>
      <c r="C3104" t="s">
        <v>39</v>
      </c>
      <c r="D3104" t="s">
        <v>12203</v>
      </c>
      <c r="E3104" t="s">
        <v>12204</v>
      </c>
      <c r="F3104" s="1">
        <v>46059.573807870373</v>
      </c>
      <c r="G3104" t="s">
        <v>1094</v>
      </c>
      <c r="H3104" t="s">
        <v>447</v>
      </c>
      <c r="I3104" t="s">
        <v>11964</v>
      </c>
      <c r="J3104" t="s">
        <v>5027</v>
      </c>
      <c r="K3104" t="s">
        <v>951</v>
      </c>
      <c r="M3104" t="s">
        <v>76</v>
      </c>
      <c r="O3104" t="s">
        <v>77</v>
      </c>
      <c r="P3104" t="s">
        <v>78</v>
      </c>
      <c r="Q3104" t="s">
        <v>2895</v>
      </c>
      <c r="R3104" t="s">
        <v>79</v>
      </c>
      <c r="S3104" t="s">
        <v>2748</v>
      </c>
      <c r="T3104" t="s">
        <v>2746</v>
      </c>
      <c r="U3104" s="1">
        <v>46076.400439814817</v>
      </c>
      <c r="V3104" t="s">
        <v>54</v>
      </c>
      <c r="W3104" t="s">
        <v>55</v>
      </c>
      <c r="X3104" t="s">
        <v>134</v>
      </c>
      <c r="Y3104" t="s">
        <v>12105</v>
      </c>
      <c r="Z3104" t="s">
        <v>58</v>
      </c>
      <c r="AA3104" t="s">
        <v>54</v>
      </c>
      <c r="AB3104" t="s">
        <v>458</v>
      </c>
      <c r="AC3104" t="s">
        <v>85</v>
      </c>
      <c r="AD3104" t="s">
        <v>79</v>
      </c>
      <c r="AE3104" t="s">
        <v>10053</v>
      </c>
      <c r="AF3104" t="s">
        <v>10054</v>
      </c>
      <c r="AG3104" t="s">
        <v>58</v>
      </c>
      <c r="AH3104">
        <v>10395</v>
      </c>
      <c r="AJ3104">
        <v>191525</v>
      </c>
      <c r="AK3104">
        <v>10</v>
      </c>
      <c r="AL3104" t="s">
        <v>410</v>
      </c>
      <c r="AM3104" t="s">
        <v>12205</v>
      </c>
      <c r="AN3104" t="s">
        <v>12206</v>
      </c>
    </row>
    <row r="3105" spans="1:40" x14ac:dyDescent="0.35">
      <c r="A3105" t="s">
        <v>37</v>
      </c>
      <c r="B3105" t="s">
        <v>12207</v>
      </c>
      <c r="C3105" t="s">
        <v>39</v>
      </c>
      <c r="D3105" t="s">
        <v>3070</v>
      </c>
      <c r="E3105" t="s">
        <v>3071</v>
      </c>
      <c r="F3105" s="1">
        <v>46059.52270833333</v>
      </c>
      <c r="G3105" t="s">
        <v>297</v>
      </c>
      <c r="H3105" t="s">
        <v>287</v>
      </c>
      <c r="I3105" t="s">
        <v>2746</v>
      </c>
      <c r="J3105" t="s">
        <v>4244</v>
      </c>
      <c r="K3105" t="s">
        <v>951</v>
      </c>
      <c r="M3105" t="s">
        <v>131</v>
      </c>
      <c r="O3105" t="s">
        <v>77</v>
      </c>
      <c r="P3105" t="s">
        <v>78</v>
      </c>
      <c r="Q3105" t="s">
        <v>50</v>
      </c>
      <c r="R3105" t="s">
        <v>305</v>
      </c>
      <c r="S3105" t="s">
        <v>306</v>
      </c>
      <c r="T3105" t="s">
        <v>307</v>
      </c>
      <c r="U3105" s="1">
        <v>46076.351215277777</v>
      </c>
      <c r="V3105" t="s">
        <v>54</v>
      </c>
      <c r="W3105" t="s">
        <v>55</v>
      </c>
      <c r="X3105" t="s">
        <v>211</v>
      </c>
      <c r="Y3105" t="s">
        <v>10052</v>
      </c>
      <c r="Z3105" t="s">
        <v>58</v>
      </c>
      <c r="AA3105" t="s">
        <v>54</v>
      </c>
      <c r="AB3105" t="s">
        <v>213</v>
      </c>
      <c r="AC3105" t="s">
        <v>85</v>
      </c>
      <c r="AD3105" t="s">
        <v>79</v>
      </c>
      <c r="AE3105" t="s">
        <v>2748</v>
      </c>
      <c r="AF3105" t="s">
        <v>2746</v>
      </c>
      <c r="AG3105" t="s">
        <v>58</v>
      </c>
      <c r="AH3105">
        <v>15903</v>
      </c>
      <c r="AJ3105">
        <v>191602</v>
      </c>
      <c r="AK3105">
        <v>10</v>
      </c>
      <c r="AL3105" t="s">
        <v>61</v>
      </c>
      <c r="AM3105" t="s">
        <v>3074</v>
      </c>
      <c r="AN3105" t="s">
        <v>3075</v>
      </c>
    </row>
    <row r="3106" spans="1:40" x14ac:dyDescent="0.35">
      <c r="A3106" t="s">
        <v>37</v>
      </c>
      <c r="B3106" t="s">
        <v>12208</v>
      </c>
      <c r="C3106" t="s">
        <v>102</v>
      </c>
      <c r="D3106" t="s">
        <v>2470</v>
      </c>
      <c r="E3106" t="s">
        <v>2471</v>
      </c>
      <c r="F3106" s="1">
        <v>46059.393958333334</v>
      </c>
      <c r="G3106" t="s">
        <v>91</v>
      </c>
      <c r="H3106" t="s">
        <v>92</v>
      </c>
      <c r="I3106" t="s">
        <v>12209</v>
      </c>
      <c r="J3106" t="s">
        <v>6155</v>
      </c>
      <c r="K3106" t="s">
        <v>6156</v>
      </c>
      <c r="M3106" t="s">
        <v>47</v>
      </c>
      <c r="O3106" t="s">
        <v>237</v>
      </c>
      <c r="P3106" t="s">
        <v>238</v>
      </c>
      <c r="Q3106" t="s">
        <v>50</v>
      </c>
      <c r="R3106" t="s">
        <v>51</v>
      </c>
      <c r="S3106" t="s">
        <v>52</v>
      </c>
      <c r="T3106" t="s">
        <v>195</v>
      </c>
      <c r="U3106" s="1">
        <v>46072.590520833335</v>
      </c>
      <c r="V3106" t="s">
        <v>54</v>
      </c>
      <c r="W3106" t="s">
        <v>55</v>
      </c>
      <c r="X3106" t="s">
        <v>134</v>
      </c>
      <c r="Y3106" t="s">
        <v>12210</v>
      </c>
      <c r="Z3106" t="s">
        <v>5594</v>
      </c>
      <c r="AA3106" t="s">
        <v>54</v>
      </c>
      <c r="AB3106" t="s">
        <v>458</v>
      </c>
      <c r="AC3106" t="s">
        <v>242</v>
      </c>
      <c r="AD3106" t="s">
        <v>52</v>
      </c>
      <c r="AE3106" t="s">
        <v>362</v>
      </c>
      <c r="AF3106" t="s">
        <v>363</v>
      </c>
      <c r="AG3106" t="s">
        <v>5594</v>
      </c>
      <c r="AH3106">
        <v>15205</v>
      </c>
      <c r="AK3106">
        <v>2</v>
      </c>
      <c r="AL3106" t="s">
        <v>61</v>
      </c>
      <c r="AM3106" t="s">
        <v>2474</v>
      </c>
      <c r="AN3106" t="s">
        <v>2475</v>
      </c>
    </row>
    <row r="3107" spans="1:40" x14ac:dyDescent="0.35">
      <c r="A3107" t="s">
        <v>37</v>
      </c>
      <c r="B3107" t="s">
        <v>12211</v>
      </c>
      <c r="C3107" t="s">
        <v>39</v>
      </c>
      <c r="D3107" t="s">
        <v>12212</v>
      </c>
      <c r="E3107" t="s">
        <v>12213</v>
      </c>
      <c r="F3107" s="1">
        <v>46059.395636574074</v>
      </c>
      <c r="G3107" t="s">
        <v>355</v>
      </c>
      <c r="H3107" t="s">
        <v>356</v>
      </c>
      <c r="I3107" t="s">
        <v>12214</v>
      </c>
      <c r="J3107" t="s">
        <v>12215</v>
      </c>
      <c r="K3107" t="s">
        <v>1627</v>
      </c>
      <c r="M3107" t="s">
        <v>76</v>
      </c>
      <c r="O3107" t="s">
        <v>77</v>
      </c>
      <c r="P3107" t="s">
        <v>78</v>
      </c>
      <c r="Q3107" t="s">
        <v>1174</v>
      </c>
      <c r="R3107" t="s">
        <v>2670</v>
      </c>
      <c r="S3107" t="s">
        <v>8206</v>
      </c>
      <c r="T3107" t="s">
        <v>12216</v>
      </c>
      <c r="U3107" s="1">
        <v>46077.353483796294</v>
      </c>
      <c r="V3107" t="s">
        <v>54</v>
      </c>
      <c r="W3107" t="s">
        <v>55</v>
      </c>
      <c r="X3107" t="s">
        <v>56</v>
      </c>
      <c r="Y3107" t="s">
        <v>12217</v>
      </c>
      <c r="Z3107" t="s">
        <v>58</v>
      </c>
      <c r="AA3107" t="s">
        <v>54</v>
      </c>
      <c r="AB3107" t="s">
        <v>12218</v>
      </c>
      <c r="AC3107" t="s">
        <v>85</v>
      </c>
      <c r="AD3107" t="s">
        <v>2670</v>
      </c>
      <c r="AE3107" t="s">
        <v>8206</v>
      </c>
      <c r="AF3107" t="s">
        <v>8207</v>
      </c>
      <c r="AG3107" t="s">
        <v>58</v>
      </c>
      <c r="AH3107" t="s">
        <v>12219</v>
      </c>
      <c r="AJ3107">
        <v>191500</v>
      </c>
      <c r="AK3107">
        <v>4</v>
      </c>
      <c r="AL3107" t="s">
        <v>61</v>
      </c>
      <c r="AM3107" t="s">
        <v>12218</v>
      </c>
      <c r="AN3107" t="s">
        <v>12220</v>
      </c>
    </row>
    <row r="3108" spans="1:40" x14ac:dyDescent="0.35">
      <c r="A3108" t="s">
        <v>37</v>
      </c>
      <c r="B3108" t="s">
        <v>12221</v>
      </c>
      <c r="C3108" t="s">
        <v>39</v>
      </c>
      <c r="D3108" t="s">
        <v>7204</v>
      </c>
      <c r="E3108" t="s">
        <v>2285</v>
      </c>
      <c r="F3108" s="1">
        <v>46059.377106481479</v>
      </c>
      <c r="G3108" t="s">
        <v>487</v>
      </c>
      <c r="H3108" t="s">
        <v>447</v>
      </c>
      <c r="I3108" t="s">
        <v>1446</v>
      </c>
      <c r="J3108" t="s">
        <v>5027</v>
      </c>
      <c r="K3108" t="s">
        <v>951</v>
      </c>
      <c r="M3108" t="s">
        <v>47</v>
      </c>
      <c r="O3108" t="s">
        <v>77</v>
      </c>
      <c r="P3108" t="s">
        <v>78</v>
      </c>
      <c r="Q3108" t="s">
        <v>50</v>
      </c>
      <c r="R3108" t="s">
        <v>79</v>
      </c>
      <c r="S3108" t="s">
        <v>1016</v>
      </c>
      <c r="T3108" t="s">
        <v>11533</v>
      </c>
      <c r="U3108" s="1">
        <v>46072.55027777778</v>
      </c>
      <c r="V3108" t="s">
        <v>54</v>
      </c>
      <c r="W3108" t="s">
        <v>55</v>
      </c>
      <c r="X3108" t="s">
        <v>211</v>
      </c>
      <c r="Y3108" t="s">
        <v>12222</v>
      </c>
      <c r="Z3108" t="s">
        <v>5594</v>
      </c>
      <c r="AA3108" t="s">
        <v>54</v>
      </c>
      <c r="AB3108" t="s">
        <v>213</v>
      </c>
      <c r="AC3108" t="s">
        <v>85</v>
      </c>
      <c r="AD3108" t="s">
        <v>79</v>
      </c>
      <c r="AE3108" t="s">
        <v>1016</v>
      </c>
      <c r="AF3108" t="s">
        <v>11535</v>
      </c>
      <c r="AG3108" t="s">
        <v>5594</v>
      </c>
      <c r="AH3108">
        <v>15651</v>
      </c>
      <c r="AK3108">
        <v>12</v>
      </c>
      <c r="AL3108" t="s">
        <v>61</v>
      </c>
      <c r="AM3108" t="s">
        <v>12223</v>
      </c>
      <c r="AN3108" t="s">
        <v>12224</v>
      </c>
    </row>
    <row r="3109" spans="1:40" x14ac:dyDescent="0.35">
      <c r="A3109" t="s">
        <v>37</v>
      </c>
      <c r="B3109" t="s">
        <v>12225</v>
      </c>
      <c r="C3109" t="s">
        <v>39</v>
      </c>
      <c r="D3109" t="s">
        <v>1146</v>
      </c>
      <c r="E3109" t="s">
        <v>12226</v>
      </c>
      <c r="F3109" s="1">
        <v>46059.374641203707</v>
      </c>
      <c r="G3109" t="s">
        <v>487</v>
      </c>
      <c r="H3109" t="s">
        <v>447</v>
      </c>
      <c r="I3109" t="s">
        <v>1446</v>
      </c>
      <c r="J3109" t="s">
        <v>5027</v>
      </c>
      <c r="K3109" t="s">
        <v>951</v>
      </c>
      <c r="M3109" t="s">
        <v>47</v>
      </c>
      <c r="O3109" t="s">
        <v>77</v>
      </c>
      <c r="P3109" t="s">
        <v>78</v>
      </c>
      <c r="Q3109" t="s">
        <v>1141</v>
      </c>
      <c r="R3109" t="s">
        <v>79</v>
      </c>
      <c r="S3109" t="s">
        <v>1016</v>
      </c>
      <c r="T3109" t="s">
        <v>4181</v>
      </c>
      <c r="U3109" s="1">
        <v>46072.378553240742</v>
      </c>
      <c r="V3109" t="s">
        <v>54</v>
      </c>
      <c r="W3109" t="s">
        <v>55</v>
      </c>
      <c r="X3109" t="s">
        <v>211</v>
      </c>
      <c r="Y3109" t="s">
        <v>12227</v>
      </c>
      <c r="Z3109" t="s">
        <v>5594</v>
      </c>
      <c r="AA3109" t="s">
        <v>54</v>
      </c>
      <c r="AB3109" t="s">
        <v>213</v>
      </c>
      <c r="AC3109" t="s">
        <v>85</v>
      </c>
      <c r="AD3109" t="s">
        <v>79</v>
      </c>
      <c r="AE3109" t="s">
        <v>1016</v>
      </c>
      <c r="AF3109" t="s">
        <v>11535</v>
      </c>
      <c r="AG3109" t="s">
        <v>5594</v>
      </c>
      <c r="AH3109">
        <v>636</v>
      </c>
      <c r="AK3109">
        <v>12</v>
      </c>
      <c r="AL3109" t="s">
        <v>61</v>
      </c>
      <c r="AM3109" t="s">
        <v>12228</v>
      </c>
      <c r="AN3109" t="s">
        <v>12229</v>
      </c>
    </row>
    <row r="3110" spans="1:40" x14ac:dyDescent="0.35">
      <c r="A3110" t="s">
        <v>37</v>
      </c>
      <c r="B3110" t="s">
        <v>12230</v>
      </c>
      <c r="C3110" t="s">
        <v>352</v>
      </c>
      <c r="D3110" t="s">
        <v>11949</v>
      </c>
      <c r="E3110" t="s">
        <v>11950</v>
      </c>
      <c r="F3110" s="1">
        <v>46059.358425925922</v>
      </c>
      <c r="G3110" t="s">
        <v>261</v>
      </c>
      <c r="H3110" t="s">
        <v>72</v>
      </c>
      <c r="I3110" t="s">
        <v>12231</v>
      </c>
      <c r="J3110" t="s">
        <v>2333</v>
      </c>
      <c r="K3110" t="s">
        <v>1187</v>
      </c>
      <c r="M3110" t="s">
        <v>47</v>
      </c>
      <c r="O3110" t="s">
        <v>48</v>
      </c>
      <c r="P3110" t="s">
        <v>49</v>
      </c>
      <c r="Q3110" t="s">
        <v>50</v>
      </c>
      <c r="R3110" t="s">
        <v>51</v>
      </c>
      <c r="S3110" t="s">
        <v>52</v>
      </c>
      <c r="T3110" t="s">
        <v>195</v>
      </c>
      <c r="U3110" s="1">
        <v>46073.96234953704</v>
      </c>
      <c r="V3110" t="s">
        <v>54</v>
      </c>
      <c r="W3110" t="s">
        <v>55</v>
      </c>
      <c r="X3110" t="s">
        <v>134</v>
      </c>
      <c r="Y3110" t="s">
        <v>12232</v>
      </c>
      <c r="Z3110" t="s">
        <v>5594</v>
      </c>
      <c r="AA3110" t="s">
        <v>54</v>
      </c>
      <c r="AB3110" t="s">
        <v>458</v>
      </c>
      <c r="AC3110" t="s">
        <v>60</v>
      </c>
      <c r="AD3110" t="s">
        <v>1189</v>
      </c>
      <c r="AE3110" t="s">
        <v>1190</v>
      </c>
      <c r="AF3110" t="s">
        <v>10097</v>
      </c>
      <c r="AG3110" t="s">
        <v>5594</v>
      </c>
      <c r="AH3110" t="s">
        <v>11953</v>
      </c>
      <c r="AK3110">
        <v>5</v>
      </c>
      <c r="AL3110" t="s">
        <v>61</v>
      </c>
      <c r="AM3110" t="s">
        <v>11954</v>
      </c>
      <c r="AN3110" t="s">
        <v>11955</v>
      </c>
    </row>
    <row r="3111" spans="1:40" x14ac:dyDescent="0.35">
      <c r="A3111" t="s">
        <v>37</v>
      </c>
      <c r="B3111" t="s">
        <v>12233</v>
      </c>
      <c r="C3111" t="s">
        <v>39</v>
      </c>
      <c r="D3111" t="s">
        <v>933</v>
      </c>
      <c r="E3111" t="s">
        <v>3071</v>
      </c>
      <c r="F3111" s="1">
        <v>46059.108495370368</v>
      </c>
      <c r="G3111" t="s">
        <v>1217</v>
      </c>
      <c r="H3111" t="s">
        <v>92</v>
      </c>
      <c r="I3111" t="s">
        <v>12234</v>
      </c>
      <c r="J3111" t="s">
        <v>4070</v>
      </c>
      <c r="K3111" t="s">
        <v>951</v>
      </c>
      <c r="M3111" t="s">
        <v>131</v>
      </c>
      <c r="O3111" t="s">
        <v>77</v>
      </c>
      <c r="P3111" t="s">
        <v>78</v>
      </c>
      <c r="Q3111" t="s">
        <v>6157</v>
      </c>
      <c r="R3111" t="s">
        <v>79</v>
      </c>
      <c r="S3111" t="s">
        <v>11426</v>
      </c>
      <c r="T3111" t="s">
        <v>12235</v>
      </c>
      <c r="U3111" s="1">
        <v>46076.367129629631</v>
      </c>
      <c r="V3111" t="s">
        <v>54</v>
      </c>
      <c r="W3111" t="s">
        <v>55</v>
      </c>
      <c r="X3111" t="s">
        <v>134</v>
      </c>
      <c r="Y3111" t="e">
        <f>- Asset has been returned. - CMDB updated.</f>
        <v>#NAME?</v>
      </c>
      <c r="Z3111" t="s">
        <v>58</v>
      </c>
      <c r="AA3111" t="s">
        <v>54</v>
      </c>
      <c r="AB3111" t="s">
        <v>2521</v>
      </c>
      <c r="AC3111" t="s">
        <v>85</v>
      </c>
      <c r="AD3111" t="s">
        <v>79</v>
      </c>
      <c r="AE3111" t="s">
        <v>11426</v>
      </c>
      <c r="AF3111" t="s">
        <v>11427</v>
      </c>
      <c r="AG3111" t="s">
        <v>58</v>
      </c>
      <c r="AH3111">
        <v>12318</v>
      </c>
      <c r="AJ3111">
        <v>12471</v>
      </c>
      <c r="AK3111">
        <v>10</v>
      </c>
      <c r="AL3111" t="s">
        <v>61</v>
      </c>
      <c r="AM3111" t="s">
        <v>12236</v>
      </c>
      <c r="AN3111" t="s">
        <v>12237</v>
      </c>
    </row>
    <row r="3112" spans="1:40" x14ac:dyDescent="0.35">
      <c r="A3112" t="s">
        <v>37</v>
      </c>
      <c r="B3112" t="s">
        <v>12238</v>
      </c>
      <c r="C3112" t="s">
        <v>39</v>
      </c>
      <c r="D3112" t="s">
        <v>747</v>
      </c>
      <c r="E3112" t="s">
        <v>5246</v>
      </c>
      <c r="F3112" s="1">
        <v>46059.070625</v>
      </c>
      <c r="G3112" t="s">
        <v>327</v>
      </c>
      <c r="H3112" t="s">
        <v>72</v>
      </c>
      <c r="I3112" t="s">
        <v>12239</v>
      </c>
      <c r="J3112" t="s">
        <v>1626</v>
      </c>
      <c r="K3112" t="s">
        <v>1627</v>
      </c>
      <c r="M3112" t="s">
        <v>47</v>
      </c>
      <c r="O3112" t="s">
        <v>77</v>
      </c>
      <c r="P3112" t="s">
        <v>78</v>
      </c>
      <c r="Q3112" t="s">
        <v>50</v>
      </c>
      <c r="R3112" t="s">
        <v>79</v>
      </c>
      <c r="S3112" t="s">
        <v>952</v>
      </c>
      <c r="T3112" t="s">
        <v>953</v>
      </c>
      <c r="U3112" s="1">
        <v>46073.548842592594</v>
      </c>
      <c r="V3112" t="s">
        <v>54</v>
      </c>
      <c r="W3112" t="s">
        <v>55</v>
      </c>
      <c r="X3112" t="s">
        <v>134</v>
      </c>
      <c r="Y3112" t="s">
        <v>12240</v>
      </c>
      <c r="Z3112" t="s">
        <v>5594</v>
      </c>
      <c r="AA3112" t="s">
        <v>54</v>
      </c>
      <c r="AB3112" t="s">
        <v>2521</v>
      </c>
      <c r="AC3112" t="s">
        <v>85</v>
      </c>
      <c r="AD3112" t="s">
        <v>79</v>
      </c>
      <c r="AE3112" t="s">
        <v>952</v>
      </c>
      <c r="AF3112" t="s">
        <v>1630</v>
      </c>
      <c r="AG3112" t="s">
        <v>5594</v>
      </c>
      <c r="AH3112">
        <v>14112</v>
      </c>
      <c r="AK3112">
        <v>0</v>
      </c>
      <c r="AL3112" t="s">
        <v>61</v>
      </c>
      <c r="AM3112" t="s">
        <v>5251</v>
      </c>
      <c r="AN3112" t="s">
        <v>5252</v>
      </c>
    </row>
    <row r="3113" spans="1:40" x14ac:dyDescent="0.35">
      <c r="A3113" t="s">
        <v>37</v>
      </c>
      <c r="B3113" t="s">
        <v>12241</v>
      </c>
      <c r="C3113" t="s">
        <v>102</v>
      </c>
      <c r="D3113" t="s">
        <v>5755</v>
      </c>
      <c r="E3113" t="s">
        <v>12242</v>
      </c>
      <c r="F3113" s="1">
        <v>46059.032673611109</v>
      </c>
      <c r="G3113" t="s">
        <v>170</v>
      </c>
      <c r="H3113" t="s">
        <v>92</v>
      </c>
      <c r="I3113" t="s">
        <v>12243</v>
      </c>
      <c r="J3113" t="s">
        <v>9282</v>
      </c>
      <c r="K3113" t="s">
        <v>9283</v>
      </c>
      <c r="M3113" t="s">
        <v>47</v>
      </c>
      <c r="O3113" t="s">
        <v>237</v>
      </c>
      <c r="P3113" t="s">
        <v>238</v>
      </c>
      <c r="R3113" t="s">
        <v>79</v>
      </c>
      <c r="S3113" t="s">
        <v>975</v>
      </c>
      <c r="T3113" t="s">
        <v>2280</v>
      </c>
      <c r="U3113" s="1">
        <v>46073.605810185189</v>
      </c>
      <c r="V3113" t="s">
        <v>54</v>
      </c>
      <c r="W3113" t="s">
        <v>55</v>
      </c>
      <c r="X3113" t="s">
        <v>134</v>
      </c>
      <c r="Y3113" t="s">
        <v>12244</v>
      </c>
      <c r="Z3113" t="s">
        <v>5594</v>
      </c>
      <c r="AA3113" t="s">
        <v>54</v>
      </c>
      <c r="AB3113" t="s">
        <v>2521</v>
      </c>
      <c r="AC3113" t="s">
        <v>242</v>
      </c>
      <c r="AD3113" t="s">
        <v>79</v>
      </c>
      <c r="AE3113" t="s">
        <v>975</v>
      </c>
      <c r="AF3113" t="s">
        <v>2280</v>
      </c>
      <c r="AG3113" t="s">
        <v>5594</v>
      </c>
      <c r="AH3113">
        <v>14896</v>
      </c>
      <c r="AK3113">
        <v>8</v>
      </c>
      <c r="AL3113" t="s">
        <v>61</v>
      </c>
      <c r="AM3113" t="s">
        <v>12245</v>
      </c>
      <c r="AN3113" t="s">
        <v>12246</v>
      </c>
    </row>
    <row r="3114" spans="1:40" x14ac:dyDescent="0.35">
      <c r="A3114" t="s">
        <v>37</v>
      </c>
      <c r="B3114" t="s">
        <v>12247</v>
      </c>
      <c r="C3114" t="s">
        <v>102</v>
      </c>
      <c r="D3114" t="s">
        <v>89</v>
      </c>
      <c r="E3114" t="s">
        <v>1216</v>
      </c>
      <c r="F3114" s="1">
        <v>46058.839143518519</v>
      </c>
      <c r="G3114" t="s">
        <v>261</v>
      </c>
      <c r="H3114" t="s">
        <v>72</v>
      </c>
      <c r="I3114" t="s">
        <v>12248</v>
      </c>
      <c r="J3114" t="s">
        <v>950</v>
      </c>
      <c r="K3114" t="s">
        <v>951</v>
      </c>
      <c r="M3114" t="s">
        <v>47</v>
      </c>
      <c r="O3114" t="s">
        <v>237</v>
      </c>
      <c r="P3114" t="s">
        <v>238</v>
      </c>
      <c r="Q3114" t="s">
        <v>50</v>
      </c>
      <c r="R3114" t="s">
        <v>305</v>
      </c>
      <c r="S3114" t="s">
        <v>306</v>
      </c>
      <c r="T3114" t="s">
        <v>307</v>
      </c>
      <c r="U3114" s="1">
        <v>46072.425092592595</v>
      </c>
      <c r="V3114" t="s">
        <v>54</v>
      </c>
      <c r="W3114" t="s">
        <v>55</v>
      </c>
      <c r="X3114" t="s">
        <v>211</v>
      </c>
      <c r="Y3114" t="e">
        <f>- A new windows image has been installed and configured on the user laptop. - issue has been resolved.</f>
        <v>#NAME?</v>
      </c>
      <c r="Z3114" t="s">
        <v>5594</v>
      </c>
      <c r="AA3114" t="s">
        <v>54</v>
      </c>
      <c r="AB3114" t="s">
        <v>213</v>
      </c>
      <c r="AC3114" t="s">
        <v>242</v>
      </c>
      <c r="AD3114" t="s">
        <v>79</v>
      </c>
      <c r="AE3114" t="s">
        <v>955</v>
      </c>
      <c r="AF3114" t="s">
        <v>956</v>
      </c>
      <c r="AG3114" t="s">
        <v>5594</v>
      </c>
      <c r="AH3114">
        <v>13396</v>
      </c>
      <c r="AK3114">
        <v>8</v>
      </c>
      <c r="AL3114" t="s">
        <v>61</v>
      </c>
      <c r="AM3114" t="s">
        <v>12249</v>
      </c>
      <c r="AN3114" t="s">
        <v>12250</v>
      </c>
    </row>
    <row r="3115" spans="1:40" x14ac:dyDescent="0.35">
      <c r="A3115" t="s">
        <v>37</v>
      </c>
      <c r="B3115" t="s">
        <v>12251</v>
      </c>
      <c r="C3115" t="s">
        <v>39</v>
      </c>
      <c r="D3115" t="s">
        <v>7082</v>
      </c>
      <c r="E3115" t="s">
        <v>7083</v>
      </c>
      <c r="F3115" s="1">
        <v>46058.725289351853</v>
      </c>
      <c r="G3115" t="s">
        <v>286</v>
      </c>
      <c r="H3115" t="s">
        <v>287</v>
      </c>
      <c r="I3115" t="s">
        <v>1446</v>
      </c>
      <c r="J3115" t="s">
        <v>12252</v>
      </c>
      <c r="K3115" t="s">
        <v>12253</v>
      </c>
      <c r="M3115" t="s">
        <v>131</v>
      </c>
      <c r="O3115" t="s">
        <v>77</v>
      </c>
      <c r="P3115" t="s">
        <v>78</v>
      </c>
      <c r="Q3115" t="s">
        <v>50</v>
      </c>
      <c r="R3115" t="s">
        <v>51</v>
      </c>
      <c r="S3115" t="s">
        <v>52</v>
      </c>
      <c r="T3115" t="s">
        <v>773</v>
      </c>
      <c r="U3115" s="1">
        <v>46078.631504629629</v>
      </c>
      <c r="V3115" t="s">
        <v>54</v>
      </c>
      <c r="W3115" t="s">
        <v>55</v>
      </c>
      <c r="X3115" t="s">
        <v>211</v>
      </c>
      <c r="Y3115" t="s">
        <v>12254</v>
      </c>
      <c r="Z3115" t="s">
        <v>58</v>
      </c>
      <c r="AA3115" t="s">
        <v>54</v>
      </c>
      <c r="AB3115" t="s">
        <v>213</v>
      </c>
      <c r="AC3115" t="s">
        <v>85</v>
      </c>
      <c r="AD3115" t="s">
        <v>52</v>
      </c>
      <c r="AE3115" t="s">
        <v>438</v>
      </c>
      <c r="AF3115" t="s">
        <v>775</v>
      </c>
      <c r="AG3115" t="s">
        <v>58</v>
      </c>
      <c r="AH3115" t="s">
        <v>7085</v>
      </c>
      <c r="AK3115">
        <v>6</v>
      </c>
      <c r="AL3115" t="s">
        <v>61</v>
      </c>
      <c r="AM3115" t="s">
        <v>7086</v>
      </c>
      <c r="AN3115" t="s">
        <v>7087</v>
      </c>
    </row>
    <row r="3116" spans="1:40" x14ac:dyDescent="0.35">
      <c r="A3116" t="s">
        <v>37</v>
      </c>
      <c r="B3116" t="s">
        <v>12255</v>
      </c>
      <c r="C3116" t="s">
        <v>39</v>
      </c>
      <c r="D3116" t="s">
        <v>12256</v>
      </c>
      <c r="E3116" t="s">
        <v>12257</v>
      </c>
      <c r="F3116" s="1">
        <v>46058.598958333336</v>
      </c>
      <c r="G3116" t="s">
        <v>355</v>
      </c>
      <c r="H3116" t="s">
        <v>356</v>
      </c>
      <c r="I3116" t="s">
        <v>12258</v>
      </c>
      <c r="J3116" t="s">
        <v>1337</v>
      </c>
      <c r="K3116" t="s">
        <v>951</v>
      </c>
      <c r="M3116" t="s">
        <v>76</v>
      </c>
      <c r="O3116" t="s">
        <v>77</v>
      </c>
      <c r="P3116" t="s">
        <v>78</v>
      </c>
      <c r="Q3116" t="s">
        <v>50</v>
      </c>
      <c r="R3116" t="s">
        <v>51</v>
      </c>
      <c r="S3116" t="s">
        <v>52</v>
      </c>
      <c r="T3116" t="s">
        <v>4080</v>
      </c>
      <c r="U3116" s="1">
        <v>46078.593576388892</v>
      </c>
      <c r="V3116" t="s">
        <v>54</v>
      </c>
      <c r="W3116" t="s">
        <v>55</v>
      </c>
      <c r="X3116" t="s">
        <v>134</v>
      </c>
      <c r="Y3116" t="s">
        <v>12259</v>
      </c>
      <c r="Z3116" t="s">
        <v>58</v>
      </c>
      <c r="AA3116" t="s">
        <v>54</v>
      </c>
      <c r="AB3116" t="s">
        <v>408</v>
      </c>
      <c r="AC3116" t="s">
        <v>85</v>
      </c>
      <c r="AD3116" t="s">
        <v>79</v>
      </c>
      <c r="AE3116" t="s">
        <v>8998</v>
      </c>
      <c r="AF3116" t="s">
        <v>8998</v>
      </c>
      <c r="AG3116" t="s">
        <v>58</v>
      </c>
      <c r="AH3116">
        <v>15962</v>
      </c>
      <c r="AJ3116">
        <v>12470</v>
      </c>
      <c r="AK3116">
        <v>10</v>
      </c>
      <c r="AL3116" t="s">
        <v>61</v>
      </c>
      <c r="AM3116" t="s">
        <v>12260</v>
      </c>
      <c r="AN3116" t="s">
        <v>12261</v>
      </c>
    </row>
    <row r="3117" spans="1:40" x14ac:dyDescent="0.35">
      <c r="A3117" t="s">
        <v>37</v>
      </c>
      <c r="B3117" t="s">
        <v>12262</v>
      </c>
      <c r="C3117" t="s">
        <v>102</v>
      </c>
      <c r="D3117" t="s">
        <v>568</v>
      </c>
      <c r="E3117" t="s">
        <v>569</v>
      </c>
      <c r="F3117" s="1">
        <v>46058.577615740738</v>
      </c>
      <c r="G3117" t="s">
        <v>105</v>
      </c>
      <c r="H3117" t="s">
        <v>106</v>
      </c>
      <c r="I3117" t="s">
        <v>12263</v>
      </c>
      <c r="J3117" t="s">
        <v>11462</v>
      </c>
      <c r="K3117" t="s">
        <v>2345</v>
      </c>
      <c r="M3117" t="s">
        <v>150</v>
      </c>
      <c r="O3117" t="s">
        <v>77</v>
      </c>
      <c r="P3117" t="s">
        <v>78</v>
      </c>
      <c r="Q3117" t="s">
        <v>448</v>
      </c>
      <c r="R3117" t="s">
        <v>4822</v>
      </c>
      <c r="S3117" t="s">
        <v>12264</v>
      </c>
      <c r="T3117" t="s">
        <v>12265</v>
      </c>
      <c r="U3117" s="1">
        <v>46076.515405092592</v>
      </c>
      <c r="V3117" t="s">
        <v>54</v>
      </c>
      <c r="W3117" t="s">
        <v>1584</v>
      </c>
      <c r="X3117" t="s">
        <v>134</v>
      </c>
      <c r="Y3117" t="s">
        <v>12266</v>
      </c>
      <c r="Z3117" t="s">
        <v>58</v>
      </c>
      <c r="AA3117" t="s">
        <v>54</v>
      </c>
      <c r="AB3117" t="s">
        <v>4447</v>
      </c>
      <c r="AC3117" t="s">
        <v>85</v>
      </c>
      <c r="AD3117" t="s">
        <v>4822</v>
      </c>
      <c r="AE3117" t="s">
        <v>12264</v>
      </c>
      <c r="AF3117" t="s">
        <v>12265</v>
      </c>
      <c r="AG3117" t="s">
        <v>58</v>
      </c>
      <c r="AK3117">
        <v>0</v>
      </c>
      <c r="AL3117" t="s">
        <v>61</v>
      </c>
      <c r="AM3117" t="s">
        <v>576</v>
      </c>
      <c r="AN3117" t="s">
        <v>577</v>
      </c>
    </row>
    <row r="3118" spans="1:40" x14ac:dyDescent="0.35">
      <c r="A3118" t="s">
        <v>37</v>
      </c>
      <c r="B3118" t="s">
        <v>12267</v>
      </c>
      <c r="C3118" t="s">
        <v>39</v>
      </c>
      <c r="D3118" t="s">
        <v>9085</v>
      </c>
      <c r="E3118" t="s">
        <v>9086</v>
      </c>
      <c r="F3118" s="1">
        <v>46058.498842592591</v>
      </c>
      <c r="G3118" t="s">
        <v>250</v>
      </c>
      <c r="H3118" t="s">
        <v>106</v>
      </c>
      <c r="I3118" t="s">
        <v>12268</v>
      </c>
      <c r="J3118" t="s">
        <v>2550</v>
      </c>
      <c r="K3118" t="s">
        <v>2551</v>
      </c>
      <c r="M3118" t="s">
        <v>131</v>
      </c>
      <c r="O3118" t="s">
        <v>77</v>
      </c>
      <c r="P3118" t="s">
        <v>78</v>
      </c>
      <c r="Q3118" t="s">
        <v>9088</v>
      </c>
      <c r="R3118" t="s">
        <v>208</v>
      </c>
      <c r="S3118" t="s">
        <v>3119</v>
      </c>
      <c r="T3118" t="s">
        <v>12269</v>
      </c>
      <c r="U3118" s="1">
        <v>46076.610775462963</v>
      </c>
      <c r="V3118" t="s">
        <v>54</v>
      </c>
      <c r="W3118" t="s">
        <v>55</v>
      </c>
      <c r="X3118" t="s">
        <v>134</v>
      </c>
      <c r="Y3118" t="s">
        <v>12270</v>
      </c>
      <c r="Z3118" t="s">
        <v>58</v>
      </c>
      <c r="AA3118" t="s">
        <v>54</v>
      </c>
      <c r="AB3118" t="s">
        <v>408</v>
      </c>
      <c r="AC3118" t="s">
        <v>85</v>
      </c>
      <c r="AD3118" t="s">
        <v>208</v>
      </c>
      <c r="AE3118" t="s">
        <v>3119</v>
      </c>
      <c r="AF3118" t="s">
        <v>12269</v>
      </c>
      <c r="AG3118" t="s">
        <v>58</v>
      </c>
      <c r="AH3118">
        <v>6584</v>
      </c>
      <c r="AK3118">
        <v>8</v>
      </c>
      <c r="AL3118" t="s">
        <v>61</v>
      </c>
      <c r="AM3118" t="s">
        <v>9090</v>
      </c>
      <c r="AN3118" t="s">
        <v>9091</v>
      </c>
    </row>
    <row r="3119" spans="1:40" x14ac:dyDescent="0.35">
      <c r="A3119" t="s">
        <v>37</v>
      </c>
      <c r="B3119" t="s">
        <v>12271</v>
      </c>
      <c r="C3119" t="s">
        <v>39</v>
      </c>
      <c r="D3119" t="s">
        <v>2396</v>
      </c>
      <c r="E3119" t="s">
        <v>12272</v>
      </c>
      <c r="F3119" s="1">
        <v>46058.4690162037</v>
      </c>
      <c r="G3119" t="s">
        <v>771</v>
      </c>
      <c r="H3119" t="s">
        <v>92</v>
      </c>
      <c r="I3119" t="s">
        <v>12273</v>
      </c>
      <c r="J3119" t="s">
        <v>435</v>
      </c>
      <c r="K3119" t="s">
        <v>436</v>
      </c>
      <c r="M3119" t="s">
        <v>76</v>
      </c>
      <c r="O3119" t="s">
        <v>77</v>
      </c>
      <c r="P3119" t="s">
        <v>78</v>
      </c>
      <c r="Q3119" t="s">
        <v>465</v>
      </c>
      <c r="R3119" t="s">
        <v>51</v>
      </c>
      <c r="S3119" t="s">
        <v>52</v>
      </c>
      <c r="T3119" t="s">
        <v>4080</v>
      </c>
      <c r="U3119" s="1">
        <v>46076.40425925926</v>
      </c>
      <c r="V3119" t="s">
        <v>54</v>
      </c>
      <c r="W3119" t="s">
        <v>55</v>
      </c>
      <c r="X3119" t="s">
        <v>134</v>
      </c>
      <c r="Y3119" t="s">
        <v>12274</v>
      </c>
      <c r="Z3119" t="s">
        <v>58</v>
      </c>
      <c r="AA3119" t="s">
        <v>54</v>
      </c>
      <c r="AB3119" t="s">
        <v>408</v>
      </c>
      <c r="AC3119" t="s">
        <v>85</v>
      </c>
      <c r="AD3119" t="s">
        <v>52</v>
      </c>
      <c r="AE3119" t="s">
        <v>438</v>
      </c>
      <c r="AF3119" t="s">
        <v>439</v>
      </c>
      <c r="AG3119" t="s">
        <v>58</v>
      </c>
      <c r="AH3119">
        <v>5262</v>
      </c>
      <c r="AK3119">
        <v>5</v>
      </c>
      <c r="AL3119" t="s">
        <v>61</v>
      </c>
      <c r="AM3119" t="s">
        <v>12275</v>
      </c>
      <c r="AN3119" t="s">
        <v>12276</v>
      </c>
    </row>
    <row r="3120" spans="1:40" x14ac:dyDescent="0.35">
      <c r="A3120" t="s">
        <v>37</v>
      </c>
      <c r="B3120" t="s">
        <v>12277</v>
      </c>
      <c r="C3120" t="s">
        <v>39</v>
      </c>
      <c r="D3120" t="s">
        <v>295</v>
      </c>
      <c r="E3120" t="s">
        <v>757</v>
      </c>
      <c r="F3120" s="1">
        <v>46058.409363425926</v>
      </c>
      <c r="G3120" t="s">
        <v>71</v>
      </c>
      <c r="H3120" t="s">
        <v>72</v>
      </c>
      <c r="I3120" t="s">
        <v>12278</v>
      </c>
      <c r="J3120" t="s">
        <v>3117</v>
      </c>
      <c r="K3120" t="s">
        <v>10290</v>
      </c>
      <c r="M3120" t="s">
        <v>76</v>
      </c>
      <c r="O3120" t="s">
        <v>77</v>
      </c>
      <c r="P3120" t="s">
        <v>78</v>
      </c>
      <c r="Q3120" t="s">
        <v>2295</v>
      </c>
      <c r="R3120" t="s">
        <v>305</v>
      </c>
      <c r="S3120" t="s">
        <v>306</v>
      </c>
      <c r="T3120" t="s">
        <v>307</v>
      </c>
      <c r="U3120" s="1">
        <v>46076.587118055555</v>
      </c>
      <c r="V3120" t="s">
        <v>54</v>
      </c>
      <c r="W3120" t="s">
        <v>55</v>
      </c>
      <c r="X3120" t="s">
        <v>211</v>
      </c>
      <c r="Y3120" t="s">
        <v>12279</v>
      </c>
      <c r="Z3120" t="s">
        <v>58</v>
      </c>
      <c r="AA3120" t="s">
        <v>54</v>
      </c>
      <c r="AB3120" t="s">
        <v>213</v>
      </c>
      <c r="AC3120" t="s">
        <v>85</v>
      </c>
      <c r="AD3120" t="s">
        <v>208</v>
      </c>
      <c r="AE3120" t="s">
        <v>10292</v>
      </c>
      <c r="AF3120" t="s">
        <v>12280</v>
      </c>
      <c r="AG3120" t="s">
        <v>58</v>
      </c>
      <c r="AH3120">
        <v>7446</v>
      </c>
      <c r="AK3120">
        <v>3</v>
      </c>
      <c r="AL3120" t="s">
        <v>61</v>
      </c>
      <c r="AM3120" t="s">
        <v>12281</v>
      </c>
      <c r="AN3120" t="s">
        <v>12282</v>
      </c>
    </row>
    <row r="3121" spans="1:40" x14ac:dyDescent="0.35">
      <c r="A3121" t="s">
        <v>37</v>
      </c>
      <c r="B3121" t="s">
        <v>12283</v>
      </c>
      <c r="C3121" t="s">
        <v>39</v>
      </c>
      <c r="D3121" t="s">
        <v>12284</v>
      </c>
      <c r="E3121" t="s">
        <v>12285</v>
      </c>
      <c r="F3121" s="1">
        <v>46058.375138888892</v>
      </c>
      <c r="G3121" t="s">
        <v>297</v>
      </c>
      <c r="H3121" t="s">
        <v>287</v>
      </c>
      <c r="I3121" t="s">
        <v>12286</v>
      </c>
      <c r="J3121" t="s">
        <v>4244</v>
      </c>
      <c r="K3121" t="s">
        <v>951</v>
      </c>
      <c r="M3121" t="s">
        <v>131</v>
      </c>
      <c r="O3121" t="s">
        <v>77</v>
      </c>
      <c r="P3121" t="s">
        <v>78</v>
      </c>
      <c r="Q3121" t="s">
        <v>50</v>
      </c>
      <c r="R3121" t="s">
        <v>79</v>
      </c>
      <c r="S3121" t="s">
        <v>11426</v>
      </c>
      <c r="T3121" t="s">
        <v>12235</v>
      </c>
      <c r="U3121" s="1">
        <v>46077.485231481478</v>
      </c>
      <c r="V3121" t="s">
        <v>54</v>
      </c>
      <c r="W3121" t="s">
        <v>55</v>
      </c>
      <c r="X3121" t="s">
        <v>82</v>
      </c>
      <c r="Y3121" t="s">
        <v>12287</v>
      </c>
      <c r="Z3121" t="s">
        <v>58</v>
      </c>
      <c r="AA3121" t="s">
        <v>54</v>
      </c>
      <c r="AB3121" t="s">
        <v>3425</v>
      </c>
      <c r="AC3121" t="s">
        <v>85</v>
      </c>
      <c r="AD3121" t="s">
        <v>79</v>
      </c>
      <c r="AE3121" t="s">
        <v>11426</v>
      </c>
      <c r="AF3121" t="s">
        <v>11427</v>
      </c>
      <c r="AG3121" t="s">
        <v>58</v>
      </c>
      <c r="AH3121">
        <v>11892</v>
      </c>
      <c r="AJ3121">
        <v>12456</v>
      </c>
      <c r="AK3121">
        <v>8</v>
      </c>
      <c r="AL3121" t="s">
        <v>61</v>
      </c>
      <c r="AM3121" t="s">
        <v>12288</v>
      </c>
      <c r="AN3121" t="s">
        <v>12289</v>
      </c>
    </row>
    <row r="3122" spans="1:40" x14ac:dyDescent="0.35">
      <c r="A3122" t="s">
        <v>37</v>
      </c>
      <c r="B3122" t="s">
        <v>12290</v>
      </c>
      <c r="C3122" t="s">
        <v>39</v>
      </c>
      <c r="D3122" t="s">
        <v>9288</v>
      </c>
      <c r="E3122" t="s">
        <v>9289</v>
      </c>
      <c r="F3122" s="1">
        <v>46058.366261574076</v>
      </c>
      <c r="G3122" t="s">
        <v>913</v>
      </c>
      <c r="H3122" t="s">
        <v>72</v>
      </c>
      <c r="I3122" t="s">
        <v>12291</v>
      </c>
      <c r="J3122" t="s">
        <v>4967</v>
      </c>
      <c r="K3122" t="s">
        <v>1834</v>
      </c>
      <c r="M3122" t="s">
        <v>76</v>
      </c>
      <c r="O3122" t="s">
        <v>77</v>
      </c>
      <c r="P3122" t="s">
        <v>78</v>
      </c>
      <c r="Q3122" t="s">
        <v>50</v>
      </c>
      <c r="R3122" t="s">
        <v>51</v>
      </c>
      <c r="S3122" t="s">
        <v>52</v>
      </c>
      <c r="T3122" t="s">
        <v>240</v>
      </c>
      <c r="U3122" s="1">
        <v>46076.394814814812</v>
      </c>
      <c r="V3122" t="s">
        <v>54</v>
      </c>
      <c r="W3122" t="s">
        <v>55</v>
      </c>
      <c r="X3122" t="s">
        <v>134</v>
      </c>
      <c r="Y3122" t="s">
        <v>12292</v>
      </c>
      <c r="Z3122" t="s">
        <v>58</v>
      </c>
      <c r="AA3122" t="s">
        <v>54</v>
      </c>
      <c r="AB3122" t="s">
        <v>3342</v>
      </c>
      <c r="AC3122" t="s">
        <v>85</v>
      </c>
      <c r="AD3122" t="s">
        <v>52</v>
      </c>
      <c r="AE3122" t="s">
        <v>999</v>
      </c>
      <c r="AF3122" t="s">
        <v>2272</v>
      </c>
      <c r="AG3122" t="s">
        <v>58</v>
      </c>
      <c r="AH3122">
        <v>13584</v>
      </c>
      <c r="AK3122">
        <v>0</v>
      </c>
      <c r="AL3122" t="s">
        <v>61</v>
      </c>
      <c r="AM3122" t="s">
        <v>9293</v>
      </c>
      <c r="AN3122" t="s">
        <v>9294</v>
      </c>
    </row>
    <row r="3123" spans="1:40" x14ac:dyDescent="0.35">
      <c r="A3123" t="s">
        <v>37</v>
      </c>
      <c r="B3123" t="s">
        <v>12293</v>
      </c>
      <c r="C3123" t="s">
        <v>39</v>
      </c>
      <c r="D3123" t="s">
        <v>8053</v>
      </c>
      <c r="E3123" t="s">
        <v>12294</v>
      </c>
      <c r="F3123" s="1">
        <v>46057.648645833331</v>
      </c>
      <c r="G3123" t="s">
        <v>355</v>
      </c>
      <c r="H3123" t="s">
        <v>356</v>
      </c>
      <c r="I3123" t="s">
        <v>10018</v>
      </c>
      <c r="J3123" t="s">
        <v>1337</v>
      </c>
      <c r="K3123" t="s">
        <v>951</v>
      </c>
      <c r="M3123" t="s">
        <v>76</v>
      </c>
      <c r="O3123" t="s">
        <v>77</v>
      </c>
      <c r="P3123" t="s">
        <v>78</v>
      </c>
      <c r="Q3123" t="s">
        <v>50</v>
      </c>
      <c r="R3123" t="s">
        <v>305</v>
      </c>
      <c r="S3123" t="s">
        <v>306</v>
      </c>
      <c r="T3123" t="s">
        <v>307</v>
      </c>
      <c r="U3123" s="1">
        <v>46076.584733796299</v>
      </c>
      <c r="V3123" t="s">
        <v>54</v>
      </c>
      <c r="W3123" t="s">
        <v>55</v>
      </c>
      <c r="X3123" t="s">
        <v>211</v>
      </c>
      <c r="Y3123" t="e">
        <f>- Monitor provided to the user.  - CMDB updated.</f>
        <v>#NAME?</v>
      </c>
      <c r="Z3123" t="s">
        <v>58</v>
      </c>
      <c r="AA3123" t="s">
        <v>54</v>
      </c>
      <c r="AB3123" t="s">
        <v>213</v>
      </c>
      <c r="AC3123" t="s">
        <v>85</v>
      </c>
      <c r="AD3123" t="s">
        <v>79</v>
      </c>
      <c r="AE3123" t="s">
        <v>642</v>
      </c>
      <c r="AF3123" t="s">
        <v>643</v>
      </c>
      <c r="AG3123" t="s">
        <v>58</v>
      </c>
      <c r="AH3123" t="s">
        <v>12295</v>
      </c>
      <c r="AI3123" t="s">
        <v>12296</v>
      </c>
      <c r="AJ3123">
        <v>191546</v>
      </c>
      <c r="AK3123">
        <v>17</v>
      </c>
      <c r="AL3123" t="s">
        <v>61</v>
      </c>
      <c r="AM3123" t="s">
        <v>12297</v>
      </c>
      <c r="AN3123" t="s">
        <v>12298</v>
      </c>
    </row>
    <row r="3124" spans="1:40" x14ac:dyDescent="0.35">
      <c r="A3124" t="s">
        <v>37</v>
      </c>
      <c r="B3124" t="s">
        <v>12299</v>
      </c>
      <c r="C3124" t="s">
        <v>39</v>
      </c>
      <c r="D3124" t="s">
        <v>10952</v>
      </c>
      <c r="E3124" t="s">
        <v>10953</v>
      </c>
      <c r="F3124" s="1">
        <v>46057.608263888891</v>
      </c>
      <c r="G3124" t="s">
        <v>304</v>
      </c>
      <c r="H3124" t="s">
        <v>106</v>
      </c>
      <c r="I3124" t="s">
        <v>12300</v>
      </c>
      <c r="J3124" t="s">
        <v>5583</v>
      </c>
      <c r="K3124" t="s">
        <v>951</v>
      </c>
      <c r="M3124" t="s">
        <v>76</v>
      </c>
      <c r="O3124" t="s">
        <v>77</v>
      </c>
      <c r="P3124" t="s">
        <v>78</v>
      </c>
      <c r="Q3124" t="s">
        <v>3642</v>
      </c>
      <c r="R3124" t="s">
        <v>79</v>
      </c>
      <c r="S3124" t="s">
        <v>8996</v>
      </c>
      <c r="T3124" t="s">
        <v>8996</v>
      </c>
      <c r="U3124" s="1">
        <v>46078.442916666667</v>
      </c>
      <c r="V3124" t="s">
        <v>54</v>
      </c>
      <c r="W3124" t="s">
        <v>55</v>
      </c>
      <c r="X3124" t="s">
        <v>134</v>
      </c>
      <c r="Y3124" t="s">
        <v>12301</v>
      </c>
      <c r="Z3124" t="s">
        <v>58</v>
      </c>
      <c r="AA3124" t="s">
        <v>54</v>
      </c>
      <c r="AB3124" t="s">
        <v>408</v>
      </c>
      <c r="AC3124" t="s">
        <v>85</v>
      </c>
      <c r="AD3124" t="s">
        <v>79</v>
      </c>
      <c r="AE3124" t="s">
        <v>8998</v>
      </c>
      <c r="AF3124" t="s">
        <v>8998</v>
      </c>
      <c r="AG3124" t="s">
        <v>58</v>
      </c>
      <c r="AH3124">
        <v>11342</v>
      </c>
      <c r="AJ3124">
        <v>12501</v>
      </c>
      <c r="AK3124">
        <v>11</v>
      </c>
      <c r="AL3124" t="s">
        <v>61</v>
      </c>
      <c r="AM3124" t="s">
        <v>10956</v>
      </c>
      <c r="AN3124" t="s">
        <v>10957</v>
      </c>
    </row>
    <row r="3125" spans="1:40" x14ac:dyDescent="0.35">
      <c r="A3125" t="s">
        <v>37</v>
      </c>
      <c r="B3125" t="s">
        <v>12302</v>
      </c>
      <c r="C3125" t="s">
        <v>102</v>
      </c>
      <c r="D3125" t="s">
        <v>3486</v>
      </c>
      <c r="E3125" t="s">
        <v>3487</v>
      </c>
      <c r="F3125" s="1">
        <v>46057.574502314812</v>
      </c>
      <c r="G3125" t="s">
        <v>105</v>
      </c>
      <c r="H3125" t="s">
        <v>106</v>
      </c>
      <c r="I3125" t="s">
        <v>12303</v>
      </c>
      <c r="J3125" t="s">
        <v>108</v>
      </c>
      <c r="K3125" t="s">
        <v>109</v>
      </c>
      <c r="M3125" t="s">
        <v>47</v>
      </c>
      <c r="O3125" t="s">
        <v>77</v>
      </c>
      <c r="P3125" t="s">
        <v>78</v>
      </c>
      <c r="Q3125" t="s">
        <v>50</v>
      </c>
      <c r="R3125" t="s">
        <v>111</v>
      </c>
      <c r="S3125" t="s">
        <v>51</v>
      </c>
      <c r="T3125" t="s">
        <v>1583</v>
      </c>
      <c r="U3125" s="1">
        <v>46072.505798611113</v>
      </c>
      <c r="V3125" t="s">
        <v>54</v>
      </c>
      <c r="W3125" t="s">
        <v>1584</v>
      </c>
      <c r="X3125" t="s">
        <v>113</v>
      </c>
      <c r="Y3125" t="s">
        <v>12304</v>
      </c>
      <c r="Z3125" t="s">
        <v>5594</v>
      </c>
      <c r="AA3125" t="s">
        <v>54</v>
      </c>
      <c r="AB3125" t="s">
        <v>115</v>
      </c>
      <c r="AC3125" t="s">
        <v>85</v>
      </c>
      <c r="AD3125" t="s">
        <v>116</v>
      </c>
      <c r="AE3125" t="s">
        <v>1586</v>
      </c>
      <c r="AF3125" t="s">
        <v>5119</v>
      </c>
      <c r="AG3125" t="s">
        <v>5594</v>
      </c>
      <c r="AH3125" t="s">
        <v>3491</v>
      </c>
      <c r="AK3125">
        <v>1</v>
      </c>
      <c r="AL3125" t="s">
        <v>61</v>
      </c>
      <c r="AM3125" t="s">
        <v>3492</v>
      </c>
      <c r="AN3125" t="s">
        <v>3493</v>
      </c>
    </row>
    <row r="3126" spans="1:40" x14ac:dyDescent="0.35">
      <c r="A3126" t="s">
        <v>37</v>
      </c>
      <c r="B3126" t="s">
        <v>12305</v>
      </c>
      <c r="C3126" t="s">
        <v>656</v>
      </c>
      <c r="D3126" t="s">
        <v>1711</v>
      </c>
      <c r="E3126" t="s">
        <v>1712</v>
      </c>
      <c r="F3126" s="1">
        <v>46057.97928240741</v>
      </c>
      <c r="G3126" t="s">
        <v>1713</v>
      </c>
      <c r="H3126" t="s">
        <v>356</v>
      </c>
      <c r="I3126" t="s">
        <v>12306</v>
      </c>
      <c r="J3126" t="s">
        <v>3763</v>
      </c>
      <c r="K3126" t="s">
        <v>4359</v>
      </c>
      <c r="M3126" t="s">
        <v>47</v>
      </c>
      <c r="O3126" t="s">
        <v>237</v>
      </c>
      <c r="P3126" t="s">
        <v>238</v>
      </c>
      <c r="Q3126" t="s">
        <v>50</v>
      </c>
      <c r="R3126" t="s">
        <v>305</v>
      </c>
      <c r="S3126" t="s">
        <v>306</v>
      </c>
      <c r="T3126" t="s">
        <v>1715</v>
      </c>
      <c r="U3126" s="1">
        <v>46073.913888888892</v>
      </c>
      <c r="V3126" t="s">
        <v>54</v>
      </c>
      <c r="W3126" t="s">
        <v>55</v>
      </c>
      <c r="X3126" t="s">
        <v>134</v>
      </c>
      <c r="Y3126" t="s">
        <v>12307</v>
      </c>
      <c r="Z3126" t="s">
        <v>5594</v>
      </c>
      <c r="AA3126" t="s">
        <v>54</v>
      </c>
      <c r="AB3126" t="s">
        <v>1717</v>
      </c>
      <c r="AC3126" t="s">
        <v>242</v>
      </c>
      <c r="AD3126" t="s">
        <v>51</v>
      </c>
      <c r="AE3126" t="s">
        <v>819</v>
      </c>
      <c r="AF3126" t="s">
        <v>3766</v>
      </c>
      <c r="AG3126" t="s">
        <v>5594</v>
      </c>
      <c r="AK3126">
        <v>4</v>
      </c>
      <c r="AL3126" t="s">
        <v>61</v>
      </c>
      <c r="AM3126" t="s">
        <v>1717</v>
      </c>
      <c r="AN3126" t="s">
        <v>1720</v>
      </c>
    </row>
    <row r="3127" spans="1:40" x14ac:dyDescent="0.35">
      <c r="A3127" t="s">
        <v>37</v>
      </c>
      <c r="B3127" t="s">
        <v>12308</v>
      </c>
      <c r="C3127" t="s">
        <v>39</v>
      </c>
      <c r="D3127" t="s">
        <v>12309</v>
      </c>
      <c r="E3127" t="s">
        <v>12309</v>
      </c>
      <c r="F3127" s="1">
        <v>46057.496261574073</v>
      </c>
      <c r="G3127" t="s">
        <v>1249</v>
      </c>
      <c r="H3127" t="s">
        <v>233</v>
      </c>
      <c r="I3127" t="s">
        <v>12310</v>
      </c>
      <c r="J3127" t="s">
        <v>4967</v>
      </c>
      <c r="K3127" t="s">
        <v>1834</v>
      </c>
      <c r="M3127" t="s">
        <v>76</v>
      </c>
      <c r="O3127" t="s">
        <v>77</v>
      </c>
      <c r="P3127" t="s">
        <v>78</v>
      </c>
      <c r="Q3127" t="s">
        <v>4186</v>
      </c>
      <c r="R3127" t="s">
        <v>51</v>
      </c>
      <c r="S3127" t="s">
        <v>52</v>
      </c>
      <c r="T3127" t="s">
        <v>240</v>
      </c>
      <c r="U3127" s="1">
        <v>46076.394120370373</v>
      </c>
      <c r="V3127" t="s">
        <v>54</v>
      </c>
      <c r="W3127" t="s">
        <v>55</v>
      </c>
      <c r="X3127" t="s">
        <v>134</v>
      </c>
      <c r="Y3127" t="s">
        <v>12311</v>
      </c>
      <c r="Z3127" t="s">
        <v>58</v>
      </c>
      <c r="AA3127" t="s">
        <v>54</v>
      </c>
      <c r="AB3127" t="s">
        <v>3342</v>
      </c>
      <c r="AC3127" t="s">
        <v>85</v>
      </c>
      <c r="AD3127" t="s">
        <v>52</v>
      </c>
      <c r="AE3127" t="s">
        <v>243</v>
      </c>
      <c r="AF3127" t="s">
        <v>1470</v>
      </c>
      <c r="AG3127" t="s">
        <v>58</v>
      </c>
      <c r="AH3127">
        <v>6788</v>
      </c>
      <c r="AK3127">
        <v>0</v>
      </c>
      <c r="AL3127" t="s">
        <v>61</v>
      </c>
      <c r="AM3127" t="s">
        <v>12312</v>
      </c>
      <c r="AN3127" t="s">
        <v>12313</v>
      </c>
    </row>
    <row r="3128" spans="1:40" x14ac:dyDescent="0.35">
      <c r="A3128" t="s">
        <v>37</v>
      </c>
      <c r="B3128" t="s">
        <v>12314</v>
      </c>
      <c r="C3128" t="s">
        <v>39</v>
      </c>
      <c r="D3128" t="s">
        <v>10979</v>
      </c>
      <c r="E3128" t="s">
        <v>10980</v>
      </c>
      <c r="F3128" s="1">
        <v>46057.418437499997</v>
      </c>
      <c r="G3128" t="s">
        <v>631</v>
      </c>
      <c r="H3128" t="s">
        <v>447</v>
      </c>
      <c r="I3128" t="s">
        <v>12315</v>
      </c>
      <c r="J3128" t="s">
        <v>4967</v>
      </c>
      <c r="K3128" t="s">
        <v>1834</v>
      </c>
      <c r="M3128" t="s">
        <v>76</v>
      </c>
      <c r="O3128" t="s">
        <v>77</v>
      </c>
      <c r="P3128" t="s">
        <v>78</v>
      </c>
      <c r="Q3128" t="s">
        <v>818</v>
      </c>
      <c r="R3128" t="s">
        <v>51</v>
      </c>
      <c r="S3128" t="s">
        <v>52</v>
      </c>
      <c r="T3128" t="s">
        <v>773</v>
      </c>
      <c r="U3128" s="1">
        <v>46076.392129629632</v>
      </c>
      <c r="V3128" t="s">
        <v>54</v>
      </c>
      <c r="W3128" t="s">
        <v>55</v>
      </c>
      <c r="X3128" t="s">
        <v>134</v>
      </c>
      <c r="Y3128" t="s">
        <v>12316</v>
      </c>
      <c r="Z3128" t="s">
        <v>58</v>
      </c>
      <c r="AA3128" t="s">
        <v>54</v>
      </c>
      <c r="AB3128" t="s">
        <v>3342</v>
      </c>
      <c r="AC3128" t="s">
        <v>85</v>
      </c>
      <c r="AD3128" t="s">
        <v>52</v>
      </c>
      <c r="AE3128" t="s">
        <v>243</v>
      </c>
      <c r="AF3128" t="s">
        <v>1470</v>
      </c>
      <c r="AG3128" t="s">
        <v>58</v>
      </c>
      <c r="AH3128">
        <v>2862</v>
      </c>
      <c r="AK3128">
        <v>0</v>
      </c>
      <c r="AL3128" t="s">
        <v>61</v>
      </c>
      <c r="AM3128" t="s">
        <v>10983</v>
      </c>
      <c r="AN3128" t="s">
        <v>10984</v>
      </c>
    </row>
    <row r="3129" spans="1:40" x14ac:dyDescent="0.35">
      <c r="A3129" t="s">
        <v>37</v>
      </c>
      <c r="B3129" t="s">
        <v>12317</v>
      </c>
      <c r="C3129" t="s">
        <v>102</v>
      </c>
      <c r="D3129" t="s">
        <v>1982</v>
      </c>
      <c r="E3129" t="s">
        <v>5458</v>
      </c>
      <c r="F3129" s="1">
        <v>46056.916504629633</v>
      </c>
      <c r="G3129" t="s">
        <v>304</v>
      </c>
      <c r="H3129" t="s">
        <v>106</v>
      </c>
      <c r="I3129" t="s">
        <v>12318</v>
      </c>
      <c r="J3129" t="s">
        <v>10019</v>
      </c>
      <c r="K3129" t="s">
        <v>75</v>
      </c>
      <c r="M3129" t="s">
        <v>76</v>
      </c>
      <c r="O3129" t="s">
        <v>237</v>
      </c>
      <c r="P3129" t="s">
        <v>238</v>
      </c>
      <c r="Q3129" t="s">
        <v>50</v>
      </c>
      <c r="R3129" t="s">
        <v>79</v>
      </c>
      <c r="S3129" t="s">
        <v>559</v>
      </c>
      <c r="T3129" t="s">
        <v>8840</v>
      </c>
      <c r="U3129" s="1">
        <v>46077.502129629633</v>
      </c>
      <c r="V3129" t="s">
        <v>54</v>
      </c>
      <c r="W3129" t="s">
        <v>55</v>
      </c>
      <c r="X3129" t="s">
        <v>82</v>
      </c>
      <c r="Y3129" t="s">
        <v>12319</v>
      </c>
      <c r="Z3129" t="s">
        <v>58</v>
      </c>
      <c r="AA3129" t="s">
        <v>54</v>
      </c>
      <c r="AB3129" t="s">
        <v>2521</v>
      </c>
      <c r="AC3129" t="s">
        <v>242</v>
      </c>
      <c r="AD3129" t="s">
        <v>79</v>
      </c>
      <c r="AE3129" t="s">
        <v>559</v>
      </c>
      <c r="AF3129" t="s">
        <v>8840</v>
      </c>
      <c r="AG3129" t="s">
        <v>58</v>
      </c>
      <c r="AH3129">
        <v>12848</v>
      </c>
      <c r="AK3129">
        <v>4</v>
      </c>
      <c r="AL3129" t="s">
        <v>61</v>
      </c>
      <c r="AM3129" t="s">
        <v>12320</v>
      </c>
      <c r="AN3129" t="s">
        <v>12321</v>
      </c>
    </row>
    <row r="3130" spans="1:40" x14ac:dyDescent="0.35">
      <c r="A3130" t="s">
        <v>37</v>
      </c>
      <c r="B3130" t="s">
        <v>12322</v>
      </c>
      <c r="C3130" t="s">
        <v>39</v>
      </c>
      <c r="D3130" t="s">
        <v>12323</v>
      </c>
      <c r="E3130" t="s">
        <v>12324</v>
      </c>
      <c r="F3130" s="1">
        <v>46056.742581018516</v>
      </c>
      <c r="G3130" t="s">
        <v>793</v>
      </c>
      <c r="H3130" t="s">
        <v>356</v>
      </c>
      <c r="I3130" t="s">
        <v>12325</v>
      </c>
      <c r="J3130" t="s">
        <v>1337</v>
      </c>
      <c r="K3130" t="s">
        <v>951</v>
      </c>
      <c r="M3130" t="s">
        <v>76</v>
      </c>
      <c r="O3130" t="s">
        <v>77</v>
      </c>
      <c r="P3130" t="s">
        <v>78</v>
      </c>
      <c r="Q3130" t="s">
        <v>50</v>
      </c>
      <c r="R3130" t="s">
        <v>79</v>
      </c>
      <c r="S3130" t="s">
        <v>4869</v>
      </c>
      <c r="T3130" t="s">
        <v>12326</v>
      </c>
      <c r="U3130" s="1">
        <v>46076.585324074076</v>
      </c>
      <c r="V3130" t="s">
        <v>54</v>
      </c>
      <c r="W3130" t="s">
        <v>55</v>
      </c>
      <c r="X3130" t="s">
        <v>134</v>
      </c>
      <c r="Y3130" t="e">
        <f>- new laptop provided to the user, and profile configured.  - old laptop returned to the store.  - CMDB updated.</f>
        <v>#NAME?</v>
      </c>
      <c r="Z3130" t="s">
        <v>58</v>
      </c>
      <c r="AA3130" t="s">
        <v>54</v>
      </c>
      <c r="AB3130" t="s">
        <v>2521</v>
      </c>
      <c r="AC3130" t="s">
        <v>85</v>
      </c>
      <c r="AD3130" t="s">
        <v>79</v>
      </c>
      <c r="AE3130" t="s">
        <v>4869</v>
      </c>
      <c r="AF3130" t="s">
        <v>4870</v>
      </c>
      <c r="AG3130" t="s">
        <v>58</v>
      </c>
      <c r="AH3130">
        <v>14802</v>
      </c>
      <c r="AJ3130" t="s">
        <v>12327</v>
      </c>
      <c r="AK3130">
        <v>16</v>
      </c>
      <c r="AL3130" t="s">
        <v>61</v>
      </c>
      <c r="AM3130" t="s">
        <v>12328</v>
      </c>
      <c r="AN3130" t="s">
        <v>12329</v>
      </c>
    </row>
    <row r="3131" spans="1:40" x14ac:dyDescent="0.35">
      <c r="A3131" t="s">
        <v>37</v>
      </c>
      <c r="B3131" t="s">
        <v>12330</v>
      </c>
      <c r="C3131" t="s">
        <v>39</v>
      </c>
      <c r="D3131" t="s">
        <v>1216</v>
      </c>
      <c r="E3131" t="s">
        <v>12331</v>
      </c>
      <c r="F3131" s="1">
        <v>46057.517847222225</v>
      </c>
      <c r="G3131" t="s">
        <v>597</v>
      </c>
      <c r="H3131" t="s">
        <v>287</v>
      </c>
      <c r="I3131" t="s">
        <v>12332</v>
      </c>
      <c r="J3131" t="s">
        <v>5555</v>
      </c>
      <c r="K3131" t="s">
        <v>10219</v>
      </c>
      <c r="M3131" t="s">
        <v>47</v>
      </c>
      <c r="O3131" t="s">
        <v>77</v>
      </c>
      <c r="P3131" t="s">
        <v>78</v>
      </c>
      <c r="Q3131" t="s">
        <v>4186</v>
      </c>
      <c r="R3131" t="s">
        <v>51</v>
      </c>
      <c r="S3131" t="s">
        <v>52</v>
      </c>
      <c r="T3131" t="s">
        <v>240</v>
      </c>
      <c r="U3131" s="1">
        <v>46073.429143518515</v>
      </c>
      <c r="V3131" t="s">
        <v>54</v>
      </c>
      <c r="W3131" t="s">
        <v>55</v>
      </c>
      <c r="X3131" t="s">
        <v>82</v>
      </c>
      <c r="Y3131" t="s">
        <v>12333</v>
      </c>
      <c r="Z3131" t="s">
        <v>5594</v>
      </c>
      <c r="AA3131" t="s">
        <v>54</v>
      </c>
      <c r="AB3131" t="s">
        <v>698</v>
      </c>
      <c r="AC3131" t="s">
        <v>85</v>
      </c>
      <c r="AD3131" t="s">
        <v>52</v>
      </c>
      <c r="AE3131" t="s">
        <v>243</v>
      </c>
      <c r="AF3131" t="s">
        <v>12334</v>
      </c>
      <c r="AG3131" t="s">
        <v>5594</v>
      </c>
      <c r="AH3131">
        <v>6645</v>
      </c>
      <c r="AK3131">
        <v>6</v>
      </c>
      <c r="AL3131" t="s">
        <v>61</v>
      </c>
      <c r="AM3131" t="s">
        <v>12335</v>
      </c>
      <c r="AN3131" t="s">
        <v>12336</v>
      </c>
    </row>
    <row r="3132" spans="1:40" x14ac:dyDescent="0.35">
      <c r="A3132" t="s">
        <v>37</v>
      </c>
      <c r="B3132" t="s">
        <v>12337</v>
      </c>
      <c r="C3132" t="s">
        <v>102</v>
      </c>
      <c r="D3132" t="s">
        <v>11791</v>
      </c>
      <c r="E3132" t="s">
        <v>779</v>
      </c>
      <c r="F3132" s="1">
        <v>46056.50990740741</v>
      </c>
      <c r="G3132" t="s">
        <v>402</v>
      </c>
      <c r="H3132" t="s">
        <v>72</v>
      </c>
      <c r="I3132" t="s">
        <v>12338</v>
      </c>
      <c r="J3132" t="s">
        <v>12339</v>
      </c>
      <c r="K3132" t="s">
        <v>5556</v>
      </c>
      <c r="M3132" t="s">
        <v>76</v>
      </c>
      <c r="O3132" t="s">
        <v>237</v>
      </c>
      <c r="P3132" t="s">
        <v>238</v>
      </c>
      <c r="Q3132" t="s">
        <v>50</v>
      </c>
      <c r="R3132" t="s">
        <v>51</v>
      </c>
      <c r="S3132" t="s">
        <v>52</v>
      </c>
      <c r="T3132" t="s">
        <v>240</v>
      </c>
      <c r="U3132" s="1">
        <v>46076.584039351852</v>
      </c>
      <c r="V3132" t="s">
        <v>54</v>
      </c>
      <c r="W3132" t="s">
        <v>55</v>
      </c>
      <c r="X3132" t="s">
        <v>211</v>
      </c>
      <c r="Y3132" t="s">
        <v>12340</v>
      </c>
      <c r="Z3132" t="s">
        <v>58</v>
      </c>
      <c r="AA3132" t="s">
        <v>54</v>
      </c>
      <c r="AB3132" t="s">
        <v>213</v>
      </c>
      <c r="AC3132" t="s">
        <v>242</v>
      </c>
      <c r="AD3132" t="s">
        <v>52</v>
      </c>
      <c r="AE3132" t="s">
        <v>243</v>
      </c>
      <c r="AF3132" t="s">
        <v>2533</v>
      </c>
      <c r="AG3132" t="s">
        <v>58</v>
      </c>
      <c r="AH3132" t="s">
        <v>11792</v>
      </c>
      <c r="AK3132">
        <v>1</v>
      </c>
      <c r="AL3132" t="s">
        <v>61</v>
      </c>
      <c r="AM3132" t="s">
        <v>11793</v>
      </c>
      <c r="AN3132" t="s">
        <v>11794</v>
      </c>
    </row>
    <row r="3133" spans="1:40" x14ac:dyDescent="0.35">
      <c r="A3133" t="s">
        <v>37</v>
      </c>
      <c r="B3133" t="s">
        <v>12341</v>
      </c>
      <c r="C3133" t="s">
        <v>656</v>
      </c>
      <c r="D3133" t="s">
        <v>6132</v>
      </c>
      <c r="E3133" t="s">
        <v>12342</v>
      </c>
      <c r="F3133" s="1">
        <v>46056.503275462965</v>
      </c>
      <c r="G3133" t="s">
        <v>355</v>
      </c>
      <c r="H3133" t="s">
        <v>356</v>
      </c>
      <c r="I3133" t="s">
        <v>3776</v>
      </c>
      <c r="J3133" t="s">
        <v>10769</v>
      </c>
      <c r="K3133" t="s">
        <v>2551</v>
      </c>
      <c r="M3133" t="s">
        <v>47</v>
      </c>
      <c r="O3133" t="s">
        <v>77</v>
      </c>
      <c r="P3133" t="s">
        <v>78</v>
      </c>
      <c r="Q3133" t="s">
        <v>50</v>
      </c>
      <c r="R3133" t="s">
        <v>662</v>
      </c>
      <c r="S3133" t="s">
        <v>209</v>
      </c>
      <c r="T3133" t="s">
        <v>8389</v>
      </c>
      <c r="U3133" s="1">
        <v>46074.627013888887</v>
      </c>
      <c r="V3133" t="s">
        <v>54</v>
      </c>
      <c r="W3133" t="s">
        <v>55</v>
      </c>
      <c r="X3133" t="s">
        <v>134</v>
      </c>
      <c r="Y3133" t="s">
        <v>12343</v>
      </c>
      <c r="Z3133" t="s">
        <v>5594</v>
      </c>
      <c r="AA3133" t="s">
        <v>54</v>
      </c>
      <c r="AB3133" t="s">
        <v>612</v>
      </c>
      <c r="AC3133" t="s">
        <v>85</v>
      </c>
      <c r="AD3133" t="s">
        <v>208</v>
      </c>
      <c r="AE3133" t="s">
        <v>209</v>
      </c>
      <c r="AF3133" t="s">
        <v>3776</v>
      </c>
      <c r="AG3133" t="s">
        <v>5594</v>
      </c>
      <c r="AH3133" t="s">
        <v>12344</v>
      </c>
      <c r="AK3133">
        <v>1</v>
      </c>
      <c r="AL3133" t="s">
        <v>61</v>
      </c>
      <c r="AM3133" t="s">
        <v>12345</v>
      </c>
      <c r="AN3133" t="s">
        <v>12346</v>
      </c>
    </row>
    <row r="3134" spans="1:40" x14ac:dyDescent="0.35">
      <c r="A3134" t="s">
        <v>37</v>
      </c>
      <c r="B3134" t="s">
        <v>12347</v>
      </c>
      <c r="C3134" t="s">
        <v>39</v>
      </c>
      <c r="D3134" t="s">
        <v>1854</v>
      </c>
      <c r="E3134" t="s">
        <v>1855</v>
      </c>
      <c r="F3134" s="1">
        <v>46056.47415509259</v>
      </c>
      <c r="G3134" t="s">
        <v>355</v>
      </c>
      <c r="H3134" t="s">
        <v>356</v>
      </c>
      <c r="I3134" t="s">
        <v>10018</v>
      </c>
      <c r="J3134" t="s">
        <v>1337</v>
      </c>
      <c r="K3134" t="s">
        <v>951</v>
      </c>
      <c r="M3134" t="s">
        <v>76</v>
      </c>
      <c r="O3134" t="s">
        <v>77</v>
      </c>
      <c r="P3134" t="s">
        <v>78</v>
      </c>
      <c r="Q3134" t="s">
        <v>50</v>
      </c>
      <c r="R3134" t="s">
        <v>305</v>
      </c>
      <c r="S3134" t="s">
        <v>306</v>
      </c>
      <c r="T3134" t="s">
        <v>307</v>
      </c>
      <c r="U3134" s="1">
        <v>46076.58421296296</v>
      </c>
      <c r="V3134" t="s">
        <v>54</v>
      </c>
      <c r="W3134" t="s">
        <v>55</v>
      </c>
      <c r="X3134" t="s">
        <v>211</v>
      </c>
      <c r="Y3134" t="e">
        <f>- Monitor provided to the user.  - CMDB updated.</f>
        <v>#NAME?</v>
      </c>
      <c r="Z3134" t="s">
        <v>58</v>
      </c>
      <c r="AA3134" t="s">
        <v>54</v>
      </c>
      <c r="AB3134" t="s">
        <v>213</v>
      </c>
      <c r="AC3134" t="s">
        <v>85</v>
      </c>
      <c r="AD3134" t="s">
        <v>79</v>
      </c>
      <c r="AE3134" t="s">
        <v>642</v>
      </c>
      <c r="AF3134" t="s">
        <v>643</v>
      </c>
      <c r="AG3134" t="s">
        <v>58</v>
      </c>
      <c r="AH3134" t="s">
        <v>1858</v>
      </c>
      <c r="AI3134" t="s">
        <v>12296</v>
      </c>
      <c r="AJ3134">
        <v>191548</v>
      </c>
      <c r="AK3134">
        <v>10</v>
      </c>
      <c r="AL3134" t="s">
        <v>61</v>
      </c>
      <c r="AM3134" t="s">
        <v>1859</v>
      </c>
      <c r="AN3134" t="s">
        <v>1860</v>
      </c>
    </row>
    <row r="3135" spans="1:40" x14ac:dyDescent="0.35">
      <c r="A3135" t="s">
        <v>37</v>
      </c>
      <c r="B3135" t="s">
        <v>12348</v>
      </c>
      <c r="C3135" t="s">
        <v>39</v>
      </c>
      <c r="D3135" t="s">
        <v>4113</v>
      </c>
      <c r="E3135" t="s">
        <v>4114</v>
      </c>
      <c r="F3135" s="1">
        <v>46056.472245370373</v>
      </c>
      <c r="G3135" t="s">
        <v>355</v>
      </c>
      <c r="H3135" t="s">
        <v>356</v>
      </c>
      <c r="I3135" t="s">
        <v>10018</v>
      </c>
      <c r="J3135" t="s">
        <v>1337</v>
      </c>
      <c r="K3135" t="s">
        <v>951</v>
      </c>
      <c r="M3135" t="s">
        <v>76</v>
      </c>
      <c r="O3135" t="s">
        <v>77</v>
      </c>
      <c r="P3135" t="s">
        <v>78</v>
      </c>
      <c r="Q3135" t="s">
        <v>50</v>
      </c>
      <c r="R3135" t="s">
        <v>305</v>
      </c>
      <c r="S3135" t="s">
        <v>306</v>
      </c>
      <c r="T3135" t="s">
        <v>307</v>
      </c>
      <c r="U3135" s="1">
        <v>46076.583692129629</v>
      </c>
      <c r="V3135" t="s">
        <v>54</v>
      </c>
      <c r="W3135" t="s">
        <v>55</v>
      </c>
      <c r="X3135" t="s">
        <v>211</v>
      </c>
      <c r="Y3135" t="e">
        <f>- Monitor provided to the user.  - CMDB updated.</f>
        <v>#NAME?</v>
      </c>
      <c r="Z3135" t="s">
        <v>58</v>
      </c>
      <c r="AA3135" t="s">
        <v>54</v>
      </c>
      <c r="AB3135" t="s">
        <v>213</v>
      </c>
      <c r="AC3135" t="s">
        <v>85</v>
      </c>
      <c r="AD3135" t="s">
        <v>79</v>
      </c>
      <c r="AE3135" t="s">
        <v>642</v>
      </c>
      <c r="AF3135" t="s">
        <v>643</v>
      </c>
      <c r="AG3135" t="s">
        <v>58</v>
      </c>
      <c r="AH3135" t="s">
        <v>4116</v>
      </c>
      <c r="AI3135" t="s">
        <v>12296</v>
      </c>
      <c r="AJ3135">
        <v>191549</v>
      </c>
      <c r="AK3135">
        <v>15</v>
      </c>
      <c r="AL3135" t="s">
        <v>61</v>
      </c>
      <c r="AM3135" t="s">
        <v>4117</v>
      </c>
      <c r="AN3135" t="s">
        <v>4118</v>
      </c>
    </row>
    <row r="3136" spans="1:40" x14ac:dyDescent="0.35">
      <c r="A3136" t="s">
        <v>37</v>
      </c>
      <c r="B3136" t="s">
        <v>12349</v>
      </c>
      <c r="C3136" t="s">
        <v>39</v>
      </c>
      <c r="D3136" t="s">
        <v>469</v>
      </c>
      <c r="E3136" t="s">
        <v>12350</v>
      </c>
      <c r="F3136" s="1">
        <v>46057.378541666665</v>
      </c>
      <c r="G3136" t="s">
        <v>402</v>
      </c>
      <c r="H3136" t="s">
        <v>72</v>
      </c>
      <c r="I3136" t="s">
        <v>12351</v>
      </c>
      <c r="J3136" t="s">
        <v>4967</v>
      </c>
      <c r="K3136" t="s">
        <v>1834</v>
      </c>
      <c r="M3136" t="s">
        <v>76</v>
      </c>
      <c r="O3136" t="s">
        <v>77</v>
      </c>
      <c r="P3136" t="s">
        <v>78</v>
      </c>
      <c r="Q3136" t="s">
        <v>4186</v>
      </c>
      <c r="R3136" t="s">
        <v>51</v>
      </c>
      <c r="S3136" t="s">
        <v>52</v>
      </c>
      <c r="T3136" t="s">
        <v>240</v>
      </c>
      <c r="U3136" s="1">
        <v>46076.365902777776</v>
      </c>
      <c r="V3136" t="s">
        <v>54</v>
      </c>
      <c r="W3136" t="s">
        <v>55</v>
      </c>
      <c r="X3136" t="s">
        <v>134</v>
      </c>
      <c r="Y3136" t="s">
        <v>12352</v>
      </c>
      <c r="Z3136" t="s">
        <v>58</v>
      </c>
      <c r="AA3136" t="s">
        <v>54</v>
      </c>
      <c r="AB3136" t="s">
        <v>3342</v>
      </c>
      <c r="AC3136" t="s">
        <v>85</v>
      </c>
      <c r="AD3136" t="s">
        <v>52</v>
      </c>
      <c r="AE3136" t="s">
        <v>243</v>
      </c>
      <c r="AF3136" t="s">
        <v>5196</v>
      </c>
      <c r="AG3136" t="s">
        <v>58</v>
      </c>
      <c r="AH3136">
        <v>6214</v>
      </c>
      <c r="AK3136">
        <v>0</v>
      </c>
      <c r="AL3136" t="s">
        <v>61</v>
      </c>
      <c r="AM3136" t="s">
        <v>12353</v>
      </c>
      <c r="AN3136" t="s">
        <v>12354</v>
      </c>
    </row>
    <row r="3137" spans="1:40" x14ac:dyDescent="0.35">
      <c r="A3137" t="s">
        <v>37</v>
      </c>
      <c r="B3137" t="s">
        <v>12355</v>
      </c>
      <c r="C3137" t="s">
        <v>39</v>
      </c>
      <c r="D3137" t="s">
        <v>225</v>
      </c>
      <c r="E3137" t="s">
        <v>5478</v>
      </c>
      <c r="F3137" s="1">
        <v>46056.660486111112</v>
      </c>
      <c r="G3137" t="s">
        <v>402</v>
      </c>
      <c r="H3137" t="s">
        <v>72</v>
      </c>
      <c r="I3137" t="s">
        <v>12356</v>
      </c>
      <c r="J3137" t="s">
        <v>4967</v>
      </c>
      <c r="K3137" t="s">
        <v>1834</v>
      </c>
      <c r="M3137" t="s">
        <v>76</v>
      </c>
      <c r="O3137" t="s">
        <v>77</v>
      </c>
      <c r="P3137" t="s">
        <v>78</v>
      </c>
      <c r="Q3137" t="s">
        <v>50</v>
      </c>
      <c r="R3137" t="s">
        <v>51</v>
      </c>
      <c r="S3137" t="s">
        <v>52</v>
      </c>
      <c r="T3137" t="s">
        <v>240</v>
      </c>
      <c r="U3137" s="1">
        <v>46076.364340277774</v>
      </c>
      <c r="V3137" t="s">
        <v>54</v>
      </c>
      <c r="W3137" t="s">
        <v>55</v>
      </c>
      <c r="X3137" t="s">
        <v>134</v>
      </c>
      <c r="Y3137" t="s">
        <v>12357</v>
      </c>
      <c r="Z3137" t="s">
        <v>58</v>
      </c>
      <c r="AA3137" t="s">
        <v>54</v>
      </c>
      <c r="AB3137" t="s">
        <v>3342</v>
      </c>
      <c r="AC3137" t="s">
        <v>85</v>
      </c>
      <c r="AD3137" t="s">
        <v>52</v>
      </c>
      <c r="AE3137" t="s">
        <v>999</v>
      </c>
      <c r="AF3137" t="s">
        <v>2272</v>
      </c>
      <c r="AG3137" t="s">
        <v>58</v>
      </c>
      <c r="AH3137">
        <v>14548</v>
      </c>
      <c r="AK3137">
        <v>0</v>
      </c>
      <c r="AL3137" t="s">
        <v>61</v>
      </c>
      <c r="AM3137" t="s">
        <v>7471</v>
      </c>
      <c r="AN3137" t="s">
        <v>7472</v>
      </c>
    </row>
    <row r="3138" spans="1:40" x14ac:dyDescent="0.35">
      <c r="A3138" t="s">
        <v>37</v>
      </c>
      <c r="B3138" t="s">
        <v>12358</v>
      </c>
      <c r="C3138" t="s">
        <v>39</v>
      </c>
      <c r="D3138" t="s">
        <v>2470</v>
      </c>
      <c r="E3138" t="s">
        <v>2471</v>
      </c>
      <c r="F3138" s="1">
        <v>46056.554814814815</v>
      </c>
      <c r="G3138" t="s">
        <v>91</v>
      </c>
      <c r="H3138" t="s">
        <v>92</v>
      </c>
      <c r="I3138" t="s">
        <v>12359</v>
      </c>
      <c r="J3138" t="s">
        <v>4967</v>
      </c>
      <c r="K3138" t="s">
        <v>1834</v>
      </c>
      <c r="M3138" t="s">
        <v>47</v>
      </c>
      <c r="O3138" t="s">
        <v>77</v>
      </c>
      <c r="P3138" t="s">
        <v>78</v>
      </c>
      <c r="Q3138" t="s">
        <v>50</v>
      </c>
      <c r="R3138" t="s">
        <v>51</v>
      </c>
      <c r="S3138" t="s">
        <v>52</v>
      </c>
      <c r="T3138" t="s">
        <v>240</v>
      </c>
      <c r="U3138" s="1">
        <v>46076.015497685185</v>
      </c>
      <c r="V3138" t="s">
        <v>54</v>
      </c>
      <c r="W3138" t="s">
        <v>55</v>
      </c>
      <c r="X3138" t="s">
        <v>134</v>
      </c>
      <c r="Y3138" t="s">
        <v>12360</v>
      </c>
      <c r="Z3138" t="s">
        <v>5594</v>
      </c>
      <c r="AA3138" t="s">
        <v>54</v>
      </c>
      <c r="AB3138" t="s">
        <v>3342</v>
      </c>
      <c r="AC3138" t="s">
        <v>85</v>
      </c>
      <c r="AD3138" t="s">
        <v>52</v>
      </c>
      <c r="AE3138" t="s">
        <v>2575</v>
      </c>
      <c r="AF3138" t="s">
        <v>2576</v>
      </c>
      <c r="AG3138" t="s">
        <v>5594</v>
      </c>
      <c r="AH3138">
        <v>15205</v>
      </c>
      <c r="AK3138">
        <v>0</v>
      </c>
      <c r="AL3138" t="s">
        <v>61</v>
      </c>
      <c r="AM3138" t="s">
        <v>2474</v>
      </c>
      <c r="AN3138" t="s">
        <v>2475</v>
      </c>
    </row>
    <row r="3139" spans="1:40" x14ac:dyDescent="0.35">
      <c r="A3139" t="s">
        <v>37</v>
      </c>
      <c r="B3139" t="s">
        <v>12361</v>
      </c>
      <c r="C3139" t="s">
        <v>39</v>
      </c>
      <c r="D3139" t="s">
        <v>462</v>
      </c>
      <c r="E3139" t="s">
        <v>12362</v>
      </c>
      <c r="F3139" s="1">
        <v>46056.540081018517</v>
      </c>
      <c r="G3139" t="s">
        <v>250</v>
      </c>
      <c r="H3139" t="s">
        <v>106</v>
      </c>
      <c r="I3139" t="s">
        <v>12363</v>
      </c>
      <c r="J3139" t="s">
        <v>4967</v>
      </c>
      <c r="K3139" t="s">
        <v>1834</v>
      </c>
      <c r="M3139" t="s">
        <v>47</v>
      </c>
      <c r="O3139" t="s">
        <v>77</v>
      </c>
      <c r="P3139" t="s">
        <v>78</v>
      </c>
      <c r="Q3139" t="s">
        <v>50</v>
      </c>
      <c r="R3139" t="s">
        <v>51</v>
      </c>
      <c r="S3139" t="s">
        <v>52</v>
      </c>
      <c r="T3139" t="s">
        <v>240</v>
      </c>
      <c r="U3139" s="1">
        <v>46076.012430555558</v>
      </c>
      <c r="V3139" t="s">
        <v>54</v>
      </c>
      <c r="W3139" t="s">
        <v>55</v>
      </c>
      <c r="X3139" t="s">
        <v>134</v>
      </c>
      <c r="Y3139" t="s">
        <v>12364</v>
      </c>
      <c r="Z3139" t="s">
        <v>5594</v>
      </c>
      <c r="AA3139" t="s">
        <v>54</v>
      </c>
      <c r="AB3139" t="s">
        <v>3342</v>
      </c>
      <c r="AC3139" t="s">
        <v>85</v>
      </c>
      <c r="AD3139" t="s">
        <v>52</v>
      </c>
      <c r="AE3139" t="s">
        <v>2575</v>
      </c>
      <c r="AF3139" t="s">
        <v>2576</v>
      </c>
      <c r="AG3139" t="s">
        <v>5594</v>
      </c>
      <c r="AH3139">
        <v>14540</v>
      </c>
      <c r="AK3139">
        <v>0</v>
      </c>
      <c r="AL3139" t="s">
        <v>61</v>
      </c>
      <c r="AM3139" t="s">
        <v>12365</v>
      </c>
      <c r="AN3139" t="s">
        <v>12366</v>
      </c>
    </row>
    <row r="3140" spans="1:40" x14ac:dyDescent="0.35">
      <c r="A3140" t="s">
        <v>37</v>
      </c>
      <c r="B3140" t="s">
        <v>12367</v>
      </c>
      <c r="C3140" t="s">
        <v>39</v>
      </c>
      <c r="D3140" t="s">
        <v>462</v>
      </c>
      <c r="E3140" t="s">
        <v>392</v>
      </c>
      <c r="F3140" s="1">
        <v>46056.50917824074</v>
      </c>
      <c r="G3140" t="s">
        <v>402</v>
      </c>
      <c r="H3140" t="s">
        <v>72</v>
      </c>
      <c r="I3140" t="s">
        <v>12368</v>
      </c>
      <c r="J3140" t="s">
        <v>4967</v>
      </c>
      <c r="K3140" t="s">
        <v>1834</v>
      </c>
      <c r="M3140" t="s">
        <v>47</v>
      </c>
      <c r="O3140" t="s">
        <v>77</v>
      </c>
      <c r="P3140" t="s">
        <v>78</v>
      </c>
      <c r="Q3140" t="s">
        <v>50</v>
      </c>
      <c r="R3140" t="s">
        <v>51</v>
      </c>
      <c r="S3140" t="s">
        <v>52</v>
      </c>
      <c r="T3140" t="s">
        <v>240</v>
      </c>
      <c r="U3140" s="1">
        <v>46073.391250000001</v>
      </c>
      <c r="V3140" t="s">
        <v>54</v>
      </c>
      <c r="W3140" t="s">
        <v>55</v>
      </c>
      <c r="X3140" t="s">
        <v>134</v>
      </c>
      <c r="Y3140" t="s">
        <v>12369</v>
      </c>
      <c r="Z3140" t="s">
        <v>5594</v>
      </c>
      <c r="AA3140" t="s">
        <v>54</v>
      </c>
      <c r="AB3140" t="s">
        <v>3342</v>
      </c>
      <c r="AC3140" t="s">
        <v>85</v>
      </c>
      <c r="AD3140" t="s">
        <v>52</v>
      </c>
      <c r="AE3140" t="s">
        <v>2575</v>
      </c>
      <c r="AF3140" t="s">
        <v>2576</v>
      </c>
      <c r="AG3140" t="s">
        <v>5594</v>
      </c>
      <c r="AH3140">
        <v>14638</v>
      </c>
      <c r="AK3140">
        <v>0</v>
      </c>
      <c r="AL3140" t="s">
        <v>61</v>
      </c>
      <c r="AM3140" t="s">
        <v>9395</v>
      </c>
      <c r="AN3140" t="s">
        <v>9396</v>
      </c>
    </row>
    <row r="3141" spans="1:40" x14ac:dyDescent="0.35">
      <c r="A3141" t="s">
        <v>37</v>
      </c>
      <c r="B3141" t="s">
        <v>12370</v>
      </c>
      <c r="C3141" t="s">
        <v>39</v>
      </c>
      <c r="D3141" t="s">
        <v>739</v>
      </c>
      <c r="E3141" t="s">
        <v>12371</v>
      </c>
      <c r="F3141" s="1">
        <v>46056.432789351849</v>
      </c>
      <c r="G3141" t="s">
        <v>204</v>
      </c>
      <c r="H3141" t="s">
        <v>92</v>
      </c>
      <c r="I3141" t="s">
        <v>12144</v>
      </c>
      <c r="J3141" t="s">
        <v>5588</v>
      </c>
      <c r="K3141" t="s">
        <v>951</v>
      </c>
      <c r="M3141" t="s">
        <v>76</v>
      </c>
      <c r="O3141" t="s">
        <v>77</v>
      </c>
      <c r="P3141" t="s">
        <v>78</v>
      </c>
      <c r="Q3141" t="s">
        <v>50</v>
      </c>
      <c r="R3141" t="s">
        <v>305</v>
      </c>
      <c r="S3141" t="s">
        <v>306</v>
      </c>
      <c r="T3141" t="s">
        <v>307</v>
      </c>
      <c r="U3141" s="1">
        <v>46076.528020833335</v>
      </c>
      <c r="V3141" t="s">
        <v>54</v>
      </c>
      <c r="W3141" t="s">
        <v>55</v>
      </c>
      <c r="X3141" t="s">
        <v>211</v>
      </c>
      <c r="Y3141" t="s">
        <v>12372</v>
      </c>
      <c r="Z3141" t="s">
        <v>58</v>
      </c>
      <c r="AA3141" t="s">
        <v>54</v>
      </c>
      <c r="AB3141" t="s">
        <v>213</v>
      </c>
      <c r="AC3141" t="s">
        <v>85</v>
      </c>
      <c r="AD3141" t="s">
        <v>79</v>
      </c>
      <c r="AE3141" t="s">
        <v>4245</v>
      </c>
      <c r="AF3141" t="s">
        <v>2746</v>
      </c>
      <c r="AG3141" t="s">
        <v>58</v>
      </c>
      <c r="AH3141">
        <v>13428</v>
      </c>
      <c r="AJ3141">
        <v>191503</v>
      </c>
      <c r="AK3141">
        <v>17</v>
      </c>
      <c r="AL3141" t="s">
        <v>61</v>
      </c>
      <c r="AM3141" t="s">
        <v>12373</v>
      </c>
      <c r="AN3141" t="s">
        <v>12374</v>
      </c>
    </row>
    <row r="3142" spans="1:40" x14ac:dyDescent="0.35">
      <c r="A3142" t="s">
        <v>37</v>
      </c>
      <c r="B3142" t="s">
        <v>12375</v>
      </c>
      <c r="C3142" t="s">
        <v>39</v>
      </c>
      <c r="D3142" t="s">
        <v>325</v>
      </c>
      <c r="E3142" t="s">
        <v>8525</v>
      </c>
      <c r="F3142" s="1">
        <v>46056.396736111114</v>
      </c>
      <c r="G3142" t="s">
        <v>286</v>
      </c>
      <c r="H3142" t="s">
        <v>287</v>
      </c>
      <c r="I3142" t="s">
        <v>1446</v>
      </c>
      <c r="J3142" t="s">
        <v>10019</v>
      </c>
      <c r="K3142" t="s">
        <v>75</v>
      </c>
      <c r="M3142" t="s">
        <v>76</v>
      </c>
      <c r="O3142" t="s">
        <v>77</v>
      </c>
      <c r="P3142" t="s">
        <v>78</v>
      </c>
      <c r="Q3142" t="s">
        <v>50</v>
      </c>
      <c r="R3142" t="s">
        <v>79</v>
      </c>
      <c r="S3142" t="s">
        <v>1016</v>
      </c>
      <c r="T3142" t="s">
        <v>4181</v>
      </c>
      <c r="U3142" s="1">
        <v>46077.585231481484</v>
      </c>
      <c r="V3142" t="s">
        <v>54</v>
      </c>
      <c r="W3142" t="s">
        <v>55</v>
      </c>
      <c r="X3142" t="s">
        <v>211</v>
      </c>
      <c r="Y3142" t="s">
        <v>12376</v>
      </c>
      <c r="Z3142" t="s">
        <v>58</v>
      </c>
      <c r="AA3142" t="s">
        <v>54</v>
      </c>
      <c r="AB3142" t="s">
        <v>213</v>
      </c>
      <c r="AC3142" t="s">
        <v>85</v>
      </c>
      <c r="AD3142" t="s">
        <v>79</v>
      </c>
      <c r="AE3142" t="s">
        <v>1016</v>
      </c>
      <c r="AF3142" t="s">
        <v>4181</v>
      </c>
      <c r="AG3142" t="s">
        <v>58</v>
      </c>
      <c r="AH3142" t="s">
        <v>8528</v>
      </c>
      <c r="AK3142">
        <v>15</v>
      </c>
      <c r="AL3142" t="s">
        <v>61</v>
      </c>
      <c r="AM3142" t="s">
        <v>8529</v>
      </c>
      <c r="AN3142" t="s">
        <v>8530</v>
      </c>
    </row>
    <row r="3143" spans="1:40" x14ac:dyDescent="0.35">
      <c r="A3143" t="s">
        <v>37</v>
      </c>
      <c r="B3143" t="s">
        <v>12377</v>
      </c>
      <c r="C3143" t="s">
        <v>656</v>
      </c>
      <c r="D3143" t="s">
        <v>11436</v>
      </c>
      <c r="E3143" t="s">
        <v>11437</v>
      </c>
      <c r="F3143" s="1">
        <v>46056.027743055558</v>
      </c>
      <c r="G3143" t="s">
        <v>355</v>
      </c>
      <c r="H3143" t="s">
        <v>356</v>
      </c>
      <c r="I3143" t="s">
        <v>12378</v>
      </c>
      <c r="J3143" t="s">
        <v>10769</v>
      </c>
      <c r="K3143" t="s">
        <v>1927</v>
      </c>
      <c r="M3143" t="s">
        <v>47</v>
      </c>
      <c r="O3143" t="s">
        <v>77</v>
      </c>
      <c r="P3143" t="s">
        <v>78</v>
      </c>
      <c r="Q3143" t="s">
        <v>50</v>
      </c>
      <c r="R3143" t="s">
        <v>208</v>
      </c>
      <c r="S3143" t="s">
        <v>209</v>
      </c>
      <c r="T3143" t="s">
        <v>3776</v>
      </c>
      <c r="U3143" s="1">
        <v>46074.626006944447</v>
      </c>
      <c r="V3143" t="s">
        <v>54</v>
      </c>
      <c r="W3143" t="s">
        <v>55</v>
      </c>
      <c r="X3143" t="s">
        <v>134</v>
      </c>
      <c r="Y3143" t="s">
        <v>12379</v>
      </c>
      <c r="Z3143" t="s">
        <v>5594</v>
      </c>
      <c r="AA3143" t="s">
        <v>54</v>
      </c>
      <c r="AB3143" t="s">
        <v>84</v>
      </c>
      <c r="AC3143" t="s">
        <v>85</v>
      </c>
      <c r="AD3143" t="s">
        <v>208</v>
      </c>
      <c r="AE3143" t="s">
        <v>209</v>
      </c>
      <c r="AF3143" t="s">
        <v>3776</v>
      </c>
      <c r="AG3143" t="s">
        <v>5594</v>
      </c>
      <c r="AH3143" t="s">
        <v>11440</v>
      </c>
      <c r="AK3143">
        <v>1</v>
      </c>
      <c r="AL3143" t="s">
        <v>61</v>
      </c>
      <c r="AM3143" t="s">
        <v>11441</v>
      </c>
      <c r="AN3143" t="s">
        <v>11442</v>
      </c>
    </row>
    <row r="3144" spans="1:40" x14ac:dyDescent="0.35">
      <c r="A3144" t="s">
        <v>37</v>
      </c>
      <c r="B3144" t="s">
        <v>12380</v>
      </c>
      <c r="C3144" t="s">
        <v>102</v>
      </c>
      <c r="D3144" t="s">
        <v>127</v>
      </c>
      <c r="E3144" t="s">
        <v>2745</v>
      </c>
      <c r="F3144" s="1">
        <v>46055.993321759262</v>
      </c>
      <c r="G3144" t="s">
        <v>71</v>
      </c>
      <c r="H3144" t="s">
        <v>72</v>
      </c>
      <c r="I3144" t="s">
        <v>12381</v>
      </c>
      <c r="J3144" t="s">
        <v>1015</v>
      </c>
      <c r="K3144" t="s">
        <v>75</v>
      </c>
      <c r="M3144" t="s">
        <v>76</v>
      </c>
      <c r="O3144" t="s">
        <v>237</v>
      </c>
      <c r="P3144" t="s">
        <v>238</v>
      </c>
      <c r="R3144" t="s">
        <v>79</v>
      </c>
      <c r="S3144" t="s">
        <v>955</v>
      </c>
      <c r="T3144" t="s">
        <v>2460</v>
      </c>
      <c r="U3144" s="1">
        <v>46077.530335648145</v>
      </c>
      <c r="V3144" t="s">
        <v>54</v>
      </c>
      <c r="W3144" t="s">
        <v>55</v>
      </c>
      <c r="X3144" t="s">
        <v>82</v>
      </c>
      <c r="Y3144" t="s">
        <v>2747</v>
      </c>
      <c r="Z3144" t="s">
        <v>58</v>
      </c>
      <c r="AA3144" t="s">
        <v>54</v>
      </c>
      <c r="AB3144" t="s">
        <v>84</v>
      </c>
      <c r="AC3144" t="s">
        <v>242</v>
      </c>
      <c r="AD3144" t="s">
        <v>79</v>
      </c>
      <c r="AE3144" t="s">
        <v>955</v>
      </c>
      <c r="AF3144" t="s">
        <v>2460</v>
      </c>
      <c r="AG3144" t="s">
        <v>58</v>
      </c>
      <c r="AH3144" t="s">
        <v>2749</v>
      </c>
      <c r="AK3144">
        <v>9</v>
      </c>
      <c r="AL3144" t="s">
        <v>61</v>
      </c>
      <c r="AM3144" t="s">
        <v>2750</v>
      </c>
      <c r="AN3144" t="s">
        <v>2751</v>
      </c>
    </row>
    <row r="3145" spans="1:40" x14ac:dyDescent="0.35">
      <c r="A3145" t="s">
        <v>37</v>
      </c>
      <c r="B3145" t="s">
        <v>12382</v>
      </c>
      <c r="C3145" t="s">
        <v>656</v>
      </c>
      <c r="D3145" t="s">
        <v>11436</v>
      </c>
      <c r="E3145" t="s">
        <v>11437</v>
      </c>
      <c r="F3145" s="1">
        <v>46055.920659722222</v>
      </c>
      <c r="G3145" t="s">
        <v>355</v>
      </c>
      <c r="H3145" t="s">
        <v>356</v>
      </c>
      <c r="I3145" t="s">
        <v>12383</v>
      </c>
      <c r="J3145" t="s">
        <v>10769</v>
      </c>
      <c r="K3145" t="s">
        <v>2551</v>
      </c>
      <c r="M3145" t="s">
        <v>47</v>
      </c>
      <c r="O3145" t="s">
        <v>77</v>
      </c>
      <c r="P3145" t="s">
        <v>78</v>
      </c>
      <c r="Q3145" t="s">
        <v>50</v>
      </c>
      <c r="R3145" t="s">
        <v>662</v>
      </c>
      <c r="S3145" t="s">
        <v>209</v>
      </c>
      <c r="T3145" t="s">
        <v>8389</v>
      </c>
      <c r="U3145" s="1">
        <v>46074.623969907407</v>
      </c>
      <c r="V3145" t="s">
        <v>54</v>
      </c>
      <c r="W3145" t="s">
        <v>55</v>
      </c>
      <c r="X3145" t="s">
        <v>134</v>
      </c>
      <c r="Y3145" t="s">
        <v>12384</v>
      </c>
      <c r="Z3145" t="s">
        <v>5594</v>
      </c>
      <c r="AA3145" t="s">
        <v>54</v>
      </c>
      <c r="AB3145" t="s">
        <v>2521</v>
      </c>
      <c r="AC3145" t="s">
        <v>85</v>
      </c>
      <c r="AD3145" t="s">
        <v>208</v>
      </c>
      <c r="AE3145" t="s">
        <v>209</v>
      </c>
      <c r="AF3145" t="s">
        <v>3776</v>
      </c>
      <c r="AG3145" t="s">
        <v>5594</v>
      </c>
      <c r="AH3145" t="s">
        <v>11440</v>
      </c>
      <c r="AK3145">
        <v>0</v>
      </c>
      <c r="AL3145" t="s">
        <v>61</v>
      </c>
      <c r="AM3145" t="s">
        <v>11441</v>
      </c>
      <c r="AN3145" t="s">
        <v>11442</v>
      </c>
    </row>
    <row r="3146" spans="1:40" x14ac:dyDescent="0.35">
      <c r="A3146" t="s">
        <v>37</v>
      </c>
      <c r="B3146" t="s">
        <v>12385</v>
      </c>
      <c r="C3146" t="s">
        <v>102</v>
      </c>
      <c r="D3146" t="s">
        <v>12386</v>
      </c>
      <c r="E3146" t="s">
        <v>12387</v>
      </c>
      <c r="F3146" s="1">
        <v>46055.557557870372</v>
      </c>
      <c r="G3146" t="s">
        <v>3396</v>
      </c>
      <c r="H3146" t="s">
        <v>106</v>
      </c>
      <c r="I3146" t="s">
        <v>12388</v>
      </c>
      <c r="J3146" t="s">
        <v>11358</v>
      </c>
      <c r="K3146" t="s">
        <v>12389</v>
      </c>
      <c r="M3146" t="s">
        <v>47</v>
      </c>
      <c r="O3146" t="s">
        <v>237</v>
      </c>
      <c r="P3146" t="s">
        <v>238</v>
      </c>
      <c r="R3146" t="s">
        <v>305</v>
      </c>
      <c r="S3146" t="s">
        <v>306</v>
      </c>
      <c r="T3146" t="s">
        <v>307</v>
      </c>
      <c r="U3146" s="1">
        <v>46072.419930555552</v>
      </c>
      <c r="V3146" t="s">
        <v>54</v>
      </c>
      <c r="W3146" t="s">
        <v>55</v>
      </c>
      <c r="X3146" t="s">
        <v>211</v>
      </c>
      <c r="Y3146" t="s">
        <v>12390</v>
      </c>
      <c r="Z3146" t="s">
        <v>5594</v>
      </c>
      <c r="AA3146" t="s">
        <v>54</v>
      </c>
      <c r="AB3146" t="s">
        <v>213</v>
      </c>
      <c r="AC3146" t="s">
        <v>242</v>
      </c>
      <c r="AD3146" t="s">
        <v>51</v>
      </c>
      <c r="AE3146" t="s">
        <v>819</v>
      </c>
      <c r="AF3146" t="s">
        <v>12389</v>
      </c>
      <c r="AG3146" t="s">
        <v>5594</v>
      </c>
      <c r="AH3146">
        <v>14926</v>
      </c>
      <c r="AK3146">
        <v>2</v>
      </c>
      <c r="AL3146" t="s">
        <v>61</v>
      </c>
      <c r="AM3146" t="s">
        <v>12391</v>
      </c>
      <c r="AN3146" t="s">
        <v>12392</v>
      </c>
    </row>
    <row r="3147" spans="1:40" x14ac:dyDescent="0.35">
      <c r="A3147" t="s">
        <v>37</v>
      </c>
      <c r="B3147" t="s">
        <v>12393</v>
      </c>
      <c r="C3147" t="s">
        <v>102</v>
      </c>
      <c r="D3147" t="s">
        <v>12394</v>
      </c>
      <c r="E3147" t="s">
        <v>12395</v>
      </c>
      <c r="F3147" s="1">
        <v>46055.493009259262</v>
      </c>
      <c r="G3147" t="s">
        <v>515</v>
      </c>
      <c r="H3147" t="s">
        <v>92</v>
      </c>
      <c r="I3147" t="s">
        <v>12396</v>
      </c>
      <c r="J3147" t="s">
        <v>2117</v>
      </c>
      <c r="K3147" t="s">
        <v>2118</v>
      </c>
      <c r="M3147" t="s">
        <v>131</v>
      </c>
      <c r="O3147" t="s">
        <v>237</v>
      </c>
      <c r="P3147" t="s">
        <v>238</v>
      </c>
      <c r="Q3147" t="s">
        <v>50</v>
      </c>
      <c r="R3147" t="s">
        <v>51</v>
      </c>
      <c r="S3147" t="s">
        <v>52</v>
      </c>
      <c r="T3147" t="s">
        <v>240</v>
      </c>
      <c r="U3147" s="1">
        <v>46078.449155092596</v>
      </c>
      <c r="V3147" t="s">
        <v>54</v>
      </c>
      <c r="W3147" t="s">
        <v>55</v>
      </c>
      <c r="X3147" t="s">
        <v>211</v>
      </c>
      <c r="Y3147" t="s">
        <v>2119</v>
      </c>
      <c r="Z3147" t="s">
        <v>58</v>
      </c>
      <c r="AA3147" t="s">
        <v>54</v>
      </c>
      <c r="AB3147" t="s">
        <v>213</v>
      </c>
      <c r="AC3147" t="s">
        <v>242</v>
      </c>
      <c r="AD3147" t="s">
        <v>52</v>
      </c>
      <c r="AE3147" t="s">
        <v>243</v>
      </c>
      <c r="AF3147" t="s">
        <v>1470</v>
      </c>
      <c r="AG3147" t="s">
        <v>58</v>
      </c>
      <c r="AH3147" t="s">
        <v>12397</v>
      </c>
      <c r="AK3147">
        <v>1</v>
      </c>
      <c r="AL3147" t="s">
        <v>61</v>
      </c>
      <c r="AM3147" t="s">
        <v>12398</v>
      </c>
      <c r="AN3147" t="s">
        <v>12399</v>
      </c>
    </row>
    <row r="3148" spans="1:40" x14ac:dyDescent="0.35">
      <c r="A3148" t="s">
        <v>37</v>
      </c>
      <c r="B3148" t="s">
        <v>12400</v>
      </c>
      <c r="C3148" t="s">
        <v>39</v>
      </c>
      <c r="D3148" t="s">
        <v>713</v>
      </c>
      <c r="E3148" t="s">
        <v>8902</v>
      </c>
      <c r="F3148" s="1">
        <v>46055.01829861111</v>
      </c>
      <c r="G3148" t="s">
        <v>497</v>
      </c>
      <c r="H3148" t="s">
        <v>72</v>
      </c>
      <c r="I3148" t="s">
        <v>12401</v>
      </c>
      <c r="J3148" t="s">
        <v>2718</v>
      </c>
      <c r="K3148" t="s">
        <v>951</v>
      </c>
      <c r="M3148" t="s">
        <v>76</v>
      </c>
      <c r="O3148" t="s">
        <v>77</v>
      </c>
      <c r="P3148" t="s">
        <v>78</v>
      </c>
      <c r="Q3148" t="s">
        <v>50</v>
      </c>
      <c r="R3148" t="s">
        <v>79</v>
      </c>
      <c r="S3148" t="s">
        <v>1556</v>
      </c>
      <c r="T3148" t="s">
        <v>1557</v>
      </c>
      <c r="U3148" s="1">
        <v>46077.460486111115</v>
      </c>
      <c r="V3148" t="s">
        <v>54</v>
      </c>
      <c r="W3148" t="s">
        <v>55</v>
      </c>
      <c r="X3148" t="s">
        <v>134</v>
      </c>
      <c r="Y3148" t="s">
        <v>12402</v>
      </c>
      <c r="Z3148" t="s">
        <v>58</v>
      </c>
      <c r="AA3148" t="s">
        <v>54</v>
      </c>
      <c r="AB3148" t="s">
        <v>84</v>
      </c>
      <c r="AC3148" t="s">
        <v>85</v>
      </c>
      <c r="AD3148" t="s">
        <v>79</v>
      </c>
      <c r="AE3148" t="s">
        <v>1556</v>
      </c>
      <c r="AF3148" t="s">
        <v>1557</v>
      </c>
      <c r="AG3148" t="s">
        <v>58</v>
      </c>
      <c r="AH3148">
        <v>14581</v>
      </c>
      <c r="AJ3148">
        <v>191430</v>
      </c>
      <c r="AK3148">
        <v>19</v>
      </c>
      <c r="AL3148" t="s">
        <v>61</v>
      </c>
      <c r="AM3148" t="s">
        <v>8905</v>
      </c>
      <c r="AN3148" t="s">
        <v>8906</v>
      </c>
    </row>
    <row r="3149" spans="1:40" x14ac:dyDescent="0.35">
      <c r="A3149" t="s">
        <v>37</v>
      </c>
      <c r="B3149" t="s">
        <v>12403</v>
      </c>
      <c r="C3149" t="s">
        <v>39</v>
      </c>
      <c r="D3149" t="s">
        <v>1334</v>
      </c>
      <c r="E3149" t="s">
        <v>1335</v>
      </c>
      <c r="F3149" s="1">
        <v>46054.292824074073</v>
      </c>
      <c r="G3149" t="s">
        <v>722</v>
      </c>
      <c r="H3149" t="s">
        <v>356</v>
      </c>
      <c r="I3149" t="s">
        <v>12404</v>
      </c>
      <c r="J3149" t="s">
        <v>12405</v>
      </c>
      <c r="K3149" t="s">
        <v>10219</v>
      </c>
      <c r="M3149" t="s">
        <v>47</v>
      </c>
      <c r="O3149" t="s">
        <v>48</v>
      </c>
      <c r="P3149" t="s">
        <v>49</v>
      </c>
      <c r="Q3149" t="s">
        <v>818</v>
      </c>
      <c r="R3149" t="s">
        <v>51</v>
      </c>
      <c r="S3149" t="s">
        <v>52</v>
      </c>
      <c r="T3149" t="s">
        <v>4080</v>
      </c>
      <c r="U3149" s="1">
        <v>46072.376979166664</v>
      </c>
      <c r="V3149" t="s">
        <v>1338</v>
      </c>
      <c r="W3149" t="s">
        <v>55</v>
      </c>
      <c r="X3149" t="s">
        <v>134</v>
      </c>
      <c r="Y3149" t="s">
        <v>12406</v>
      </c>
      <c r="Z3149" t="s">
        <v>5594</v>
      </c>
      <c r="AA3149" t="s">
        <v>1338</v>
      </c>
      <c r="AB3149" t="s">
        <v>84</v>
      </c>
      <c r="AC3149" t="s">
        <v>60</v>
      </c>
      <c r="AD3149" t="s">
        <v>52</v>
      </c>
      <c r="AE3149" t="s">
        <v>438</v>
      </c>
      <c r="AF3149" t="s">
        <v>2204</v>
      </c>
      <c r="AG3149" t="s">
        <v>5594</v>
      </c>
      <c r="AH3149">
        <v>12521</v>
      </c>
      <c r="AK3149">
        <v>1</v>
      </c>
      <c r="AL3149" t="s">
        <v>410</v>
      </c>
      <c r="AM3149" t="s">
        <v>1341</v>
      </c>
      <c r="AN3149" t="s">
        <v>1342</v>
      </c>
    </row>
    <row r="3150" spans="1:40" x14ac:dyDescent="0.35">
      <c r="A3150" t="s">
        <v>37</v>
      </c>
      <c r="B3150" t="s">
        <v>12407</v>
      </c>
      <c r="C3150" t="s">
        <v>102</v>
      </c>
      <c r="D3150" t="s">
        <v>2123</v>
      </c>
      <c r="E3150" t="s">
        <v>12408</v>
      </c>
      <c r="F3150" s="1">
        <v>46051.56040509259</v>
      </c>
      <c r="G3150" t="s">
        <v>355</v>
      </c>
      <c r="H3150" t="s">
        <v>356</v>
      </c>
      <c r="I3150" t="s">
        <v>4398</v>
      </c>
      <c r="J3150" t="s">
        <v>1454</v>
      </c>
      <c r="K3150" t="s">
        <v>75</v>
      </c>
      <c r="M3150" t="s">
        <v>76</v>
      </c>
      <c r="O3150" t="s">
        <v>237</v>
      </c>
      <c r="P3150" t="s">
        <v>238</v>
      </c>
      <c r="Q3150" t="s">
        <v>50</v>
      </c>
      <c r="R3150" t="s">
        <v>79</v>
      </c>
      <c r="S3150" t="s">
        <v>967</v>
      </c>
      <c r="T3150" t="s">
        <v>4400</v>
      </c>
      <c r="U3150" s="1">
        <v>46077.438819444447</v>
      </c>
      <c r="V3150" t="s">
        <v>54</v>
      </c>
      <c r="W3150" t="s">
        <v>55</v>
      </c>
      <c r="X3150" t="s">
        <v>82</v>
      </c>
      <c r="Y3150" t="s">
        <v>12409</v>
      </c>
      <c r="Z3150" t="s">
        <v>58</v>
      </c>
      <c r="AA3150" t="s">
        <v>54</v>
      </c>
      <c r="AB3150" t="s">
        <v>2721</v>
      </c>
      <c r="AC3150" t="s">
        <v>242</v>
      </c>
      <c r="AD3150" t="s">
        <v>79</v>
      </c>
      <c r="AE3150" t="s">
        <v>967</v>
      </c>
      <c r="AF3150" t="s">
        <v>4400</v>
      </c>
      <c r="AG3150" t="s">
        <v>58</v>
      </c>
      <c r="AH3150" t="s">
        <v>12410</v>
      </c>
      <c r="AK3150">
        <v>11</v>
      </c>
      <c r="AL3150" t="s">
        <v>61</v>
      </c>
      <c r="AM3150" t="s">
        <v>12411</v>
      </c>
      <c r="AN3150" t="s">
        <v>12412</v>
      </c>
    </row>
    <row r="3151" spans="1:40" x14ac:dyDescent="0.35">
      <c r="A3151" t="s">
        <v>37</v>
      </c>
      <c r="B3151" t="s">
        <v>12413</v>
      </c>
      <c r="C3151" t="s">
        <v>39</v>
      </c>
      <c r="D3151" t="s">
        <v>2707</v>
      </c>
      <c r="E3151" t="s">
        <v>469</v>
      </c>
      <c r="F3151" s="1">
        <v>46051.371053240742</v>
      </c>
      <c r="G3151" t="s">
        <v>170</v>
      </c>
      <c r="H3151" t="s">
        <v>92</v>
      </c>
      <c r="I3151" t="s">
        <v>12414</v>
      </c>
      <c r="J3151" t="s">
        <v>12415</v>
      </c>
      <c r="K3151" t="s">
        <v>588</v>
      </c>
      <c r="M3151" t="s">
        <v>131</v>
      </c>
      <c r="O3151" t="s">
        <v>77</v>
      </c>
      <c r="P3151" t="s">
        <v>78</v>
      </c>
      <c r="Q3151" t="s">
        <v>50</v>
      </c>
      <c r="R3151" t="s">
        <v>1993</v>
      </c>
      <c r="S3151" t="s">
        <v>12416</v>
      </c>
      <c r="T3151" t="s">
        <v>12417</v>
      </c>
      <c r="U3151" s="1">
        <v>46076.678738425922</v>
      </c>
      <c r="V3151" t="s">
        <v>54</v>
      </c>
      <c r="W3151" t="s">
        <v>55</v>
      </c>
      <c r="X3151" t="s">
        <v>134</v>
      </c>
      <c r="Y3151" t="s">
        <v>12418</v>
      </c>
      <c r="Z3151" t="s">
        <v>58</v>
      </c>
      <c r="AA3151" t="s">
        <v>54</v>
      </c>
      <c r="AB3151" t="s">
        <v>7808</v>
      </c>
      <c r="AC3151" t="s">
        <v>85</v>
      </c>
      <c r="AD3151" t="s">
        <v>51</v>
      </c>
      <c r="AE3151" t="s">
        <v>12419</v>
      </c>
      <c r="AF3151" t="s">
        <v>12419</v>
      </c>
      <c r="AG3151" t="s">
        <v>58</v>
      </c>
      <c r="AH3151">
        <v>15162</v>
      </c>
      <c r="AK3151">
        <v>0</v>
      </c>
      <c r="AL3151" t="s">
        <v>61</v>
      </c>
      <c r="AM3151" t="s">
        <v>2711</v>
      </c>
      <c r="AN3151" t="s">
        <v>2712</v>
      </c>
    </row>
    <row r="3152" spans="1:40" x14ac:dyDescent="0.35">
      <c r="A3152" t="s">
        <v>37</v>
      </c>
      <c r="B3152" t="s">
        <v>12420</v>
      </c>
      <c r="C3152" t="s">
        <v>39</v>
      </c>
      <c r="D3152" t="s">
        <v>104</v>
      </c>
      <c r="E3152" t="s">
        <v>12421</v>
      </c>
      <c r="F3152" s="1">
        <v>46050.541122685187</v>
      </c>
      <c r="G3152" t="s">
        <v>42</v>
      </c>
      <c r="H3152" t="s">
        <v>43</v>
      </c>
      <c r="I3152" t="s">
        <v>12422</v>
      </c>
      <c r="J3152" t="s">
        <v>2718</v>
      </c>
      <c r="K3152" t="s">
        <v>951</v>
      </c>
      <c r="M3152" t="s">
        <v>47</v>
      </c>
      <c r="O3152" t="s">
        <v>77</v>
      </c>
      <c r="P3152" t="s">
        <v>78</v>
      </c>
      <c r="Q3152" t="s">
        <v>50</v>
      </c>
      <c r="R3152" t="s">
        <v>79</v>
      </c>
      <c r="S3152" t="s">
        <v>2748</v>
      </c>
      <c r="T3152" t="s">
        <v>2746</v>
      </c>
      <c r="U3152" s="1">
        <v>46073.351493055554</v>
      </c>
      <c r="V3152" t="s">
        <v>54</v>
      </c>
      <c r="W3152" t="s">
        <v>55</v>
      </c>
      <c r="X3152" t="s">
        <v>134</v>
      </c>
      <c r="Y3152" t="s">
        <v>12423</v>
      </c>
      <c r="Z3152" t="s">
        <v>5594</v>
      </c>
      <c r="AA3152" t="s">
        <v>54</v>
      </c>
      <c r="AB3152" t="s">
        <v>458</v>
      </c>
      <c r="AC3152" t="s">
        <v>85</v>
      </c>
      <c r="AD3152" t="s">
        <v>79</v>
      </c>
      <c r="AE3152" t="s">
        <v>2748</v>
      </c>
      <c r="AF3152" t="s">
        <v>2746</v>
      </c>
      <c r="AG3152" t="s">
        <v>5594</v>
      </c>
      <c r="AH3152">
        <v>15729</v>
      </c>
      <c r="AI3152" t="s">
        <v>12424</v>
      </c>
      <c r="AJ3152">
        <v>191358</v>
      </c>
      <c r="AK3152">
        <v>6</v>
      </c>
      <c r="AL3152" t="s">
        <v>61</v>
      </c>
      <c r="AM3152" t="s">
        <v>12425</v>
      </c>
      <c r="AN3152" t="s">
        <v>12426</v>
      </c>
    </row>
    <row r="3153" spans="1:40" x14ac:dyDescent="0.35">
      <c r="A3153" t="s">
        <v>37</v>
      </c>
      <c r="B3153" t="s">
        <v>12427</v>
      </c>
      <c r="C3153" t="s">
        <v>39</v>
      </c>
      <c r="D3153" t="s">
        <v>12428</v>
      </c>
      <c r="E3153" t="s">
        <v>747</v>
      </c>
      <c r="F3153" s="1">
        <v>46050.511562500003</v>
      </c>
      <c r="G3153" t="s">
        <v>261</v>
      </c>
      <c r="H3153" t="s">
        <v>72</v>
      </c>
      <c r="I3153" t="s">
        <v>12429</v>
      </c>
      <c r="J3153" t="s">
        <v>950</v>
      </c>
      <c r="K3153" t="s">
        <v>951</v>
      </c>
      <c r="M3153" t="s">
        <v>76</v>
      </c>
      <c r="O3153" t="s">
        <v>77</v>
      </c>
      <c r="P3153" t="s">
        <v>78</v>
      </c>
      <c r="Q3153" t="s">
        <v>2485</v>
      </c>
      <c r="R3153" t="s">
        <v>305</v>
      </c>
      <c r="S3153" t="s">
        <v>306</v>
      </c>
      <c r="T3153" t="s">
        <v>307</v>
      </c>
      <c r="U3153" s="1">
        <v>46078.355428240742</v>
      </c>
      <c r="V3153" t="s">
        <v>54</v>
      </c>
      <c r="W3153" t="s">
        <v>55</v>
      </c>
      <c r="X3153" t="s">
        <v>211</v>
      </c>
      <c r="Y3153" t="s">
        <v>12430</v>
      </c>
      <c r="Z3153" t="s">
        <v>58</v>
      </c>
      <c r="AA3153" t="s">
        <v>54</v>
      </c>
      <c r="AB3153" t="s">
        <v>213</v>
      </c>
      <c r="AC3153" t="s">
        <v>85</v>
      </c>
      <c r="AD3153" t="s">
        <v>79</v>
      </c>
      <c r="AE3153" t="s">
        <v>161</v>
      </c>
      <c r="AF3153" t="s">
        <v>12431</v>
      </c>
      <c r="AG3153" t="s">
        <v>58</v>
      </c>
      <c r="AH3153">
        <v>10473</v>
      </c>
      <c r="AJ3153" t="s">
        <v>12432</v>
      </c>
      <c r="AK3153">
        <v>20</v>
      </c>
      <c r="AL3153" t="s">
        <v>61</v>
      </c>
      <c r="AM3153" t="s">
        <v>12433</v>
      </c>
      <c r="AN3153" t="s">
        <v>12434</v>
      </c>
    </row>
    <row r="3154" spans="1:40" x14ac:dyDescent="0.35">
      <c r="A3154" t="s">
        <v>37</v>
      </c>
      <c r="B3154" t="s">
        <v>12435</v>
      </c>
      <c r="C3154" t="s">
        <v>102</v>
      </c>
      <c r="D3154" t="s">
        <v>513</v>
      </c>
      <c r="E3154" t="s">
        <v>7440</v>
      </c>
      <c r="F3154" s="1">
        <v>46049.492824074077</v>
      </c>
      <c r="G3154" t="s">
        <v>487</v>
      </c>
      <c r="H3154" t="s">
        <v>447</v>
      </c>
      <c r="I3154" t="s">
        <v>12436</v>
      </c>
      <c r="J3154" t="s">
        <v>2117</v>
      </c>
      <c r="K3154" t="s">
        <v>2118</v>
      </c>
      <c r="M3154" t="s">
        <v>131</v>
      </c>
      <c r="O3154" t="s">
        <v>237</v>
      </c>
      <c r="P3154" t="s">
        <v>238</v>
      </c>
      <c r="Q3154" t="s">
        <v>50</v>
      </c>
      <c r="R3154" t="s">
        <v>51</v>
      </c>
      <c r="S3154" t="s">
        <v>52</v>
      </c>
      <c r="T3154" t="s">
        <v>240</v>
      </c>
      <c r="U3154" s="1">
        <v>46077.442407407405</v>
      </c>
      <c r="V3154" t="s">
        <v>54</v>
      </c>
      <c r="W3154" t="s">
        <v>55</v>
      </c>
      <c r="X3154" t="s">
        <v>211</v>
      </c>
      <c r="Y3154" t="s">
        <v>12437</v>
      </c>
      <c r="Z3154" t="s">
        <v>58</v>
      </c>
      <c r="AA3154" t="s">
        <v>54</v>
      </c>
      <c r="AB3154" t="s">
        <v>213</v>
      </c>
      <c r="AC3154" t="s">
        <v>242</v>
      </c>
      <c r="AD3154" t="s">
        <v>52</v>
      </c>
      <c r="AE3154" t="s">
        <v>243</v>
      </c>
      <c r="AF3154" t="s">
        <v>1470</v>
      </c>
      <c r="AG3154" t="s">
        <v>58</v>
      </c>
      <c r="AH3154">
        <v>15806</v>
      </c>
      <c r="AK3154">
        <v>1</v>
      </c>
      <c r="AL3154" t="s">
        <v>61</v>
      </c>
      <c r="AM3154" t="s">
        <v>12438</v>
      </c>
      <c r="AN3154" t="s">
        <v>12439</v>
      </c>
    </row>
    <row r="3155" spans="1:40" x14ac:dyDescent="0.35">
      <c r="A3155" t="s">
        <v>37</v>
      </c>
      <c r="B3155" t="s">
        <v>12440</v>
      </c>
      <c r="C3155" t="s">
        <v>39</v>
      </c>
      <c r="D3155" t="s">
        <v>4348</v>
      </c>
      <c r="E3155" t="s">
        <v>10105</v>
      </c>
      <c r="F3155" s="1">
        <v>46048.51290509259</v>
      </c>
      <c r="G3155" t="s">
        <v>10106</v>
      </c>
      <c r="H3155" t="s">
        <v>233</v>
      </c>
      <c r="I3155" t="s">
        <v>8995</v>
      </c>
      <c r="J3155" t="s">
        <v>4244</v>
      </c>
      <c r="K3155" t="s">
        <v>951</v>
      </c>
      <c r="M3155" t="s">
        <v>131</v>
      </c>
      <c r="O3155" t="s">
        <v>77</v>
      </c>
      <c r="P3155" t="s">
        <v>78</v>
      </c>
      <c r="Q3155" t="s">
        <v>3204</v>
      </c>
      <c r="R3155" t="s">
        <v>79</v>
      </c>
      <c r="S3155" t="s">
        <v>8996</v>
      </c>
      <c r="T3155" t="s">
        <v>8996</v>
      </c>
      <c r="U3155" s="1">
        <v>46077.481226851851</v>
      </c>
      <c r="V3155" t="s">
        <v>54</v>
      </c>
      <c r="W3155" t="s">
        <v>55</v>
      </c>
      <c r="X3155" t="s">
        <v>82</v>
      </c>
      <c r="Y3155" t="s">
        <v>12441</v>
      </c>
      <c r="Z3155" t="s">
        <v>58</v>
      </c>
      <c r="AA3155" t="s">
        <v>54</v>
      </c>
      <c r="AB3155" t="s">
        <v>698</v>
      </c>
      <c r="AC3155" t="s">
        <v>85</v>
      </c>
      <c r="AD3155" t="s">
        <v>79</v>
      </c>
      <c r="AE3155" t="s">
        <v>11426</v>
      </c>
      <c r="AF3155" t="s">
        <v>11427</v>
      </c>
      <c r="AG3155" t="s">
        <v>58</v>
      </c>
      <c r="AH3155">
        <v>3480</v>
      </c>
      <c r="AJ3155">
        <v>12446</v>
      </c>
      <c r="AK3155">
        <v>11</v>
      </c>
      <c r="AL3155" t="s">
        <v>61</v>
      </c>
      <c r="AM3155" t="s">
        <v>10108</v>
      </c>
      <c r="AN3155" t="s">
        <v>10109</v>
      </c>
    </row>
    <row r="3156" spans="1:40" x14ac:dyDescent="0.35">
      <c r="A3156" t="s">
        <v>37</v>
      </c>
      <c r="B3156" t="s">
        <v>12442</v>
      </c>
      <c r="C3156" t="s">
        <v>39</v>
      </c>
      <c r="D3156" t="s">
        <v>325</v>
      </c>
      <c r="E3156" t="s">
        <v>11970</v>
      </c>
      <c r="F3156" s="1">
        <v>46048.481388888889</v>
      </c>
      <c r="G3156" t="s">
        <v>42</v>
      </c>
      <c r="H3156" t="s">
        <v>43</v>
      </c>
      <c r="I3156" t="s">
        <v>12443</v>
      </c>
      <c r="J3156" t="s">
        <v>2718</v>
      </c>
      <c r="K3156" t="s">
        <v>951</v>
      </c>
      <c r="M3156" t="s">
        <v>76</v>
      </c>
      <c r="O3156" t="s">
        <v>77</v>
      </c>
      <c r="P3156" t="s">
        <v>78</v>
      </c>
      <c r="Q3156" t="s">
        <v>818</v>
      </c>
      <c r="R3156" t="s">
        <v>305</v>
      </c>
      <c r="S3156" t="s">
        <v>306</v>
      </c>
      <c r="T3156" t="s">
        <v>307</v>
      </c>
      <c r="U3156" s="1">
        <v>46078.322870370372</v>
      </c>
      <c r="V3156" t="s">
        <v>54</v>
      </c>
      <c r="W3156" t="s">
        <v>55</v>
      </c>
      <c r="X3156" t="s">
        <v>211</v>
      </c>
      <c r="Y3156" t="s">
        <v>12444</v>
      </c>
      <c r="Z3156" t="s">
        <v>58</v>
      </c>
      <c r="AA3156" t="s">
        <v>54</v>
      </c>
      <c r="AB3156" t="s">
        <v>213</v>
      </c>
      <c r="AC3156" t="s">
        <v>85</v>
      </c>
      <c r="AD3156" t="s">
        <v>79</v>
      </c>
      <c r="AE3156" t="s">
        <v>4869</v>
      </c>
      <c r="AF3156" t="s">
        <v>12445</v>
      </c>
      <c r="AG3156" t="s">
        <v>58</v>
      </c>
      <c r="AH3156">
        <v>8534</v>
      </c>
      <c r="AJ3156" t="s">
        <v>12446</v>
      </c>
      <c r="AK3156">
        <v>17</v>
      </c>
      <c r="AL3156" t="s">
        <v>61</v>
      </c>
      <c r="AM3156" t="s">
        <v>11974</v>
      </c>
      <c r="AN3156" t="s">
        <v>11975</v>
      </c>
    </row>
    <row r="3157" spans="1:40" x14ac:dyDescent="0.35">
      <c r="A3157" t="s">
        <v>37</v>
      </c>
      <c r="B3157" t="s">
        <v>12447</v>
      </c>
      <c r="C3157" t="s">
        <v>39</v>
      </c>
      <c r="D3157" t="s">
        <v>2940</v>
      </c>
      <c r="E3157" t="s">
        <v>2941</v>
      </c>
      <c r="F3157" s="1">
        <v>46048.424247685187</v>
      </c>
      <c r="G3157" t="s">
        <v>355</v>
      </c>
      <c r="H3157" t="s">
        <v>356</v>
      </c>
      <c r="I3157" t="s">
        <v>12448</v>
      </c>
      <c r="J3157" t="s">
        <v>3949</v>
      </c>
      <c r="K3157" t="s">
        <v>3950</v>
      </c>
      <c r="M3157" t="s">
        <v>131</v>
      </c>
      <c r="O3157" t="s">
        <v>77</v>
      </c>
      <c r="P3157" t="s">
        <v>78</v>
      </c>
      <c r="Q3157" t="s">
        <v>50</v>
      </c>
      <c r="R3157" t="s">
        <v>79</v>
      </c>
      <c r="S3157" t="s">
        <v>161</v>
      </c>
      <c r="T3157" t="s">
        <v>999</v>
      </c>
      <c r="U3157" s="1">
        <v>46076.287372685183</v>
      </c>
      <c r="V3157" t="s">
        <v>54</v>
      </c>
      <c r="W3157" t="s">
        <v>55</v>
      </c>
      <c r="X3157" t="s">
        <v>56</v>
      </c>
      <c r="Y3157" t="s">
        <v>12449</v>
      </c>
      <c r="Z3157" t="s">
        <v>58</v>
      </c>
      <c r="AA3157" t="s">
        <v>54</v>
      </c>
      <c r="AB3157" t="s">
        <v>2946</v>
      </c>
      <c r="AC3157" t="s">
        <v>85</v>
      </c>
      <c r="AD3157" t="s">
        <v>79</v>
      </c>
      <c r="AE3157" t="s">
        <v>10026</v>
      </c>
      <c r="AF3157" t="s">
        <v>10027</v>
      </c>
      <c r="AG3157" t="s">
        <v>58</v>
      </c>
      <c r="AH3157" t="s">
        <v>2945</v>
      </c>
      <c r="AK3157">
        <v>1</v>
      </c>
      <c r="AL3157" t="s">
        <v>61</v>
      </c>
      <c r="AM3157" t="s">
        <v>2946</v>
      </c>
      <c r="AN3157" t="s">
        <v>2947</v>
      </c>
    </row>
    <row r="3158" spans="1:40" x14ac:dyDescent="0.35">
      <c r="A3158" t="s">
        <v>37</v>
      </c>
      <c r="B3158" t="s">
        <v>12450</v>
      </c>
      <c r="C3158" t="s">
        <v>39</v>
      </c>
      <c r="D3158" t="s">
        <v>2940</v>
      </c>
      <c r="E3158" t="s">
        <v>2941</v>
      </c>
      <c r="F3158" s="1">
        <v>46047.366782407407</v>
      </c>
      <c r="G3158" t="s">
        <v>355</v>
      </c>
      <c r="H3158" t="s">
        <v>356</v>
      </c>
      <c r="I3158" t="s">
        <v>12451</v>
      </c>
      <c r="J3158" t="s">
        <v>3949</v>
      </c>
      <c r="K3158" t="s">
        <v>3950</v>
      </c>
      <c r="M3158" t="s">
        <v>131</v>
      </c>
      <c r="O3158" t="s">
        <v>77</v>
      </c>
      <c r="P3158" t="s">
        <v>78</v>
      </c>
      <c r="Q3158" t="s">
        <v>50</v>
      </c>
      <c r="R3158" t="s">
        <v>79</v>
      </c>
      <c r="S3158" t="s">
        <v>161</v>
      </c>
      <c r="T3158" t="s">
        <v>999</v>
      </c>
      <c r="U3158" s="1">
        <v>46077.285150462965</v>
      </c>
      <c r="V3158" t="s">
        <v>54</v>
      </c>
      <c r="W3158" t="s">
        <v>55</v>
      </c>
      <c r="X3158" t="s">
        <v>56</v>
      </c>
      <c r="Y3158" t="s">
        <v>12452</v>
      </c>
      <c r="Z3158" t="s">
        <v>58</v>
      </c>
      <c r="AA3158" t="s">
        <v>54</v>
      </c>
      <c r="AB3158" t="s">
        <v>2946</v>
      </c>
      <c r="AC3158" t="s">
        <v>85</v>
      </c>
      <c r="AD3158" t="s">
        <v>3952</v>
      </c>
      <c r="AE3158" t="s">
        <v>12453</v>
      </c>
      <c r="AF3158" t="s">
        <v>12454</v>
      </c>
      <c r="AG3158" t="s">
        <v>58</v>
      </c>
      <c r="AH3158" t="s">
        <v>2945</v>
      </c>
      <c r="AK3158">
        <v>5</v>
      </c>
      <c r="AL3158" t="s">
        <v>61</v>
      </c>
      <c r="AM3158" t="s">
        <v>2946</v>
      </c>
      <c r="AN3158" t="s">
        <v>2947</v>
      </c>
    </row>
    <row r="3159" spans="1:40" x14ac:dyDescent="0.35">
      <c r="A3159" t="s">
        <v>37</v>
      </c>
      <c r="B3159" t="s">
        <v>12455</v>
      </c>
      <c r="C3159" t="s">
        <v>39</v>
      </c>
      <c r="D3159" t="s">
        <v>747</v>
      </c>
      <c r="E3159" t="s">
        <v>747</v>
      </c>
      <c r="F3159" s="1">
        <v>46045.396782407406</v>
      </c>
      <c r="G3159" t="s">
        <v>327</v>
      </c>
      <c r="H3159" t="s">
        <v>72</v>
      </c>
      <c r="I3159" t="s">
        <v>12456</v>
      </c>
      <c r="J3159" t="s">
        <v>11972</v>
      </c>
      <c r="K3159" t="s">
        <v>1627</v>
      </c>
      <c r="M3159" t="s">
        <v>76</v>
      </c>
      <c r="O3159" t="s">
        <v>77</v>
      </c>
      <c r="P3159" t="s">
        <v>78</v>
      </c>
      <c r="Q3159" t="s">
        <v>12457</v>
      </c>
      <c r="R3159" t="s">
        <v>79</v>
      </c>
      <c r="S3159" t="s">
        <v>952</v>
      </c>
      <c r="T3159" t="s">
        <v>953</v>
      </c>
      <c r="U3159" s="1">
        <v>46076.989652777775</v>
      </c>
      <c r="V3159" t="s">
        <v>54</v>
      </c>
      <c r="W3159" t="s">
        <v>55</v>
      </c>
      <c r="X3159" t="s">
        <v>134</v>
      </c>
      <c r="Y3159" t="s">
        <v>12458</v>
      </c>
      <c r="Z3159" t="s">
        <v>58</v>
      </c>
      <c r="AA3159" t="s">
        <v>54</v>
      </c>
      <c r="AB3159" t="s">
        <v>612</v>
      </c>
      <c r="AC3159" t="s">
        <v>85</v>
      </c>
      <c r="AD3159" t="s">
        <v>79</v>
      </c>
      <c r="AE3159" t="s">
        <v>952</v>
      </c>
      <c r="AF3159" t="s">
        <v>10841</v>
      </c>
      <c r="AG3159" t="s">
        <v>58</v>
      </c>
      <c r="AH3159">
        <v>2936</v>
      </c>
      <c r="AJ3159">
        <v>191256</v>
      </c>
      <c r="AK3159">
        <v>19</v>
      </c>
      <c r="AL3159" t="s">
        <v>61</v>
      </c>
      <c r="AM3159" t="s">
        <v>12459</v>
      </c>
      <c r="AN3159" t="s">
        <v>12460</v>
      </c>
    </row>
    <row r="3160" spans="1:40" x14ac:dyDescent="0.35">
      <c r="A3160" t="s">
        <v>37</v>
      </c>
      <c r="B3160" t="s">
        <v>12461</v>
      </c>
      <c r="C3160" t="s">
        <v>102</v>
      </c>
      <c r="D3160" t="s">
        <v>739</v>
      </c>
      <c r="E3160" t="s">
        <v>12462</v>
      </c>
      <c r="F3160" s="1">
        <v>46045.387465277781</v>
      </c>
      <c r="G3160" t="s">
        <v>2015</v>
      </c>
      <c r="H3160" t="s">
        <v>447</v>
      </c>
      <c r="I3160" t="s">
        <v>12463</v>
      </c>
      <c r="J3160" t="s">
        <v>1555</v>
      </c>
      <c r="K3160" t="s">
        <v>951</v>
      </c>
      <c r="M3160" t="s">
        <v>76</v>
      </c>
      <c r="O3160" t="s">
        <v>237</v>
      </c>
      <c r="P3160" t="s">
        <v>238</v>
      </c>
      <c r="Q3160" t="s">
        <v>50</v>
      </c>
      <c r="R3160" t="s">
        <v>79</v>
      </c>
      <c r="S3160" t="s">
        <v>955</v>
      </c>
      <c r="T3160" t="s">
        <v>2460</v>
      </c>
      <c r="U3160" s="1">
        <v>46076.358576388891</v>
      </c>
      <c r="V3160" t="s">
        <v>54</v>
      </c>
      <c r="W3160" t="s">
        <v>55</v>
      </c>
      <c r="X3160" t="s">
        <v>82</v>
      </c>
      <c r="Y3160" t="e">
        <f>- Disabled unnecessary startup items and services  - Ran disk cleanup utility and cleared All temporary files. - Disabled unnecessary tasks in task scheduler. - Disabled windows Apps from running in the background.  - Ran SFC /scannow utility. - Ran DISM utility. - Ran chkdsk utility.  Perforamce is better but fast battery drain was still observed - Escalated to AMC support team - they replaced the battery</f>
        <v>#NAME?</v>
      </c>
      <c r="Z3160" t="s">
        <v>58</v>
      </c>
      <c r="AA3160" t="s">
        <v>54</v>
      </c>
      <c r="AB3160" t="s">
        <v>396</v>
      </c>
      <c r="AC3160" t="s">
        <v>242</v>
      </c>
      <c r="AD3160" t="s">
        <v>79</v>
      </c>
      <c r="AE3160" t="s">
        <v>955</v>
      </c>
      <c r="AF3160" t="s">
        <v>2460</v>
      </c>
      <c r="AG3160" t="s">
        <v>58</v>
      </c>
      <c r="AH3160">
        <v>2042</v>
      </c>
      <c r="AJ3160">
        <v>191529</v>
      </c>
      <c r="AK3160">
        <v>18</v>
      </c>
      <c r="AL3160" t="s">
        <v>61</v>
      </c>
      <c r="AM3160" t="s">
        <v>12464</v>
      </c>
      <c r="AN3160" t="s">
        <v>12465</v>
      </c>
    </row>
    <row r="3161" spans="1:40" x14ac:dyDescent="0.35">
      <c r="A3161" t="s">
        <v>37</v>
      </c>
      <c r="B3161" t="s">
        <v>12466</v>
      </c>
      <c r="C3161" t="s">
        <v>39</v>
      </c>
      <c r="D3161" t="s">
        <v>11796</v>
      </c>
      <c r="E3161" t="s">
        <v>11797</v>
      </c>
      <c r="F3161" s="1">
        <v>46044.659722222219</v>
      </c>
      <c r="G3161" t="s">
        <v>355</v>
      </c>
      <c r="H3161" t="s">
        <v>356</v>
      </c>
      <c r="I3161" t="s">
        <v>12467</v>
      </c>
      <c r="J3161" t="s">
        <v>3949</v>
      </c>
      <c r="K3161" t="s">
        <v>3950</v>
      </c>
      <c r="M3161" t="s">
        <v>131</v>
      </c>
      <c r="O3161" t="s">
        <v>77</v>
      </c>
      <c r="P3161" t="s">
        <v>78</v>
      </c>
      <c r="Q3161" t="s">
        <v>50</v>
      </c>
      <c r="R3161" t="s">
        <v>79</v>
      </c>
      <c r="S3161" t="s">
        <v>11799</v>
      </c>
      <c r="T3161" t="s">
        <v>11800</v>
      </c>
      <c r="U3161" s="1">
        <v>46078.773715277777</v>
      </c>
      <c r="V3161" t="s">
        <v>54</v>
      </c>
      <c r="W3161" t="s">
        <v>55</v>
      </c>
      <c r="X3161" t="s">
        <v>134</v>
      </c>
      <c r="Y3161" t="s">
        <v>12468</v>
      </c>
      <c r="Z3161" t="s">
        <v>58</v>
      </c>
      <c r="AA3161" t="s">
        <v>54</v>
      </c>
      <c r="AB3161" t="s">
        <v>11802</v>
      </c>
      <c r="AC3161" t="s">
        <v>85</v>
      </c>
      <c r="AD3161" t="s">
        <v>3952</v>
      </c>
      <c r="AE3161" t="s">
        <v>11803</v>
      </c>
      <c r="AF3161" t="s">
        <v>11804</v>
      </c>
      <c r="AG3161" t="s">
        <v>58</v>
      </c>
      <c r="AH3161" t="s">
        <v>11805</v>
      </c>
      <c r="AK3161">
        <v>2</v>
      </c>
      <c r="AL3161" t="s">
        <v>61</v>
      </c>
      <c r="AM3161" t="s">
        <v>11802</v>
      </c>
      <c r="AN3161" t="s">
        <v>11806</v>
      </c>
    </row>
    <row r="3162" spans="1:40" x14ac:dyDescent="0.35">
      <c r="A3162" t="s">
        <v>37</v>
      </c>
      <c r="B3162" t="s">
        <v>12469</v>
      </c>
      <c r="C3162" t="s">
        <v>102</v>
      </c>
      <c r="D3162" t="s">
        <v>10786</v>
      </c>
      <c r="E3162" t="s">
        <v>10787</v>
      </c>
      <c r="F3162" s="1">
        <v>46044.553425925929</v>
      </c>
      <c r="G3162" t="s">
        <v>497</v>
      </c>
      <c r="H3162" t="s">
        <v>72</v>
      </c>
      <c r="I3162" t="s">
        <v>12470</v>
      </c>
      <c r="J3162" t="s">
        <v>3117</v>
      </c>
      <c r="K3162" t="s">
        <v>10290</v>
      </c>
      <c r="M3162" t="s">
        <v>76</v>
      </c>
      <c r="O3162" t="s">
        <v>237</v>
      </c>
      <c r="P3162" t="s">
        <v>238</v>
      </c>
      <c r="Q3162" t="s">
        <v>456</v>
      </c>
      <c r="R3162" t="s">
        <v>51</v>
      </c>
      <c r="S3162" t="s">
        <v>195</v>
      </c>
      <c r="T3162" t="s">
        <v>236</v>
      </c>
      <c r="U3162" s="1">
        <v>46076.5625</v>
      </c>
      <c r="V3162" t="s">
        <v>54</v>
      </c>
      <c r="W3162" t="s">
        <v>55</v>
      </c>
      <c r="X3162" t="s">
        <v>134</v>
      </c>
      <c r="Y3162" t="s">
        <v>12471</v>
      </c>
      <c r="Z3162" t="s">
        <v>58</v>
      </c>
      <c r="AA3162" t="s">
        <v>54</v>
      </c>
      <c r="AB3162" t="s">
        <v>458</v>
      </c>
      <c r="AC3162" t="s">
        <v>242</v>
      </c>
      <c r="AD3162" t="s">
        <v>208</v>
      </c>
      <c r="AE3162" t="s">
        <v>10292</v>
      </c>
      <c r="AF3162" t="s">
        <v>10293</v>
      </c>
      <c r="AG3162" t="s">
        <v>58</v>
      </c>
      <c r="AH3162" t="s">
        <v>10789</v>
      </c>
      <c r="AK3162">
        <v>2</v>
      </c>
      <c r="AL3162" t="s">
        <v>61</v>
      </c>
      <c r="AM3162" t="s">
        <v>10790</v>
      </c>
      <c r="AN3162" t="s">
        <v>10791</v>
      </c>
    </row>
    <row r="3163" spans="1:40" x14ac:dyDescent="0.35">
      <c r="A3163" t="s">
        <v>37</v>
      </c>
      <c r="B3163" t="s">
        <v>12472</v>
      </c>
      <c r="C3163" t="s">
        <v>102</v>
      </c>
      <c r="D3163" t="s">
        <v>325</v>
      </c>
      <c r="E3163" t="s">
        <v>4409</v>
      </c>
      <c r="F3163" s="1">
        <v>46044.531435185185</v>
      </c>
      <c r="G3163" t="s">
        <v>793</v>
      </c>
      <c r="H3163" t="s">
        <v>356</v>
      </c>
      <c r="I3163" t="s">
        <v>12473</v>
      </c>
      <c r="J3163" t="s">
        <v>4411</v>
      </c>
      <c r="K3163" t="s">
        <v>4412</v>
      </c>
      <c r="M3163" t="s">
        <v>131</v>
      </c>
      <c r="O3163" t="s">
        <v>77</v>
      </c>
      <c r="P3163" t="s">
        <v>78</v>
      </c>
      <c r="Q3163" t="s">
        <v>4413</v>
      </c>
      <c r="R3163" t="s">
        <v>51</v>
      </c>
      <c r="S3163" t="s">
        <v>2563</v>
      </c>
      <c r="T3163" t="s">
        <v>2563</v>
      </c>
      <c r="U3163" s="1">
        <v>46076.452222222222</v>
      </c>
      <c r="V3163" t="s">
        <v>54</v>
      </c>
      <c r="W3163" t="s">
        <v>55</v>
      </c>
      <c r="X3163" t="s">
        <v>134</v>
      </c>
      <c r="Y3163" t="s">
        <v>12474</v>
      </c>
      <c r="Z3163" t="s">
        <v>58</v>
      </c>
      <c r="AA3163" t="s">
        <v>54</v>
      </c>
      <c r="AB3163" t="s">
        <v>4416</v>
      </c>
      <c r="AC3163" t="s">
        <v>85</v>
      </c>
      <c r="AD3163" t="s">
        <v>51</v>
      </c>
      <c r="AE3163" t="s">
        <v>2563</v>
      </c>
      <c r="AF3163" t="s">
        <v>2563</v>
      </c>
      <c r="AG3163" t="s">
        <v>58</v>
      </c>
      <c r="AH3163" t="s">
        <v>4417</v>
      </c>
      <c r="AK3163">
        <v>0</v>
      </c>
      <c r="AL3163" t="s">
        <v>61</v>
      </c>
      <c r="AM3163" t="s">
        <v>4416</v>
      </c>
      <c r="AN3163" t="s">
        <v>4418</v>
      </c>
    </row>
    <row r="3164" spans="1:40" x14ac:dyDescent="0.35">
      <c r="A3164" t="s">
        <v>37</v>
      </c>
      <c r="B3164" t="s">
        <v>12475</v>
      </c>
      <c r="C3164" t="s">
        <v>39</v>
      </c>
      <c r="D3164" t="s">
        <v>513</v>
      </c>
      <c r="E3164" t="s">
        <v>12476</v>
      </c>
      <c r="F3164" s="1">
        <v>46044.506377314814</v>
      </c>
      <c r="G3164" t="s">
        <v>250</v>
      </c>
      <c r="H3164" t="s">
        <v>106</v>
      </c>
      <c r="I3164" t="s">
        <v>12477</v>
      </c>
      <c r="J3164" t="s">
        <v>1555</v>
      </c>
      <c r="K3164" t="s">
        <v>951</v>
      </c>
      <c r="M3164" t="s">
        <v>76</v>
      </c>
      <c r="O3164" t="s">
        <v>77</v>
      </c>
      <c r="P3164" t="s">
        <v>78</v>
      </c>
      <c r="Q3164" t="s">
        <v>50</v>
      </c>
      <c r="R3164" t="s">
        <v>305</v>
      </c>
      <c r="S3164" t="s">
        <v>306</v>
      </c>
      <c r="T3164" t="s">
        <v>307</v>
      </c>
      <c r="U3164" s="1">
        <v>46077.399212962962</v>
      </c>
      <c r="V3164" t="s">
        <v>54</v>
      </c>
      <c r="W3164" t="s">
        <v>55</v>
      </c>
      <c r="X3164" t="s">
        <v>211</v>
      </c>
      <c r="Y3164" t="s">
        <v>12478</v>
      </c>
      <c r="Z3164" t="s">
        <v>58</v>
      </c>
      <c r="AA3164" t="s">
        <v>54</v>
      </c>
      <c r="AB3164" t="s">
        <v>213</v>
      </c>
      <c r="AC3164" t="s">
        <v>85</v>
      </c>
      <c r="AD3164" t="s">
        <v>79</v>
      </c>
      <c r="AE3164" t="s">
        <v>4869</v>
      </c>
      <c r="AF3164" t="s">
        <v>4870</v>
      </c>
      <c r="AG3164" t="s">
        <v>58</v>
      </c>
      <c r="AH3164" t="s">
        <v>12479</v>
      </c>
      <c r="AJ3164" t="s">
        <v>12480</v>
      </c>
      <c r="AK3164">
        <v>21</v>
      </c>
      <c r="AL3164" t="s">
        <v>61</v>
      </c>
      <c r="AM3164" t="s">
        <v>12481</v>
      </c>
      <c r="AN3164" t="s">
        <v>12482</v>
      </c>
    </row>
    <row r="3165" spans="1:40" x14ac:dyDescent="0.35">
      <c r="A3165" t="s">
        <v>37</v>
      </c>
      <c r="B3165" t="s">
        <v>12483</v>
      </c>
      <c r="C3165" t="s">
        <v>39</v>
      </c>
      <c r="D3165" t="s">
        <v>12484</v>
      </c>
      <c r="E3165" t="s">
        <v>12485</v>
      </c>
      <c r="F3165" s="1">
        <v>46042.649016203701</v>
      </c>
      <c r="G3165" t="s">
        <v>204</v>
      </c>
      <c r="H3165" t="s">
        <v>92</v>
      </c>
      <c r="I3165" t="s">
        <v>11739</v>
      </c>
      <c r="J3165" t="s">
        <v>5588</v>
      </c>
      <c r="K3165" t="s">
        <v>951</v>
      </c>
      <c r="M3165" t="s">
        <v>76</v>
      </c>
      <c r="O3165" t="s">
        <v>77</v>
      </c>
      <c r="P3165" t="s">
        <v>78</v>
      </c>
      <c r="Q3165" t="s">
        <v>50</v>
      </c>
      <c r="R3165" t="s">
        <v>305</v>
      </c>
      <c r="S3165" t="s">
        <v>306</v>
      </c>
      <c r="T3165" t="s">
        <v>307</v>
      </c>
      <c r="U3165" s="1">
        <v>46077.556689814817</v>
      </c>
      <c r="V3165" t="s">
        <v>54</v>
      </c>
      <c r="W3165" t="s">
        <v>55</v>
      </c>
      <c r="X3165" t="s">
        <v>211</v>
      </c>
      <c r="Y3165" t="s">
        <v>12486</v>
      </c>
      <c r="Z3165" t="s">
        <v>58</v>
      </c>
      <c r="AA3165" t="s">
        <v>54</v>
      </c>
      <c r="AB3165" t="s">
        <v>213</v>
      </c>
      <c r="AC3165" t="s">
        <v>85</v>
      </c>
      <c r="AD3165" t="s">
        <v>8343</v>
      </c>
      <c r="AE3165" t="s">
        <v>12487</v>
      </c>
      <c r="AF3165" t="s">
        <v>12488</v>
      </c>
      <c r="AG3165" t="s">
        <v>58</v>
      </c>
      <c r="AH3165">
        <v>15222</v>
      </c>
      <c r="AK3165">
        <v>17</v>
      </c>
      <c r="AL3165" t="s">
        <v>61</v>
      </c>
      <c r="AM3165" t="s">
        <v>12489</v>
      </c>
      <c r="AN3165" t="s">
        <v>12490</v>
      </c>
    </row>
    <row r="3166" spans="1:40" x14ac:dyDescent="0.35">
      <c r="A3166" t="s">
        <v>37</v>
      </c>
      <c r="B3166" t="s">
        <v>12491</v>
      </c>
      <c r="C3166" t="s">
        <v>39</v>
      </c>
      <c r="D3166" t="s">
        <v>2268</v>
      </c>
      <c r="E3166" t="s">
        <v>770</v>
      </c>
      <c r="F3166" s="1">
        <v>46042.431192129632</v>
      </c>
      <c r="G3166" t="s">
        <v>355</v>
      </c>
      <c r="H3166" t="s">
        <v>356</v>
      </c>
      <c r="I3166" t="s">
        <v>12492</v>
      </c>
      <c r="J3166" t="s">
        <v>4244</v>
      </c>
      <c r="K3166" t="s">
        <v>951</v>
      </c>
      <c r="M3166" t="s">
        <v>47</v>
      </c>
      <c r="O3166" t="s">
        <v>77</v>
      </c>
      <c r="P3166" t="s">
        <v>78</v>
      </c>
      <c r="Q3166" t="s">
        <v>1174</v>
      </c>
      <c r="R3166" t="s">
        <v>79</v>
      </c>
      <c r="S3166" t="s">
        <v>8996</v>
      </c>
      <c r="T3166" t="s">
        <v>8996</v>
      </c>
      <c r="U3166" s="1">
        <v>46072.459293981483</v>
      </c>
      <c r="V3166" t="s">
        <v>54</v>
      </c>
      <c r="W3166" t="s">
        <v>55</v>
      </c>
      <c r="X3166" t="s">
        <v>56</v>
      </c>
      <c r="Y3166" t="s">
        <v>12493</v>
      </c>
      <c r="Z3166" t="s">
        <v>5594</v>
      </c>
      <c r="AA3166" t="s">
        <v>54</v>
      </c>
      <c r="AB3166" t="s">
        <v>11873</v>
      </c>
      <c r="AC3166" t="s">
        <v>85</v>
      </c>
      <c r="AD3166" t="s">
        <v>79</v>
      </c>
      <c r="AE3166" t="s">
        <v>8998</v>
      </c>
      <c r="AF3166" t="s">
        <v>8998</v>
      </c>
      <c r="AG3166" t="s">
        <v>5594</v>
      </c>
      <c r="AH3166" t="s">
        <v>11874</v>
      </c>
      <c r="AK3166">
        <v>1</v>
      </c>
      <c r="AL3166" t="s">
        <v>61</v>
      </c>
      <c r="AM3166" t="s">
        <v>11873</v>
      </c>
      <c r="AN3166" t="s">
        <v>11875</v>
      </c>
    </row>
    <row r="3167" spans="1:40" x14ac:dyDescent="0.35">
      <c r="A3167" t="s">
        <v>37</v>
      </c>
      <c r="B3167" t="s">
        <v>12494</v>
      </c>
      <c r="C3167" t="s">
        <v>39</v>
      </c>
      <c r="D3167" t="s">
        <v>1537</v>
      </c>
      <c r="E3167" t="s">
        <v>12495</v>
      </c>
      <c r="F3167" s="1">
        <v>46041.375</v>
      </c>
      <c r="G3167" t="s">
        <v>42</v>
      </c>
      <c r="H3167" t="s">
        <v>43</v>
      </c>
      <c r="I3167" t="s">
        <v>12496</v>
      </c>
      <c r="J3167" t="s">
        <v>2718</v>
      </c>
      <c r="K3167" t="s">
        <v>951</v>
      </c>
      <c r="M3167" t="s">
        <v>76</v>
      </c>
      <c r="O3167" t="s">
        <v>77</v>
      </c>
      <c r="P3167" t="s">
        <v>78</v>
      </c>
      <c r="Q3167" t="s">
        <v>50</v>
      </c>
      <c r="R3167" t="s">
        <v>79</v>
      </c>
      <c r="S3167" t="s">
        <v>1016</v>
      </c>
      <c r="T3167" t="s">
        <v>4181</v>
      </c>
      <c r="U3167" s="1">
        <v>46078.321805555555</v>
      </c>
      <c r="V3167" t="s">
        <v>54</v>
      </c>
      <c r="W3167" t="s">
        <v>55</v>
      </c>
      <c r="X3167" t="s">
        <v>211</v>
      </c>
      <c r="Y3167" t="s">
        <v>12497</v>
      </c>
      <c r="Z3167" t="s">
        <v>58</v>
      </c>
      <c r="AA3167" t="s">
        <v>54</v>
      </c>
      <c r="AB3167" t="s">
        <v>5272</v>
      </c>
      <c r="AC3167" t="s">
        <v>85</v>
      </c>
      <c r="AD3167" t="s">
        <v>79</v>
      </c>
      <c r="AE3167" t="s">
        <v>1016</v>
      </c>
      <c r="AF3167" t="s">
        <v>4181</v>
      </c>
      <c r="AG3167" t="s">
        <v>58</v>
      </c>
      <c r="AH3167" t="s">
        <v>12498</v>
      </c>
      <c r="AK3167">
        <v>13</v>
      </c>
      <c r="AL3167" t="s">
        <v>61</v>
      </c>
      <c r="AM3167" t="s">
        <v>12499</v>
      </c>
      <c r="AN3167" t="s">
        <v>12500</v>
      </c>
    </row>
    <row r="3168" spans="1:40" x14ac:dyDescent="0.35">
      <c r="A3168" t="s">
        <v>37</v>
      </c>
      <c r="B3168" t="s">
        <v>12501</v>
      </c>
      <c r="C3168" t="s">
        <v>39</v>
      </c>
      <c r="D3168" t="s">
        <v>1379</v>
      </c>
      <c r="E3168" t="s">
        <v>1380</v>
      </c>
      <c r="F3168" s="1">
        <v>46036.92800925926</v>
      </c>
      <c r="G3168" t="s">
        <v>355</v>
      </c>
      <c r="H3168" t="s">
        <v>356</v>
      </c>
      <c r="I3168" t="s">
        <v>12502</v>
      </c>
      <c r="J3168" t="s">
        <v>3949</v>
      </c>
      <c r="K3168" t="s">
        <v>3950</v>
      </c>
      <c r="M3168" t="s">
        <v>131</v>
      </c>
      <c r="O3168" t="s">
        <v>77</v>
      </c>
      <c r="P3168" t="s">
        <v>78</v>
      </c>
      <c r="Q3168" t="s">
        <v>50</v>
      </c>
      <c r="R3168" t="s">
        <v>79</v>
      </c>
      <c r="S3168" t="s">
        <v>8996</v>
      </c>
      <c r="T3168" t="s">
        <v>8996</v>
      </c>
      <c r="U3168" s="1">
        <v>46077.291284722225</v>
      </c>
      <c r="V3168" t="s">
        <v>54</v>
      </c>
      <c r="W3168" t="s">
        <v>55</v>
      </c>
      <c r="X3168" t="s">
        <v>134</v>
      </c>
      <c r="Y3168" t="s">
        <v>12503</v>
      </c>
      <c r="Z3168" t="s">
        <v>58</v>
      </c>
      <c r="AA3168" t="s">
        <v>54</v>
      </c>
      <c r="AB3168" t="s">
        <v>1503</v>
      </c>
      <c r="AC3168" t="s">
        <v>85</v>
      </c>
      <c r="AD3168" t="s">
        <v>79</v>
      </c>
      <c r="AE3168" t="s">
        <v>8998</v>
      </c>
      <c r="AF3168" t="s">
        <v>8998</v>
      </c>
      <c r="AG3168" t="s">
        <v>58</v>
      </c>
      <c r="AH3168" t="s">
        <v>1385</v>
      </c>
      <c r="AK3168">
        <v>1</v>
      </c>
      <c r="AL3168" t="s">
        <v>61</v>
      </c>
      <c r="AM3168" t="s">
        <v>1384</v>
      </c>
      <c r="AN3168" t="s">
        <v>1386</v>
      </c>
    </row>
    <row r="3169" spans="1:40" x14ac:dyDescent="0.35">
      <c r="A3169" t="s">
        <v>37</v>
      </c>
      <c r="B3169" t="s">
        <v>12504</v>
      </c>
      <c r="C3169" t="s">
        <v>39</v>
      </c>
      <c r="D3169" t="s">
        <v>7392</v>
      </c>
      <c r="E3169" t="s">
        <v>12505</v>
      </c>
      <c r="F3169" s="1">
        <v>46036.806261574071</v>
      </c>
      <c r="G3169" t="s">
        <v>261</v>
      </c>
      <c r="H3169" t="s">
        <v>72</v>
      </c>
      <c r="I3169" t="s">
        <v>12506</v>
      </c>
      <c r="J3169" t="s">
        <v>12507</v>
      </c>
      <c r="K3169" t="s">
        <v>1650</v>
      </c>
      <c r="M3169" t="s">
        <v>131</v>
      </c>
      <c r="O3169" t="s">
        <v>77</v>
      </c>
      <c r="P3169" t="s">
        <v>78</v>
      </c>
      <c r="Q3169" t="s">
        <v>50</v>
      </c>
      <c r="R3169" t="s">
        <v>79</v>
      </c>
      <c r="S3169" t="s">
        <v>80</v>
      </c>
      <c r="T3169" t="s">
        <v>12508</v>
      </c>
      <c r="U3169" s="1">
        <v>46077.430138888885</v>
      </c>
      <c r="V3169" t="s">
        <v>54</v>
      </c>
      <c r="W3169" t="s">
        <v>55</v>
      </c>
      <c r="X3169" t="s">
        <v>134</v>
      </c>
      <c r="Y3169" t="s">
        <v>12509</v>
      </c>
      <c r="Z3169" t="s">
        <v>58</v>
      </c>
      <c r="AA3169" t="s">
        <v>54</v>
      </c>
      <c r="AB3169" t="s">
        <v>1503</v>
      </c>
      <c r="AC3169" t="s">
        <v>85</v>
      </c>
      <c r="AD3169" t="s">
        <v>79</v>
      </c>
      <c r="AE3169" t="s">
        <v>80</v>
      </c>
      <c r="AF3169" t="s">
        <v>12510</v>
      </c>
      <c r="AG3169" t="s">
        <v>58</v>
      </c>
      <c r="AH3169" t="s">
        <v>12511</v>
      </c>
      <c r="AK3169">
        <v>6</v>
      </c>
      <c r="AL3169" t="s">
        <v>61</v>
      </c>
      <c r="AM3169" t="s">
        <v>12512</v>
      </c>
      <c r="AN3169" t="s">
        <v>12513</v>
      </c>
    </row>
    <row r="3170" spans="1:40" x14ac:dyDescent="0.35">
      <c r="A3170" t="s">
        <v>37</v>
      </c>
      <c r="B3170" t="s">
        <v>12514</v>
      </c>
      <c r="C3170" t="s">
        <v>39</v>
      </c>
      <c r="D3170" t="s">
        <v>12515</v>
      </c>
      <c r="E3170" t="s">
        <v>12516</v>
      </c>
      <c r="F3170" s="1">
        <v>46036.641041666669</v>
      </c>
      <c r="G3170" t="s">
        <v>327</v>
      </c>
      <c r="H3170" t="s">
        <v>72</v>
      </c>
      <c r="I3170" t="s">
        <v>12517</v>
      </c>
      <c r="J3170" t="s">
        <v>4244</v>
      </c>
      <c r="K3170" t="s">
        <v>951</v>
      </c>
      <c r="M3170" t="s">
        <v>131</v>
      </c>
      <c r="O3170" t="s">
        <v>77</v>
      </c>
      <c r="P3170" t="s">
        <v>78</v>
      </c>
      <c r="R3170" t="s">
        <v>305</v>
      </c>
      <c r="S3170" t="s">
        <v>306</v>
      </c>
      <c r="T3170" t="s">
        <v>307</v>
      </c>
      <c r="U3170" s="1">
        <v>46076.522013888891</v>
      </c>
      <c r="V3170" t="s">
        <v>54</v>
      </c>
      <c r="W3170" t="s">
        <v>55</v>
      </c>
      <c r="X3170" t="s">
        <v>211</v>
      </c>
      <c r="Y3170" t="s">
        <v>12518</v>
      </c>
      <c r="Z3170" t="s">
        <v>58</v>
      </c>
      <c r="AA3170" t="s">
        <v>54</v>
      </c>
      <c r="AB3170" t="s">
        <v>213</v>
      </c>
      <c r="AC3170" t="s">
        <v>85</v>
      </c>
      <c r="AD3170" t="s">
        <v>79</v>
      </c>
      <c r="AE3170" t="s">
        <v>4869</v>
      </c>
      <c r="AF3170" t="s">
        <v>12170</v>
      </c>
      <c r="AG3170" t="s">
        <v>58</v>
      </c>
      <c r="AH3170" t="s">
        <v>12519</v>
      </c>
      <c r="AJ3170" t="s">
        <v>12520</v>
      </c>
      <c r="AK3170">
        <v>17</v>
      </c>
      <c r="AL3170" t="s">
        <v>61</v>
      </c>
      <c r="AM3170" t="s">
        <v>12521</v>
      </c>
      <c r="AN3170" t="s">
        <v>12522</v>
      </c>
    </row>
    <row r="3171" spans="1:40" x14ac:dyDescent="0.35">
      <c r="A3171" t="s">
        <v>37</v>
      </c>
      <c r="B3171" t="s">
        <v>12523</v>
      </c>
      <c r="C3171" t="s">
        <v>39</v>
      </c>
      <c r="D3171" t="s">
        <v>12524</v>
      </c>
      <c r="E3171" t="s">
        <v>12525</v>
      </c>
      <c r="F3171" s="1">
        <v>46036.346712962964</v>
      </c>
      <c r="G3171" t="s">
        <v>487</v>
      </c>
      <c r="H3171" t="s">
        <v>447</v>
      </c>
      <c r="I3171" t="s">
        <v>1446</v>
      </c>
      <c r="J3171" t="s">
        <v>10019</v>
      </c>
      <c r="K3171" t="s">
        <v>75</v>
      </c>
      <c r="M3171" t="s">
        <v>76</v>
      </c>
      <c r="O3171" t="s">
        <v>77</v>
      </c>
      <c r="P3171" t="s">
        <v>78</v>
      </c>
      <c r="R3171" t="s">
        <v>79</v>
      </c>
      <c r="S3171" t="s">
        <v>1016</v>
      </c>
      <c r="T3171" t="s">
        <v>4181</v>
      </c>
      <c r="U3171" s="1">
        <v>46077.454664351855</v>
      </c>
      <c r="V3171" t="s">
        <v>54</v>
      </c>
      <c r="W3171" t="s">
        <v>55</v>
      </c>
      <c r="X3171" t="s">
        <v>211</v>
      </c>
      <c r="Y3171" t="s">
        <v>12526</v>
      </c>
      <c r="Z3171" t="s">
        <v>58</v>
      </c>
      <c r="AA3171" t="s">
        <v>54</v>
      </c>
      <c r="AB3171" t="s">
        <v>213</v>
      </c>
      <c r="AC3171" t="s">
        <v>85</v>
      </c>
      <c r="AD3171" t="s">
        <v>79</v>
      </c>
      <c r="AE3171" t="s">
        <v>1016</v>
      </c>
      <c r="AF3171" t="s">
        <v>4181</v>
      </c>
      <c r="AG3171" t="s">
        <v>58</v>
      </c>
      <c r="AH3171">
        <v>15026</v>
      </c>
      <c r="AK3171">
        <v>26</v>
      </c>
      <c r="AL3171" t="s">
        <v>61</v>
      </c>
      <c r="AM3171" t="s">
        <v>12527</v>
      </c>
      <c r="AN3171" t="s">
        <v>12528</v>
      </c>
    </row>
    <row r="3172" spans="1:40" x14ac:dyDescent="0.35">
      <c r="A3172" t="s">
        <v>37</v>
      </c>
      <c r="B3172" t="s">
        <v>12529</v>
      </c>
      <c r="C3172" t="s">
        <v>102</v>
      </c>
      <c r="D3172" t="s">
        <v>12530</v>
      </c>
      <c r="E3172" t="s">
        <v>12531</v>
      </c>
      <c r="F3172" s="1">
        <v>46035.409074074072</v>
      </c>
      <c r="G3172" t="s">
        <v>1264</v>
      </c>
      <c r="H3172" t="s">
        <v>43</v>
      </c>
      <c r="I3172" t="s">
        <v>12532</v>
      </c>
      <c r="J3172" t="s">
        <v>3117</v>
      </c>
      <c r="K3172" t="s">
        <v>2551</v>
      </c>
      <c r="M3172" t="s">
        <v>76</v>
      </c>
      <c r="O3172" t="s">
        <v>237</v>
      </c>
      <c r="P3172" t="s">
        <v>238</v>
      </c>
      <c r="Q3172" t="s">
        <v>50</v>
      </c>
      <c r="R3172" t="s">
        <v>79</v>
      </c>
      <c r="S3172" t="s">
        <v>4503</v>
      </c>
      <c r="T3172" t="s">
        <v>12533</v>
      </c>
      <c r="U3172" s="1">
        <v>46078.511712962965</v>
      </c>
      <c r="V3172" t="s">
        <v>54</v>
      </c>
      <c r="W3172" t="s">
        <v>55</v>
      </c>
      <c r="X3172" t="s">
        <v>82</v>
      </c>
      <c r="Y3172" t="s">
        <v>12534</v>
      </c>
      <c r="Z3172" t="s">
        <v>58</v>
      </c>
      <c r="AA3172" t="s">
        <v>54</v>
      </c>
      <c r="AB3172" t="s">
        <v>3425</v>
      </c>
      <c r="AC3172" t="s">
        <v>242</v>
      </c>
      <c r="AD3172" t="s">
        <v>208</v>
      </c>
      <c r="AE3172" t="s">
        <v>3119</v>
      </c>
      <c r="AF3172" t="s">
        <v>12269</v>
      </c>
      <c r="AG3172" t="s">
        <v>58</v>
      </c>
      <c r="AH3172">
        <v>12639</v>
      </c>
      <c r="AK3172">
        <v>3</v>
      </c>
      <c r="AL3172" t="s">
        <v>61</v>
      </c>
      <c r="AM3172" t="s">
        <v>12535</v>
      </c>
      <c r="AN3172" t="s">
        <v>12536</v>
      </c>
    </row>
    <row r="3173" spans="1:40" x14ac:dyDescent="0.35">
      <c r="A3173" t="s">
        <v>37</v>
      </c>
      <c r="B3173" t="s">
        <v>12537</v>
      </c>
      <c r="C3173" t="s">
        <v>39</v>
      </c>
      <c r="D3173" t="s">
        <v>391</v>
      </c>
      <c r="E3173" t="s">
        <v>4373</v>
      </c>
      <c r="F3173" s="1">
        <v>46031.39271990741</v>
      </c>
      <c r="G3173" t="s">
        <v>297</v>
      </c>
      <c r="H3173" t="s">
        <v>287</v>
      </c>
      <c r="I3173" t="s">
        <v>12538</v>
      </c>
      <c r="J3173" t="s">
        <v>3829</v>
      </c>
      <c r="K3173" t="s">
        <v>951</v>
      </c>
      <c r="M3173" t="s">
        <v>76</v>
      </c>
      <c r="O3173" t="s">
        <v>77</v>
      </c>
      <c r="P3173" t="s">
        <v>78</v>
      </c>
      <c r="Q3173" t="s">
        <v>4374</v>
      </c>
      <c r="R3173" t="s">
        <v>305</v>
      </c>
      <c r="S3173" t="s">
        <v>306</v>
      </c>
      <c r="T3173" t="s">
        <v>307</v>
      </c>
      <c r="U3173" s="1">
        <v>46077.398101851853</v>
      </c>
      <c r="V3173" t="s">
        <v>54</v>
      </c>
      <c r="W3173" t="s">
        <v>55</v>
      </c>
      <c r="X3173" t="s">
        <v>211</v>
      </c>
      <c r="Y3173" t="s">
        <v>12539</v>
      </c>
      <c r="Z3173" t="s">
        <v>58</v>
      </c>
      <c r="AA3173" t="s">
        <v>54</v>
      </c>
      <c r="AB3173" t="s">
        <v>213</v>
      </c>
      <c r="AC3173" t="s">
        <v>85</v>
      </c>
      <c r="AD3173" t="s">
        <v>79</v>
      </c>
      <c r="AE3173" t="s">
        <v>4869</v>
      </c>
      <c r="AF3173" t="s">
        <v>12540</v>
      </c>
      <c r="AG3173" t="s">
        <v>58</v>
      </c>
      <c r="AH3173">
        <v>11091</v>
      </c>
      <c r="AJ3173" t="s">
        <v>12541</v>
      </c>
      <c r="AK3173">
        <v>19</v>
      </c>
      <c r="AL3173" t="s">
        <v>61</v>
      </c>
      <c r="AM3173" t="s">
        <v>4375</v>
      </c>
      <c r="AN3173" t="s">
        <v>4376</v>
      </c>
    </row>
    <row r="3174" spans="1:40" x14ac:dyDescent="0.35">
      <c r="A3174" t="s">
        <v>37</v>
      </c>
      <c r="B3174" t="s">
        <v>12542</v>
      </c>
      <c r="C3174" t="s">
        <v>39</v>
      </c>
      <c r="D3174" t="s">
        <v>739</v>
      </c>
      <c r="E3174" t="s">
        <v>12543</v>
      </c>
      <c r="F3174" s="1">
        <v>46030.407754629632</v>
      </c>
      <c r="G3174" t="s">
        <v>232</v>
      </c>
      <c r="H3174" t="s">
        <v>233</v>
      </c>
      <c r="I3174" t="s">
        <v>12544</v>
      </c>
      <c r="J3174" t="s">
        <v>5027</v>
      </c>
      <c r="K3174" t="s">
        <v>951</v>
      </c>
      <c r="M3174" t="s">
        <v>47</v>
      </c>
      <c r="O3174" t="s">
        <v>77</v>
      </c>
      <c r="P3174" t="s">
        <v>78</v>
      </c>
      <c r="Q3174" t="s">
        <v>50</v>
      </c>
      <c r="R3174" t="s">
        <v>79</v>
      </c>
      <c r="S3174" t="s">
        <v>2748</v>
      </c>
      <c r="T3174" t="s">
        <v>2746</v>
      </c>
      <c r="U3174" s="1">
        <v>46073.363206018519</v>
      </c>
      <c r="V3174" t="s">
        <v>54</v>
      </c>
      <c r="W3174" t="s">
        <v>55</v>
      </c>
      <c r="X3174" t="s">
        <v>211</v>
      </c>
      <c r="Y3174" t="s">
        <v>12545</v>
      </c>
      <c r="Z3174" t="s">
        <v>5594</v>
      </c>
      <c r="AA3174" t="s">
        <v>54</v>
      </c>
      <c r="AB3174" t="s">
        <v>213</v>
      </c>
      <c r="AC3174" t="s">
        <v>85</v>
      </c>
      <c r="AD3174" t="s">
        <v>79</v>
      </c>
      <c r="AE3174" t="s">
        <v>2748</v>
      </c>
      <c r="AF3174" t="s">
        <v>2746</v>
      </c>
      <c r="AG3174" t="s">
        <v>5594</v>
      </c>
      <c r="AH3174">
        <v>15084</v>
      </c>
      <c r="AJ3174">
        <v>191188</v>
      </c>
      <c r="AK3174">
        <v>13</v>
      </c>
      <c r="AL3174" t="s">
        <v>61</v>
      </c>
      <c r="AM3174" t="s">
        <v>12546</v>
      </c>
      <c r="AN3174" t="s">
        <v>12547</v>
      </c>
    </row>
    <row r="3175" spans="1:40" x14ac:dyDescent="0.35">
      <c r="A3175" t="s">
        <v>37</v>
      </c>
      <c r="B3175" t="s">
        <v>12548</v>
      </c>
      <c r="C3175" t="s">
        <v>102</v>
      </c>
      <c r="D3175" t="s">
        <v>12549</v>
      </c>
      <c r="E3175" t="s">
        <v>12550</v>
      </c>
      <c r="F3175" s="1">
        <v>46030.398217592592</v>
      </c>
      <c r="G3175" t="s">
        <v>688</v>
      </c>
      <c r="H3175" t="s">
        <v>106</v>
      </c>
      <c r="I3175" t="s">
        <v>12551</v>
      </c>
      <c r="J3175" t="s">
        <v>950</v>
      </c>
      <c r="K3175" t="s">
        <v>951</v>
      </c>
      <c r="M3175" t="s">
        <v>76</v>
      </c>
      <c r="O3175" t="s">
        <v>237</v>
      </c>
      <c r="P3175" t="s">
        <v>238</v>
      </c>
      <c r="Q3175" t="s">
        <v>4087</v>
      </c>
      <c r="R3175" t="s">
        <v>305</v>
      </c>
      <c r="S3175" t="s">
        <v>306</v>
      </c>
      <c r="T3175" t="s">
        <v>307</v>
      </c>
      <c r="U3175" s="1">
        <v>46076.716585648152</v>
      </c>
      <c r="V3175" t="s">
        <v>54</v>
      </c>
      <c r="W3175" t="s">
        <v>55</v>
      </c>
      <c r="X3175" t="s">
        <v>211</v>
      </c>
      <c r="Y3175" t="s">
        <v>12552</v>
      </c>
      <c r="Z3175" t="s">
        <v>58</v>
      </c>
      <c r="AA3175" t="s">
        <v>54</v>
      </c>
      <c r="AB3175" t="s">
        <v>213</v>
      </c>
      <c r="AC3175" t="s">
        <v>242</v>
      </c>
      <c r="AD3175" t="s">
        <v>79</v>
      </c>
      <c r="AE3175" t="s">
        <v>558</v>
      </c>
      <c r="AF3175" t="s">
        <v>12553</v>
      </c>
      <c r="AG3175" t="s">
        <v>58</v>
      </c>
      <c r="AH3175">
        <v>4718</v>
      </c>
      <c r="AK3175">
        <v>34</v>
      </c>
      <c r="AL3175" t="s">
        <v>61</v>
      </c>
      <c r="AM3175" t="s">
        <v>12554</v>
      </c>
      <c r="AN3175" t="s">
        <v>12555</v>
      </c>
    </row>
    <row r="3176" spans="1:40" x14ac:dyDescent="0.35">
      <c r="A3176" t="s">
        <v>37</v>
      </c>
      <c r="B3176" t="s">
        <v>12556</v>
      </c>
      <c r="C3176" t="s">
        <v>39</v>
      </c>
      <c r="D3176" t="s">
        <v>9726</v>
      </c>
      <c r="E3176" t="s">
        <v>9727</v>
      </c>
      <c r="F3176" s="1">
        <v>46029.620219907411</v>
      </c>
      <c r="G3176" t="s">
        <v>355</v>
      </c>
      <c r="H3176" t="s">
        <v>356</v>
      </c>
      <c r="I3176" t="s">
        <v>12557</v>
      </c>
      <c r="J3176" t="s">
        <v>1186</v>
      </c>
      <c r="K3176" t="s">
        <v>1187</v>
      </c>
      <c r="M3176" t="s">
        <v>76</v>
      </c>
      <c r="O3176" t="s">
        <v>77</v>
      </c>
      <c r="P3176" t="s">
        <v>78</v>
      </c>
      <c r="Q3176" t="s">
        <v>50</v>
      </c>
      <c r="R3176" t="s">
        <v>1189</v>
      </c>
      <c r="S3176" t="s">
        <v>1190</v>
      </c>
      <c r="T3176" t="s">
        <v>10642</v>
      </c>
      <c r="U3176" s="1">
        <v>46078.34783564815</v>
      </c>
      <c r="V3176" t="s">
        <v>54</v>
      </c>
      <c r="W3176" t="s">
        <v>55</v>
      </c>
      <c r="X3176" t="s">
        <v>134</v>
      </c>
      <c r="Y3176" t="s">
        <v>12558</v>
      </c>
      <c r="Z3176" t="s">
        <v>58</v>
      </c>
      <c r="AA3176" t="s">
        <v>54</v>
      </c>
      <c r="AB3176" t="s">
        <v>408</v>
      </c>
      <c r="AC3176" t="s">
        <v>85</v>
      </c>
      <c r="AD3176" t="s">
        <v>1189</v>
      </c>
      <c r="AE3176" t="s">
        <v>1190</v>
      </c>
      <c r="AF3176" t="s">
        <v>7793</v>
      </c>
      <c r="AG3176" t="s">
        <v>58</v>
      </c>
      <c r="AH3176" t="s">
        <v>9733</v>
      </c>
      <c r="AK3176">
        <v>23</v>
      </c>
      <c r="AL3176" t="s">
        <v>61</v>
      </c>
      <c r="AM3176" t="s">
        <v>9734</v>
      </c>
      <c r="AN3176" t="s">
        <v>9735</v>
      </c>
    </row>
    <row r="3177" spans="1:40" x14ac:dyDescent="0.35">
      <c r="A3177" t="s">
        <v>37</v>
      </c>
      <c r="B3177" t="s">
        <v>12559</v>
      </c>
      <c r="C3177" t="s">
        <v>102</v>
      </c>
      <c r="D3177" t="s">
        <v>320</v>
      </c>
      <c r="E3177" t="s">
        <v>501</v>
      </c>
      <c r="F3177" s="1">
        <v>46028.461076388892</v>
      </c>
      <c r="G3177" t="s">
        <v>355</v>
      </c>
      <c r="H3177" t="s">
        <v>356</v>
      </c>
      <c r="I3177" t="s">
        <v>12560</v>
      </c>
      <c r="J3177" t="s">
        <v>1337</v>
      </c>
      <c r="K3177" t="s">
        <v>951</v>
      </c>
      <c r="M3177" t="s">
        <v>47</v>
      </c>
      <c r="O3177" t="s">
        <v>237</v>
      </c>
      <c r="P3177" t="s">
        <v>238</v>
      </c>
      <c r="Q3177" t="s">
        <v>502</v>
      </c>
      <c r="R3177" t="s">
        <v>79</v>
      </c>
      <c r="S3177" t="s">
        <v>1339</v>
      </c>
      <c r="T3177" t="s">
        <v>12561</v>
      </c>
      <c r="U3177" s="1">
        <v>46072.538043981483</v>
      </c>
      <c r="V3177" t="s">
        <v>54</v>
      </c>
      <c r="W3177" t="s">
        <v>55</v>
      </c>
      <c r="X3177" t="s">
        <v>134</v>
      </c>
      <c r="Y3177" t="e">
        <f>- the laptop has been re-imaged  - data recovered</f>
        <v>#NAME?</v>
      </c>
      <c r="Z3177" t="s">
        <v>5594</v>
      </c>
      <c r="AA3177" t="s">
        <v>54</v>
      </c>
      <c r="AB3177" t="s">
        <v>458</v>
      </c>
      <c r="AC3177" t="s">
        <v>242</v>
      </c>
      <c r="AD3177" t="s">
        <v>79</v>
      </c>
      <c r="AE3177" t="s">
        <v>1339</v>
      </c>
      <c r="AF3177" t="s">
        <v>12561</v>
      </c>
      <c r="AG3177" t="s">
        <v>5594</v>
      </c>
      <c r="AH3177">
        <v>12173</v>
      </c>
      <c r="AJ3177" t="s">
        <v>12562</v>
      </c>
      <c r="AK3177">
        <v>13</v>
      </c>
      <c r="AL3177" t="s">
        <v>61</v>
      </c>
      <c r="AM3177" t="s">
        <v>503</v>
      </c>
      <c r="AN3177" t="s">
        <v>504</v>
      </c>
    </row>
    <row r="3178" spans="1:40" x14ac:dyDescent="0.35">
      <c r="A3178" t="s">
        <v>37</v>
      </c>
      <c r="B3178" t="s">
        <v>12563</v>
      </c>
      <c r="C3178" t="s">
        <v>102</v>
      </c>
      <c r="D3178" t="s">
        <v>12564</v>
      </c>
      <c r="E3178" t="s">
        <v>1982</v>
      </c>
      <c r="F3178" s="1">
        <v>46026.863078703704</v>
      </c>
      <c r="G3178" t="s">
        <v>71</v>
      </c>
      <c r="H3178" t="s">
        <v>72</v>
      </c>
      <c r="I3178" t="s">
        <v>12565</v>
      </c>
      <c r="J3178" t="s">
        <v>12507</v>
      </c>
      <c r="K3178" t="s">
        <v>1650</v>
      </c>
      <c r="M3178" t="s">
        <v>131</v>
      </c>
      <c r="O3178" t="s">
        <v>237</v>
      </c>
      <c r="P3178" t="s">
        <v>238</v>
      </c>
      <c r="Q3178" t="s">
        <v>50</v>
      </c>
      <c r="R3178" t="s">
        <v>79</v>
      </c>
      <c r="S3178" t="s">
        <v>967</v>
      </c>
      <c r="T3178" t="s">
        <v>1028</v>
      </c>
      <c r="U3178" s="1">
        <v>46076.705925925926</v>
      </c>
      <c r="V3178" t="s">
        <v>54</v>
      </c>
      <c r="W3178" t="s">
        <v>55</v>
      </c>
      <c r="X3178" t="s">
        <v>82</v>
      </c>
      <c r="Y3178" t="s">
        <v>12566</v>
      </c>
      <c r="Z3178" t="s">
        <v>58</v>
      </c>
      <c r="AA3178" t="s">
        <v>54</v>
      </c>
      <c r="AB3178" t="s">
        <v>84</v>
      </c>
      <c r="AC3178" t="s">
        <v>242</v>
      </c>
      <c r="AD3178" t="s">
        <v>79</v>
      </c>
      <c r="AE3178" t="s">
        <v>967</v>
      </c>
      <c r="AF3178" t="s">
        <v>1028</v>
      </c>
      <c r="AG3178" t="s">
        <v>58</v>
      </c>
      <c r="AH3178" t="s">
        <v>12567</v>
      </c>
      <c r="AK3178">
        <v>1</v>
      </c>
      <c r="AL3178" t="s">
        <v>61</v>
      </c>
      <c r="AM3178" t="s">
        <v>12568</v>
      </c>
      <c r="AN3178" t="s">
        <v>12569</v>
      </c>
    </row>
    <row r="3179" spans="1:40" x14ac:dyDescent="0.35">
      <c r="A3179" t="s">
        <v>37</v>
      </c>
      <c r="B3179" t="s">
        <v>12570</v>
      </c>
      <c r="C3179" t="s">
        <v>102</v>
      </c>
      <c r="D3179" t="s">
        <v>12571</v>
      </c>
      <c r="E3179" t="s">
        <v>12572</v>
      </c>
      <c r="F3179" s="1">
        <v>46020.65420138889</v>
      </c>
      <c r="G3179" t="s">
        <v>105</v>
      </c>
      <c r="H3179" t="s">
        <v>106</v>
      </c>
      <c r="I3179" t="s">
        <v>12573</v>
      </c>
      <c r="J3179" t="s">
        <v>5583</v>
      </c>
      <c r="K3179" t="s">
        <v>951</v>
      </c>
      <c r="M3179" t="s">
        <v>76</v>
      </c>
      <c r="O3179" t="s">
        <v>237</v>
      </c>
      <c r="P3179" t="s">
        <v>238</v>
      </c>
      <c r="Q3179" t="s">
        <v>110</v>
      </c>
      <c r="R3179" t="s">
        <v>79</v>
      </c>
      <c r="S3179" t="s">
        <v>955</v>
      </c>
      <c r="T3179" t="s">
        <v>1500</v>
      </c>
      <c r="U3179" s="1">
        <v>46076.50613425926</v>
      </c>
      <c r="V3179" t="s">
        <v>54</v>
      </c>
      <c r="W3179" t="s">
        <v>1584</v>
      </c>
      <c r="X3179" t="s">
        <v>82</v>
      </c>
      <c r="Y3179" t="s">
        <v>12574</v>
      </c>
      <c r="Z3179" t="s">
        <v>58</v>
      </c>
      <c r="AA3179" t="s">
        <v>54</v>
      </c>
      <c r="AB3179" t="s">
        <v>645</v>
      </c>
      <c r="AC3179" t="s">
        <v>242</v>
      </c>
      <c r="AD3179" t="s">
        <v>79</v>
      </c>
      <c r="AE3179" t="s">
        <v>1339</v>
      </c>
      <c r="AF3179" t="s">
        <v>12575</v>
      </c>
      <c r="AG3179" t="s">
        <v>58</v>
      </c>
      <c r="AH3179">
        <v>2590</v>
      </c>
      <c r="AJ3179" t="s">
        <v>12576</v>
      </c>
      <c r="AK3179">
        <v>21</v>
      </c>
      <c r="AL3179" t="s">
        <v>61</v>
      </c>
      <c r="AM3179" t="s">
        <v>12577</v>
      </c>
      <c r="AN3179" t="s">
        <v>12578</v>
      </c>
    </row>
    <row r="3180" spans="1:40" x14ac:dyDescent="0.35">
      <c r="A3180" t="s">
        <v>37</v>
      </c>
      <c r="B3180" t="s">
        <v>12579</v>
      </c>
      <c r="C3180" t="s">
        <v>39</v>
      </c>
      <c r="D3180" t="s">
        <v>12580</v>
      </c>
      <c r="E3180" t="s">
        <v>12581</v>
      </c>
      <c r="F3180" s="1">
        <v>46009.084085648145</v>
      </c>
      <c r="G3180" t="s">
        <v>355</v>
      </c>
      <c r="H3180" t="s">
        <v>356</v>
      </c>
      <c r="I3180" t="s">
        <v>12582</v>
      </c>
      <c r="J3180" t="s">
        <v>1555</v>
      </c>
      <c r="K3180" t="s">
        <v>951</v>
      </c>
      <c r="M3180" t="s">
        <v>76</v>
      </c>
      <c r="O3180" t="s">
        <v>77</v>
      </c>
      <c r="P3180" t="s">
        <v>78</v>
      </c>
      <c r="Q3180" t="s">
        <v>1174</v>
      </c>
      <c r="R3180" t="s">
        <v>79</v>
      </c>
      <c r="S3180" t="s">
        <v>4869</v>
      </c>
      <c r="T3180" t="s">
        <v>12326</v>
      </c>
      <c r="U3180" s="1">
        <v>46076.36</v>
      </c>
      <c r="V3180" t="s">
        <v>54</v>
      </c>
      <c r="W3180" t="s">
        <v>55</v>
      </c>
      <c r="X3180" t="s">
        <v>134</v>
      </c>
      <c r="Y3180" t="s">
        <v>12583</v>
      </c>
      <c r="Z3180" t="s">
        <v>58</v>
      </c>
      <c r="AA3180" t="s">
        <v>54</v>
      </c>
      <c r="AB3180" t="s">
        <v>2521</v>
      </c>
      <c r="AC3180" t="s">
        <v>85</v>
      </c>
      <c r="AD3180" t="s">
        <v>79</v>
      </c>
      <c r="AE3180" t="s">
        <v>4869</v>
      </c>
      <c r="AF3180" t="s">
        <v>4870</v>
      </c>
      <c r="AG3180" t="s">
        <v>58</v>
      </c>
      <c r="AH3180" t="s">
        <v>12584</v>
      </c>
      <c r="AJ3180" t="s">
        <v>12585</v>
      </c>
      <c r="AK3180">
        <v>16</v>
      </c>
      <c r="AL3180" t="s">
        <v>61</v>
      </c>
      <c r="AM3180" t="s">
        <v>12586</v>
      </c>
      <c r="AN3180" t="s">
        <v>12587</v>
      </c>
    </row>
    <row r="3181" spans="1:40" x14ac:dyDescent="0.35">
      <c r="A3181" t="s">
        <v>37</v>
      </c>
      <c r="B3181" t="s">
        <v>12588</v>
      </c>
      <c r="C3181" t="s">
        <v>39</v>
      </c>
      <c r="D3181" t="s">
        <v>513</v>
      </c>
      <c r="E3181" t="s">
        <v>814</v>
      </c>
      <c r="F3181" s="1">
        <v>46001.357523148145</v>
      </c>
      <c r="G3181" t="s">
        <v>402</v>
      </c>
      <c r="H3181" t="s">
        <v>72</v>
      </c>
      <c r="I3181" t="s">
        <v>12429</v>
      </c>
      <c r="J3181" t="s">
        <v>950</v>
      </c>
      <c r="K3181" t="s">
        <v>951</v>
      </c>
      <c r="M3181" t="s">
        <v>76</v>
      </c>
      <c r="O3181" t="s">
        <v>77</v>
      </c>
      <c r="P3181" t="s">
        <v>78</v>
      </c>
      <c r="Q3181" t="s">
        <v>818</v>
      </c>
      <c r="R3181" t="s">
        <v>305</v>
      </c>
      <c r="S3181" t="s">
        <v>306</v>
      </c>
      <c r="T3181" t="s">
        <v>307</v>
      </c>
      <c r="U3181" s="1">
        <v>46078.356122685182</v>
      </c>
      <c r="V3181" t="s">
        <v>54</v>
      </c>
      <c r="W3181" t="s">
        <v>55</v>
      </c>
      <c r="X3181" t="s">
        <v>211</v>
      </c>
      <c r="Y3181" t="s">
        <v>12430</v>
      </c>
      <c r="Z3181" t="s">
        <v>58</v>
      </c>
      <c r="AA3181" t="s">
        <v>54</v>
      </c>
      <c r="AB3181" t="s">
        <v>213</v>
      </c>
      <c r="AC3181" t="s">
        <v>85</v>
      </c>
      <c r="AD3181" t="s">
        <v>79</v>
      </c>
      <c r="AE3181" t="s">
        <v>161</v>
      </c>
      <c r="AF3181" t="s">
        <v>12431</v>
      </c>
      <c r="AG3181" t="s">
        <v>58</v>
      </c>
      <c r="AH3181">
        <v>2833</v>
      </c>
      <c r="AJ3181" t="s">
        <v>12589</v>
      </c>
      <c r="AK3181">
        <v>25</v>
      </c>
      <c r="AL3181" t="s">
        <v>61</v>
      </c>
      <c r="AM3181" t="s">
        <v>821</v>
      </c>
      <c r="AN3181" t="s">
        <v>822</v>
      </c>
    </row>
    <row r="3182" spans="1:40" x14ac:dyDescent="0.35">
      <c r="A3182" t="s">
        <v>37</v>
      </c>
      <c r="B3182" t="s">
        <v>12590</v>
      </c>
      <c r="C3182" t="s">
        <v>39</v>
      </c>
      <c r="D3182" t="s">
        <v>2603</v>
      </c>
      <c r="E3182" t="s">
        <v>1316</v>
      </c>
      <c r="F3182" s="1">
        <v>45902.113449074073</v>
      </c>
      <c r="G3182" t="s">
        <v>355</v>
      </c>
      <c r="H3182" t="s">
        <v>356</v>
      </c>
      <c r="I3182" t="s">
        <v>12591</v>
      </c>
      <c r="J3182" t="s">
        <v>12592</v>
      </c>
      <c r="K3182" t="s">
        <v>12593</v>
      </c>
      <c r="M3182" t="s">
        <v>131</v>
      </c>
      <c r="O3182" t="s">
        <v>77</v>
      </c>
      <c r="P3182" t="s">
        <v>78</v>
      </c>
      <c r="Q3182" t="s">
        <v>50</v>
      </c>
      <c r="R3182" t="s">
        <v>79</v>
      </c>
      <c r="S3182" t="s">
        <v>4869</v>
      </c>
      <c r="T3182" t="s">
        <v>12326</v>
      </c>
      <c r="U3182" s="1">
        <v>46078.313958333332</v>
      </c>
      <c r="V3182" t="s">
        <v>54</v>
      </c>
      <c r="W3182" t="s">
        <v>55</v>
      </c>
      <c r="X3182" t="s">
        <v>134</v>
      </c>
      <c r="Y3182" t="s">
        <v>12594</v>
      </c>
      <c r="Z3182" t="s">
        <v>58</v>
      </c>
      <c r="AA3182" t="s">
        <v>54</v>
      </c>
      <c r="AB3182" t="s">
        <v>1503</v>
      </c>
      <c r="AC3182" t="s">
        <v>85</v>
      </c>
      <c r="AD3182" t="s">
        <v>79</v>
      </c>
      <c r="AE3182" t="s">
        <v>161</v>
      </c>
      <c r="AF3182" t="s">
        <v>999</v>
      </c>
      <c r="AG3182" t="s">
        <v>58</v>
      </c>
      <c r="AK3182">
        <v>3</v>
      </c>
      <c r="AL3182" t="s">
        <v>61</v>
      </c>
      <c r="AM3182" t="s">
        <v>2612</v>
      </c>
      <c r="AN3182" t="s">
        <v>2613</v>
      </c>
    </row>
    <row r="3183" spans="1:40" x14ac:dyDescent="0.35">
      <c r="A3183" t="s">
        <v>37</v>
      </c>
      <c r="B3183" t="s">
        <v>12595</v>
      </c>
      <c r="C3183" t="s">
        <v>39</v>
      </c>
      <c r="D3183" t="s">
        <v>6174</v>
      </c>
      <c r="E3183" t="s">
        <v>12596</v>
      </c>
      <c r="F3183" s="1">
        <v>45902.102500000001</v>
      </c>
      <c r="G3183" t="s">
        <v>12597</v>
      </c>
      <c r="H3183" t="s">
        <v>1711</v>
      </c>
      <c r="I3183" t="s">
        <v>12591</v>
      </c>
      <c r="J3183" t="s">
        <v>12592</v>
      </c>
      <c r="K3183" t="s">
        <v>12593</v>
      </c>
      <c r="M3183" t="s">
        <v>131</v>
      </c>
      <c r="O3183" t="s">
        <v>77</v>
      </c>
      <c r="P3183" t="s">
        <v>78</v>
      </c>
      <c r="Q3183" t="s">
        <v>12598</v>
      </c>
      <c r="R3183" t="s">
        <v>79</v>
      </c>
      <c r="S3183" t="s">
        <v>4869</v>
      </c>
      <c r="T3183" t="s">
        <v>12326</v>
      </c>
      <c r="U3183" s="1">
        <v>46078.362962962965</v>
      </c>
      <c r="V3183" t="s">
        <v>54</v>
      </c>
      <c r="W3183" t="s">
        <v>55</v>
      </c>
      <c r="X3183" t="s">
        <v>134</v>
      </c>
      <c r="Y3183" t="s">
        <v>12599</v>
      </c>
      <c r="Z3183" t="s">
        <v>58</v>
      </c>
      <c r="AA3183" t="s">
        <v>54</v>
      </c>
      <c r="AB3183" t="s">
        <v>1503</v>
      </c>
      <c r="AC3183" t="s">
        <v>85</v>
      </c>
      <c r="AD3183" t="s">
        <v>79</v>
      </c>
      <c r="AE3183" t="s">
        <v>161</v>
      </c>
      <c r="AF3183" t="s">
        <v>999</v>
      </c>
      <c r="AG3183" t="s">
        <v>58</v>
      </c>
      <c r="AK3183">
        <v>1</v>
      </c>
      <c r="AL3183" t="s">
        <v>61</v>
      </c>
      <c r="AM3183" t="s">
        <v>12600</v>
      </c>
      <c r="AN3183" t="s">
        <v>12601</v>
      </c>
    </row>
    <row r="3184" spans="1:40" x14ac:dyDescent="0.35">
      <c r="A3184" t="s">
        <v>37</v>
      </c>
      <c r="B3184" t="s">
        <v>12602</v>
      </c>
      <c r="C3184" t="s">
        <v>39</v>
      </c>
      <c r="D3184" t="s">
        <v>2603</v>
      </c>
      <c r="E3184" t="s">
        <v>1316</v>
      </c>
      <c r="F3184" s="1">
        <v>45902.102453703701</v>
      </c>
      <c r="G3184" t="s">
        <v>355</v>
      </c>
      <c r="H3184" t="s">
        <v>356</v>
      </c>
      <c r="I3184" t="s">
        <v>12591</v>
      </c>
      <c r="J3184" t="s">
        <v>12592</v>
      </c>
      <c r="K3184" t="s">
        <v>12593</v>
      </c>
      <c r="M3184" t="s">
        <v>131</v>
      </c>
      <c r="O3184" t="s">
        <v>77</v>
      </c>
      <c r="P3184" t="s">
        <v>78</v>
      </c>
      <c r="Q3184" t="s">
        <v>50</v>
      </c>
      <c r="R3184" t="s">
        <v>79</v>
      </c>
      <c r="S3184" t="s">
        <v>4869</v>
      </c>
      <c r="T3184" t="s">
        <v>12326</v>
      </c>
      <c r="U3184" s="1">
        <v>46078.359224537038</v>
      </c>
      <c r="V3184" t="s">
        <v>54</v>
      </c>
      <c r="W3184" t="s">
        <v>55</v>
      </c>
      <c r="X3184" t="s">
        <v>134</v>
      </c>
      <c r="Y3184" t="s">
        <v>12599</v>
      </c>
      <c r="Z3184" t="s">
        <v>58</v>
      </c>
      <c r="AA3184" t="s">
        <v>54</v>
      </c>
      <c r="AB3184" t="s">
        <v>1503</v>
      </c>
      <c r="AC3184" t="s">
        <v>85</v>
      </c>
      <c r="AD3184" t="s">
        <v>79</v>
      </c>
      <c r="AE3184" t="s">
        <v>161</v>
      </c>
      <c r="AF3184" t="s">
        <v>999</v>
      </c>
      <c r="AG3184" t="s">
        <v>58</v>
      </c>
      <c r="AK3184">
        <v>1</v>
      </c>
      <c r="AL3184" t="s">
        <v>61</v>
      </c>
      <c r="AM3184" t="s">
        <v>2612</v>
      </c>
      <c r="AN3184" t="s">
        <v>2613</v>
      </c>
    </row>
    <row r="3185" spans="1:40" x14ac:dyDescent="0.35">
      <c r="A3185" t="s">
        <v>37</v>
      </c>
      <c r="B3185" t="s">
        <v>12603</v>
      </c>
      <c r="C3185" t="s">
        <v>39</v>
      </c>
      <c r="D3185" t="s">
        <v>2603</v>
      </c>
      <c r="E3185" t="s">
        <v>1316</v>
      </c>
      <c r="F3185" s="1">
        <v>45902.102407407408</v>
      </c>
      <c r="G3185" t="s">
        <v>355</v>
      </c>
      <c r="H3185" t="s">
        <v>356</v>
      </c>
      <c r="I3185" t="s">
        <v>12604</v>
      </c>
      <c r="J3185" t="s">
        <v>12592</v>
      </c>
      <c r="K3185" t="s">
        <v>12593</v>
      </c>
      <c r="M3185" t="s">
        <v>131</v>
      </c>
      <c r="O3185" t="s">
        <v>77</v>
      </c>
      <c r="P3185" t="s">
        <v>78</v>
      </c>
      <c r="Q3185" t="s">
        <v>50</v>
      </c>
      <c r="R3185" t="s">
        <v>79</v>
      </c>
      <c r="S3185" t="s">
        <v>4869</v>
      </c>
      <c r="T3185" t="s">
        <v>12605</v>
      </c>
      <c r="U3185" s="1">
        <v>46078.36005787037</v>
      </c>
      <c r="V3185" t="s">
        <v>54</v>
      </c>
      <c r="W3185" t="s">
        <v>55</v>
      </c>
      <c r="X3185" t="s">
        <v>134</v>
      </c>
      <c r="Y3185" t="s">
        <v>12599</v>
      </c>
      <c r="Z3185" t="s">
        <v>58</v>
      </c>
      <c r="AA3185" t="s">
        <v>54</v>
      </c>
      <c r="AB3185" t="s">
        <v>1503</v>
      </c>
      <c r="AC3185" t="s">
        <v>85</v>
      </c>
      <c r="AD3185" t="s">
        <v>79</v>
      </c>
      <c r="AE3185" t="s">
        <v>161</v>
      </c>
      <c r="AF3185" t="s">
        <v>999</v>
      </c>
      <c r="AG3185" t="s">
        <v>58</v>
      </c>
      <c r="AK3185">
        <v>1</v>
      </c>
      <c r="AL3185" t="s">
        <v>61</v>
      </c>
      <c r="AM3185" t="s">
        <v>2612</v>
      </c>
      <c r="AN3185" t="s">
        <v>2613</v>
      </c>
    </row>
    <row r="3186" spans="1:40" x14ac:dyDescent="0.35">
      <c r="A3186" t="s">
        <v>37</v>
      </c>
      <c r="B3186" t="s">
        <v>12606</v>
      </c>
      <c r="C3186" t="s">
        <v>39</v>
      </c>
      <c r="D3186" t="s">
        <v>2603</v>
      </c>
      <c r="E3186" t="s">
        <v>1316</v>
      </c>
      <c r="F3186" s="1">
        <v>45902.102303240739</v>
      </c>
      <c r="G3186" t="s">
        <v>355</v>
      </c>
      <c r="H3186" t="s">
        <v>356</v>
      </c>
      <c r="I3186" t="s">
        <v>12604</v>
      </c>
      <c r="J3186" t="s">
        <v>12592</v>
      </c>
      <c r="K3186" t="s">
        <v>12593</v>
      </c>
      <c r="M3186" t="s">
        <v>131</v>
      </c>
      <c r="O3186" t="s">
        <v>77</v>
      </c>
      <c r="P3186" t="s">
        <v>78</v>
      </c>
      <c r="Q3186" t="s">
        <v>50</v>
      </c>
      <c r="R3186" t="s">
        <v>79</v>
      </c>
      <c r="S3186" t="s">
        <v>4869</v>
      </c>
      <c r="T3186" t="s">
        <v>12605</v>
      </c>
      <c r="U3186" s="1">
        <v>46078.360937500001</v>
      </c>
      <c r="V3186" t="s">
        <v>54</v>
      </c>
      <c r="W3186" t="s">
        <v>55</v>
      </c>
      <c r="X3186" t="s">
        <v>134</v>
      </c>
      <c r="Y3186" t="s">
        <v>12599</v>
      </c>
      <c r="Z3186" t="s">
        <v>58</v>
      </c>
      <c r="AA3186" t="s">
        <v>54</v>
      </c>
      <c r="AB3186" t="s">
        <v>1503</v>
      </c>
      <c r="AC3186" t="s">
        <v>85</v>
      </c>
      <c r="AD3186" t="s">
        <v>79</v>
      </c>
      <c r="AE3186" t="s">
        <v>161</v>
      </c>
      <c r="AF3186" t="s">
        <v>999</v>
      </c>
      <c r="AG3186" t="s">
        <v>58</v>
      </c>
      <c r="AK3186">
        <v>1</v>
      </c>
      <c r="AL3186" t="s">
        <v>61</v>
      </c>
      <c r="AM3186" t="s">
        <v>2612</v>
      </c>
      <c r="AN3186" t="s">
        <v>2613</v>
      </c>
    </row>
    <row r="3187" spans="1:40" x14ac:dyDescent="0.35">
      <c r="A3187" t="s">
        <v>37</v>
      </c>
      <c r="B3187" t="s">
        <v>12607</v>
      </c>
      <c r="C3187" t="s">
        <v>39</v>
      </c>
      <c r="D3187" t="s">
        <v>12608</v>
      </c>
      <c r="E3187" t="s">
        <v>12609</v>
      </c>
      <c r="F3187" s="1">
        <v>45902.102256944447</v>
      </c>
      <c r="G3187" t="s">
        <v>12610</v>
      </c>
      <c r="H3187" t="s">
        <v>1711</v>
      </c>
      <c r="I3187" t="s">
        <v>12604</v>
      </c>
      <c r="J3187" t="s">
        <v>12592</v>
      </c>
      <c r="K3187" t="s">
        <v>12593</v>
      </c>
      <c r="M3187" t="s">
        <v>131</v>
      </c>
      <c r="O3187" t="s">
        <v>77</v>
      </c>
      <c r="P3187" t="s">
        <v>78</v>
      </c>
      <c r="Q3187" t="s">
        <v>12611</v>
      </c>
      <c r="R3187" t="s">
        <v>79</v>
      </c>
      <c r="S3187" t="s">
        <v>4869</v>
      </c>
      <c r="T3187" t="s">
        <v>12605</v>
      </c>
      <c r="U3187" s="1">
        <v>46078.361979166664</v>
      </c>
      <c r="V3187" t="s">
        <v>54</v>
      </c>
      <c r="W3187" t="s">
        <v>55</v>
      </c>
      <c r="X3187" t="s">
        <v>134</v>
      </c>
      <c r="Y3187" t="s">
        <v>12599</v>
      </c>
      <c r="Z3187" t="s">
        <v>58</v>
      </c>
      <c r="AA3187" t="s">
        <v>54</v>
      </c>
      <c r="AB3187" t="s">
        <v>1503</v>
      </c>
      <c r="AC3187" t="s">
        <v>85</v>
      </c>
      <c r="AD3187" t="s">
        <v>79</v>
      </c>
      <c r="AE3187" t="s">
        <v>161</v>
      </c>
      <c r="AF3187" t="s">
        <v>999</v>
      </c>
      <c r="AG3187" t="s">
        <v>58</v>
      </c>
      <c r="AK3187">
        <v>1</v>
      </c>
      <c r="AL3187" t="s">
        <v>61</v>
      </c>
      <c r="AM3187" t="s">
        <v>7853</v>
      </c>
      <c r="AN3187" t="s">
        <v>12612</v>
      </c>
    </row>
    <row r="3188" spans="1:40" x14ac:dyDescent="0.35">
      <c r="A3188" t="s">
        <v>37</v>
      </c>
      <c r="B3188" t="s">
        <v>12613</v>
      </c>
      <c r="C3188" t="s">
        <v>39</v>
      </c>
      <c r="D3188" t="s">
        <v>12608</v>
      </c>
      <c r="E3188" t="s">
        <v>12609</v>
      </c>
      <c r="F3188" s="1">
        <v>45902.101863425924</v>
      </c>
      <c r="G3188" t="s">
        <v>12610</v>
      </c>
      <c r="H3188" t="s">
        <v>1711</v>
      </c>
      <c r="I3188" t="s">
        <v>12591</v>
      </c>
      <c r="J3188" t="s">
        <v>12592</v>
      </c>
      <c r="K3188" t="s">
        <v>12593</v>
      </c>
      <c r="M3188" t="s">
        <v>131</v>
      </c>
      <c r="O3188" t="s">
        <v>77</v>
      </c>
      <c r="P3188" t="s">
        <v>78</v>
      </c>
      <c r="Q3188" t="s">
        <v>12611</v>
      </c>
      <c r="R3188" t="s">
        <v>79</v>
      </c>
      <c r="S3188" t="s">
        <v>4869</v>
      </c>
      <c r="T3188" t="s">
        <v>12326</v>
      </c>
      <c r="U3188" s="1">
        <v>46078.364942129629</v>
      </c>
      <c r="V3188" t="s">
        <v>54</v>
      </c>
      <c r="W3188" t="s">
        <v>55</v>
      </c>
      <c r="X3188" t="s">
        <v>134</v>
      </c>
      <c r="Y3188" t="s">
        <v>12599</v>
      </c>
      <c r="Z3188" t="s">
        <v>58</v>
      </c>
      <c r="AA3188" t="s">
        <v>54</v>
      </c>
      <c r="AB3188" t="s">
        <v>1503</v>
      </c>
      <c r="AC3188" t="s">
        <v>85</v>
      </c>
      <c r="AD3188" t="s">
        <v>79</v>
      </c>
      <c r="AE3188" t="s">
        <v>161</v>
      </c>
      <c r="AF3188" t="s">
        <v>999</v>
      </c>
      <c r="AG3188" t="s">
        <v>58</v>
      </c>
      <c r="AK3188">
        <v>1</v>
      </c>
      <c r="AL3188" t="s">
        <v>61</v>
      </c>
      <c r="AM3188" t="s">
        <v>7853</v>
      </c>
      <c r="AN3188" t="s">
        <v>12612</v>
      </c>
    </row>
    <row r="3189" spans="1:40" x14ac:dyDescent="0.35">
      <c r="A3189" t="s">
        <v>37</v>
      </c>
      <c r="B3189" t="s">
        <v>12614</v>
      </c>
      <c r="C3189" t="s">
        <v>39</v>
      </c>
      <c r="D3189" t="s">
        <v>12608</v>
      </c>
      <c r="E3189" t="s">
        <v>12609</v>
      </c>
      <c r="F3189" s="1">
        <v>45902.05673611111</v>
      </c>
      <c r="G3189" t="s">
        <v>12610</v>
      </c>
      <c r="H3189" t="s">
        <v>1711</v>
      </c>
      <c r="I3189" t="s">
        <v>12591</v>
      </c>
      <c r="J3189" t="s">
        <v>12592</v>
      </c>
      <c r="K3189" t="s">
        <v>12593</v>
      </c>
      <c r="M3189" t="s">
        <v>131</v>
      </c>
      <c r="O3189" t="s">
        <v>77</v>
      </c>
      <c r="P3189" t="s">
        <v>78</v>
      </c>
      <c r="Q3189" t="s">
        <v>12611</v>
      </c>
      <c r="R3189" t="s">
        <v>79</v>
      </c>
      <c r="S3189" t="s">
        <v>4869</v>
      </c>
      <c r="T3189" t="s">
        <v>12326</v>
      </c>
      <c r="U3189" s="1">
        <v>46078.365902777776</v>
      </c>
      <c r="V3189" t="s">
        <v>54</v>
      </c>
      <c r="W3189" t="s">
        <v>55</v>
      </c>
      <c r="X3189" t="s">
        <v>134</v>
      </c>
      <c r="Y3189" t="s">
        <v>12599</v>
      </c>
      <c r="Z3189" t="s">
        <v>58</v>
      </c>
      <c r="AA3189" t="s">
        <v>54</v>
      </c>
      <c r="AB3189" t="s">
        <v>1503</v>
      </c>
      <c r="AC3189" t="s">
        <v>85</v>
      </c>
      <c r="AD3189" t="s">
        <v>79</v>
      </c>
      <c r="AE3189" t="s">
        <v>161</v>
      </c>
      <c r="AF3189" t="s">
        <v>999</v>
      </c>
      <c r="AG3189" t="s">
        <v>58</v>
      </c>
      <c r="AK3189">
        <v>2</v>
      </c>
      <c r="AL3189" t="s">
        <v>61</v>
      </c>
      <c r="AM3189" t="s">
        <v>7853</v>
      </c>
      <c r="AN3189" t="s">
        <v>12612</v>
      </c>
    </row>
    <row r="3190" spans="1:40" x14ac:dyDescent="0.35">
      <c r="A3190" t="s">
        <v>37</v>
      </c>
      <c r="B3190" t="s">
        <v>12615</v>
      </c>
      <c r="C3190" t="s">
        <v>39</v>
      </c>
      <c r="D3190" t="s">
        <v>12608</v>
      </c>
      <c r="E3190" t="s">
        <v>12609</v>
      </c>
      <c r="F3190" s="1">
        <v>45902.056111111109</v>
      </c>
      <c r="G3190" t="s">
        <v>12610</v>
      </c>
      <c r="H3190" t="s">
        <v>1711</v>
      </c>
      <c r="I3190" t="s">
        <v>12604</v>
      </c>
      <c r="J3190" t="s">
        <v>12592</v>
      </c>
      <c r="K3190" t="s">
        <v>12593</v>
      </c>
      <c r="M3190" t="s">
        <v>131</v>
      </c>
      <c r="O3190" t="s">
        <v>77</v>
      </c>
      <c r="P3190" t="s">
        <v>78</v>
      </c>
      <c r="Q3190" t="s">
        <v>12611</v>
      </c>
      <c r="R3190" t="s">
        <v>79</v>
      </c>
      <c r="S3190" t="s">
        <v>4869</v>
      </c>
      <c r="T3190" t="s">
        <v>12605</v>
      </c>
      <c r="U3190" s="1">
        <v>46078.366782407407</v>
      </c>
      <c r="V3190" t="s">
        <v>54</v>
      </c>
      <c r="W3190" t="s">
        <v>55</v>
      </c>
      <c r="X3190" t="s">
        <v>134</v>
      </c>
      <c r="Y3190" t="s">
        <v>12599</v>
      </c>
      <c r="Z3190" t="s">
        <v>58</v>
      </c>
      <c r="AA3190" t="s">
        <v>54</v>
      </c>
      <c r="AB3190" t="s">
        <v>1503</v>
      </c>
      <c r="AC3190" t="s">
        <v>85</v>
      </c>
      <c r="AD3190" t="s">
        <v>79</v>
      </c>
      <c r="AE3190" t="s">
        <v>161</v>
      </c>
      <c r="AF3190" t="s">
        <v>999</v>
      </c>
      <c r="AG3190" t="s">
        <v>58</v>
      </c>
      <c r="AK3190">
        <v>2</v>
      </c>
      <c r="AL3190" t="s">
        <v>61</v>
      </c>
      <c r="AM3190" t="s">
        <v>7853</v>
      </c>
      <c r="AN3190" t="s">
        <v>12612</v>
      </c>
    </row>
    <row r="3191" spans="1:40" x14ac:dyDescent="0.35">
      <c r="A3191" t="s">
        <v>37</v>
      </c>
      <c r="B3191" t="s">
        <v>12616</v>
      </c>
      <c r="C3191" t="s">
        <v>39</v>
      </c>
      <c r="D3191" t="s">
        <v>12608</v>
      </c>
      <c r="E3191" t="s">
        <v>12609</v>
      </c>
      <c r="F3191" s="1">
        <v>45888.041828703703</v>
      </c>
      <c r="G3191" t="s">
        <v>12610</v>
      </c>
      <c r="H3191" t="s">
        <v>1711</v>
      </c>
      <c r="I3191" t="s">
        <v>12617</v>
      </c>
      <c r="J3191" t="s">
        <v>12592</v>
      </c>
      <c r="K3191" t="s">
        <v>12593</v>
      </c>
      <c r="M3191" t="s">
        <v>131</v>
      </c>
      <c r="O3191" t="s">
        <v>77</v>
      </c>
      <c r="P3191" t="s">
        <v>78</v>
      </c>
      <c r="Q3191" t="s">
        <v>12611</v>
      </c>
      <c r="R3191" t="s">
        <v>79</v>
      </c>
      <c r="S3191" t="s">
        <v>4869</v>
      </c>
      <c r="T3191" t="s">
        <v>12605</v>
      </c>
      <c r="U3191" s="1">
        <v>46078.367685185185</v>
      </c>
      <c r="V3191" t="s">
        <v>54</v>
      </c>
      <c r="W3191" t="s">
        <v>55</v>
      </c>
      <c r="X3191" t="s">
        <v>134</v>
      </c>
      <c r="Y3191" t="s">
        <v>12599</v>
      </c>
      <c r="Z3191" t="s">
        <v>58</v>
      </c>
      <c r="AA3191" t="s">
        <v>54</v>
      </c>
      <c r="AB3191" t="s">
        <v>1503</v>
      </c>
      <c r="AC3191" t="s">
        <v>85</v>
      </c>
      <c r="AD3191" t="s">
        <v>79</v>
      </c>
      <c r="AE3191" t="s">
        <v>161</v>
      </c>
      <c r="AF3191" t="s">
        <v>999</v>
      </c>
      <c r="AG3191" t="s">
        <v>58</v>
      </c>
      <c r="AK3191">
        <v>4</v>
      </c>
      <c r="AL3191" t="s">
        <v>61</v>
      </c>
      <c r="AM3191" t="s">
        <v>7853</v>
      </c>
      <c r="AN3191" t="s">
        <v>12612</v>
      </c>
    </row>
    <row r="3192" spans="1:40" x14ac:dyDescent="0.35">
      <c r="A3192" t="s">
        <v>37</v>
      </c>
      <c r="B3192" t="s">
        <v>12618</v>
      </c>
      <c r="C3192" t="s">
        <v>39</v>
      </c>
      <c r="D3192" t="s">
        <v>12619</v>
      </c>
      <c r="E3192">
        <v>1</v>
      </c>
      <c r="F3192" s="1">
        <v>45882.043900462966</v>
      </c>
      <c r="G3192" t="s">
        <v>12620</v>
      </c>
      <c r="H3192" t="s">
        <v>1711</v>
      </c>
      <c r="I3192" t="s">
        <v>12621</v>
      </c>
      <c r="J3192" t="s">
        <v>12592</v>
      </c>
      <c r="K3192" t="s">
        <v>12593</v>
      </c>
      <c r="M3192" t="s">
        <v>131</v>
      </c>
      <c r="O3192" t="s">
        <v>77</v>
      </c>
      <c r="P3192" t="s">
        <v>78</v>
      </c>
      <c r="Q3192" t="s">
        <v>1174</v>
      </c>
      <c r="R3192" t="s">
        <v>79</v>
      </c>
      <c r="S3192" t="s">
        <v>4869</v>
      </c>
      <c r="T3192" t="s">
        <v>12605</v>
      </c>
      <c r="U3192" s="1">
        <v>46078.315289351849</v>
      </c>
      <c r="V3192" t="s">
        <v>54</v>
      </c>
      <c r="W3192" t="s">
        <v>55</v>
      </c>
      <c r="X3192" t="s">
        <v>134</v>
      </c>
      <c r="Y3192" t="s">
        <v>12599</v>
      </c>
      <c r="Z3192" t="s">
        <v>58</v>
      </c>
      <c r="AA3192" t="s">
        <v>54</v>
      </c>
      <c r="AB3192" t="s">
        <v>3425</v>
      </c>
      <c r="AC3192" t="s">
        <v>85</v>
      </c>
      <c r="AD3192" t="s">
        <v>79</v>
      </c>
      <c r="AE3192" t="s">
        <v>161</v>
      </c>
      <c r="AF3192" t="s">
        <v>999</v>
      </c>
      <c r="AG3192" t="s">
        <v>58</v>
      </c>
      <c r="AK3192">
        <v>1</v>
      </c>
      <c r="AL3192" t="s">
        <v>61</v>
      </c>
      <c r="AM3192" t="s">
        <v>12622</v>
      </c>
      <c r="AN3192" t="s">
        <v>12623</v>
      </c>
    </row>
    <row r="3193" spans="1:40" x14ac:dyDescent="0.35">
      <c r="A3193" t="s">
        <v>37</v>
      </c>
      <c r="B3193" t="s">
        <v>12624</v>
      </c>
      <c r="C3193" t="s">
        <v>39</v>
      </c>
      <c r="D3193" t="s">
        <v>12608</v>
      </c>
      <c r="E3193" t="s">
        <v>12609</v>
      </c>
      <c r="F3193" s="1">
        <v>45882.030717592592</v>
      </c>
      <c r="G3193" t="s">
        <v>12610</v>
      </c>
      <c r="H3193" t="s">
        <v>1711</v>
      </c>
      <c r="I3193" t="s">
        <v>12621</v>
      </c>
      <c r="J3193" t="s">
        <v>12592</v>
      </c>
      <c r="K3193" t="s">
        <v>12593</v>
      </c>
      <c r="M3193" t="s">
        <v>131</v>
      </c>
      <c r="O3193" t="s">
        <v>77</v>
      </c>
      <c r="P3193" t="s">
        <v>78</v>
      </c>
      <c r="Q3193" t="s">
        <v>12611</v>
      </c>
      <c r="R3193" t="s">
        <v>79</v>
      </c>
      <c r="S3193" t="s">
        <v>4869</v>
      </c>
      <c r="T3193" t="s">
        <v>12605</v>
      </c>
      <c r="U3193" s="1">
        <v>46078.316516203704</v>
      </c>
      <c r="V3193" t="s">
        <v>54</v>
      </c>
      <c r="W3193" t="s">
        <v>55</v>
      </c>
      <c r="X3193" t="s">
        <v>134</v>
      </c>
      <c r="Y3193" t="s">
        <v>12599</v>
      </c>
      <c r="Z3193" t="s">
        <v>58</v>
      </c>
      <c r="AA3193" t="s">
        <v>54</v>
      </c>
      <c r="AB3193" t="s">
        <v>3425</v>
      </c>
      <c r="AC3193" t="s">
        <v>85</v>
      </c>
      <c r="AD3193" t="s">
        <v>79</v>
      </c>
      <c r="AE3193" t="s">
        <v>161</v>
      </c>
      <c r="AF3193" t="s">
        <v>999</v>
      </c>
      <c r="AG3193" t="s">
        <v>58</v>
      </c>
      <c r="AK3193">
        <v>1</v>
      </c>
      <c r="AL3193" t="s">
        <v>61</v>
      </c>
      <c r="AM3193" t="s">
        <v>7853</v>
      </c>
      <c r="AN3193" t="s">
        <v>12612</v>
      </c>
    </row>
  </sheetData>
  <autoFilter ref="A1:AN3193" xr:uid="{632F5FD4-55B8-48A9-87B0-15DCC79FFF9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cbbff033-f995-442f-901f-e7becb3f68ec" origin="userSelected">
  <element uid="b3b09d49-f0a0-40c0-9940-a17436af9efc" value=""/>
</sisl>
</file>

<file path=customXml/itemProps1.xml><?xml version="1.0" encoding="utf-8"?>
<ds:datastoreItem xmlns:ds="http://schemas.openxmlformats.org/officeDocument/2006/customXml" ds:itemID="{C1CCCA35-F66C-4B2C-AF1A-7EE1EE2912D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closed+call+report_test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Ruaa Mohammed Ahmed-Contractor</cp:lastModifiedBy>
  <dcterms:created xsi:type="dcterms:W3CDTF">2026-02-26T05:21:39Z</dcterms:created>
  <dcterms:modified xsi:type="dcterms:W3CDTF">2026-02-26T05:24:47Z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bb433b73-61de-49c9-bb2b-1a7f52b601fb</vt:lpwstr>
  </property>
  <property fmtid="{D5CDD505-2E9C-101B-9397-08002B2CF9AE}" pid="3" name="bjSaver">
    <vt:lpwstr>NEFg9038i2s32wgLyvn+UazUHZPdCn9c</vt:lpwstr>
  </property>
  <property fmtid="{D5CDD505-2E9C-101B-9397-08002B2CF9AE}" pid="4" name="bjDocumentLabelXML">
    <vt:lpwstr>&lt;?xml version="1.0" encoding="us-ascii"?&gt;&lt;sisl xmlns:xsd="http://www.w3.org/2001/XMLSchema" xmlns:xsi="http://www.w3.org/2001/XMLSchema-instance" sislVersion="0" policy="cbbff033-f995-442f-901f-e7becb3f68ec" origin="userSelected" xmlns="http://www.boldonj</vt:lpwstr>
  </property>
  <property fmtid="{D5CDD505-2E9C-101B-9397-08002B2CF9AE}" pid="5" name="bjDocumentLabelXML-0">
    <vt:lpwstr>ames.com/2008/01/sie/internal/label"&gt;&lt;element uid="b3b09d49-f0a0-40c0-9940-a17436af9efc" value="" /&gt;&lt;/sisl&gt;</vt:lpwstr>
  </property>
  <property fmtid="{D5CDD505-2E9C-101B-9397-08002B2CF9AE}" pid="6" name="bjDocumentSecurityLabel">
    <vt:lpwstr>Open</vt:lpwstr>
  </property>
  <property fmtid="{D5CDD505-2E9C-101B-9397-08002B2CF9AE}" pid="7" name="bjClsUserRVM">
    <vt:lpwstr>[]</vt:lpwstr>
  </property>
</Properties>
</file>